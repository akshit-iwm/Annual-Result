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944DE776-813F-4463-AEB7-C2EA3F394A88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90" i="1" l="1"/>
  <c r="CL29" i="1" l="1"/>
  <c r="CL27" i="1"/>
  <c r="CL14" i="1"/>
  <c r="CL290" i="1"/>
  <c r="BV14" i="1"/>
  <c r="BZ14" i="1"/>
  <c r="BY14" i="1"/>
  <c r="BX14" i="1"/>
  <c r="BW14" i="1"/>
  <c r="CB14" i="1"/>
  <c r="CC14" i="1"/>
  <c r="CD14" i="1"/>
  <c r="CE14" i="1"/>
  <c r="CF14" i="1"/>
  <c r="CG14" i="1"/>
  <c r="CH14" i="1"/>
  <c r="CI14" i="1"/>
  <c r="CJ14" i="1"/>
  <c r="CK14" i="1"/>
  <c r="CA14" i="1"/>
  <c r="CK29" i="1"/>
  <c r="CK27" i="1"/>
  <c r="CK22" i="1"/>
  <c r="CK23" i="1" s="1"/>
  <c r="CK7" i="1"/>
  <c r="CI29" i="1"/>
  <c r="CH29" i="1"/>
  <c r="CG29" i="1"/>
  <c r="CF29" i="1"/>
  <c r="CE29" i="1"/>
  <c r="CD29" i="1"/>
  <c r="CC29" i="1"/>
  <c r="CB29" i="1"/>
  <c r="CA29" i="1"/>
  <c r="BZ29" i="1"/>
  <c r="BY29" i="1"/>
  <c r="CJ29" i="1"/>
  <c r="CN26" i="1"/>
  <c r="CR26" i="1" s="1"/>
  <c r="CV26" i="1" s="1"/>
  <c r="CZ26" i="1" s="1"/>
  <c r="CM26" i="1"/>
  <c r="CQ26" i="1" s="1"/>
  <c r="CU26" i="1" s="1"/>
  <c r="CY26" i="1" s="1"/>
  <c r="CO26" i="1"/>
  <c r="CS26" i="1" s="1"/>
  <c r="CW26" i="1" s="1"/>
  <c r="DA26" i="1" s="1"/>
  <c r="CI27" i="1"/>
  <c r="CH27" i="1"/>
  <c r="CG27" i="1"/>
  <c r="CF27" i="1"/>
  <c r="CE27" i="1"/>
  <c r="CD27" i="1"/>
  <c r="CC27" i="1"/>
  <c r="CJ27" i="1"/>
  <c r="X31" i="1"/>
  <c r="Y31" i="1"/>
  <c r="Z31" i="1"/>
  <c r="Z28" i="1"/>
  <c r="Y28" i="1"/>
  <c r="X28" i="1"/>
  <c r="AB197" i="1"/>
  <c r="AC197" i="1"/>
  <c r="AD197" i="1"/>
  <c r="AE197" i="1"/>
  <c r="AB198" i="1"/>
  <c r="AC198" i="1"/>
  <c r="AD198" i="1"/>
  <c r="AE198" i="1"/>
  <c r="AB199" i="1"/>
  <c r="AC199" i="1"/>
  <c r="AD199" i="1"/>
  <c r="AE199" i="1"/>
  <c r="AB200" i="1"/>
  <c r="AC200" i="1"/>
  <c r="AD200" i="1"/>
  <c r="AE200" i="1"/>
  <c r="AB201" i="1"/>
  <c r="AC201" i="1"/>
  <c r="AD201" i="1"/>
  <c r="AE201" i="1"/>
  <c r="AB202" i="1"/>
  <c r="AC202" i="1"/>
  <c r="AD202" i="1"/>
  <c r="AE202" i="1"/>
  <c r="AB203" i="1"/>
  <c r="AC203" i="1"/>
  <c r="AD203" i="1"/>
  <c r="AE203" i="1"/>
  <c r="AB204" i="1"/>
  <c r="AC204" i="1"/>
  <c r="AD204" i="1"/>
  <c r="AE204" i="1"/>
  <c r="AB189" i="1"/>
  <c r="AC189" i="1"/>
  <c r="AD189" i="1"/>
  <c r="AE189" i="1"/>
  <c r="AB190" i="1"/>
  <c r="AC190" i="1"/>
  <c r="AD190" i="1"/>
  <c r="AE190" i="1"/>
  <c r="AB191" i="1"/>
  <c r="AC191" i="1"/>
  <c r="AD191" i="1"/>
  <c r="AE191" i="1"/>
  <c r="AB192" i="1"/>
  <c r="AC192" i="1"/>
  <c r="AD192" i="1"/>
  <c r="AE192" i="1"/>
  <c r="AB193" i="1"/>
  <c r="AC193" i="1"/>
  <c r="AD193" i="1"/>
  <c r="AE193" i="1"/>
  <c r="AB194" i="1"/>
  <c r="AC194" i="1"/>
  <c r="AD194" i="1"/>
  <c r="AE194" i="1"/>
  <c r="AB62" i="1"/>
  <c r="AC62" i="1"/>
  <c r="AD62" i="1"/>
  <c r="AE62" i="1"/>
  <c r="AB65" i="1"/>
  <c r="AC65" i="1"/>
  <c r="AD65" i="1"/>
  <c r="AE65" i="1"/>
  <c r="AB63" i="1"/>
  <c r="AC63" i="1"/>
  <c r="AD63" i="1"/>
  <c r="AE63" i="1"/>
  <c r="AB54" i="1"/>
  <c r="AC54" i="1"/>
  <c r="AD54" i="1"/>
  <c r="AE54" i="1"/>
  <c r="AB64" i="1"/>
  <c r="AC64" i="1"/>
  <c r="AD64" i="1"/>
  <c r="AE64" i="1"/>
  <c r="AB56" i="1"/>
  <c r="AC56" i="1"/>
  <c r="AD56" i="1"/>
  <c r="AE56" i="1"/>
  <c r="AB61" i="1"/>
  <c r="AC61" i="1"/>
  <c r="AD61" i="1"/>
  <c r="AE61" i="1"/>
  <c r="AB59" i="1"/>
  <c r="AC59" i="1"/>
  <c r="AD59" i="1"/>
  <c r="AE59" i="1"/>
  <c r="AB60" i="1"/>
  <c r="AC60" i="1"/>
  <c r="AD60" i="1"/>
  <c r="AE60" i="1"/>
  <c r="AB55" i="1"/>
  <c r="AC55" i="1"/>
  <c r="AD55" i="1"/>
  <c r="AE55" i="1"/>
  <c r="AB57" i="1"/>
  <c r="AC57" i="1"/>
  <c r="AD57" i="1"/>
  <c r="AE57" i="1"/>
  <c r="AB58" i="1"/>
  <c r="AC58" i="1"/>
  <c r="AD58" i="1"/>
  <c r="AE58" i="1"/>
  <c r="AB66" i="1"/>
  <c r="AC66" i="1"/>
  <c r="AD66" i="1"/>
  <c r="AE66" i="1"/>
  <c r="X26" i="1"/>
  <c r="Y26" i="1"/>
  <c r="Y27" i="1" s="1"/>
  <c r="Z26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Z18" i="1"/>
  <c r="Y18" i="1"/>
  <c r="X18" i="1"/>
  <c r="W18" i="1"/>
  <c r="V18" i="1"/>
  <c r="U18" i="1"/>
  <c r="T18" i="1"/>
  <c r="S18" i="1"/>
  <c r="R18" i="1"/>
  <c r="Q18" i="1"/>
  <c r="Q12" i="1"/>
  <c r="R12" i="1"/>
  <c r="S12" i="1"/>
  <c r="U12" i="1"/>
  <c r="V12" i="1"/>
  <c r="W12" i="1"/>
  <c r="X12" i="1"/>
  <c r="Y12" i="1"/>
  <c r="Z12" i="1"/>
  <c r="AA12" i="1"/>
  <c r="AB12" i="1"/>
  <c r="AC12" i="1"/>
  <c r="AD12" i="1"/>
  <c r="AE12" i="1"/>
  <c r="AE11" i="1"/>
  <c r="AD11" i="1"/>
  <c r="AC11" i="1"/>
  <c r="AB11" i="1"/>
  <c r="AA11" i="1"/>
  <c r="Z11" i="1"/>
  <c r="Y11" i="1"/>
  <c r="X11" i="1"/>
  <c r="W11" i="1"/>
  <c r="V11" i="1"/>
  <c r="U11" i="1"/>
  <c r="S11" i="1"/>
  <c r="R11" i="1"/>
  <c r="Q11" i="1"/>
  <c r="Q6" i="1"/>
  <c r="R6" i="1"/>
  <c r="S6" i="1"/>
  <c r="T6" i="1"/>
  <c r="U6" i="1"/>
  <c r="V6" i="1"/>
  <c r="W6" i="1"/>
  <c r="X6" i="1"/>
  <c r="Y6" i="1"/>
  <c r="Z6" i="1"/>
  <c r="Q5" i="1"/>
  <c r="R5" i="1"/>
  <c r="S5" i="1"/>
  <c r="T5" i="1"/>
  <c r="U5" i="1"/>
  <c r="V5" i="1"/>
  <c r="W5" i="1"/>
  <c r="X5" i="1"/>
  <c r="Y5" i="1"/>
  <c r="Z5" i="1"/>
  <c r="BU14" i="1"/>
  <c r="BT14" i="1"/>
  <c r="BS14" i="1"/>
  <c r="BR14" i="1"/>
  <c r="BQ14" i="1"/>
  <c r="BP14" i="1"/>
  <c r="BO14" i="1"/>
  <c r="BN14" i="1"/>
  <c r="BM14" i="1"/>
  <c r="BL14" i="1"/>
  <c r="BK14" i="1"/>
  <c r="CJ22" i="1"/>
  <c r="CJ32" i="1" s="1"/>
  <c r="CI22" i="1"/>
  <c r="CI23" i="1" s="1"/>
  <c r="CH22" i="1"/>
  <c r="CH23" i="1" s="1"/>
  <c r="CG22" i="1"/>
  <c r="CG23" i="1" s="1"/>
  <c r="CF22" i="1"/>
  <c r="CF23" i="1" s="1"/>
  <c r="CE22" i="1"/>
  <c r="CE23" i="1" s="1"/>
  <c r="CD22" i="1"/>
  <c r="CD32" i="1" s="1"/>
  <c r="CC22" i="1"/>
  <c r="CC32" i="1" s="1"/>
  <c r="CB22" i="1"/>
  <c r="CB23" i="1" s="1"/>
  <c r="CA22" i="1"/>
  <c r="CA23" i="1" s="1"/>
  <c r="BZ22" i="1"/>
  <c r="BZ23" i="1" s="1"/>
  <c r="BY22" i="1"/>
  <c r="BY23" i="1" s="1"/>
  <c r="BX22" i="1"/>
  <c r="BX23" i="1" s="1"/>
  <c r="BW22" i="1"/>
  <c r="BW23" i="1" s="1"/>
  <c r="BV22" i="1"/>
  <c r="BV23" i="1" s="1"/>
  <c r="BU22" i="1"/>
  <c r="BU23" i="1" s="1"/>
  <c r="BT22" i="1"/>
  <c r="BT23" i="1" s="1"/>
  <c r="BS22" i="1"/>
  <c r="BS23" i="1" s="1"/>
  <c r="CD23" i="1"/>
  <c r="CI7" i="1"/>
  <c r="CJ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CL30" i="1" l="1"/>
  <c r="CK30" i="1"/>
  <c r="Z29" i="1"/>
  <c r="CF30" i="1"/>
  <c r="CC30" i="1"/>
  <c r="X29" i="1"/>
  <c r="CD30" i="1"/>
  <c r="Z27" i="1"/>
  <c r="Y29" i="1"/>
  <c r="Z30" i="1" s="1"/>
  <c r="CE30" i="1"/>
  <c r="CK32" i="1"/>
  <c r="AA6" i="1"/>
  <c r="CM6" i="1"/>
  <c r="CN6" i="1" s="1"/>
  <c r="CM29" i="1"/>
  <c r="CI30" i="1"/>
  <c r="CH30" i="1"/>
  <c r="CG30" i="1"/>
  <c r="CN29" i="1"/>
  <c r="CJ30" i="1"/>
  <c r="CP26" i="1"/>
  <c r="AA26" i="1"/>
  <c r="AA27" i="1" s="1"/>
  <c r="CN32" i="1"/>
  <c r="CC23" i="1"/>
  <c r="CJ23" i="1"/>
  <c r="BX32" i="1"/>
  <c r="CB32" i="1"/>
  <c r="CF32" i="1"/>
  <c r="BY32" i="1"/>
  <c r="CC33" i="1" s="1"/>
  <c r="CG32" i="1"/>
  <c r="BZ32" i="1"/>
  <c r="CD33" i="1" s="1"/>
  <c r="CH32" i="1"/>
  <c r="BW32" i="1"/>
  <c r="CA32" i="1"/>
  <c r="CE32" i="1"/>
  <c r="CI32" i="1"/>
  <c r="Z7" i="1"/>
  <c r="V7" i="1"/>
  <c r="R7" i="1"/>
  <c r="X14" i="1"/>
  <c r="AB14" i="1"/>
  <c r="AE14" i="1"/>
  <c r="AA14" i="1"/>
  <c r="W14" i="1"/>
  <c r="X7" i="1"/>
  <c r="T7" i="1"/>
  <c r="R14" i="1"/>
  <c r="V14" i="1"/>
  <c r="Z14" i="1"/>
  <c r="AD14" i="1"/>
  <c r="T22" i="1"/>
  <c r="X22" i="1"/>
  <c r="X23" i="1" s="1"/>
  <c r="U7" i="1"/>
  <c r="S14" i="1"/>
  <c r="Y7" i="1"/>
  <c r="Q7" i="1"/>
  <c r="Q22" i="1"/>
  <c r="U22" i="1"/>
  <c r="Y22" i="1"/>
  <c r="R22" i="1"/>
  <c r="V22" i="1"/>
  <c r="Z22" i="1"/>
  <c r="W7" i="1"/>
  <c r="S7" i="1"/>
  <c r="Q14" i="1"/>
  <c r="U14" i="1"/>
  <c r="Y14" i="1"/>
  <c r="AC14" i="1"/>
  <c r="S22" i="1"/>
  <c r="W22" i="1"/>
  <c r="W23" i="1" s="1"/>
  <c r="CE33" i="1" l="1"/>
  <c r="Y30" i="1"/>
  <c r="CK33" i="1"/>
  <c r="CM28" i="1"/>
  <c r="CQ29" i="1"/>
  <c r="CP29" i="1"/>
  <c r="AA28" i="1"/>
  <c r="AA29" i="1" s="1"/>
  <c r="AA30" i="1" s="1"/>
  <c r="CO29" i="1"/>
  <c r="CN28" i="1"/>
  <c r="CN18" i="1" s="1"/>
  <c r="CN22" i="1" s="1"/>
  <c r="CN5" i="1" s="1"/>
  <c r="CN23" i="1" s="1"/>
  <c r="CR29" i="1"/>
  <c r="AB26" i="1"/>
  <c r="AB27" i="1" s="1"/>
  <c r="CT26" i="1"/>
  <c r="CR32" i="1"/>
  <c r="CJ33" i="1"/>
  <c r="CF33" i="1"/>
  <c r="CG33" i="1"/>
  <c r="CH33" i="1"/>
  <c r="CM32" i="1"/>
  <c r="CI33" i="1"/>
  <c r="CO6" i="1"/>
  <c r="Z23" i="1"/>
  <c r="Z32" i="1"/>
  <c r="Y23" i="1"/>
  <c r="Y32" i="1"/>
  <c r="X32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78" i="1"/>
  <c r="AB42" i="1"/>
  <c r="AC42" i="1"/>
  <c r="AD42" i="1"/>
  <c r="AE42" i="1"/>
  <c r="AJ260" i="1"/>
  <c r="AD8" i="2"/>
  <c r="AD16" i="2"/>
  <c r="AD24" i="2"/>
  <c r="AD32" i="2"/>
  <c r="AD43" i="2"/>
  <c r="AD51" i="2"/>
  <c r="AC5" i="2"/>
  <c r="AC113" i="2" s="1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E108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E75" i="2"/>
  <c r="AE99" i="2"/>
  <c r="AE63" i="2"/>
  <c r="AD81" i="2"/>
  <c r="AD97" i="2"/>
  <c r="AE27" i="2"/>
  <c r="AE81" i="2"/>
  <c r="AE109" i="2"/>
  <c r="AE18" i="2"/>
  <c r="AE45" i="2"/>
  <c r="AB18" i="2"/>
  <c r="AA60" i="1" s="1"/>
  <c r="AD64" i="2"/>
  <c r="AD72" i="2"/>
  <c r="AD80" i="2"/>
  <c r="AD88" i="2"/>
  <c r="AD96" i="2"/>
  <c r="AD108" i="2"/>
  <c r="AC109" i="2"/>
  <c r="AD31" i="2"/>
  <c r="AF62" i="2"/>
  <c r="AC22" i="2"/>
  <c r="AC49" i="2"/>
  <c r="AE66" i="2"/>
  <c r="AE78" i="2"/>
  <c r="AE90" i="2"/>
  <c r="AF14" i="2"/>
  <c r="AF49" i="2"/>
  <c r="AE31" i="2"/>
  <c r="AD75" i="2"/>
  <c r="AD91" i="2"/>
  <c r="AC16" i="2"/>
  <c r="AC82" i="2"/>
  <c r="AB9" i="2"/>
  <c r="AB17" i="2"/>
  <c r="AB25" i="2"/>
  <c r="AA78" i="1" s="1"/>
  <c r="AB33" i="2"/>
  <c r="AA88" i="1" s="1"/>
  <c r="AB44" i="2"/>
  <c r="AB52" i="2"/>
  <c r="AA202" i="1" s="1"/>
  <c r="AE6" i="2"/>
  <c r="AE30" i="2"/>
  <c r="AE57" i="2"/>
  <c r="AB34" i="2"/>
  <c r="AB53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A193" i="1" s="1"/>
  <c r="AB81" i="2"/>
  <c r="AB89" i="2"/>
  <c r="AB97" i="2"/>
  <c r="AB109" i="2"/>
  <c r="AF34" i="2"/>
  <c r="AD63" i="2"/>
  <c r="AE25" i="2"/>
  <c r="AE52" i="2"/>
  <c r="AC67" i="2"/>
  <c r="AC79" i="2"/>
  <c r="AC91" i="2"/>
  <c r="AB16" i="2"/>
  <c r="AB51" i="2"/>
  <c r="AA206" i="1" s="1"/>
  <c r="AC47" i="2"/>
  <c r="AB76" i="2"/>
  <c r="AA186" i="1" s="1"/>
  <c r="AB92" i="2"/>
  <c r="AE19" i="2"/>
  <c r="AE79" i="2"/>
  <c r="AE107" i="2"/>
  <c r="AF68" i="2"/>
  <c r="AF84" i="2"/>
  <c r="AF104" i="2"/>
  <c r="AE46" i="2"/>
  <c r="AE85" i="2"/>
  <c r="AC33" i="2"/>
  <c r="AB57" i="2"/>
  <c r="AA203" i="1" s="1"/>
  <c r="AD66" i="2"/>
  <c r="AD82" i="2"/>
  <c r="AD110" i="2"/>
  <c r="AE29" i="2"/>
  <c r="AE56" i="2"/>
  <c r="AC69" i="2"/>
  <c r="AC81" i="2"/>
  <c r="AE94" i="2"/>
  <c r="AF22" i="2"/>
  <c r="AF57" i="2"/>
  <c r="AD95" i="2"/>
  <c r="AB106" i="2"/>
  <c r="AA119" i="1" s="1"/>
  <c r="AD70" i="2"/>
  <c r="AD58" i="2"/>
  <c r="AC87" i="2"/>
  <c r="AE71" i="2"/>
  <c r="AE105" i="2"/>
  <c r="AF15" i="2"/>
  <c r="AF16" i="2"/>
  <c r="AB95" i="2"/>
  <c r="AA222" i="1" s="1"/>
  <c r="AE88" i="2"/>
  <c r="AE15" i="2"/>
  <c r="AB108" i="2"/>
  <c r="AA121" i="1" s="1"/>
  <c r="AC78" i="2"/>
  <c r="AB82" i="2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F89" i="2"/>
  <c r="AF97" i="2"/>
  <c r="AF109" i="2"/>
  <c r="AF6" i="2"/>
  <c r="AB36" i="2"/>
  <c r="AB64" i="2"/>
  <c r="AA175" i="1" s="1"/>
  <c r="AC26" i="2"/>
  <c r="AC53" i="2"/>
  <c r="AE68" i="2"/>
  <c r="AE80" i="2"/>
  <c r="AE92" i="2"/>
  <c r="AD19" i="2"/>
  <c r="AD54" i="2"/>
  <c r="AE50" i="2"/>
  <c r="AF78" i="2"/>
  <c r="AF94" i="2"/>
  <c r="AC32" i="2"/>
  <c r="AC80" i="2"/>
  <c r="AC108" i="2"/>
  <c r="AD69" i="2"/>
  <c r="AD85" i="2"/>
  <c r="AD105" i="2"/>
  <c r="AC62" i="2"/>
  <c r="AC86" i="2"/>
  <c r="AB54" i="2"/>
  <c r="AA196" i="1" s="1"/>
  <c r="AD74" i="2"/>
  <c r="AD98" i="2"/>
  <c r="AD7" i="2"/>
  <c r="AD42" i="2"/>
  <c r="AE5" i="2"/>
  <c r="AD79" i="2"/>
  <c r="AE83" i="2"/>
  <c r="AE7" i="2"/>
  <c r="AB86" i="2"/>
  <c r="AA177" i="1" s="1"/>
  <c r="AE65" i="2"/>
  <c r="AE89" i="2"/>
  <c r="AC54" i="2"/>
  <c r="AD106" i="2"/>
  <c r="AE44" i="2"/>
  <c r="AE110" i="2"/>
  <c r="AD71" i="2"/>
  <c r="AF50" i="2"/>
  <c r="AE55" i="2"/>
  <c r="AB71" i="2"/>
  <c r="AA182" i="1" s="1"/>
  <c r="AC105" i="2"/>
  <c r="AC45" i="2"/>
  <c r="AB88" i="2"/>
  <c r="AC60" i="2"/>
  <c r="AC43" i="2"/>
  <c r="AB11" i="2"/>
  <c r="AA46" i="1" s="1"/>
  <c r="AB19" i="2"/>
  <c r="AA63" i="1" s="1"/>
  <c r="AB27" i="2"/>
  <c r="AA74" i="1" s="1"/>
  <c r="AB35" i="2"/>
  <c r="AA93" i="1" s="1"/>
  <c r="AB46" i="2"/>
  <c r="AC9" i="2"/>
  <c r="AC21" i="2"/>
  <c r="AC48" i="2"/>
  <c r="AB6" i="2"/>
  <c r="AA41" i="1" s="1"/>
  <c r="AB22" i="2"/>
  <c r="AB41" i="2"/>
  <c r="AA159" i="1" s="1"/>
  <c r="AA162" i="1" s="1"/>
  <c r="AD90" i="2"/>
  <c r="AE59" i="2"/>
  <c r="AE35" i="2"/>
  <c r="AB70" i="2"/>
  <c r="AB30" i="2"/>
  <c r="AA81" i="1" s="1"/>
  <c r="AC63" i="2"/>
  <c r="AF41" i="2"/>
  <c r="AE77" i="2"/>
  <c r="AF42" i="2"/>
  <c r="AE28" i="2"/>
  <c r="AB79" i="2"/>
  <c r="AA188" i="1" s="1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A179" i="1" s="1"/>
  <c r="AB75" i="2"/>
  <c r="AA210" i="1" s="1"/>
  <c r="AA212" i="1" s="1"/>
  <c r="AB83" i="2"/>
  <c r="AA215" i="1" s="1"/>
  <c r="AB91" i="2"/>
  <c r="AB99" i="2"/>
  <c r="AF10" i="2"/>
  <c r="AF45" i="2"/>
  <c r="AC6" i="2"/>
  <c r="AC30" i="2"/>
  <c r="AC57" i="2"/>
  <c r="AE70" i="2"/>
  <c r="AE82" i="2"/>
  <c r="AC95" i="2"/>
  <c r="AB24" i="2"/>
  <c r="AF60" i="2"/>
  <c r="AC64" i="2"/>
  <c r="AB80" i="2"/>
  <c r="AA187" i="1" s="1"/>
  <c r="AB96" i="2"/>
  <c r="AC51" i="2"/>
  <c r="AC84" i="2"/>
  <c r="AC20" i="2"/>
  <c r="AF72" i="2"/>
  <c r="AF88" i="2"/>
  <c r="AF108" i="2"/>
  <c r="AC66" i="2"/>
  <c r="AC90" i="2"/>
  <c r="AE69" i="2"/>
  <c r="AC88" i="2"/>
  <c r="AB69" i="2"/>
  <c r="AB93" i="2"/>
  <c r="AA223" i="1" s="1"/>
  <c r="AF53" i="2"/>
  <c r="AE40" i="2"/>
  <c r="AF64" i="2"/>
  <c r="AB68" i="2"/>
  <c r="AA178" i="1" s="1"/>
  <c r="AB84" i="2"/>
  <c r="AB104" i="2"/>
  <c r="AE67" i="2"/>
  <c r="AE91" i="2"/>
  <c r="AE42" i="2"/>
  <c r="AF92" i="2"/>
  <c r="AE73" i="2"/>
  <c r="AF86" i="2"/>
  <c r="AC55" i="2"/>
  <c r="AD93" i="2"/>
  <c r="AB49" i="2"/>
  <c r="AA214" i="1" s="1"/>
  <c r="AE104" i="2"/>
  <c r="AE17" i="2"/>
  <c r="AD87" i="2"/>
  <c r="AF32" i="2"/>
  <c r="AB87" i="2"/>
  <c r="AA168" i="1" s="1"/>
  <c r="AF26" i="2"/>
  <c r="AB72" i="2"/>
  <c r="AA189" i="1" s="1"/>
  <c r="AF96" i="2"/>
  <c r="AC104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B12" i="2"/>
  <c r="AA48" i="1" s="1"/>
  <c r="AB47" i="2"/>
  <c r="AA166" i="1" s="1"/>
  <c r="AE9" i="2"/>
  <c r="AE33" i="2"/>
  <c r="AC59" i="2"/>
  <c r="AC71" i="2"/>
  <c r="AC83" i="2"/>
  <c r="AE98" i="2"/>
  <c r="AD27" i="2"/>
  <c r="AD61" i="2"/>
  <c r="AF66" i="2"/>
  <c r="AF82" i="2"/>
  <c r="AF98" i="2"/>
  <c r="AE54" i="2"/>
  <c r="AE87" i="2"/>
  <c r="AE23" i="2"/>
  <c r="AD73" i="2"/>
  <c r="AD89" i="2"/>
  <c r="AD109" i="2"/>
  <c r="AE93" i="2"/>
  <c r="AB110" i="2"/>
  <c r="AA109" i="1" s="1"/>
  <c r="AC70" i="2"/>
  <c r="AC94" i="2"/>
  <c r="AB61" i="2"/>
  <c r="AB85" i="2"/>
  <c r="AA221" i="1" s="1"/>
  <c r="AF18" i="2"/>
  <c r="AC73" i="2"/>
  <c r="AC85" i="2"/>
  <c r="AF76" i="2"/>
  <c r="AE97" i="2"/>
  <c r="AF70" i="2"/>
  <c r="AF106" i="2"/>
  <c r="AC68" i="2"/>
  <c r="AC92" i="2"/>
  <c r="AD77" i="2"/>
  <c r="AC8" i="2"/>
  <c r="AC74" i="2"/>
  <c r="AC98" i="2"/>
  <c r="AB31" i="2"/>
  <c r="AB58" i="2"/>
  <c r="AB14" i="2"/>
  <c r="AA53" i="1" s="1"/>
  <c r="AD78" i="2"/>
  <c r="AD94" i="2"/>
  <c r="AE95" i="2"/>
  <c r="AB5" i="2"/>
  <c r="AB13" i="2"/>
  <c r="AA59" i="1" s="1"/>
  <c r="AB21" i="2"/>
  <c r="AB29" i="2"/>
  <c r="AA89" i="1" s="1"/>
  <c r="AB40" i="2"/>
  <c r="AB48" i="2"/>
  <c r="AA167" i="1" s="1"/>
  <c r="AB56" i="2"/>
  <c r="AA169" i="1" s="1"/>
  <c r="AE12" i="2"/>
  <c r="AE24" i="2"/>
  <c r="AE36" i="2"/>
  <c r="AE51" i="2"/>
  <c r="AB10" i="2"/>
  <c r="AB26" i="2"/>
  <c r="AB45" i="2"/>
  <c r="AA164" i="1" s="1"/>
  <c r="AD60" i="2"/>
  <c r="AD68" i="2"/>
  <c r="AD76" i="2"/>
  <c r="AD84" i="2"/>
  <c r="AD92" i="2"/>
  <c r="AD104" i="2"/>
  <c r="AC93" i="2"/>
  <c r="AD15" i="2"/>
  <c r="AD50" i="2"/>
  <c r="AC10" i="2"/>
  <c r="AC34" i="2"/>
  <c r="AE60" i="2"/>
  <c r="AE72" i="2"/>
  <c r="AE84" i="2"/>
  <c r="AC99" i="2"/>
  <c r="AF30" i="2"/>
  <c r="AB62" i="2"/>
  <c r="AD67" i="2"/>
  <c r="AD83" i="2"/>
  <c r="AD99" i="2"/>
  <c r="AE61" i="2"/>
  <c r="AC36" i="2"/>
  <c r="AB74" i="2"/>
  <c r="AB90" i="2"/>
  <c r="AF47" i="2"/>
  <c r="AB77" i="2"/>
  <c r="AB105" i="2"/>
  <c r="AE96" i="2"/>
  <c r="AE13" i="2"/>
  <c r="AC61" i="2"/>
  <c r="AE106" i="2"/>
  <c r="AB32" i="2"/>
  <c r="AA87" i="1" s="1"/>
  <c r="AF5" i="2"/>
  <c r="AF112" i="2" s="1"/>
  <c r="AF13" i="2"/>
  <c r="AF21" i="2"/>
  <c r="AF29" i="2"/>
  <c r="AF40" i="2"/>
  <c r="AF48" i="2"/>
  <c r="AF56" i="2"/>
  <c r="AC13" i="2"/>
  <c r="AC25" i="2"/>
  <c r="AC40" i="2"/>
  <c r="AC52" i="2"/>
  <c r="AF12" i="2"/>
  <c r="AF28" i="2"/>
  <c r="AB42" i="2"/>
  <c r="AA160" i="1" s="1"/>
  <c r="AC15" i="2"/>
  <c r="AC27" i="2"/>
  <c r="AD62" i="2"/>
  <c r="AC12" i="2"/>
  <c r="AE58" i="2"/>
  <c r="AB94" i="2"/>
  <c r="AF31" i="2"/>
  <c r="AB63" i="2"/>
  <c r="AA174" i="1" s="1"/>
  <c r="AC72" i="2"/>
  <c r="AC24" i="2"/>
  <c r="AC76" i="2"/>
  <c r="AB98" i="2"/>
  <c r="AC110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97" i="2"/>
  <c r="AB20" i="2"/>
  <c r="AB55" i="2"/>
  <c r="AC14" i="2"/>
  <c r="AC41" i="2"/>
  <c r="AE62" i="2"/>
  <c r="AE74" i="2"/>
  <c r="AE86" i="2"/>
  <c r="AC107" i="2"/>
  <c r="AD35" i="2"/>
  <c r="AD65" i="2"/>
  <c r="AD107" i="2"/>
  <c r="AE11" i="2"/>
  <c r="AF23" i="2"/>
  <c r="AE16" i="2"/>
  <c r="AE43" i="2"/>
  <c r="AF51" i="2"/>
  <c r="AE76" i="2"/>
  <c r="AB7" i="2"/>
  <c r="AA42" i="1" s="1"/>
  <c r="AB15" i="2"/>
  <c r="AA67" i="1" s="1"/>
  <c r="AB23" i="2"/>
  <c r="AA77" i="1" s="1"/>
  <c r="AB50" i="2"/>
  <c r="AA197" i="1" s="1"/>
  <c r="AC42" i="2"/>
  <c r="AD86" i="2"/>
  <c r="AD23" i="2"/>
  <c r="AC75" i="2"/>
  <c r="AB78" i="2"/>
  <c r="AA211" i="1" s="1"/>
  <c r="AF58" i="2"/>
  <c r="AC18" i="2"/>
  <c r="AB43" i="2"/>
  <c r="AA161" i="1" s="1"/>
  <c r="AF80" i="2"/>
  <c r="AC106" i="2"/>
  <c r="AF7" i="2"/>
  <c r="AB107" i="2"/>
  <c r="AA120" i="1" s="1"/>
  <c r="AD59" i="2"/>
  <c r="AE64" i="2"/>
  <c r="AB8" i="2"/>
  <c r="AC96" i="2"/>
  <c r="AB66" i="2"/>
  <c r="AA173" i="1" l="1"/>
  <c r="AA176" i="1" s="1"/>
  <c r="AA303" i="1"/>
  <c r="AA230" i="1"/>
  <c r="AA195" i="1"/>
  <c r="AA234" i="1"/>
  <c r="AA75" i="1"/>
  <c r="AA245" i="1"/>
  <c r="AA304" i="1"/>
  <c r="AA43" i="1"/>
  <c r="AA231" i="1"/>
  <c r="AA282" i="1"/>
  <c r="AA299" i="1"/>
  <c r="AA224" i="1"/>
  <c r="AA226" i="1"/>
  <c r="AA201" i="1"/>
  <c r="AA170" i="1"/>
  <c r="AA68" i="1"/>
  <c r="AA69" i="1" s="1"/>
  <c r="AB111" i="2"/>
  <c r="AB113" i="2"/>
  <c r="AA116" i="1" s="1"/>
  <c r="Z33" i="1"/>
  <c r="CM18" i="1"/>
  <c r="Y33" i="1"/>
  <c r="CN7" i="1"/>
  <c r="CN41" i="1" s="1"/>
  <c r="CN8" i="1" s="1"/>
  <c r="CQ28" i="1"/>
  <c r="CU29" i="1"/>
  <c r="CP28" i="1"/>
  <c r="CT29" i="1"/>
  <c r="CO28" i="1"/>
  <c r="CS29" i="1"/>
  <c r="CR28" i="1"/>
  <c r="CR18" i="1" s="1"/>
  <c r="CR22" i="1" s="1"/>
  <c r="CV29" i="1"/>
  <c r="AC26" i="1"/>
  <c r="AC27" i="1" s="1"/>
  <c r="CX26" i="1"/>
  <c r="CV32" i="1"/>
  <c r="CO32" i="1"/>
  <c r="CL22" i="1"/>
  <c r="CL32" i="1" s="1"/>
  <c r="CL33" i="1" s="1"/>
  <c r="CQ32" i="1"/>
  <c r="CP6" i="1"/>
  <c r="AB6" i="1" s="1"/>
  <c r="B1" i="9"/>
  <c r="AB112" i="2"/>
  <c r="AA115" i="1" s="1"/>
  <c r="AF113" i="2"/>
  <c r="AD111" i="2"/>
  <c r="AE111" i="2"/>
  <c r="AD113" i="2"/>
  <c r="AC112" i="2"/>
  <c r="AE112" i="2"/>
  <c r="AE113" i="2"/>
  <c r="L1" i="9"/>
  <c r="AC111" i="2"/>
  <c r="A1" i="9"/>
  <c r="AD112" i="2"/>
  <c r="AF111" i="2"/>
  <c r="AA180" i="1" l="1"/>
  <c r="AA297" i="1" s="1"/>
  <c r="AA233" i="1"/>
  <c r="AA295" i="1"/>
  <c r="AA140" i="1"/>
  <c r="AA49" i="1"/>
  <c r="AA219" i="1"/>
  <c r="AA151" i="1" s="1"/>
  <c r="AA171" i="1"/>
  <c r="AA79" i="1"/>
  <c r="AA207" i="1"/>
  <c r="AA236" i="1" s="1"/>
  <c r="AA235" i="1" s="1"/>
  <c r="CP32" i="1"/>
  <c r="CT32" i="1" s="1"/>
  <c r="AB28" i="1"/>
  <c r="AB29" i="1" s="1"/>
  <c r="AB30" i="1" s="1"/>
  <c r="CU28" i="1"/>
  <c r="CY29" i="1"/>
  <c r="CY28" i="1" s="1"/>
  <c r="CT28" i="1"/>
  <c r="CX29" i="1"/>
  <c r="CS28" i="1"/>
  <c r="CW29" i="1"/>
  <c r="CV28" i="1"/>
  <c r="CV18" i="1" s="1"/>
  <c r="CV22" i="1" s="1"/>
  <c r="CV5" i="1" s="1"/>
  <c r="CV23" i="1" s="1"/>
  <c r="CZ29" i="1"/>
  <c r="CZ28" i="1" s="1"/>
  <c r="AD26" i="1"/>
  <c r="AD27" i="1" s="1"/>
  <c r="DB26" i="1"/>
  <c r="AE26" i="1" s="1"/>
  <c r="CR5" i="1"/>
  <c r="CR23" i="1" s="1"/>
  <c r="CZ32" i="1"/>
  <c r="CO18" i="1"/>
  <c r="CO22" i="1" s="1"/>
  <c r="CS32" i="1"/>
  <c r="AA18" i="1"/>
  <c r="AA22" i="1" s="1"/>
  <c r="CL7" i="1"/>
  <c r="CM22" i="1"/>
  <c r="CQ18" i="1"/>
  <c r="CU32" i="1"/>
  <c r="CQ6" i="1"/>
  <c r="DB290" i="1"/>
  <c r="DA290" i="1"/>
  <c r="CZ290" i="1"/>
  <c r="CY290" i="1"/>
  <c r="CX290" i="1"/>
  <c r="CW290" i="1"/>
  <c r="CV290" i="1"/>
  <c r="CU290" i="1"/>
  <c r="CT290" i="1"/>
  <c r="CS290" i="1"/>
  <c r="CR290" i="1"/>
  <c r="CQ290" i="1"/>
  <c r="CP290" i="1"/>
  <c r="CO290" i="1"/>
  <c r="CN290" i="1"/>
  <c r="CM290" i="1"/>
  <c r="CK290" i="1"/>
  <c r="CK178" i="1"/>
  <c r="CM178" i="1" s="1"/>
  <c r="CN178" i="1" s="1"/>
  <c r="CO178" i="1" s="1"/>
  <c r="CP178" i="1" s="1"/>
  <c r="CQ178" i="1" s="1"/>
  <c r="CR178" i="1" s="1"/>
  <c r="CS178" i="1" s="1"/>
  <c r="CT178" i="1" s="1"/>
  <c r="CU178" i="1" s="1"/>
  <c r="CV178" i="1" s="1"/>
  <c r="CW178" i="1" s="1"/>
  <c r="CX178" i="1" s="1"/>
  <c r="CY178" i="1" s="1"/>
  <c r="CZ178" i="1" s="1"/>
  <c r="DA178" i="1" s="1"/>
  <c r="DB178" i="1" s="1"/>
  <c r="CH205" i="1"/>
  <c r="CJ290" i="1"/>
  <c r="Z290" i="1"/>
  <c r="CP18" i="1" l="1"/>
  <c r="CP22" i="1" s="1"/>
  <c r="AA232" i="1"/>
  <c r="AA237" i="1"/>
  <c r="AA50" i="1"/>
  <c r="AA70" i="1"/>
  <c r="AA208" i="1"/>
  <c r="AA216" i="1" s="1"/>
  <c r="AA217" i="1" s="1"/>
  <c r="AE27" i="1"/>
  <c r="CZ18" i="1"/>
  <c r="CZ22" i="1" s="1"/>
  <c r="CL23" i="1"/>
  <c r="AC28" i="1"/>
  <c r="AC29" i="1" s="1"/>
  <c r="AC30" i="1" s="1"/>
  <c r="AB18" i="1"/>
  <c r="AB22" i="1" s="1"/>
  <c r="AB32" i="1" s="1"/>
  <c r="CX28" i="1"/>
  <c r="DB29" i="1"/>
  <c r="DB28" i="1" s="1"/>
  <c r="CW28" i="1"/>
  <c r="AD28" i="1" s="1"/>
  <c r="AD29" i="1" s="1"/>
  <c r="DA29" i="1"/>
  <c r="DA28" i="1" s="1"/>
  <c r="CZ5" i="1"/>
  <c r="CO5" i="1"/>
  <c r="CS18" i="1"/>
  <c r="CW32" i="1"/>
  <c r="AA32" i="1"/>
  <c r="AA33" i="1" s="1"/>
  <c r="CP5" i="1"/>
  <c r="CP7" i="1" s="1"/>
  <c r="CP23" i="1"/>
  <c r="CT18" i="1"/>
  <c r="CT22" i="1" s="1"/>
  <c r="CX32" i="1"/>
  <c r="CM5" i="1"/>
  <c r="CM23" i="1" s="1"/>
  <c r="CQ22" i="1"/>
  <c r="CU18" i="1"/>
  <c r="CY32" i="1"/>
  <c r="CY18" i="1" s="1"/>
  <c r="CR6" i="1"/>
  <c r="CI290" i="1"/>
  <c r="CG178" i="1"/>
  <c r="CG290" i="1"/>
  <c r="CH290" i="1"/>
  <c r="AB46" i="1"/>
  <c r="AC46" i="1"/>
  <c r="AD46" i="1"/>
  <c r="AE46" i="1"/>
  <c r="AB47" i="1"/>
  <c r="AC47" i="1"/>
  <c r="AD47" i="1"/>
  <c r="AE47" i="1"/>
  <c r="AB89" i="1"/>
  <c r="AC89" i="1"/>
  <c r="AD89" i="1"/>
  <c r="AE89" i="1"/>
  <c r="AB210" i="1"/>
  <c r="AC210" i="1"/>
  <c r="AD210" i="1"/>
  <c r="AE210" i="1"/>
  <c r="AB224" i="1"/>
  <c r="AC224" i="1"/>
  <c r="AD224" i="1"/>
  <c r="AE224" i="1"/>
  <c r="CE178" i="1"/>
  <c r="CE290" i="1"/>
  <c r="CF290" i="1"/>
  <c r="AI248" i="1"/>
  <c r="AI253" i="1"/>
  <c r="AI257" i="1"/>
  <c r="AI260" i="1"/>
  <c r="AI290" i="1"/>
  <c r="Y290" i="1"/>
  <c r="AM178" i="1"/>
  <c r="AO178" i="1"/>
  <c r="AQ178" i="1"/>
  <c r="AS178" i="1"/>
  <c r="AU178" i="1"/>
  <c r="AW178" i="1"/>
  <c r="AY178" i="1"/>
  <c r="BA178" i="1"/>
  <c r="BC178" i="1"/>
  <c r="BE178" i="1"/>
  <c r="BG178" i="1"/>
  <c r="BI178" i="1"/>
  <c r="BK178" i="1"/>
  <c r="BM178" i="1"/>
  <c r="BO178" i="1"/>
  <c r="BQ178" i="1"/>
  <c r="BS178" i="1"/>
  <c r="BU178" i="1"/>
  <c r="BW178" i="1"/>
  <c r="BY178" i="1"/>
  <c r="CA178" i="1"/>
  <c r="CC178" i="1"/>
  <c r="CD290" i="1"/>
  <c r="CC290" i="1"/>
  <c r="AJ290" i="1"/>
  <c r="AK290" i="1"/>
  <c r="AL290" i="1"/>
  <c r="CB290" i="1"/>
  <c r="CA290" i="1"/>
  <c r="BZ290" i="1"/>
  <c r="BY290" i="1"/>
  <c r="BX290" i="1"/>
  <c r="BW290" i="1"/>
  <c r="BV290" i="1"/>
  <c r="BU290" i="1"/>
  <c r="BT290" i="1"/>
  <c r="BS290" i="1"/>
  <c r="BR290" i="1"/>
  <c r="BQ290" i="1"/>
  <c r="BP290" i="1"/>
  <c r="BO290" i="1"/>
  <c r="BN290" i="1"/>
  <c r="BM290" i="1"/>
  <c r="BL290" i="1"/>
  <c r="BK290" i="1"/>
  <c r="BJ290" i="1"/>
  <c r="BI290" i="1"/>
  <c r="BH290" i="1"/>
  <c r="BG290" i="1"/>
  <c r="BF290" i="1"/>
  <c r="BE290" i="1"/>
  <c r="BD290" i="1"/>
  <c r="BC290" i="1"/>
  <c r="BB290" i="1"/>
  <c r="BA290" i="1"/>
  <c r="AZ290" i="1"/>
  <c r="AY290" i="1"/>
  <c r="AX290" i="1"/>
  <c r="AW290" i="1"/>
  <c r="AV290" i="1"/>
  <c r="AU290" i="1"/>
  <c r="AT290" i="1"/>
  <c r="AS290" i="1"/>
  <c r="AR290" i="1"/>
  <c r="AQ290" i="1"/>
  <c r="AP290" i="1"/>
  <c r="AO290" i="1"/>
  <c r="AN290" i="1"/>
  <c r="AM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71" i="1" l="1"/>
  <c r="AA76" i="1"/>
  <c r="AA154" i="1"/>
  <c r="AA283" i="1"/>
  <c r="AA284" i="1" s="1"/>
  <c r="AE28" i="1"/>
  <c r="AE29" i="1" s="1"/>
  <c r="AE30" i="1" s="1"/>
  <c r="CZ23" i="1"/>
  <c r="CW18" i="1"/>
  <c r="DA32" i="1"/>
  <c r="DA18" i="1" s="1"/>
  <c r="AA5" i="1"/>
  <c r="CP41" i="1"/>
  <c r="CP8" i="1" s="1"/>
  <c r="CT5" i="1"/>
  <c r="CT23" i="1" s="1"/>
  <c r="CX18" i="1"/>
  <c r="CX22" i="1" s="1"/>
  <c r="DB32" i="1"/>
  <c r="DB18" i="1" s="1"/>
  <c r="DB22" i="1" s="1"/>
  <c r="CM7" i="1"/>
  <c r="CM41" i="1" s="1"/>
  <c r="AB5" i="1"/>
  <c r="CQ5" i="1"/>
  <c r="CQ23" i="1" s="1"/>
  <c r="CU22" i="1"/>
  <c r="CU5" i="1" s="1"/>
  <c r="CY22" i="1"/>
  <c r="AB33" i="1"/>
  <c r="AD30" i="1"/>
  <c r="CO7" i="1"/>
  <c r="CO41" i="1" s="1"/>
  <c r="CO23" i="1"/>
  <c r="CS22" i="1"/>
  <c r="AC18" i="1"/>
  <c r="AC22" i="1" s="1"/>
  <c r="CS6" i="1"/>
  <c r="CR7" i="1"/>
  <c r="CR41" i="1" s="1"/>
  <c r="CR8" i="1" s="1"/>
  <c r="Y1" i="1"/>
  <c r="Z1" i="1" s="1"/>
  <c r="AA80" i="1" l="1"/>
  <c r="AA97" i="1"/>
  <c r="AA23" i="1"/>
  <c r="AA7" i="1"/>
  <c r="CX5" i="1"/>
  <c r="CX23" i="1"/>
  <c r="DB5" i="1"/>
  <c r="DB23" i="1"/>
  <c r="CM8" i="1"/>
  <c r="AB23" i="1"/>
  <c r="AB7" i="1"/>
  <c r="CQ7" i="1"/>
  <c r="CU23" i="1"/>
  <c r="CY5" i="1"/>
  <c r="CY23" i="1" s="1"/>
  <c r="CS5" i="1"/>
  <c r="AC5" i="1" s="1"/>
  <c r="AC23" i="1" s="1"/>
  <c r="AC32" i="1"/>
  <c r="AC33" i="1" s="1"/>
  <c r="CW22" i="1"/>
  <c r="AD18" i="1"/>
  <c r="AD22" i="1" s="1"/>
  <c r="DA22" i="1"/>
  <c r="AE18" i="1"/>
  <c r="AE22" i="1" s="1"/>
  <c r="CT6" i="1"/>
  <c r="AC6" i="1" s="1"/>
  <c r="AA1" i="1"/>
  <c r="AB1" i="1" s="1"/>
  <c r="AC1" i="1" s="1"/>
  <c r="AD1" i="1" s="1"/>
  <c r="AE1" i="1" s="1"/>
  <c r="AA83" i="1" l="1"/>
  <c r="AA82" i="1"/>
  <c r="CS23" i="1"/>
  <c r="CS7" i="1"/>
  <c r="CS41" i="1" s="1"/>
  <c r="CQ41" i="1"/>
  <c r="CQ8" i="1" s="1"/>
  <c r="CW5" i="1"/>
  <c r="AD5" i="1" s="1"/>
  <c r="AD23" i="1" s="1"/>
  <c r="AD32" i="1"/>
  <c r="DA5" i="1"/>
  <c r="AE32" i="1"/>
  <c r="AC7" i="1"/>
  <c r="CU6" i="1"/>
  <c r="CT7" i="1"/>
  <c r="CT41" i="1" s="1"/>
  <c r="CT8" i="1" s="1"/>
  <c r="A1" i="3"/>
  <c r="CW23" i="1" l="1"/>
  <c r="AA90" i="1"/>
  <c r="AA285" i="1"/>
  <c r="AA84" i="1"/>
  <c r="AA296" i="1" s="1"/>
  <c r="AD33" i="1"/>
  <c r="AE33" i="1"/>
  <c r="AE5" i="1"/>
  <c r="AE23" i="1" s="1"/>
  <c r="DA23" i="1"/>
  <c r="CU7" i="1"/>
  <c r="CU41" i="1" s="1"/>
  <c r="CU8" i="1" s="1"/>
  <c r="CV6" i="1"/>
  <c r="A1" i="6"/>
  <c r="A1" i="4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46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93" i="1" s="1"/>
  <c r="BJ12" i="3"/>
  <c r="BL31" i="3"/>
  <c r="BH19" i="3"/>
  <c r="BL17" i="3"/>
  <c r="BP6" i="3"/>
  <c r="BP8" i="3"/>
  <c r="BG32" i="3"/>
  <c r="BL8" i="3"/>
  <c r="BF25" i="3"/>
  <c r="CL78" i="1" s="1"/>
  <c r="BH42" i="3"/>
  <c r="BE18" i="3"/>
  <c r="BI34" i="3"/>
  <c r="BL35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Y107" i="2"/>
  <c r="BA38" i="3"/>
  <c r="BD40" i="3"/>
  <c r="Z41" i="2"/>
  <c r="BB40" i="3"/>
  <c r="FD14" i="4" a="1"/>
  <c r="EX11" i="4" a="1"/>
  <c r="FB8" i="4" a="1"/>
  <c r="FB7" i="4" a="1"/>
  <c r="FE6" i="4" a="1"/>
  <c r="EX7" i="4" a="1"/>
  <c r="FE7" i="4" a="1"/>
  <c r="EX12" i="4" a="1"/>
  <c r="EY6" i="4" a="1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L77" i="1" s="1"/>
  <c r="BG5" i="3"/>
  <c r="BK25" i="3"/>
  <c r="BF18" i="3"/>
  <c r="CL60" i="1" s="1"/>
  <c r="BP25" i="3"/>
  <c r="BP45" i="3"/>
  <c r="BM7" i="3"/>
  <c r="BK12" i="3"/>
  <c r="BI17" i="3"/>
  <c r="BG22" i="3"/>
  <c r="BE35" i="3"/>
  <c r="BJ13" i="3"/>
  <c r="BL32" i="3"/>
  <c r="BG13" i="3"/>
  <c r="BK33" i="3"/>
  <c r="BN8" i="3"/>
  <c r="BF14" i="3"/>
  <c r="CL67" i="1" s="1"/>
  <c r="BH33" i="3"/>
  <c r="BL25" i="3"/>
  <c r="BF24" i="3"/>
  <c r="BT9" i="3"/>
  <c r="BP14" i="3"/>
  <c r="BI33" i="3"/>
  <c r="BN9" i="3"/>
  <c r="BH26" i="3"/>
  <c r="BF45" i="3"/>
  <c r="CL105" i="1" s="1"/>
  <c r="CK105" i="1" s="1"/>
  <c r="CJ105" i="1" s="1"/>
  <c r="CI105" i="1" s="1"/>
  <c r="CH105" i="1" s="1"/>
  <c r="CG105" i="1" s="1"/>
  <c r="CF105" i="1" s="1"/>
  <c r="CE105" i="1" s="1"/>
  <c r="CD105" i="1" s="1"/>
  <c r="CC105" i="1" s="1"/>
  <c r="CB105" i="1" s="1"/>
  <c r="CA105" i="1" s="1"/>
  <c r="BZ105" i="1" s="1"/>
  <c r="BY105" i="1" s="1"/>
  <c r="BX105" i="1" s="1"/>
  <c r="BW105" i="1" s="1"/>
  <c r="BV105" i="1" s="1"/>
  <c r="BU105" i="1" s="1"/>
  <c r="BT105" i="1" s="1"/>
  <c r="BS105" i="1" s="1"/>
  <c r="BR105" i="1" s="1"/>
  <c r="BQ105" i="1" s="1"/>
  <c r="BP105" i="1" s="1"/>
  <c r="BO105" i="1" s="1"/>
  <c r="BN105" i="1" s="1"/>
  <c r="BM105" i="1" s="1"/>
  <c r="BL105" i="1" s="1"/>
  <c r="BK105" i="1" s="1"/>
  <c r="BJ105" i="1" s="1"/>
  <c r="BI105" i="1" s="1"/>
  <c r="BH105" i="1" s="1"/>
  <c r="BG105" i="1" s="1"/>
  <c r="BF105" i="1" s="1"/>
  <c r="BE105" i="1" s="1"/>
  <c r="BD105" i="1" s="1"/>
  <c r="BC105" i="1" s="1"/>
  <c r="BB105" i="1" s="1"/>
  <c r="BA105" i="1" s="1"/>
  <c r="AZ105" i="1" s="1"/>
  <c r="AY105" i="1" s="1"/>
  <c r="AX105" i="1" s="1"/>
  <c r="AW105" i="1" s="1"/>
  <c r="AV105" i="1" s="1"/>
  <c r="AU105" i="1" s="1"/>
  <c r="AT105" i="1" s="1"/>
  <c r="AS105" i="1" s="1"/>
  <c r="AR105" i="1" s="1"/>
  <c r="AQ105" i="1" s="1"/>
  <c r="AP105" i="1" s="1"/>
  <c r="AO105" i="1" s="1"/>
  <c r="AN105" i="1" s="1"/>
  <c r="AM105" i="1" s="1"/>
  <c r="AL105" i="1" s="1"/>
  <c r="AK105" i="1" s="1"/>
  <c r="AJ105" i="1" s="1"/>
  <c r="AI105" i="1" s="1"/>
  <c r="BK19" i="3"/>
  <c r="BK35" i="3"/>
  <c r="BJ40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Z71" i="2"/>
  <c r="Z26" i="2"/>
  <c r="Z56" i="2"/>
  <c r="BD27" i="3"/>
  <c r="BC35" i="3"/>
  <c r="Y41" i="2"/>
  <c r="AA57" i="2"/>
  <c r="FE5" i="4" a="1"/>
  <c r="EY7" i="4" a="1"/>
  <c r="FC8" i="4" a="1"/>
  <c r="FA11" i="4" a="1"/>
  <c r="FE9" i="4" a="1"/>
  <c r="FA9" i="4" a="1"/>
  <c r="FA13" i="4" a="1"/>
  <c r="EZ9" i="4" a="1"/>
  <c r="FE16" i="4" a="1"/>
  <c r="EY15" i="4" a="1"/>
  <c r="FF5" i="4" a="1"/>
  <c r="BM35" i="3"/>
  <c r="BE22" i="3"/>
  <c r="BI38" i="3"/>
  <c r="AA14" i="2"/>
  <c r="AA78" i="2"/>
  <c r="BC37" i="3"/>
  <c r="BD39" i="3"/>
  <c r="BB37" i="3"/>
  <c r="Y19" i="2"/>
  <c r="AA50" i="2"/>
  <c r="Y61" i="2"/>
  <c r="BA36" i="3"/>
  <c r="AA88" i="2"/>
  <c r="Y47" i="2"/>
  <c r="AV10" i="3"/>
  <c r="BC33" i="3"/>
  <c r="Z8" i="2"/>
  <c r="Z93" i="2"/>
  <c r="BQ9" i="3"/>
  <c r="BQ15" i="3"/>
  <c r="BQ21" i="3"/>
  <c r="BQ27" i="3"/>
  <c r="BQ33" i="3"/>
  <c r="BQ39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E45" i="3"/>
  <c r="BF27" i="3"/>
  <c r="BM6" i="3"/>
  <c r="BK27" i="3"/>
  <c r="BF26" i="3"/>
  <c r="CL89" i="1" s="1"/>
  <c r="BT12" i="3"/>
  <c r="BP33" i="3"/>
  <c r="BP13" i="3"/>
  <c r="BG8" i="3"/>
  <c r="BE13" i="3"/>
  <c r="BM17" i="3"/>
  <c r="BK22" i="3"/>
  <c r="BK36" i="3"/>
  <c r="BF15" i="3"/>
  <c r="CL59" i="1" s="1"/>
  <c r="BH34" i="3"/>
  <c r="BM14" i="3"/>
  <c r="BG35" i="3"/>
  <c r="BH15" i="3"/>
  <c r="BL15" i="3"/>
  <c r="BN34" i="3"/>
  <c r="BF32" i="3"/>
  <c r="BN36" i="3"/>
  <c r="BT13" i="3"/>
  <c r="BP20" i="3"/>
  <c r="BK34" i="3"/>
  <c r="BJ11" i="3"/>
  <c r="BJ27" i="3"/>
  <c r="BK5" i="3"/>
  <c r="BG21" i="3"/>
  <c r="BG37" i="3"/>
  <c r="BH45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AA46" i="2"/>
  <c r="Y90" i="2"/>
  <c r="Z105" i="2"/>
  <c r="BA8" i="3"/>
  <c r="BA33" i="3"/>
  <c r="Z65" i="2"/>
  <c r="BD16" i="3"/>
  <c r="BD38" i="3"/>
  <c r="Z27" i="2"/>
  <c r="Y27" i="2"/>
  <c r="Y79" i="2"/>
  <c r="BC40" i="3"/>
  <c r="Y105" i="2"/>
  <c r="Y63" i="2"/>
  <c r="Y53" i="2"/>
  <c r="FC14" i="4" a="1"/>
  <c r="FA7" i="4" a="1"/>
  <c r="EX13" i="4" a="1"/>
  <c r="FC16" i="4" a="1"/>
  <c r="EX9" i="4" a="1"/>
  <c r="FC15" i="4" a="1"/>
  <c r="BL28" i="3"/>
  <c r="BH7" i="3"/>
  <c r="AA40" i="2"/>
  <c r="Y94" i="2"/>
  <c r="Z48" i="2"/>
  <c r="Z108" i="2"/>
  <c r="AA47" i="2"/>
  <c r="BB32" i="3"/>
  <c r="Z20" i="2"/>
  <c r="Z5" i="2"/>
  <c r="Z70" i="2"/>
  <c r="BC13" i="3"/>
  <c r="Z94" i="2"/>
  <c r="AA32" i="2"/>
  <c r="AA82" i="2"/>
  <c r="BC36" i="3"/>
  <c r="Z83" i="2"/>
  <c r="BA10" i="3"/>
  <c r="BC5" i="3"/>
  <c r="Y52" i="2"/>
  <c r="BU9" i="3"/>
  <c r="BU15" i="3"/>
  <c r="BU21" i="3"/>
  <c r="BU27" i="3"/>
  <c r="BU33" i="3"/>
  <c r="BU39" i="3"/>
  <c r="BV10" i="3"/>
  <c r="BS40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H6" i="3"/>
  <c r="BF29" i="3"/>
  <c r="CL81" i="1" s="1"/>
  <c r="BI8" i="3"/>
  <c r="BG29" i="3"/>
  <c r="BN30" i="3"/>
  <c r="BT16" i="3"/>
  <c r="BP41" i="3"/>
  <c r="BP29" i="3"/>
  <c r="BK8" i="3"/>
  <c r="BI13" i="3"/>
  <c r="BG18" i="3"/>
  <c r="BE23" i="3"/>
  <c r="BG38" i="3"/>
  <c r="BL16" i="3"/>
  <c r="BN35" i="3"/>
  <c r="BI16" i="3"/>
  <c r="BM36" i="3"/>
  <c r="BL21" i="3"/>
  <c r="BH17" i="3"/>
  <c r="BJ36" i="3"/>
  <c r="BJ38" i="3"/>
  <c r="BL9" i="3"/>
  <c r="BT19" i="3"/>
  <c r="BP26" i="3"/>
  <c r="BF13" i="3"/>
  <c r="BI6" i="3"/>
  <c r="BC42" i="3"/>
  <c r="AA20" i="2"/>
  <c r="AA13" i="2"/>
  <c r="BD5" i="3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G26" i="3"/>
  <c r="BN7" i="3"/>
  <c r="BF31" i="3"/>
  <c r="BK9" i="3"/>
  <c r="BM30" i="3"/>
  <c r="BH37" i="3"/>
  <c r="BT20" i="3"/>
  <c r="BP21" i="3"/>
  <c r="BP7" i="3"/>
  <c r="BE9" i="3"/>
  <c r="BM13" i="3"/>
  <c r="BK18" i="3"/>
  <c r="BU10" i="3"/>
  <c r="BU16" i="3"/>
  <c r="BU22" i="3"/>
  <c r="BU28" i="3"/>
  <c r="BU34" i="3"/>
  <c r="BU40" i="3"/>
  <c r="BV5" i="3"/>
  <c r="BV11" i="3"/>
  <c r="BS42" i="3"/>
  <c r="BT14" i="3"/>
  <c r="BM31" i="3"/>
  <c r="BL10" i="3"/>
  <c r="BH30" i="3"/>
  <c r="BE12" i="3"/>
  <c r="BM32" i="3"/>
  <c r="BF46" i="3"/>
  <c r="CL106" i="1" s="1"/>
  <c r="CK106" i="1" s="1"/>
  <c r="CJ106" i="1" s="1"/>
  <c r="CI106" i="1" s="1"/>
  <c r="CH106" i="1" s="1"/>
  <c r="CG106" i="1" s="1"/>
  <c r="CF106" i="1" s="1"/>
  <c r="CE106" i="1" s="1"/>
  <c r="CD106" i="1" s="1"/>
  <c r="CC106" i="1" s="1"/>
  <c r="CB106" i="1" s="1"/>
  <c r="CA106" i="1" s="1"/>
  <c r="BZ106" i="1" s="1"/>
  <c r="BY106" i="1" s="1"/>
  <c r="BX106" i="1" s="1"/>
  <c r="BW106" i="1" s="1"/>
  <c r="BV106" i="1" s="1"/>
  <c r="BU106" i="1" s="1"/>
  <c r="BT106" i="1" s="1"/>
  <c r="BS106" i="1" s="1"/>
  <c r="BR106" i="1" s="1"/>
  <c r="BQ106" i="1" s="1"/>
  <c r="BP106" i="1" s="1"/>
  <c r="BO106" i="1" s="1"/>
  <c r="BN106" i="1" s="1"/>
  <c r="BM106" i="1" s="1"/>
  <c r="BL106" i="1" s="1"/>
  <c r="BK106" i="1" s="1"/>
  <c r="BJ106" i="1" s="1"/>
  <c r="BI106" i="1" s="1"/>
  <c r="BH106" i="1" s="1"/>
  <c r="BG106" i="1" s="1"/>
  <c r="BF106" i="1" s="1"/>
  <c r="BE106" i="1" s="1"/>
  <c r="BD106" i="1" s="1"/>
  <c r="BC106" i="1" s="1"/>
  <c r="BB106" i="1" s="1"/>
  <c r="BA106" i="1" s="1"/>
  <c r="AZ106" i="1" s="1"/>
  <c r="AY106" i="1" s="1"/>
  <c r="AX106" i="1" s="1"/>
  <c r="AW106" i="1" s="1"/>
  <c r="AV106" i="1" s="1"/>
  <c r="AU106" i="1" s="1"/>
  <c r="AT106" i="1" s="1"/>
  <c r="AS106" i="1" s="1"/>
  <c r="AR106" i="1" s="1"/>
  <c r="AQ106" i="1" s="1"/>
  <c r="AP106" i="1" s="1"/>
  <c r="AO106" i="1" s="1"/>
  <c r="AN106" i="1" s="1"/>
  <c r="AM106" i="1" s="1"/>
  <c r="AL106" i="1" s="1"/>
  <c r="AK106" i="1" s="1"/>
  <c r="AJ106" i="1" s="1"/>
  <c r="AI106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M27" i="3"/>
  <c r="BJ9" i="3"/>
  <c r="BF33" i="3"/>
  <c r="BI12" i="3"/>
  <c r="BI32" i="3"/>
  <c r="BN46" i="3"/>
  <c r="BT24" i="3"/>
  <c r="BP37" i="3"/>
  <c r="BP23" i="3"/>
  <c r="BI9" i="3"/>
  <c r="BG14" i="3"/>
  <c r="BE19" i="3"/>
  <c r="BM23" i="3"/>
  <c r="BK40" i="3"/>
  <c r="BH20" i="3"/>
  <c r="BJ39" i="3"/>
  <c r="BE20" i="3"/>
  <c r="BI40" i="3"/>
  <c r="BF36" i="3"/>
  <c r="BJ20" i="3"/>
  <c r="BL39" i="3"/>
  <c r="BF8" i="3"/>
  <c r="BJ22" i="3"/>
  <c r="BT31" i="3"/>
  <c r="BP34" i="3"/>
  <c r="BK38" i="3"/>
  <c r="BJ15" i="3"/>
  <c r="BH32" i="3"/>
  <c r="BG9" i="3"/>
  <c r="BG25" i="3"/>
  <c r="BM40" i="3"/>
  <c r="BN16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A23" i="3"/>
  <c r="BD17" i="3"/>
  <c r="AA49" i="2"/>
  <c r="BB23" i="3"/>
  <c r="Y18" i="2"/>
  <c r="Z82" i="2"/>
  <c r="Z42" i="2"/>
  <c r="AA45" i="2"/>
  <c r="EY11" i="4" a="1"/>
  <c r="FF15" i="4" a="1"/>
  <c r="EY13" i="4" a="1"/>
  <c r="FB13" i="4" a="1"/>
  <c r="EY12" i="4" a="1"/>
  <c r="EX6" i="4" a="1"/>
  <c r="FE11" i="4" a="1"/>
  <c r="FD5" i="4" a="1"/>
  <c r="BB18" i="3"/>
  <c r="Z74" i="2"/>
  <c r="BB42" i="3"/>
  <c r="BB39" i="3"/>
  <c r="Y89" i="2"/>
  <c r="FA6" i="4" a="1"/>
  <c r="BL33" i="3"/>
  <c r="BT18" i="3"/>
  <c r="BM45" i="3"/>
  <c r="BL20" i="3"/>
  <c r="BJ16" i="3"/>
  <c r="AA110" i="2"/>
  <c r="AA90" i="2"/>
  <c r="BB20" i="3"/>
  <c r="AA6" i="2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48" i="1" s="1"/>
  <c r="BL34" i="3"/>
  <c r="BE14" i="3"/>
  <c r="BM34" i="3"/>
  <c r="BL5" i="3"/>
  <c r="BT28" i="3"/>
  <c r="BP15" i="3"/>
  <c r="BE5" i="3"/>
  <c r="BM9" i="3"/>
  <c r="BK14" i="3"/>
  <c r="BI19" i="3"/>
  <c r="BG24" i="3"/>
  <c r="BI45" i="3"/>
  <c r="BN21" i="3"/>
  <c r="BF41" i="3"/>
  <c r="BK21" i="3"/>
  <c r="BE42" i="3"/>
  <c r="BJ42" i="3"/>
  <c r="BF22" i="3"/>
  <c r="BH41" i="3"/>
  <c r="BJ14" i="3"/>
  <c r="BN28" i="3"/>
  <c r="BT37" i="3"/>
  <c r="BP40" i="3"/>
  <c r="BG40" i="3"/>
  <c r="BF17" i="3"/>
  <c r="BN33" i="3"/>
  <c r="BM10" i="3"/>
  <c r="BI26" i="3"/>
  <c r="BI42" i="3"/>
  <c r="BH23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BD24" i="3"/>
  <c r="Z33" i="2"/>
  <c r="BD15" i="3"/>
  <c r="AA75" i="2"/>
  <c r="Y54" i="2"/>
  <c r="Z69" i="2"/>
  <c r="Y87" i="2"/>
  <c r="FD7" i="4" a="1"/>
  <c r="EX16" i="4" a="1"/>
  <c r="FF14" i="4" a="1"/>
  <c r="FF9" i="4" a="1"/>
  <c r="FF12" i="4" a="1"/>
  <c r="FD16" i="4" a="1"/>
  <c r="FC6" i="4" a="1"/>
  <c r="FE15" i="4" a="1"/>
  <c r="FA16" i="4" a="1"/>
  <c r="FB11" i="4" a="1"/>
  <c r="EY16" i="4" a="1"/>
  <c r="Z81" i="2"/>
  <c r="Z106" i="2"/>
  <c r="Y82" i="2"/>
  <c r="Y56" i="2"/>
  <c r="Z32" i="2"/>
  <c r="BC30" i="3"/>
  <c r="Z51" i="2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L42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47" i="1" s="1"/>
  <c r="BT32" i="3"/>
  <c r="BP31" i="3"/>
  <c r="BI5" i="3"/>
  <c r="BG10" i="3"/>
  <c r="BE15" i="3"/>
  <c r="BM19" i="3"/>
  <c r="BK24" i="3"/>
  <c r="BK46" i="3"/>
  <c r="BJ23" i="3"/>
  <c r="BL42" i="3"/>
  <c r="BG23" i="3"/>
  <c r="BN6" i="3"/>
  <c r="BJ29" i="3"/>
  <c r="BL23" i="3"/>
  <c r="BN42" i="3"/>
  <c r="BN20" i="3"/>
  <c r="BH35" i="3"/>
  <c r="BT45" i="3"/>
  <c r="BM25" i="3"/>
  <c r="BI41" i="3"/>
  <c r="BL18" i="3"/>
  <c r="BF35" i="3"/>
  <c r="CL88" i="1" s="1"/>
  <c r="BG11" i="3"/>
  <c r="BE28" i="3"/>
  <c r="BJ8" i="3"/>
  <c r="BF28" i="3"/>
  <c r="CL74" i="1" s="1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92" i="2"/>
  <c r="Y55" i="2"/>
  <c r="Z45" i="2"/>
  <c r="Y30" i="2"/>
  <c r="BB13" i="3"/>
  <c r="BB27" i="3"/>
  <c r="Y48" i="2"/>
  <c r="Z16" i="2"/>
  <c r="BB31" i="3"/>
  <c r="BD12" i="3"/>
  <c r="BA18" i="3"/>
  <c r="Y95" i="2"/>
  <c r="BC26" i="3"/>
  <c r="Z78" i="2"/>
  <c r="Z63" i="2"/>
  <c r="AA59" i="2"/>
  <c r="BC46" i="3"/>
  <c r="EY14" i="4" a="1"/>
  <c r="FC7" i="4" a="1"/>
  <c r="FF11" i="4" a="1"/>
  <c r="FF6" i="4" a="1"/>
  <c r="FA14" i="4" a="1"/>
  <c r="AA10" i="2"/>
  <c r="BD30" i="3"/>
  <c r="AA74" i="2"/>
  <c r="BB26" i="3"/>
  <c r="BB10" i="3"/>
  <c r="Z34" i="2"/>
  <c r="Y110" i="2"/>
  <c r="FE12" i="4" a="1"/>
  <c r="EY5" i="4" a="1"/>
  <c r="FD11" i="4" a="1"/>
  <c r="EZ6" i="4" a="1"/>
  <c r="BJ46" i="3"/>
  <c r="BH11" i="3"/>
  <c r="BJ37" i="3"/>
  <c r="BI14" i="3"/>
  <c r="BA19" i="3"/>
  <c r="Z110" i="2"/>
  <c r="Y50" i="2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36" i="3"/>
  <c r="BP39" i="3"/>
  <c r="BM5" i="3"/>
  <c r="BK10" i="3"/>
  <c r="BI15" i="3"/>
  <c r="BG20" i="3"/>
  <c r="BE25" i="3"/>
  <c r="BF5" i="3"/>
  <c r="BL24" i="3"/>
  <c r="BH46" i="3"/>
  <c r="BM24" i="3"/>
  <c r="BN14" i="3"/>
  <c r="BF6" i="3"/>
  <c r="CL41" i="1" s="1"/>
  <c r="BH25" i="3"/>
  <c r="BL45" i="3"/>
  <c r="BH27" i="3"/>
  <c r="BL41" i="3"/>
  <c r="BT8" i="3"/>
  <c r="BI27" i="3"/>
  <c r="BG42" i="3"/>
  <c r="BJ19" i="3"/>
  <c r="BH36" i="3"/>
  <c r="BM12" i="3"/>
  <c r="BM28" i="3"/>
  <c r="BH13" i="3"/>
  <c r="BJ34" i="3"/>
  <c r="AA54" i="2"/>
  <c r="AA18" i="2"/>
  <c r="V6" i="2"/>
  <c r="Y21" i="2"/>
  <c r="Z54" i="2"/>
  <c r="Z62" i="2"/>
  <c r="BC20" i="3"/>
  <c r="BA26" i="3"/>
  <c r="BC8" i="3"/>
  <c r="BC10" i="3"/>
  <c r="BD36" i="3"/>
  <c r="AA106" i="2"/>
  <c r="Y65" i="2"/>
  <c r="Y106" i="2"/>
  <c r="Y25" i="2"/>
  <c r="BA39" i="3"/>
  <c r="AA73" i="2"/>
  <c r="AA70" i="2"/>
  <c r="BD41" i="3"/>
  <c r="BB11" i="3"/>
  <c r="FC5" i="4" a="1"/>
  <c r="FB5" i="4" a="1"/>
  <c r="EX8" i="4" a="1"/>
  <c r="BN26" i="3"/>
  <c r="BE29" i="3"/>
  <c r="BI30" i="3"/>
  <c r="BN40" i="3"/>
  <c r="Y60" i="2"/>
  <c r="Z89" i="2"/>
  <c r="Y26" i="2"/>
  <c r="Z9" i="2"/>
  <c r="BB9" i="3"/>
  <c r="BB22" i="3"/>
  <c r="Y6" i="2"/>
  <c r="Y49" i="2"/>
  <c r="Z53" i="2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L7" i="3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H9" i="3"/>
  <c r="BJ28" i="3"/>
  <c r="BJ6" i="3"/>
  <c r="BF40" i="3"/>
  <c r="BJ30" i="3"/>
  <c r="BT30" i="3"/>
  <c r="BG30" i="3"/>
  <c r="BJ5" i="3"/>
  <c r="BH22" i="3"/>
  <c r="BF39" i="3"/>
  <c r="BK15" i="3"/>
  <c r="BU7" i="3"/>
  <c r="BF21" i="3"/>
  <c r="CL63" i="1" s="1"/>
  <c r="BO22" i="3"/>
  <c r="BP27" i="3"/>
  <c r="BE10" i="3"/>
  <c r="BM46" i="3"/>
  <c r="BL40" i="3"/>
  <c r="AA68" i="2"/>
  <c r="AY29" i="3"/>
  <c r="Z40" i="2"/>
  <c r="Z91" i="2"/>
  <c r="BB14" i="3"/>
  <c r="Z75" i="2"/>
  <c r="AA22" i="2"/>
  <c r="BD7" i="3"/>
  <c r="BB6" i="3"/>
  <c r="Z97" i="2"/>
  <c r="AA95" i="2"/>
  <c r="FC12" i="4" a="1"/>
  <c r="FD12" i="4" a="1"/>
  <c r="EX15" i="4" a="1"/>
  <c r="FF7" i="4" a="1"/>
  <c r="FB6" i="4" a="1"/>
  <c r="Y70" i="2"/>
  <c r="FF16" i="4" a="1"/>
  <c r="BB28" i="3"/>
  <c r="EX14" i="4" a="1"/>
  <c r="AA71" i="2"/>
  <c r="BH10" i="3"/>
  <c r="AA64" i="2"/>
  <c r="Y97" i="2"/>
  <c r="FE14" i="4" a="1"/>
  <c r="BN12" i="3"/>
  <c r="BK45" i="3"/>
  <c r="BD32" i="3"/>
  <c r="BD8" i="3"/>
  <c r="BD9" i="3"/>
  <c r="Y64" i="2"/>
  <c r="AA26" i="2"/>
  <c r="BU13" i="3"/>
  <c r="BN39" i="3"/>
  <c r="BO28" i="3"/>
  <c r="BE7" i="3"/>
  <c r="BI18" i="3"/>
  <c r="BF16" i="3"/>
  <c r="CL53" i="1" s="1"/>
  <c r="BK7" i="3"/>
  <c r="Y68" i="2"/>
  <c r="BA31" i="3"/>
  <c r="Y42" i="2"/>
  <c r="Y15" i="2"/>
  <c r="BA40" i="3"/>
  <c r="Z18" i="2"/>
  <c r="Y77" i="2"/>
  <c r="BB12" i="3"/>
  <c r="BB35" i="3"/>
  <c r="AA25" i="2"/>
  <c r="Z7" i="2"/>
  <c r="FA8" i="4" a="1"/>
  <c r="FA12" i="4" a="1"/>
  <c r="FF8" i="4" a="1"/>
  <c r="FD9" i="4" a="1"/>
  <c r="Z12" i="2"/>
  <c r="AA89" i="2"/>
  <c r="BB7" i="3"/>
  <c r="BC6" i="3"/>
  <c r="BA25" i="3"/>
  <c r="Z17" i="2"/>
  <c r="FC9" i="4" a="1"/>
  <c r="FD8" i="4" a="1"/>
  <c r="FE13" i="4" a="1"/>
  <c r="BD20" i="3"/>
  <c r="EY8" i="4" a="1"/>
  <c r="AA67" i="2"/>
  <c r="AA15" i="2"/>
  <c r="EZ14" i="4" a="1"/>
  <c r="BM22" i="3"/>
  <c r="AA81" i="2"/>
  <c r="BC24" i="3"/>
  <c r="EZ13" i="4" a="1"/>
  <c r="BB45" i="3"/>
  <c r="BA37" i="3"/>
  <c r="BC21" i="3"/>
  <c r="AA83" i="2"/>
  <c r="BU19" i="3"/>
  <c r="BI22" i="3"/>
  <c r="BO34" i="3"/>
  <c r="BM11" i="3"/>
  <c r="BE30" i="3"/>
  <c r="BG45" i="3"/>
  <c r="BM16" i="3"/>
  <c r="Z66" i="2"/>
  <c r="AA51" i="2"/>
  <c r="BD21" i="3"/>
  <c r="W6" i="2"/>
  <c r="BA28" i="3"/>
  <c r="Z92" i="2"/>
  <c r="BN23" i="3"/>
  <c r="EZ15" i="4" a="1"/>
  <c r="AA5" i="2"/>
  <c r="BU25" i="3"/>
  <c r="BM42" i="3"/>
  <c r="BP5" i="3"/>
  <c r="BP57" i="3" s="1"/>
  <c r="BK16" i="3"/>
  <c r="BM38" i="3"/>
  <c r="BT25" i="3"/>
  <c r="BK23" i="3"/>
  <c r="Y14" i="2"/>
  <c r="AA44" i="2"/>
  <c r="BC25" i="3"/>
  <c r="Z14" i="2"/>
  <c r="AA41" i="2"/>
  <c r="BD19" i="3"/>
  <c r="Z10" i="2"/>
  <c r="Z99" i="2"/>
  <c r="AA27" i="2"/>
  <c r="Y59" i="2"/>
  <c r="BA46" i="3"/>
  <c r="Y29" i="2"/>
  <c r="EZ12" i="4" a="1"/>
  <c r="FD6" i="4" a="1"/>
  <c r="FD13" i="4" a="1"/>
  <c r="FB16" i="4" a="1"/>
  <c r="Y93" i="2"/>
  <c r="BD14" i="3"/>
  <c r="FE8" i="4" a="1"/>
  <c r="EZ11" i="4" a="1"/>
  <c r="EZ16" i="4" a="1"/>
  <c r="BR38" i="3"/>
  <c r="BD28" i="3"/>
  <c r="Y40" i="2"/>
  <c r="AA99" i="2"/>
  <c r="Z43" i="2"/>
  <c r="Z98" i="2"/>
  <c r="FF13" i="4" a="1"/>
  <c r="BU31" i="3"/>
  <c r="BR14" i="3"/>
  <c r="BP22" i="3"/>
  <c r="BI21" i="3"/>
  <c r="BF34" i="3"/>
  <c r="CL87" i="1" s="1"/>
  <c r="BT42" i="3"/>
  <c r="BK31" i="3"/>
  <c r="AA55" i="2"/>
  <c r="Z109" i="2"/>
  <c r="BA9" i="3"/>
  <c r="AA36" i="2"/>
  <c r="Z15" i="2"/>
  <c r="BA27" i="3"/>
  <c r="C5" i="2"/>
  <c r="AA60" i="2"/>
  <c r="FB14" i="4" a="1"/>
  <c r="AA16" i="2"/>
  <c r="Z60" i="2"/>
  <c r="FC13" i="4" a="1"/>
  <c r="BF30" i="3"/>
  <c r="Y104" i="2"/>
  <c r="BD29" i="3"/>
  <c r="BC19" i="3"/>
  <c r="Z84" i="2"/>
  <c r="FA5" i="4" a="1"/>
  <c r="FC11" i="4" a="1"/>
  <c r="BN29" i="3"/>
  <c r="Y98" i="2"/>
  <c r="BC34" i="3"/>
  <c r="Y43" i="2"/>
  <c r="BA13" i="3"/>
  <c r="AA107" i="2"/>
  <c r="FA15" i="4" a="1"/>
  <c r="FB15" i="4" a="1"/>
  <c r="BU37" i="3"/>
  <c r="BR20" i="3"/>
  <c r="BM37" i="3"/>
  <c r="BI23" i="3"/>
  <c r="BL29" i="3"/>
  <c r="BP28" i="3"/>
  <c r="BG33" i="3"/>
  <c r="Z76" i="2"/>
  <c r="Y99" i="2"/>
  <c r="BA16" i="3"/>
  <c r="Y80" i="2"/>
  <c r="Z68" i="2"/>
  <c r="BD45" i="3"/>
  <c r="Y11" i="2"/>
  <c r="AA52" i="2"/>
  <c r="AA31" i="2"/>
  <c r="Z24" i="2"/>
  <c r="BB36" i="3"/>
  <c r="BD34" i="3"/>
  <c r="EZ8" i="4" a="1"/>
  <c r="FB9" i="4" a="1"/>
  <c r="EY9" i="4" a="1"/>
  <c r="Z6" i="2"/>
  <c r="Y5" i="2"/>
  <c r="X6" i="2"/>
  <c r="Y67" i="2"/>
  <c r="BD31" i="3"/>
  <c r="BB29" i="3"/>
  <c r="BH29" i="3"/>
  <c r="Y16" i="2"/>
  <c r="AA69" i="2"/>
  <c r="AA72" i="2"/>
  <c r="Z47" i="2"/>
  <c r="AA42" i="2"/>
  <c r="Z52" i="2"/>
  <c r="EX5" i="4" a="1"/>
  <c r="BK84" i="3"/>
  <c r="EZ7" i="4" a="1"/>
  <c r="BU45" i="3"/>
  <c r="BR26" i="3"/>
  <c r="BN19" i="3"/>
  <c r="BK28" i="3"/>
  <c r="BN10" i="3"/>
  <c r="BE31" i="3"/>
  <c r="BE40" i="3"/>
  <c r="Z55" i="2"/>
  <c r="Y24" i="2"/>
  <c r="BC11" i="3"/>
  <c r="AA91" i="2"/>
  <c r="BB16" i="3"/>
  <c r="BV8" i="3"/>
  <c r="BR32" i="3"/>
  <c r="BN45" i="3"/>
  <c r="BM39" i="3"/>
  <c r="BN18" i="3"/>
  <c r="BE37" i="3"/>
  <c r="BN22" i="3"/>
  <c r="AA24" i="2"/>
  <c r="AA93" i="2"/>
  <c r="BA22" i="3"/>
  <c r="Z96" i="2"/>
  <c r="BD11" i="3"/>
  <c r="BA12" i="3"/>
  <c r="AA23" i="2"/>
  <c r="BF7" i="3"/>
  <c r="Y35" i="2"/>
  <c r="BS36" i="3"/>
  <c r="BT23" i="3"/>
  <c r="BR46" i="3"/>
  <c r="BH5" i="3"/>
  <c r="BH18" i="3"/>
  <c r="BF38" i="3"/>
  <c r="BN13" i="3"/>
  <c r="BL13" i="3"/>
  <c r="AA53" i="2"/>
  <c r="BD42" i="3"/>
  <c r="AA62" i="2"/>
  <c r="AA11" i="2"/>
  <c r="BC14" i="3"/>
  <c r="AA108" i="2"/>
  <c r="AA84" i="2"/>
  <c r="BC31" i="3"/>
  <c r="Z87" i="2"/>
  <c r="Z28" i="2"/>
  <c r="BA30" i="3"/>
  <c r="BB34" i="3"/>
  <c r="FD15" i="4" a="1"/>
  <c r="FB12" i="4" a="1"/>
  <c r="EZ5" i="4" a="1"/>
  <c r="BP30" i="3"/>
  <c r="BO10" i="3"/>
  <c r="BL37" i="3"/>
  <c r="BM41" i="3"/>
  <c r="BO16" i="3"/>
  <c r="BP9" i="3"/>
  <c r="BN37" i="3"/>
  <c r="BE46" i="3"/>
  <c r="BL30" i="3"/>
  <c r="BQ62" i="3"/>
  <c r="BQ56" i="3"/>
  <c r="AA96" i="1" l="1"/>
  <c r="AA244" i="1"/>
  <c r="AA246" i="1" s="1"/>
  <c r="AA94" i="1"/>
  <c r="BU66" i="3"/>
  <c r="BP92" i="3"/>
  <c r="CL68" i="1"/>
  <c r="CL303" i="1"/>
  <c r="CL304" i="1"/>
  <c r="CL245" i="1"/>
  <c r="CL8" i="1"/>
  <c r="CL43" i="1"/>
  <c r="CL282" i="1"/>
  <c r="Z189" i="1"/>
  <c r="CH189" i="1" s="1"/>
  <c r="Y67" i="1"/>
  <c r="Z67" i="1"/>
  <c r="Y60" i="1"/>
  <c r="X67" i="1"/>
  <c r="CK46" i="1"/>
  <c r="CK63" i="1"/>
  <c r="CK41" i="1"/>
  <c r="CK8" i="1" s="1"/>
  <c r="CK48" i="1"/>
  <c r="CK81" i="1"/>
  <c r="Z193" i="1"/>
  <c r="CH193" i="1" s="1"/>
  <c r="Z60" i="1"/>
  <c r="CK78" i="1"/>
  <c r="X193" i="1"/>
  <c r="CK74" i="1"/>
  <c r="CK59" i="1"/>
  <c r="CK53" i="1"/>
  <c r="Y193" i="1"/>
  <c r="CK93" i="1"/>
  <c r="CK67" i="1"/>
  <c r="CK87" i="1"/>
  <c r="X60" i="1"/>
  <c r="Y189" i="1"/>
  <c r="CK42" i="1"/>
  <c r="CK47" i="1"/>
  <c r="CK77" i="1"/>
  <c r="X202" i="1"/>
  <c r="X188" i="1"/>
  <c r="Z188" i="1"/>
  <c r="CK88" i="1"/>
  <c r="CK89" i="1"/>
  <c r="Y188" i="1"/>
  <c r="X189" i="1"/>
  <c r="CK60" i="1"/>
  <c r="CW6" i="1"/>
  <c r="CV7" i="1"/>
  <c r="CV41" i="1" s="1"/>
  <c r="CV8" i="1" s="1"/>
  <c r="Z89" i="1"/>
  <c r="CH87" i="1"/>
  <c r="CH48" i="1"/>
  <c r="X168" i="1"/>
  <c r="X201" i="1" s="1"/>
  <c r="Z164" i="1"/>
  <c r="CH164" i="1" s="1"/>
  <c r="CI164" i="1" s="1"/>
  <c r="Z203" i="1"/>
  <c r="CH203" i="1" s="1"/>
  <c r="CH81" i="1"/>
  <c r="CJ87" i="1"/>
  <c r="CJ42" i="1"/>
  <c r="X109" i="1"/>
  <c r="Y160" i="1"/>
  <c r="X89" i="1"/>
  <c r="X174" i="1"/>
  <c r="X159" i="1"/>
  <c r="Y159" i="1"/>
  <c r="Y42" i="1"/>
  <c r="Z222" i="1"/>
  <c r="Z120" i="1"/>
  <c r="Y206" i="1"/>
  <c r="Y174" i="1"/>
  <c r="X196" i="1"/>
  <c r="Y161" i="1"/>
  <c r="Y223" i="1"/>
  <c r="CI88" i="1"/>
  <c r="Y211" i="1"/>
  <c r="Z210" i="1"/>
  <c r="CH210" i="1" s="1"/>
  <c r="CH74" i="1"/>
  <c r="CH245" i="1" s="1"/>
  <c r="CJ67" i="1"/>
  <c r="CI89" i="1"/>
  <c r="CJ59" i="1"/>
  <c r="CH77" i="1"/>
  <c r="CG78" i="1"/>
  <c r="Y169" i="1"/>
  <c r="X120" i="1"/>
  <c r="Z78" i="1"/>
  <c r="Z215" i="1"/>
  <c r="CH215" i="1" s="1"/>
  <c r="CI215" i="1" s="1"/>
  <c r="X222" i="1"/>
  <c r="Y88" i="1"/>
  <c r="Z214" i="1"/>
  <c r="CH214" i="1" s="1"/>
  <c r="CI214" i="1" s="1"/>
  <c r="Y202" i="1"/>
  <c r="X74" i="1"/>
  <c r="X245" i="1" s="1"/>
  <c r="Z179" i="1"/>
  <c r="CH179" i="1" s="1"/>
  <c r="CI179" i="1" s="1"/>
  <c r="CH46" i="1"/>
  <c r="CG60" i="1"/>
  <c r="Y74" i="1"/>
  <c r="Y245" i="1" s="1"/>
  <c r="Y182" i="1"/>
  <c r="Z161" i="1"/>
  <c r="CH161" i="1" s="1"/>
  <c r="CJ47" i="1"/>
  <c r="CG87" i="1"/>
  <c r="CG77" i="1"/>
  <c r="CI41" i="1"/>
  <c r="CG46" i="1"/>
  <c r="CG63" i="1"/>
  <c r="CH88" i="1"/>
  <c r="CH41" i="1"/>
  <c r="CH93" i="1"/>
  <c r="CG48" i="1"/>
  <c r="CJ78" i="1"/>
  <c r="CI87" i="1"/>
  <c r="CJ53" i="1"/>
  <c r="X177" i="1"/>
  <c r="X173" i="1" s="1"/>
  <c r="Y168" i="1"/>
  <c r="Y201" i="1" s="1"/>
  <c r="Z77" i="1"/>
  <c r="Y87" i="1"/>
  <c r="X179" i="1"/>
  <c r="Y215" i="1"/>
  <c r="X42" i="1"/>
  <c r="X223" i="1"/>
  <c r="Z74" i="1"/>
  <c r="Z245" i="1" s="1"/>
  <c r="X169" i="1"/>
  <c r="X167" i="1"/>
  <c r="CI77" i="1"/>
  <c r="CH47" i="1"/>
  <c r="CI63" i="1"/>
  <c r="CH89" i="1"/>
  <c r="CG67" i="1"/>
  <c r="CJ74" i="1"/>
  <c r="CG47" i="1"/>
  <c r="Z88" i="1"/>
  <c r="Z202" i="1"/>
  <c r="CH202" i="1" s="1"/>
  <c r="X81" i="1"/>
  <c r="Z87" i="1"/>
  <c r="X185" i="1"/>
  <c r="Y164" i="1"/>
  <c r="X203" i="1"/>
  <c r="Z59" i="1"/>
  <c r="X164" i="1"/>
  <c r="Z175" i="1"/>
  <c r="CH175" i="1" s="1"/>
  <c r="CI175" i="1" s="1"/>
  <c r="Z182" i="1"/>
  <c r="Z48" i="1"/>
  <c r="X46" i="1"/>
  <c r="Y119" i="1"/>
  <c r="Y221" i="1"/>
  <c r="Z221" i="1"/>
  <c r="X166" i="1"/>
  <c r="Y93" i="1"/>
  <c r="Y210" i="1"/>
  <c r="Z160" i="1"/>
  <c r="CH160" i="1" s="1"/>
  <c r="CI160" i="1" s="1"/>
  <c r="Y77" i="1"/>
  <c r="Y203" i="1"/>
  <c r="Z121" i="1"/>
  <c r="Z169" i="1"/>
  <c r="CH169" i="1" s="1"/>
  <c r="CI169" i="1" s="1"/>
  <c r="Y41" i="1"/>
  <c r="CG88" i="1"/>
  <c r="CH60" i="1"/>
  <c r="CH63" i="1"/>
  <c r="CJ88" i="1"/>
  <c r="CG74" i="1"/>
  <c r="CI93" i="1"/>
  <c r="CI81" i="1"/>
  <c r="CG93" i="1"/>
  <c r="CH67" i="1"/>
  <c r="CJ41" i="1"/>
  <c r="CJ8" i="1" s="1"/>
  <c r="CI67" i="1"/>
  <c r="CJ48" i="1"/>
  <c r="CJ46" i="1"/>
  <c r="CG41" i="1"/>
  <c r="CH53" i="1"/>
  <c r="CI74" i="1"/>
  <c r="CI245" i="1" s="1"/>
  <c r="CG59" i="1"/>
  <c r="X211" i="1"/>
  <c r="Y178" i="1"/>
  <c r="Z159" i="1"/>
  <c r="CH159" i="1" s="1"/>
  <c r="CI159" i="1" s="1"/>
  <c r="X78" i="1"/>
  <c r="Y177" i="1"/>
  <c r="Y173" i="1" s="1"/>
  <c r="Y89" i="1"/>
  <c r="Y48" i="1"/>
  <c r="X182" i="1"/>
  <c r="Y63" i="1"/>
  <c r="X197" i="1"/>
  <c r="X119" i="1"/>
  <c r="Y187" i="1"/>
  <c r="Y222" i="1"/>
  <c r="Z186" i="1"/>
  <c r="Z174" i="1"/>
  <c r="CH174" i="1" s="1"/>
  <c r="Z46" i="1"/>
  <c r="Z41" i="1"/>
  <c r="Z8" i="1" s="1"/>
  <c r="Y185" i="1"/>
  <c r="Z93" i="1"/>
  <c r="Z197" i="1"/>
  <c r="CH197" i="1" s="1"/>
  <c r="Z177" i="1"/>
  <c r="CH177" i="1" s="1"/>
  <c r="CI177" i="1" s="1"/>
  <c r="Y46" i="1"/>
  <c r="Y214" i="1"/>
  <c r="X88" i="1"/>
  <c r="X187" i="1"/>
  <c r="CH188" i="1"/>
  <c r="Z81" i="1"/>
  <c r="Y53" i="1"/>
  <c r="X214" i="1"/>
  <c r="Z167" i="1"/>
  <c r="CH167" i="1" s="1"/>
  <c r="CI167" i="1" s="1"/>
  <c r="X121" i="1"/>
  <c r="X63" i="1"/>
  <c r="X160" i="1"/>
  <c r="Y109" i="1"/>
  <c r="Z119" i="1"/>
  <c r="X161" i="1"/>
  <c r="Y120" i="1"/>
  <c r="Z168" i="1"/>
  <c r="Y78" i="1"/>
  <c r="Y166" i="1"/>
  <c r="X41" i="1"/>
  <c r="CI59" i="1"/>
  <c r="CJ81" i="1"/>
  <c r="CH59" i="1"/>
  <c r="CI47" i="1"/>
  <c r="CJ77" i="1"/>
  <c r="CI48" i="1"/>
  <c r="CI46" i="1"/>
  <c r="CG81" i="1"/>
  <c r="CG53" i="1"/>
  <c r="CH78" i="1"/>
  <c r="CI78" i="1"/>
  <c r="CI53" i="1"/>
  <c r="CJ63" i="1"/>
  <c r="CJ60" i="1"/>
  <c r="CE81" i="1"/>
  <c r="CG89" i="1"/>
  <c r="CJ89" i="1"/>
  <c r="CG42" i="1"/>
  <c r="CI60" i="1"/>
  <c r="CJ93" i="1"/>
  <c r="CH42" i="1"/>
  <c r="CI42" i="1"/>
  <c r="X93" i="1"/>
  <c r="Z166" i="1"/>
  <c r="CH166" i="1" s="1"/>
  <c r="CI166" i="1" s="1"/>
  <c r="Y175" i="1"/>
  <c r="Y59" i="1"/>
  <c r="X87" i="1"/>
  <c r="Z223" i="1"/>
  <c r="X48" i="1"/>
  <c r="Y197" i="1"/>
  <c r="Z211" i="1"/>
  <c r="CH211" i="1" s="1"/>
  <c r="Y196" i="1"/>
  <c r="Y81" i="1"/>
  <c r="Z42" i="1"/>
  <c r="Z206" i="1"/>
  <c r="CH206" i="1" s="1"/>
  <c r="Y121" i="1"/>
  <c r="X77" i="1"/>
  <c r="X178" i="1"/>
  <c r="Z178" i="1"/>
  <c r="CH178" i="1" s="1"/>
  <c r="CI178" i="1" s="1"/>
  <c r="Z187" i="1"/>
  <c r="CH187" i="1" s="1"/>
  <c r="X175" i="1"/>
  <c r="Z53" i="1"/>
  <c r="CH185" i="1"/>
  <c r="X210" i="1"/>
  <c r="X206" i="1"/>
  <c r="Y167" i="1"/>
  <c r="Z63" i="1"/>
  <c r="Z109" i="1"/>
  <c r="X186" i="1"/>
  <c r="Y179" i="1"/>
  <c r="Y186" i="1"/>
  <c r="X215" i="1"/>
  <c r="X59" i="1"/>
  <c r="X53" i="1"/>
  <c r="Z196" i="1"/>
  <c r="CH196" i="1" s="1"/>
  <c r="X221" i="1"/>
  <c r="JP9" i="4" s="1"/>
  <c r="JP16" i="4" s="1"/>
  <c r="JO16" i="4" s="1"/>
  <c r="JO9" i="4" s="1"/>
  <c r="JN9" i="4" s="1"/>
  <c r="JN16" i="4" s="1"/>
  <c r="BG59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86" i="1" s="1"/>
  <c r="CL230" i="1" s="1"/>
  <c r="Y111" i="2"/>
  <c r="BO83" i="3"/>
  <c r="BS81" i="3"/>
  <c r="BG48" i="3"/>
  <c r="BL73" i="3"/>
  <c r="BE69" i="3"/>
  <c r="BI87" i="3"/>
  <c r="BM63" i="3"/>
  <c r="BF56" i="3"/>
  <c r="CL159" i="1" s="1"/>
  <c r="BJ72" i="3"/>
  <c r="BJ48" i="3"/>
  <c r="BJ69" i="3"/>
  <c r="BK82" i="3"/>
  <c r="BK66" i="3"/>
  <c r="BK91" i="3"/>
  <c r="BK61" i="3"/>
  <c r="FX6" i="4" a="1"/>
  <c r="FY8" i="4" a="1"/>
  <c r="HH7" i="4" a="1"/>
  <c r="GI9" i="4" a="1"/>
  <c r="BH59" i="3"/>
  <c r="BG66" i="3"/>
  <c r="BG79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96" i="1" s="1"/>
  <c r="BF66" i="3"/>
  <c r="CL202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E73" i="3"/>
  <c r="BI91" i="3"/>
  <c r="BM89" i="3"/>
  <c r="BF50" i="3"/>
  <c r="CL116" i="1" s="1"/>
  <c r="BJ76" i="3"/>
  <c r="BJ55" i="3"/>
  <c r="BJ71" i="3"/>
  <c r="BK77" i="3"/>
  <c r="BK60" i="3"/>
  <c r="BK54" i="3"/>
  <c r="GT14" i="4" a="1"/>
  <c r="GN6" i="4" a="1"/>
  <c r="GK8" i="4" a="1"/>
  <c r="GB8" i="4" a="1"/>
  <c r="GX11" i="4" a="1"/>
  <c r="FY9" i="4" a="1"/>
  <c r="GW5" i="4" a="1"/>
  <c r="GG6" i="4" a="1"/>
  <c r="GB11" i="4" a="1"/>
  <c r="FW15" i="4" a="1"/>
  <c r="FW7" i="4" a="1"/>
  <c r="GX5" i="4" a="1"/>
  <c r="GZ9" i="4" a="1"/>
  <c r="FU14" i="4" a="1"/>
  <c r="FP6" i="4" a="1"/>
  <c r="GS8" i="4" a="1"/>
  <c r="FZ9" i="4" a="1"/>
  <c r="GD13" i="4" a="1"/>
  <c r="FM6" i="4" a="1"/>
  <c r="GI8" i="4" a="1"/>
  <c r="GR9" i="4" a="1"/>
  <c r="FP14" i="4" a="1"/>
  <c r="FU6" i="4" a="1"/>
  <c r="HA8" i="4" a="1"/>
  <c r="GV9" i="4" a="1"/>
  <c r="FM14" i="4" a="1"/>
  <c r="FW11" i="4" a="1"/>
  <c r="FR12" i="4" a="1"/>
  <c r="FL13" i="4" a="1"/>
  <c r="FN7" i="4" a="1"/>
  <c r="GY11" i="4" a="1"/>
  <c r="GS12" i="4" a="1"/>
  <c r="GM13" i="4" a="1"/>
  <c r="BH61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210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82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FS6" i="4" a="1"/>
  <c r="GA7" i="4" a="1"/>
  <c r="GJ6" i="4" a="1"/>
  <c r="GO7" i="4" a="1"/>
  <c r="GU7" i="4" a="1"/>
  <c r="FQ6" i="4" a="1"/>
  <c r="FJ11" i="4" a="1"/>
  <c r="GS14" i="4" a="1"/>
  <c r="GV6" i="4" a="1"/>
  <c r="GP5" i="4" a="1"/>
  <c r="GT9" i="4" a="1"/>
  <c r="HB13" i="4" a="1"/>
  <c r="GK6" i="4" a="1"/>
  <c r="GW8" i="4" a="1"/>
  <c r="HD9" i="4" a="1"/>
  <c r="GN14" i="4" a="1"/>
  <c r="GS6" i="4" a="1"/>
  <c r="HF5" i="4" a="1"/>
  <c r="FH11" i="4" a="1"/>
  <c r="GK14" i="4" a="1"/>
  <c r="GA11" i="4" a="1"/>
  <c r="FW12" i="4" a="1"/>
  <c r="FQ13" i="4" a="1"/>
  <c r="GI7" i="4" a="1"/>
  <c r="HB11" i="4" a="1"/>
  <c r="GV12" i="4" a="1"/>
  <c r="GP13" i="4" a="1"/>
  <c r="GJ14" i="4" a="1"/>
  <c r="GL9" i="4" a="1"/>
  <c r="FJ14" i="4" a="1"/>
  <c r="BT49" i="3"/>
  <c r="BH62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88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206" i="1" s="1"/>
  <c r="BF82" i="3"/>
  <c r="CL185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76" i="1" s="1"/>
  <c r="BJ74" i="3"/>
  <c r="BJ80" i="3"/>
  <c r="BJ64" i="3"/>
  <c r="BJ75" i="3"/>
  <c r="BK88" i="3"/>
  <c r="BK62" i="3"/>
  <c r="BK65" i="3"/>
  <c r="GE15" i="4" a="1"/>
  <c r="GH7" i="4" a="1"/>
  <c r="GM5" i="4" a="1"/>
  <c r="FR9" i="4" a="1"/>
  <c r="GJ12" i="4" a="1"/>
  <c r="FO5" i="4" a="1"/>
  <c r="GQ6" i="4" a="1"/>
  <c r="FL9" i="4" a="1"/>
  <c r="GD7" i="4" a="1"/>
  <c r="GX8" i="4" a="1"/>
  <c r="GO5" i="4" a="1"/>
  <c r="GB6" i="4" a="1"/>
  <c r="FV11" i="4" a="1"/>
  <c r="FO15" i="4" a="1"/>
  <c r="FO7" i="4" a="1"/>
  <c r="FL6" i="4" a="1"/>
  <c r="HF9" i="4" a="1"/>
  <c r="FX14" i="4" a="1"/>
  <c r="FG7" i="4" a="1"/>
  <c r="GU5" i="4" a="1"/>
  <c r="FN11" i="4" a="1"/>
  <c r="FJ15" i="4" a="1"/>
  <c r="FR7" i="4" a="1"/>
  <c r="GN5" i="4" a="1"/>
  <c r="FT11" i="4" a="1"/>
  <c r="FG15" i="4" a="1"/>
  <c r="GE11" i="4" a="1"/>
  <c r="FZ12" i="4" a="1"/>
  <c r="FT13" i="4" a="1"/>
  <c r="GT7" i="4" a="1"/>
  <c r="HG11" i="4" a="1"/>
  <c r="HA12" i="4" a="1"/>
  <c r="GU13" i="4" a="1"/>
  <c r="GO14" i="4" a="1"/>
  <c r="HC9" i="4" a="1"/>
  <c r="FO14" i="4" a="1"/>
  <c r="GJ15" i="4" a="1"/>
  <c r="HH15" i="4" a="1"/>
  <c r="GD16" i="4" a="1"/>
  <c r="HB16" i="4" a="1"/>
  <c r="GP6" i="4" a="1"/>
  <c r="GT12" i="4" a="1"/>
  <c r="FI15" i="4" a="1"/>
  <c r="FY15" i="4" a="1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211" i="1" s="1"/>
  <c r="BB65" i="3"/>
  <c r="BB74" i="3"/>
  <c r="BB78" i="3"/>
  <c r="BG77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67" i="1" s="1"/>
  <c r="BB92" i="3"/>
  <c r="BB85" i="3"/>
  <c r="BB89" i="3"/>
  <c r="BG93" i="3"/>
  <c r="BH76" i="3"/>
  <c r="BF90" i="3"/>
  <c r="CL168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203" i="1" s="1"/>
  <c r="BF85" i="3"/>
  <c r="CL187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V48" i="3"/>
  <c r="BP50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64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P60" i="3"/>
  <c r="BK70" i="3"/>
  <c r="BF87" i="3"/>
  <c r="CL205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U58" i="3"/>
  <c r="BP67" i="3"/>
  <c r="BF79" i="3"/>
  <c r="CL19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S74" i="3"/>
  <c r="BP65" i="3"/>
  <c r="BL54" i="3"/>
  <c r="BE65" i="3"/>
  <c r="BI79" i="3"/>
  <c r="BM87" i="3"/>
  <c r="BF96" i="3"/>
  <c r="CL214" i="1" s="1"/>
  <c r="BJ66" i="3"/>
  <c r="BJ87" i="3"/>
  <c r="BJ63" i="3"/>
  <c r="BK73" i="3"/>
  <c r="BK48" i="3"/>
  <c r="BK94" i="3"/>
  <c r="BK79" i="3"/>
  <c r="GB5" i="4" a="1"/>
  <c r="FU7" i="4" a="1"/>
  <c r="GE9" i="4" a="1"/>
  <c r="FW6" i="4" a="1"/>
  <c r="HA14" i="4" a="1"/>
  <c r="GC6" i="4" a="1"/>
  <c r="GQ8" i="4" a="1"/>
  <c r="FM9" i="4" a="1"/>
  <c r="GI13" i="4" a="1"/>
  <c r="GL5" i="4" a="1"/>
  <c r="FQ8" i="4" a="1"/>
  <c r="FP8" i="4" a="1"/>
  <c r="GB12" i="4" a="1"/>
  <c r="GI5" i="4" a="1"/>
  <c r="GK7" i="4" a="1"/>
  <c r="HC6" i="4" a="1"/>
  <c r="GM11" i="4" a="1"/>
  <c r="GE5" i="4" a="1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89" i="1" s="1"/>
  <c r="BQ70" i="3"/>
  <c r="BQ67" i="3"/>
  <c r="BQ96" i="3"/>
  <c r="BR92" i="3"/>
  <c r="BV56" i="3"/>
  <c r="BT50" i="3"/>
  <c r="BE85" i="3"/>
  <c r="BP87" i="3"/>
  <c r="BJ59" i="3"/>
  <c r="BA90" i="3"/>
  <c r="BA89" i="3"/>
  <c r="BQ49" i="3"/>
  <c r="BH78" i="3"/>
  <c r="BL90" i="3"/>
  <c r="BC65" i="3"/>
  <c r="BM56" i="3"/>
  <c r="BP78" i="3"/>
  <c r="BH68" i="3"/>
  <c r="BP49" i="3"/>
  <c r="BA80" i="3"/>
  <c r="BH73" i="3"/>
  <c r="BL62" i="3"/>
  <c r="BE57" i="3"/>
  <c r="BF49" i="3"/>
  <c r="CL115" i="1" s="1"/>
  <c r="BQ95" i="3"/>
  <c r="BT94" i="3"/>
  <c r="BO58" i="3"/>
  <c r="BS90" i="3"/>
  <c r="BF95" i="3"/>
  <c r="CL215" i="1" s="1"/>
  <c r="BU93" i="3"/>
  <c r="BR47" i="3"/>
  <c r="BV54" i="3"/>
  <c r="BV86" i="3"/>
  <c r="BT77" i="3"/>
  <c r="BT48" i="3"/>
  <c r="BN48" i="3"/>
  <c r="BN83" i="3"/>
  <c r="BF75" i="3"/>
  <c r="BS62" i="3"/>
  <c r="BG68" i="3"/>
  <c r="BE91" i="3"/>
  <c r="BM47" i="3"/>
  <c r="BJ82" i="3"/>
  <c r="BJ91" i="3"/>
  <c r="BJ83" i="3"/>
  <c r="GH8" i="4" a="1"/>
  <c r="GG5" i="4" a="1"/>
  <c r="GY8" i="4" a="1"/>
  <c r="GH11" i="4" a="1"/>
  <c r="HH12" i="4" a="1"/>
  <c r="FX8" i="4" a="1"/>
  <c r="GA6" i="4" a="1"/>
  <c r="GV11" i="4" a="1"/>
  <c r="FM8" i="4" a="1"/>
  <c r="FU12" i="4" a="1"/>
  <c r="FZ13" i="4" a="1"/>
  <c r="GG14" i="4" a="1"/>
  <c r="GG11" i="4" a="1"/>
  <c r="GU14" i="4" a="1"/>
  <c r="GT15" i="4" a="1"/>
  <c r="GR16" i="4" a="1"/>
  <c r="FN14" i="4" a="1"/>
  <c r="HB14" i="4" a="1"/>
  <c r="FP13" i="4" a="1"/>
  <c r="GY15" i="4" a="1"/>
  <c r="BC66" i="3"/>
  <c r="BC48" i="3"/>
  <c r="GD11" i="4" a="1"/>
  <c r="FG12" i="4" a="1"/>
  <c r="FY13" i="4" a="1"/>
  <c r="GA9" i="4" a="1"/>
  <c r="GX13" i="4" a="1"/>
  <c r="FV12" i="4" a="1"/>
  <c r="FX16" i="4" a="1"/>
  <c r="FM13" i="4" a="1"/>
  <c r="HH8" i="4" a="1"/>
  <c r="GA16" i="4" a="1"/>
  <c r="BD48" i="3"/>
  <c r="BM97" i="3"/>
  <c r="BI73" i="3"/>
  <c r="BA74" i="3"/>
  <c r="BH58" i="3"/>
  <c r="BL82" i="3"/>
  <c r="BE88" i="3"/>
  <c r="BF93" i="3"/>
  <c r="BU76" i="3"/>
  <c r="BT84" i="3"/>
  <c r="BO62" i="3"/>
  <c r="BS75" i="3"/>
  <c r="BF91" i="3"/>
  <c r="CL201" i="1" s="1"/>
  <c r="BU94" i="3"/>
  <c r="BR95" i="3"/>
  <c r="BV57" i="3"/>
  <c r="BV63" i="3"/>
  <c r="BT96" i="3"/>
  <c r="BT95" i="3"/>
  <c r="BN58" i="3"/>
  <c r="BN85" i="3"/>
  <c r="AA112" i="2"/>
  <c r="BS66" i="3"/>
  <c r="BG90" i="3"/>
  <c r="BE59" i="3"/>
  <c r="BM54" i="3"/>
  <c r="BJ84" i="3"/>
  <c r="BJ54" i="3"/>
  <c r="BJ85" i="3"/>
  <c r="BK90" i="3"/>
  <c r="FM5" i="4" a="1"/>
  <c r="GS7" i="4" a="1"/>
  <c r="FR11" i="4" a="1"/>
  <c r="GA5" i="4" a="1"/>
  <c r="GE8" i="4" a="1"/>
  <c r="FX9" i="4" a="1"/>
  <c r="FX5" i="4" a="1"/>
  <c r="FV7" i="4" a="1"/>
  <c r="HF11" i="4" a="1"/>
  <c r="GP7" i="4" a="1"/>
  <c r="HA5" i="4" a="1"/>
  <c r="GV14" i="4" a="1"/>
  <c r="GT6" i="4" a="1"/>
  <c r="GV8" i="4" a="1"/>
  <c r="FZ8" i="4" a="1"/>
  <c r="FP7" i="4" a="1"/>
  <c r="HG8" i="4" a="1"/>
  <c r="FR8" i="4" a="1"/>
  <c r="HA11" i="4" a="1"/>
  <c r="HF12" i="4" a="1"/>
  <c r="FK9" i="4" a="1"/>
  <c r="FX12" i="4" a="1"/>
  <c r="GE13" i="4" a="1"/>
  <c r="GR14" i="4" a="1"/>
  <c r="GR11" i="4" a="1"/>
  <c r="HF14" i="4" a="1"/>
  <c r="GV15" i="4" a="1"/>
  <c r="FT16" i="4" a="1"/>
  <c r="GT16" i="4" a="1"/>
  <c r="GD14" i="4" a="1"/>
  <c r="FN12" i="4" a="1"/>
  <c r="HG14" i="4" a="1"/>
  <c r="HF6" i="4" a="1"/>
  <c r="GK13" i="4" a="1"/>
  <c r="FU15" i="4" a="1"/>
  <c r="HA15" i="4" a="1"/>
  <c r="FW16" i="4" a="1"/>
  <c r="GU16" i="4" a="1"/>
  <c r="GY12" i="4" a="1"/>
  <c r="BC73" i="3"/>
  <c r="BC89" i="3"/>
  <c r="BC80" i="3"/>
  <c r="BD64" i="3"/>
  <c r="BD69" i="3"/>
  <c r="Y113" i="2"/>
  <c r="GD8" i="4" a="1"/>
  <c r="GV13" i="4" a="1"/>
  <c r="GB15" i="4" a="1"/>
  <c r="HC15" i="4" a="1"/>
  <c r="FY16" i="4" a="1"/>
  <c r="GW16" i="4" a="1"/>
  <c r="GN13" i="4" a="1"/>
  <c r="BC63" i="3"/>
  <c r="BC86" i="3"/>
  <c r="BD47" i="3"/>
  <c r="BD91" i="3"/>
  <c r="BD68" i="3"/>
  <c r="BF88" i="3"/>
  <c r="CL169" i="1" s="1"/>
  <c r="BI93" i="3"/>
  <c r="BA83" i="3"/>
  <c r="BH49" i="3"/>
  <c r="BL67" i="3"/>
  <c r="BE64" i="3"/>
  <c r="BQ91" i="3"/>
  <c r="BR70" i="3"/>
  <c r="BT73" i="3"/>
  <c r="BO67" i="3"/>
  <c r="BS65" i="3"/>
  <c r="BU49" i="3"/>
  <c r="BU97" i="3"/>
  <c r="BR66" i="3"/>
  <c r="BV95" i="3"/>
  <c r="BV55" i="3"/>
  <c r="BT64" i="3"/>
  <c r="BT97" i="3"/>
  <c r="BN60" i="3"/>
  <c r="BP69" i="3"/>
  <c r="AA113" i="2"/>
  <c r="BS67" i="3"/>
  <c r="BH97" i="3"/>
  <c r="BE67" i="3"/>
  <c r="BM85" i="3"/>
  <c r="BJ47" i="3"/>
  <c r="BJ92" i="3"/>
  <c r="BK81" i="3"/>
  <c r="BK57" i="3"/>
  <c r="FS5" i="4" a="1"/>
  <c r="FO8" i="4" a="1"/>
  <c r="FZ11" i="4" a="1"/>
  <c r="FH5" i="4" a="1"/>
  <c r="HC8" i="4" a="1"/>
  <c r="GU11" i="4" a="1"/>
  <c r="FH6" i="4" a="1"/>
  <c r="HF8" i="4" a="1"/>
  <c r="GW12" i="4" a="1"/>
  <c r="FI8" i="4" a="1"/>
  <c r="GW7" i="4" a="1"/>
  <c r="FZ15" i="4" a="1"/>
  <c r="FM7" i="4" a="1"/>
  <c r="FU9" i="4" a="1"/>
  <c r="GD9" i="4" a="1"/>
  <c r="GN7" i="4" a="1"/>
  <c r="GC9" i="4" a="1"/>
  <c r="FN9" i="4" a="1"/>
  <c r="HD11" i="4" a="1"/>
  <c r="FI13" i="4" a="1"/>
  <c r="FP9" i="4" a="1"/>
  <c r="GC12" i="4" a="1"/>
  <c r="GH13" i="4" a="1"/>
  <c r="GW14" i="4" a="1"/>
  <c r="FK12" i="4" a="1"/>
  <c r="FL15" i="4" a="1"/>
  <c r="GX15" i="4" a="1"/>
  <c r="FV16" i="4" a="1"/>
  <c r="GV16" i="4" a="1"/>
  <c r="GY14" i="4" a="1"/>
  <c r="GI12" i="4" a="1"/>
  <c r="FM15" i="4" a="1"/>
  <c r="BG71" i="3"/>
  <c r="BP91" i="3"/>
  <c r="BI95" i="3"/>
  <c r="BA97" i="3"/>
  <c r="BH85" i="3"/>
  <c r="BL89" i="3"/>
  <c r="BI82" i="3"/>
  <c r="BQ68" i="3"/>
  <c r="BR89" i="3"/>
  <c r="BN88" i="3"/>
  <c r="BO70" i="3"/>
  <c r="BS95" i="3"/>
  <c r="BU56" i="3"/>
  <c r="BU65" i="3"/>
  <c r="BR84" i="3"/>
  <c r="BV72" i="3"/>
  <c r="BV70" i="3"/>
  <c r="BT55" i="3"/>
  <c r="BN57" i="3"/>
  <c r="BN62" i="3"/>
  <c r="BP95" i="3"/>
  <c r="Y112" i="2"/>
  <c r="BS70" i="3"/>
  <c r="BH93" i="3"/>
  <c r="BI63" i="3"/>
  <c r="BM58" i="3"/>
  <c r="BJ58" i="3"/>
  <c r="BJ94" i="3"/>
  <c r="BK69" i="3"/>
  <c r="BK92" i="3"/>
  <c r="GC5" i="4" a="1"/>
  <c r="FI6" i="4" a="1"/>
  <c r="FZ6" i="4" a="1"/>
  <c r="FV5" i="4" a="1"/>
  <c r="HC5" i="4" a="1"/>
  <c r="FQ12" i="4" a="1"/>
  <c r="GF6" i="4" a="1"/>
  <c r="GB9" i="4" a="1"/>
  <c r="FS13" i="4" a="1"/>
  <c r="HE5" i="4" a="1"/>
  <c r="GF8" i="4" a="1"/>
  <c r="GZ7" i="4" a="1"/>
  <c r="GF7" i="4" a="1"/>
  <c r="GF11" i="4" a="1"/>
  <c r="FK5" i="4" a="1"/>
  <c r="FJ8" i="4" a="1"/>
  <c r="BG92" i="3"/>
  <c r="BP47" i="3"/>
  <c r="BI80" i="3"/>
  <c r="BA57" i="3"/>
  <c r="BH88" i="3"/>
  <c r="BL75" i="3"/>
  <c r="BI70" i="3"/>
  <c r="BQ86" i="3"/>
  <c r="BR93" i="3"/>
  <c r="BN92" i="3"/>
  <c r="BO82" i="3"/>
  <c r="BS77" i="3"/>
  <c r="BU71" i="3"/>
  <c r="BU70" i="3"/>
  <c r="BR96" i="3"/>
  <c r="BV93" i="3"/>
  <c r="BV69" i="3"/>
  <c r="BT78" i="3"/>
  <c r="BN86" i="3"/>
  <c r="BN74" i="3"/>
  <c r="BP90" i="3"/>
  <c r="BO54" i="3"/>
  <c r="BS76" i="3"/>
  <c r="BH91" i="3"/>
  <c r="BI65" i="3"/>
  <c r="BM83" i="3"/>
  <c r="BJ60" i="3"/>
  <c r="BJ50" i="3"/>
  <c r="BK83" i="3"/>
  <c r="BK56" i="3"/>
  <c r="FL5" i="4" a="1"/>
  <c r="FG6" i="4" a="1"/>
  <c r="HE8" i="4" a="1"/>
  <c r="GH5" i="4" a="1"/>
  <c r="FY6" i="4" a="1"/>
  <c r="GO12" i="4" a="1"/>
  <c r="HA6" i="4" a="1"/>
  <c r="GM6" i="4" a="1"/>
  <c r="GY13" i="4" a="1"/>
  <c r="GD6" i="4" a="1"/>
  <c r="HD8" i="4" a="1"/>
  <c r="FI9" i="4" a="1"/>
  <c r="FG8" i="4" a="1"/>
  <c r="GZ6" i="4" a="1"/>
  <c r="FW5" i="4" a="1"/>
  <c r="GA8" i="4" a="1"/>
  <c r="GO6" i="4" a="1"/>
  <c r="HE9" i="4" a="1"/>
  <c r="FJ12" i="4" a="1"/>
  <c r="GB13" i="4" a="1"/>
  <c r="GF9" i="4" a="1"/>
  <c r="GK12" i="4" a="1"/>
  <c r="HC13" i="4" a="1"/>
  <c r="HE14" i="4" a="1"/>
  <c r="GQ12" i="4" a="1"/>
  <c r="FS15" i="4" a="1"/>
  <c r="HB15" i="4" a="1"/>
  <c r="FZ16" i="4" a="1"/>
  <c r="GZ16" i="4" a="1"/>
  <c r="GJ7" i="4" a="1"/>
  <c r="FX13" i="4" a="1"/>
  <c r="FX15" i="4" a="1"/>
  <c r="GU9" i="4" a="1"/>
  <c r="FG14" i="4" a="1"/>
  <c r="GI15" i="4" a="1"/>
  <c r="HG15" i="4" a="1"/>
  <c r="GC16" i="4" a="1"/>
  <c r="HA16" i="4" a="1"/>
  <c r="BC55" i="3"/>
  <c r="BC84" i="3"/>
  <c r="BC69" i="3"/>
  <c r="BD84" i="3"/>
  <c r="BD58" i="3"/>
  <c r="BD95" i="3"/>
  <c r="Z112" i="2"/>
  <c r="BC67" i="3"/>
  <c r="BD66" i="3"/>
  <c r="GZ15" i="4" a="1"/>
  <c r="BM74" i="3"/>
  <c r="BD49" i="3"/>
  <c r="BI97" i="3"/>
  <c r="BC60" i="3"/>
  <c r="BH82" i="3"/>
  <c r="BL79" i="3"/>
  <c r="BI57" i="3"/>
  <c r="BQ63" i="3"/>
  <c r="BR54" i="3"/>
  <c r="BN65" i="3"/>
  <c r="BO90" i="3"/>
  <c r="BS96" i="3"/>
  <c r="BU69" i="3"/>
  <c r="BR88" i="3"/>
  <c r="BR90" i="3"/>
  <c r="BV68" i="3"/>
  <c r="BV97" i="3"/>
  <c r="BT79" i="3"/>
  <c r="BN67" i="3"/>
  <c r="BN71" i="3"/>
  <c r="BP75" i="3"/>
  <c r="BO85" i="3"/>
  <c r="BS79" i="3"/>
  <c r="BH89" i="3"/>
  <c r="BI71" i="3"/>
  <c r="BF74" i="3"/>
  <c r="CL179" i="1" s="1"/>
  <c r="BJ68" i="3"/>
  <c r="BJ57" i="3"/>
  <c r="BK75" i="3"/>
  <c r="BK95" i="3"/>
  <c r="FP5" i="4" a="1"/>
  <c r="HH6" i="4" a="1"/>
  <c r="HE12" i="4" a="1"/>
  <c r="HB5" i="4" a="1"/>
  <c r="GJ9" i="4" a="1"/>
  <c r="FK13" i="4" a="1"/>
  <c r="FK6" i="4" a="1"/>
  <c r="GB7" i="4" a="1"/>
  <c r="FI7" i="4" a="1"/>
  <c r="FH7" i="4" a="1"/>
  <c r="FP11" i="4" a="1"/>
  <c r="FQ5" i="4" a="1"/>
  <c r="FW8" i="4" a="1"/>
  <c r="GY7" i="4" a="1"/>
  <c r="FJ5" i="4" a="1"/>
  <c r="GO8" i="4" a="1"/>
  <c r="FS7" i="4" a="1"/>
  <c r="FG11" i="4" a="1"/>
  <c r="FO12" i="4" a="1"/>
  <c r="GG13" i="4" a="1"/>
  <c r="GI11" i="4" a="1"/>
  <c r="GN12" i="4" a="1"/>
  <c r="HF13" i="4" a="1"/>
  <c r="HH14" i="4" a="1"/>
  <c r="HB12" i="4" a="1"/>
  <c r="GC15" i="4" a="1"/>
  <c r="HD15" i="4" a="1"/>
  <c r="GB16" i="4" a="1"/>
  <c r="HD16" i="4" a="1"/>
  <c r="FV8" i="4" a="1"/>
  <c r="GS13" i="4" a="1"/>
  <c r="GA15" i="4" a="1"/>
  <c r="FI11" i="4" a="1"/>
  <c r="FR14" i="4" a="1"/>
  <c r="GK15" i="4" a="1"/>
  <c r="FG16" i="4" a="1"/>
  <c r="GE16" i="4" a="1"/>
  <c r="HC16" i="4" a="1"/>
  <c r="BC54" i="3"/>
  <c r="BC83" i="3"/>
  <c r="BC74" i="3"/>
  <c r="BD72" i="3"/>
  <c r="BD67" i="3"/>
  <c r="BD90" i="3"/>
  <c r="FU8" i="4" a="1"/>
  <c r="GP11" i="4" a="1"/>
  <c r="GO13" i="4" a="1"/>
  <c r="GF13" i="4" a="1"/>
  <c r="HH16" i="4" a="1"/>
  <c r="FK14" i="4" a="1"/>
  <c r="GW11" i="4" a="1"/>
  <c r="GO15" i="4" a="1"/>
  <c r="FK16" i="4" a="1"/>
  <c r="GI16" i="4" a="1"/>
  <c r="HG16" i="4" a="1"/>
  <c r="BC90" i="3"/>
  <c r="BD96" i="3"/>
  <c r="GT11" i="4" a="1"/>
  <c r="GJ16" i="4" a="1"/>
  <c r="HE7" i="4" a="1"/>
  <c r="FV14" i="4" a="1"/>
  <c r="GD12" i="4" a="1"/>
  <c r="GM14" i="4" a="1"/>
  <c r="GQ15" i="4" a="1"/>
  <c r="BC70" i="3"/>
  <c r="BD87" i="3"/>
  <c r="BD71" i="3"/>
  <c r="BC68" i="3"/>
  <c r="BD97" i="3"/>
  <c r="FP15" i="4" a="1"/>
  <c r="HD13" i="4" a="1"/>
  <c r="BD81" i="3"/>
  <c r="BM90" i="3"/>
  <c r="BD78" i="3"/>
  <c r="BI48" i="3"/>
  <c r="BD86" i="3"/>
  <c r="BH56" i="3"/>
  <c r="BE66" i="3"/>
  <c r="BI55" i="3"/>
  <c r="BQ94" i="3"/>
  <c r="BV71" i="3"/>
  <c r="BO59" i="3"/>
  <c r="BO92" i="3"/>
  <c r="BS93" i="3"/>
  <c r="BU82" i="3"/>
  <c r="BR86" i="3"/>
  <c r="BR94" i="3"/>
  <c r="BV80" i="3"/>
  <c r="BV87" i="3"/>
  <c r="BT81" i="3"/>
  <c r="BN95" i="3"/>
  <c r="BN96" i="3"/>
  <c r="BP74" i="3"/>
  <c r="BO56" i="3"/>
  <c r="BS54" i="3"/>
  <c r="BL95" i="3"/>
  <c r="BI56" i="3"/>
  <c r="BF58" i="3"/>
  <c r="CL161" i="1" s="1"/>
  <c r="BJ70" i="3"/>
  <c r="BJ61" i="3"/>
  <c r="BK59" i="3"/>
  <c r="BK97" i="3"/>
  <c r="GQ5" i="4" a="1"/>
  <c r="GQ7" i="4" a="1"/>
  <c r="GA13" i="4" a="1"/>
  <c r="HD6" i="4" a="1"/>
  <c r="GX6" i="4" a="1"/>
  <c r="HG13" i="4" a="1"/>
  <c r="GI6" i="4" a="1"/>
  <c r="GN8" i="4" a="1"/>
  <c r="GP8" i="4" a="1"/>
  <c r="HD7" i="4" a="1"/>
  <c r="FX11" i="4" a="1"/>
  <c r="FN5" i="4" a="1"/>
  <c r="FT6" i="4" a="1"/>
  <c r="GN9" i="4" a="1"/>
  <c r="FR5" i="4" a="1"/>
  <c r="GW6" i="4" a="1"/>
  <c r="FS9" i="4" a="1"/>
  <c r="FK11" i="4" a="1"/>
  <c r="GE12" i="4" a="1"/>
  <c r="GJ13" i="4" a="1"/>
  <c r="GL11" i="4" a="1"/>
  <c r="HD12" i="4" a="1"/>
  <c r="FI14" i="4" a="1"/>
  <c r="FO6" i="4" a="1"/>
  <c r="FU13" i="4" a="1"/>
  <c r="GF15" i="4" a="1"/>
  <c r="HF15" i="4" a="1"/>
  <c r="GF16" i="4" a="1"/>
  <c r="HF16" i="4" a="1"/>
  <c r="HB8" i="4" a="1"/>
  <c r="HH13" i="4" a="1"/>
  <c r="GD15" i="4" a="1"/>
  <c r="FY11" i="4" a="1"/>
  <c r="FW14" i="4" a="1"/>
  <c r="GM15" i="4" a="1"/>
  <c r="FI16" i="4" a="1"/>
  <c r="GG16" i="4" a="1"/>
  <c r="HE16" i="4" a="1"/>
  <c r="BC96" i="3"/>
  <c r="BC78" i="3"/>
  <c r="BC87" i="3"/>
  <c r="BD60" i="3"/>
  <c r="BD63" i="3"/>
  <c r="BO68" i="3"/>
  <c r="BU80" i="3"/>
  <c r="BR48" i="3"/>
  <c r="BR97" i="3"/>
  <c r="BV76" i="3"/>
  <c r="BV66" i="3"/>
  <c r="BT82" i="3"/>
  <c r="BN59" i="3"/>
  <c r="BN70" i="3"/>
  <c r="BO73" i="3"/>
  <c r="BK67" i="3"/>
  <c r="BK47" i="3"/>
  <c r="FG9" i="4" a="1"/>
  <c r="GQ13" i="4" a="1"/>
  <c r="GE7" i="4" a="1"/>
  <c r="GC14" i="4" a="1"/>
  <c r="HB6" i="4" a="1"/>
  <c r="FJ9" i="4" a="1"/>
  <c r="FZ5" i="4" a="1"/>
  <c r="GD5" i="4" a="1"/>
  <c r="GH12" i="4" a="1"/>
  <c r="FG13" i="4" a="1"/>
  <c r="FL14" i="4" a="1"/>
  <c r="FH16" i="4" a="1"/>
  <c r="BB84" i="3"/>
  <c r="BD83" i="3"/>
  <c r="BI78" i="3"/>
  <c r="BD61" i="3"/>
  <c r="BL77" i="3"/>
  <c r="BE94" i="3"/>
  <c r="BI59" i="3"/>
  <c r="BQ92" i="3"/>
  <c r="BV59" i="3"/>
  <c r="BO95" i="3"/>
  <c r="BS92" i="3"/>
  <c r="BP82" i="3"/>
  <c r="BS94" i="3"/>
  <c r="BL85" i="3"/>
  <c r="BI75" i="3"/>
  <c r="BF64" i="3"/>
  <c r="CL197" i="1" s="1"/>
  <c r="BJ96" i="3"/>
  <c r="BJ65" i="3"/>
  <c r="HG5" i="4" a="1"/>
  <c r="GR7" i="4" a="1"/>
  <c r="GO9" i="4" a="1"/>
  <c r="HD5" i="4" a="1"/>
  <c r="GR6" i="4" a="1"/>
  <c r="HC11" i="4" a="1"/>
  <c r="HB7" i="4" a="1"/>
  <c r="FO11" i="4" a="1"/>
  <c r="GQ11" i="4" a="1"/>
  <c r="FY7" i="4" a="1"/>
  <c r="GH15" i="4" a="1"/>
  <c r="GH16" i="4" a="1"/>
  <c r="FV9" i="4" a="1"/>
  <c r="FM11" i="4" a="1"/>
  <c r="GH14" i="4" a="1"/>
  <c r="BC88" i="3"/>
  <c r="BC93" i="3"/>
  <c r="BD74" i="3"/>
  <c r="GM12" i="4" a="1"/>
  <c r="HH11" i="4" a="1"/>
  <c r="GK16" i="4" a="1"/>
  <c r="BC81" i="3"/>
  <c r="FO16" i="4" a="1"/>
  <c r="BD59" i="3"/>
  <c r="FS14" i="4" a="1"/>
  <c r="BB70" i="3"/>
  <c r="BD55" i="3"/>
  <c r="BB91" i="3"/>
  <c r="BQ47" i="3"/>
  <c r="BL55" i="3"/>
  <c r="BE86" i="3"/>
  <c r="BI76" i="3"/>
  <c r="BQ64" i="3"/>
  <c r="BV77" i="3"/>
  <c r="BO71" i="3"/>
  <c r="BS71" i="3"/>
  <c r="BS86" i="3"/>
  <c r="BU86" i="3"/>
  <c r="BR78" i="3"/>
  <c r="BR73" i="3"/>
  <c r="BV58" i="3"/>
  <c r="BT59" i="3"/>
  <c r="BT83" i="3"/>
  <c r="BN80" i="3"/>
  <c r="BN72" i="3"/>
  <c r="BP85" i="3"/>
  <c r="BO60" i="3"/>
  <c r="BS58" i="3"/>
  <c r="BE79" i="3"/>
  <c r="BI77" i="3"/>
  <c r="BF62" i="3"/>
  <c r="CL166" i="1" s="1"/>
  <c r="BJ95" i="3"/>
  <c r="BJ67" i="3"/>
  <c r="BK58" i="3"/>
  <c r="BK96" i="3"/>
  <c r="HF7" i="4" a="1"/>
  <c r="GH6" i="4" a="1"/>
  <c r="FH14" i="4" a="1"/>
  <c r="GX7" i="4" a="1"/>
  <c r="FT8" i="4" a="1"/>
  <c r="HD14" i="4" a="1"/>
  <c r="FX7" i="4" a="1"/>
  <c r="GK9" i="4" a="1"/>
  <c r="FI5" i="4" a="1"/>
  <c r="GG8" i="4" a="1"/>
  <c r="GU6" i="4" a="1"/>
  <c r="GJ5" i="4" a="1"/>
  <c r="GL7" i="4" a="1"/>
  <c r="FY12" i="4" a="1"/>
  <c r="GY5" i="4" a="1"/>
  <c r="FT9" i="4" a="1"/>
  <c r="FL12" i="4" a="1"/>
  <c r="FS11" i="4" a="1"/>
  <c r="GR13" i="4" a="1"/>
  <c r="FJ13" i="4" a="1"/>
  <c r="FQ14" i="4" a="1"/>
  <c r="FN8" i="4" a="1"/>
  <c r="HA13" i="4" a="1"/>
  <c r="GL15" i="4" a="1"/>
  <c r="FJ16" i="4" a="1"/>
  <c r="GQ9" i="4" a="1"/>
  <c r="FM16" i="4" a="1"/>
  <c r="GL8" i="4" a="1"/>
  <c r="BC91" i="3"/>
  <c r="GG9" i="4" a="1"/>
  <c r="GX16" i="4" a="1"/>
  <c r="GY16" i="4" a="1"/>
  <c r="BD57" i="3"/>
  <c r="BB48" i="3"/>
  <c r="BU54" i="3"/>
  <c r="BB57" i="3"/>
  <c r="BQ57" i="3"/>
  <c r="BL93" i="3"/>
  <c r="BE80" i="3"/>
  <c r="BF47" i="3"/>
  <c r="BQ82" i="3"/>
  <c r="BV60" i="3"/>
  <c r="BO76" i="3"/>
  <c r="BS80" i="3"/>
  <c r="BS82" i="3"/>
  <c r="BU83" i="3"/>
  <c r="BR76" i="3"/>
  <c r="BR83" i="3"/>
  <c r="BV61" i="3"/>
  <c r="BT67" i="3"/>
  <c r="BT85" i="3"/>
  <c r="BN50" i="3"/>
  <c r="BN63" i="3"/>
  <c r="BF69" i="3"/>
  <c r="BO86" i="3"/>
  <c r="BP55" i="3"/>
  <c r="BE54" i="3"/>
  <c r="BI60" i="3"/>
  <c r="BF57" i="3"/>
  <c r="CL160" i="1" s="1"/>
  <c r="BJ89" i="3"/>
  <c r="BJ77" i="3"/>
  <c r="BK85" i="3"/>
  <c r="BK63" i="3"/>
  <c r="GR5" i="4" a="1"/>
  <c r="FQ7" i="4" a="1"/>
  <c r="GF14" i="4" a="1"/>
  <c r="HG6" i="4" a="1"/>
  <c r="GR8" i="4" a="1"/>
  <c r="GS9" i="4" a="1"/>
  <c r="GV7" i="4" a="1"/>
  <c r="GS5" i="4" a="1"/>
  <c r="FY5" i="4" a="1"/>
  <c r="FR6" i="4" a="1"/>
  <c r="FH9" i="4" a="1"/>
  <c r="FZ7" i="4" a="1"/>
  <c r="FO9" i="4" a="1"/>
  <c r="GZ12" i="4" a="1"/>
  <c r="GM7" i="4" a="1"/>
  <c r="GM9" i="4" a="1"/>
  <c r="GR12" i="4" a="1"/>
  <c r="GK11" i="4" a="1"/>
  <c r="GP12" i="4" a="1"/>
  <c r="GW13" i="4" a="1"/>
  <c r="FH12" i="4" a="1"/>
  <c r="FO13" i="4" a="1"/>
  <c r="FT14" i="4" a="1"/>
  <c r="GT8" i="4" a="1"/>
  <c r="FZ14" i="4" a="1"/>
  <c r="GN15" i="4" a="1"/>
  <c r="FL16" i="4" a="1"/>
  <c r="GL16" i="4" a="1"/>
  <c r="GO11" i="4" a="1"/>
  <c r="HG9" i="4" a="1"/>
  <c r="GA14" i="4" a="1"/>
  <c r="GC13" i="4" a="1"/>
  <c r="GA12" i="4" a="1"/>
  <c r="GX14" i="4" a="1"/>
  <c r="GS15" i="4" a="1"/>
  <c r="GM16" i="4" a="1"/>
  <c r="BC77" i="3"/>
  <c r="BD79" i="3"/>
  <c r="BC76" i="3"/>
  <c r="GZ14" i="4" a="1"/>
  <c r="GG15" i="4" a="1"/>
  <c r="BC79" i="3"/>
  <c r="BA65" i="3"/>
  <c r="BG74" i="3"/>
  <c r="BU68" i="3"/>
  <c r="BB86" i="3"/>
  <c r="BQ88" i="3"/>
  <c r="BL57" i="3"/>
  <c r="BE50" i="3"/>
  <c r="BF76" i="3"/>
  <c r="BQ75" i="3"/>
  <c r="BT74" i="3"/>
  <c r="BO80" i="3"/>
  <c r="BS73" i="3"/>
  <c r="BS57" i="3"/>
  <c r="BU90" i="3"/>
  <c r="BR59" i="3"/>
  <c r="BR87" i="3"/>
  <c r="BV74" i="3"/>
  <c r="BT72" i="3"/>
  <c r="BT62" i="3"/>
  <c r="BN93" i="3"/>
  <c r="BN69" i="3"/>
  <c r="BF55" i="3"/>
  <c r="BO64" i="3"/>
  <c r="BP63" i="3"/>
  <c r="BE89" i="3"/>
  <c r="BM69" i="3"/>
  <c r="BF72" i="3"/>
  <c r="CL177" i="1" s="1"/>
  <c r="BJ93" i="3"/>
  <c r="BJ79" i="3"/>
  <c r="BK80" i="3"/>
  <c r="BK71" i="3"/>
  <c r="FN6" i="4" a="1"/>
  <c r="GH9" i="4" a="1"/>
  <c r="FR15" i="4" a="1"/>
  <c r="GC7" i="4" a="1"/>
  <c r="GP9" i="4" a="1"/>
  <c r="FG5" i="4" a="1"/>
  <c r="GC8" i="4" a="1"/>
  <c r="GK5" i="4" a="1"/>
  <c r="FT5" i="4" a="1"/>
  <c r="FK7" i="4" a="1"/>
  <c r="FI12" i="4" a="1"/>
  <c r="HC7" i="4" a="1"/>
  <c r="FJ6" i="4" a="1"/>
  <c r="FV13" i="4" a="1"/>
  <c r="FL8" i="4" a="1"/>
  <c r="FL7" i="4" a="1"/>
  <c r="FN13" i="4" a="1"/>
  <c r="GN11" i="4" a="1"/>
  <c r="GU12" i="4" a="1"/>
  <c r="GZ13" i="4" a="1"/>
  <c r="FM12" i="4" a="1"/>
  <c r="FR13" i="4" a="1"/>
  <c r="FY14" i="4" a="1"/>
  <c r="FQ9" i="4" a="1"/>
  <c r="GE14" i="4" a="1"/>
  <c r="GP15" i="4" a="1"/>
  <c r="FN16" i="4" a="1"/>
  <c r="GN16" i="4" a="1"/>
  <c r="FS12" i="4" a="1"/>
  <c r="FU11" i="4" a="1"/>
  <c r="GL14" i="4" a="1"/>
  <c r="HE13" i="4" a="1"/>
  <c r="GL12" i="4" a="1"/>
  <c r="HC14" i="4" a="1"/>
  <c r="GU15" i="4" a="1"/>
  <c r="FQ16" i="4" a="1"/>
  <c r="GO16" i="4" a="1"/>
  <c r="GY9" i="4" a="1"/>
  <c r="BC95" i="3"/>
  <c r="BC61" i="3"/>
  <c r="BG57" i="3"/>
  <c r="BU79" i="3"/>
  <c r="BA64" i="3"/>
  <c r="BH65" i="3"/>
  <c r="BL76" i="3"/>
  <c r="BE76" i="3"/>
  <c r="BF61" i="3"/>
  <c r="BQ78" i="3"/>
  <c r="BT69" i="3"/>
  <c r="BO94" i="3"/>
  <c r="BS68" i="3"/>
  <c r="BS50" i="3"/>
  <c r="BU92" i="3"/>
  <c r="BR75" i="3"/>
  <c r="BV79" i="3"/>
  <c r="BV82" i="3"/>
  <c r="BT76" i="3"/>
  <c r="BT89" i="3"/>
  <c r="BN75" i="3"/>
  <c r="BN73" i="3"/>
  <c r="BF48" i="3"/>
  <c r="BO96" i="3"/>
  <c r="BG82" i="3"/>
  <c r="BE58" i="3"/>
  <c r="BM75" i="3"/>
  <c r="BF70" i="3"/>
  <c r="CL175" i="1" s="1"/>
  <c r="BJ97" i="3"/>
  <c r="BJ81" i="3"/>
  <c r="BK76" i="3"/>
  <c r="BK89" i="3"/>
  <c r="GL6" i="4" a="1"/>
  <c r="GX9" i="4" a="1"/>
  <c r="FT7" i="4" a="1"/>
  <c r="HA7" i="4" a="1"/>
  <c r="HB9" i="4" a="1"/>
  <c r="FU5" i="4" a="1"/>
  <c r="GM8" i="4" a="1"/>
  <c r="FH8" i="4" a="1"/>
  <c r="GF5" i="4" a="1"/>
  <c r="HG7" i="4" a="1"/>
  <c r="GG12" i="4" a="1"/>
  <c r="GZ5" i="4" a="1"/>
  <c r="GG7" i="4" a="1"/>
  <c r="GT13" i="4" a="1"/>
  <c r="HH5" i="4" a="1"/>
  <c r="FK8" i="4" a="1"/>
  <c r="GL13" i="4" a="1"/>
  <c r="GS11" i="4" a="1"/>
  <c r="GX12" i="4" a="1"/>
  <c r="HE6" i="4" a="1"/>
  <c r="FP12" i="4" a="1"/>
  <c r="FW13" i="4" a="1"/>
  <c r="GB14" i="4" a="1"/>
  <c r="FQ11" i="4" a="1"/>
  <c r="GP14" i="4" a="1"/>
  <c r="GR15" i="4" a="1"/>
  <c r="FP16" i="4" a="1"/>
  <c r="GP16" i="4" a="1"/>
  <c r="FH13" i="4" a="1"/>
  <c r="GJ11" i="4" a="1"/>
  <c r="GQ14" i="4" a="1"/>
  <c r="GI14" i="4" a="1"/>
  <c r="HG12" i="4" a="1"/>
  <c r="FN15" i="4" a="1"/>
  <c r="GW15" i="4" a="1"/>
  <c r="FS16" i="4" a="1"/>
  <c r="GQ16" i="4" a="1"/>
  <c r="GC11" i="4" a="1"/>
  <c r="BC92" i="3"/>
  <c r="BC59" i="3"/>
  <c r="BC97" i="3"/>
  <c r="BD56" i="3"/>
  <c r="BD77" i="3"/>
  <c r="BK86" i="3"/>
  <c r="BK93" i="3"/>
  <c r="GY6" i="4" a="1"/>
  <c r="HH9" i="4" a="1"/>
  <c r="FS8" i="4" a="1"/>
  <c r="FL11" i="4" a="1"/>
  <c r="GT5" i="4" a="1"/>
  <c r="FW9" i="4" a="1"/>
  <c r="FV6" i="4" a="1"/>
  <c r="GE6" i="4" a="1"/>
  <c r="GJ8" i="4" a="1"/>
  <c r="GV5" i="4" a="1"/>
  <c r="HC12" i="4" a="1"/>
  <c r="FR16" i="4" a="1"/>
  <c r="HE11" i="4" a="1"/>
  <c r="FH15" i="4" a="1"/>
  <c r="FQ15" i="4" a="1"/>
  <c r="FU16" i="4" a="1"/>
  <c r="GS16" i="4" a="1"/>
  <c r="GZ11" i="4" a="1"/>
  <c r="BC75" i="3"/>
  <c r="BC62" i="3"/>
  <c r="BD65" i="3"/>
  <c r="BD80" i="3"/>
  <c r="BB93" i="3"/>
  <c r="GW9" i="4" a="1"/>
  <c r="GF12" i="4" a="1"/>
  <c r="FV15" i="4" a="1"/>
  <c r="FT15" i="4" a="1"/>
  <c r="HE15" i="4" a="1"/>
  <c r="BC64" i="3"/>
  <c r="CH182" i="1" l="1"/>
  <c r="CI182" i="1" s="1"/>
  <c r="AA253" i="1"/>
  <c r="CL140" i="1"/>
  <c r="CL162" i="1"/>
  <c r="CL180" i="1"/>
  <c r="CL69" i="1"/>
  <c r="CL49" i="1"/>
  <c r="CL234" i="1"/>
  <c r="CL207" i="1"/>
  <c r="CL236" i="1" s="1"/>
  <c r="CL235" i="1" s="1"/>
  <c r="CL212" i="1"/>
  <c r="CL299" i="1" s="1"/>
  <c r="CL231" i="1"/>
  <c r="CL195" i="1"/>
  <c r="CL170" i="1"/>
  <c r="CK68" i="1"/>
  <c r="CK43" i="1"/>
  <c r="CJ210" i="1"/>
  <c r="CJ206" i="1"/>
  <c r="KC16" i="4" s="1"/>
  <c r="JU16" i="4" s="1"/>
  <c r="JT16" i="4" s="1"/>
  <c r="CJ182" i="1"/>
  <c r="CJ159" i="1"/>
  <c r="KC14" i="4" s="1"/>
  <c r="KB16" i="4" s="1"/>
  <c r="KF9" i="4" s="1"/>
  <c r="KE9" i="4" s="1"/>
  <c r="KG7" i="4" s="1"/>
  <c r="KB9" i="4" s="1"/>
  <c r="CK116" i="1"/>
  <c r="CJ193" i="1"/>
  <c r="KA16" i="4" s="1"/>
  <c r="CJ160" i="1"/>
  <c r="CK160" i="1" s="1"/>
  <c r="CM160" i="1" s="1"/>
  <c r="CN160" i="1" s="1"/>
  <c r="CO160" i="1" s="1"/>
  <c r="CP160" i="1" s="1"/>
  <c r="CQ160" i="1" s="1"/>
  <c r="CR160" i="1" s="1"/>
  <c r="CS160" i="1" s="1"/>
  <c r="CT160" i="1" s="1"/>
  <c r="CU160" i="1" s="1"/>
  <c r="CV160" i="1" s="1"/>
  <c r="CW160" i="1" s="1"/>
  <c r="CX160" i="1" s="1"/>
  <c r="CY160" i="1" s="1"/>
  <c r="CZ160" i="1" s="1"/>
  <c r="DA160" i="1" s="1"/>
  <c r="DB160" i="1" s="1"/>
  <c r="KE16" i="4" s="1"/>
  <c r="CJ179" i="1"/>
  <c r="CK179" i="1" s="1"/>
  <c r="CM179" i="1" s="1"/>
  <c r="CN179" i="1" s="1"/>
  <c r="CO179" i="1" s="1"/>
  <c r="CP179" i="1" s="1"/>
  <c r="CQ179" i="1" s="1"/>
  <c r="CR179" i="1" s="1"/>
  <c r="CS179" i="1" s="1"/>
  <c r="CT179" i="1" s="1"/>
  <c r="CU179" i="1" s="1"/>
  <c r="CV179" i="1" s="1"/>
  <c r="CW179" i="1" s="1"/>
  <c r="CX179" i="1" s="1"/>
  <c r="CY179" i="1" s="1"/>
  <c r="CZ179" i="1" s="1"/>
  <c r="DA179" i="1" s="1"/>
  <c r="DB179" i="1" s="1"/>
  <c r="CJ211" i="1"/>
  <c r="CJ167" i="1"/>
  <c r="CK167" i="1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KG16" i="4" s="1"/>
  <c r="JY16" i="4" s="1"/>
  <c r="CJ189" i="1"/>
  <c r="CJ186" i="1"/>
  <c r="CJ230" i="1" s="1"/>
  <c r="CK230" i="1" s="1"/>
  <c r="CJ205" i="1"/>
  <c r="KC15" i="4" s="1"/>
  <c r="JZ16" i="4" s="1"/>
  <c r="CJ214" i="1"/>
  <c r="CK214" i="1" s="1"/>
  <c r="CM214" i="1" s="1"/>
  <c r="CN214" i="1" s="1"/>
  <c r="CO214" i="1" s="1"/>
  <c r="CP214" i="1" s="1"/>
  <c r="CQ214" i="1" s="1"/>
  <c r="CR214" i="1" s="1"/>
  <c r="CS214" i="1" s="1"/>
  <c r="CT214" i="1" s="1"/>
  <c r="CU214" i="1" s="1"/>
  <c r="CV214" i="1" s="1"/>
  <c r="CW214" i="1" s="1"/>
  <c r="KH16" i="4" s="1"/>
  <c r="CJ168" i="1"/>
  <c r="CK168" i="1" s="1"/>
  <c r="CM168" i="1" s="1"/>
  <c r="CN168" i="1" s="1"/>
  <c r="CO168" i="1" s="1"/>
  <c r="CP168" i="1" s="1"/>
  <c r="CQ168" i="1" s="1"/>
  <c r="CR168" i="1" s="1"/>
  <c r="CS168" i="1" s="1"/>
  <c r="CT168" i="1" s="1"/>
  <c r="CU168" i="1" s="1"/>
  <c r="CV168" i="1" s="1"/>
  <c r="CW168" i="1" s="1"/>
  <c r="CX168" i="1" s="1"/>
  <c r="CY168" i="1" s="1"/>
  <c r="CZ168" i="1" s="1"/>
  <c r="DA168" i="1" s="1"/>
  <c r="DB168" i="1" s="1"/>
  <c r="CJ177" i="1"/>
  <c r="CK177" i="1" s="1"/>
  <c r="CM177" i="1" s="1"/>
  <c r="CN177" i="1" s="1"/>
  <c r="CO177" i="1" s="1"/>
  <c r="CP177" i="1" s="1"/>
  <c r="CQ177" i="1" s="1"/>
  <c r="CR177" i="1" s="1"/>
  <c r="CS177" i="1" s="1"/>
  <c r="CT177" i="1" s="1"/>
  <c r="CU177" i="1" s="1"/>
  <c r="CV177" i="1" s="1"/>
  <c r="CW177" i="1" s="1"/>
  <c r="CX177" i="1" s="1"/>
  <c r="CY177" i="1" s="1"/>
  <c r="CZ177" i="1" s="1"/>
  <c r="DA177" i="1" s="1"/>
  <c r="DB177" i="1" s="1"/>
  <c r="KA15" i="4" s="1"/>
  <c r="JU7" i="4" s="1"/>
  <c r="JZ9" i="4" s="1"/>
  <c r="CJ115" i="1"/>
  <c r="CJ202" i="1"/>
  <c r="CJ215" i="1"/>
  <c r="CK215" i="1" s="1"/>
  <c r="CM215" i="1" s="1"/>
  <c r="CN215" i="1" s="1"/>
  <c r="CO215" i="1" s="1"/>
  <c r="CP215" i="1" s="1"/>
  <c r="CQ215" i="1" s="1"/>
  <c r="CR215" i="1" s="1"/>
  <c r="CS215" i="1" s="1"/>
  <c r="CT215" i="1" s="1"/>
  <c r="CU215" i="1" s="1"/>
  <c r="CV215" i="1" s="1"/>
  <c r="CW215" i="1" s="1"/>
  <c r="CX215" i="1" s="1"/>
  <c r="CY215" i="1" s="1"/>
  <c r="CZ215" i="1" s="1"/>
  <c r="DA215" i="1" s="1"/>
  <c r="DB215" i="1" s="1"/>
  <c r="CJ161" i="1"/>
  <c r="CJ188" i="1"/>
  <c r="KG14" i="4" s="1"/>
  <c r="KG9" i="4" s="1"/>
  <c r="JQ9" i="4" s="1"/>
  <c r="JR8" i="4" s="1"/>
  <c r="JY7" i="4" s="1"/>
  <c r="X115" i="1"/>
  <c r="JS15" i="4" s="1"/>
  <c r="KD16" i="4" s="1"/>
  <c r="JX9" i="4" s="1"/>
  <c r="JU9" i="4" s="1"/>
  <c r="KE7" i="4" s="1"/>
  <c r="Z116" i="1"/>
  <c r="CJ176" i="1"/>
  <c r="CK75" i="1" s="1"/>
  <c r="CJ201" i="1"/>
  <c r="CJ197" i="1"/>
  <c r="KH14" i="4" s="1"/>
  <c r="JV9" i="4" s="1"/>
  <c r="Z115" i="1"/>
  <c r="JW16" i="4" s="1"/>
  <c r="CJ196" i="1"/>
  <c r="CJ234" i="1" s="1"/>
  <c r="CK234" i="1" s="1"/>
  <c r="CJ187" i="1"/>
  <c r="Y116" i="1"/>
  <c r="CI116" i="1"/>
  <c r="CH115" i="1"/>
  <c r="CJ116" i="1"/>
  <c r="CJ203" i="1"/>
  <c r="CJ166" i="1"/>
  <c r="CK166" i="1" s="1"/>
  <c r="CM166" i="1" s="1"/>
  <c r="CG115" i="1"/>
  <c r="CG116" i="1"/>
  <c r="KF16" i="4" s="1"/>
  <c r="JX16" i="4" s="1"/>
  <c r="CJ175" i="1"/>
  <c r="CK175" i="1" s="1"/>
  <c r="CM175" i="1" s="1"/>
  <c r="CN175" i="1" s="1"/>
  <c r="CO175" i="1" s="1"/>
  <c r="CP175" i="1" s="1"/>
  <c r="CI115" i="1"/>
  <c r="JR14" i="4" s="1"/>
  <c r="KA14" i="4" s="1"/>
  <c r="CK115" i="1"/>
  <c r="CJ169" i="1"/>
  <c r="CK169" i="1" s="1"/>
  <c r="CM169" i="1" s="1"/>
  <c r="CN169" i="1" s="1"/>
  <c r="CO169" i="1" s="1"/>
  <c r="CP169" i="1" s="1"/>
  <c r="CQ169" i="1" s="1"/>
  <c r="CR169" i="1" s="1"/>
  <c r="CS169" i="1" s="1"/>
  <c r="CT169" i="1" s="1"/>
  <c r="CU169" i="1" s="1"/>
  <c r="CV169" i="1" s="1"/>
  <c r="CW169" i="1" s="1"/>
  <c r="CX169" i="1" s="1"/>
  <c r="CY169" i="1" s="1"/>
  <c r="CZ169" i="1" s="1"/>
  <c r="DA169" i="1" s="1"/>
  <c r="DB169" i="1" s="1"/>
  <c r="KD9" i="4" s="1"/>
  <c r="JT14" i="4" s="1"/>
  <c r="KA8" i="4" s="1"/>
  <c r="CJ185" i="1"/>
  <c r="CJ231" i="1" s="1"/>
  <c r="CK231" i="1" s="1"/>
  <c r="CH116" i="1"/>
  <c r="CI8" i="1"/>
  <c r="CK140" i="1"/>
  <c r="CX6" i="1"/>
  <c r="AD6" i="1" s="1"/>
  <c r="AD7" i="1" s="1"/>
  <c r="CW7" i="1"/>
  <c r="CW41" i="1" s="1"/>
  <c r="CH8" i="1"/>
  <c r="X195" i="1"/>
  <c r="X233" i="1" s="1"/>
  <c r="Y195" i="1"/>
  <c r="CH186" i="1"/>
  <c r="CH195" i="1" s="1"/>
  <c r="Z195" i="1"/>
  <c r="X230" i="1"/>
  <c r="CH168" i="1"/>
  <c r="CI168" i="1" s="1"/>
  <c r="CI170" i="1" s="1"/>
  <c r="Z201" i="1"/>
  <c r="CH201" i="1" s="1"/>
  <c r="CH207" i="1" s="1"/>
  <c r="CH236" i="1" s="1"/>
  <c r="Z68" i="1"/>
  <c r="CM53" i="1"/>
  <c r="CQ53" i="1" s="1"/>
  <c r="CU53" i="1" s="1"/>
  <c r="CY53" i="1" s="1"/>
  <c r="CI68" i="1"/>
  <c r="CP53" i="1"/>
  <c r="CT53" i="1" s="1"/>
  <c r="CX53" i="1" s="1"/>
  <c r="DB53" i="1" s="1"/>
  <c r="CH68" i="1"/>
  <c r="CN53" i="1"/>
  <c r="CR53" i="1" s="1"/>
  <c r="CV53" i="1" s="1"/>
  <c r="CZ53" i="1" s="1"/>
  <c r="CJ68" i="1"/>
  <c r="CO53" i="1"/>
  <c r="CS53" i="1" s="1"/>
  <c r="CW53" i="1" s="1"/>
  <c r="DA53" i="1" s="1"/>
  <c r="CG68" i="1"/>
  <c r="Y68" i="1"/>
  <c r="X68" i="1"/>
  <c r="Y234" i="1"/>
  <c r="X304" i="1"/>
  <c r="X8" i="1"/>
  <c r="Y282" i="1"/>
  <c r="Y8" i="1"/>
  <c r="Y212" i="1"/>
  <c r="Z260" i="1" s="1"/>
  <c r="Y304" i="1"/>
  <c r="X43" i="1"/>
  <c r="X140" i="1" s="1"/>
  <c r="X234" i="1"/>
  <c r="X282" i="1"/>
  <c r="Z303" i="1"/>
  <c r="Y224" i="1"/>
  <c r="Y176" i="1"/>
  <c r="Y180" i="1" s="1"/>
  <c r="X231" i="1"/>
  <c r="X303" i="1"/>
  <c r="Y303" i="1"/>
  <c r="X224" i="1"/>
  <c r="Y43" i="1"/>
  <c r="Y140" i="1" s="1"/>
  <c r="CG282" i="1"/>
  <c r="CG8" i="1"/>
  <c r="CH212" i="1"/>
  <c r="CI260" i="1" s="1"/>
  <c r="Z231" i="1"/>
  <c r="Y230" i="1"/>
  <c r="Z234" i="1"/>
  <c r="Z304" i="1"/>
  <c r="Z230" i="1"/>
  <c r="Z212" i="1"/>
  <c r="AA260" i="1" s="1"/>
  <c r="Z162" i="1"/>
  <c r="Z282" i="1"/>
  <c r="Z173" i="1"/>
  <c r="Z176" i="1" s="1"/>
  <c r="CG245" i="1"/>
  <c r="CG304" i="1"/>
  <c r="Y207" i="1"/>
  <c r="CH304" i="1"/>
  <c r="CG303" i="1"/>
  <c r="X176" i="1"/>
  <c r="CI282" i="1"/>
  <c r="CI43" i="1"/>
  <c r="CJ140" i="1"/>
  <c r="Y253" i="1"/>
  <c r="Y231" i="1"/>
  <c r="CG43" i="1"/>
  <c r="Z224" i="1"/>
  <c r="Z43" i="1"/>
  <c r="X207" i="1"/>
  <c r="Y162" i="1"/>
  <c r="X170" i="1"/>
  <c r="X212" i="1"/>
  <c r="X162" i="1"/>
  <c r="X226" i="1" s="1"/>
  <c r="Y170" i="1"/>
  <c r="CI174" i="1"/>
  <c r="CJ174" i="1" s="1"/>
  <c r="CH303" i="1"/>
  <c r="CH43" i="1"/>
  <c r="CL44" i="1" s="1"/>
  <c r="CI303" i="1"/>
  <c r="CJ304" i="1"/>
  <c r="CH282" i="1"/>
  <c r="CJ282" i="1"/>
  <c r="CI304" i="1"/>
  <c r="CH231" i="1"/>
  <c r="CI231" i="1" s="1"/>
  <c r="CH234" i="1"/>
  <c r="CI234" i="1" s="1"/>
  <c r="CJ303" i="1"/>
  <c r="CJ43" i="1"/>
  <c r="Y115" i="1"/>
  <c r="X116" i="1"/>
  <c r="Z253" i="1"/>
  <c r="CJ245" i="1"/>
  <c r="Z170" i="1"/>
  <c r="CI253" i="1"/>
  <c r="CH162" i="1"/>
  <c r="JP15" i="4"/>
  <c r="JP14" i="4"/>
  <c r="JP8" i="4"/>
  <c r="JP7" i="4"/>
  <c r="JP21" i="4"/>
  <c r="CJ119" i="1" s="1"/>
  <c r="JO21" i="4"/>
  <c r="CI119" i="1" s="1"/>
  <c r="JO7" i="4"/>
  <c r="JO15" i="4"/>
  <c r="JO14" i="4"/>
  <c r="JO8" i="4"/>
  <c r="JN21" i="4"/>
  <c r="CH119" i="1" s="1"/>
  <c r="JN15" i="4"/>
  <c r="JN14" i="4"/>
  <c r="JN7" i="4"/>
  <c r="JN8" i="4"/>
  <c r="CB46" i="1"/>
  <c r="CK49" i="1" l="1"/>
  <c r="CL52" i="1" s="1"/>
  <c r="Z233" i="1"/>
  <c r="AA247" i="1"/>
  <c r="Z226" i="1"/>
  <c r="AA258" i="1"/>
  <c r="AA239" i="1"/>
  <c r="AA44" i="1"/>
  <c r="AA257" i="1"/>
  <c r="AA300" i="1"/>
  <c r="JX21" i="4"/>
  <c r="KD7" i="4" s="1"/>
  <c r="JQ7" i="4" s="1"/>
  <c r="JR9" i="4" s="1"/>
  <c r="JT9" i="4" s="1"/>
  <c r="JT21" i="4" s="1"/>
  <c r="KH9" i="4" s="1"/>
  <c r="KH21" i="4" s="1"/>
  <c r="JU8" i="4" s="1"/>
  <c r="KE21" i="4"/>
  <c r="JY9" i="4" s="1"/>
  <c r="KD21" i="4"/>
  <c r="JS7" i="4"/>
  <c r="KG15" i="4"/>
  <c r="JX15" i="4"/>
  <c r="KF15" i="4"/>
  <c r="KD14" i="4"/>
  <c r="KD19" i="4" s="1"/>
  <c r="JZ8" i="4"/>
  <c r="CK44" i="1"/>
  <c r="CJ173" i="1"/>
  <c r="CK173" i="1" s="1"/>
  <c r="JV14" i="4"/>
  <c r="KB14" i="4"/>
  <c r="CJ253" i="1"/>
  <c r="CK182" i="1"/>
  <c r="CL70" i="1"/>
  <c r="CL15" i="1" s="1"/>
  <c r="CL50" i="1"/>
  <c r="CL233" i="1"/>
  <c r="CL208" i="1"/>
  <c r="CL216" i="1" s="1"/>
  <c r="CL297" i="1"/>
  <c r="CL219" i="1"/>
  <c r="CL151" i="1" s="1"/>
  <c r="CL171" i="1"/>
  <c r="CJ212" i="1"/>
  <c r="CK260" i="1" s="1"/>
  <c r="JZ14" i="4"/>
  <c r="KF21" i="4"/>
  <c r="JY14" i="4"/>
  <c r="JY19" i="4" s="1"/>
  <c r="JW14" i="4"/>
  <c r="KF14" i="4"/>
  <c r="KB15" i="4"/>
  <c r="JY8" i="4"/>
  <c r="JQ14" i="4"/>
  <c r="JQ19" i="4" s="1"/>
  <c r="CK120" i="1" s="1"/>
  <c r="KG21" i="4"/>
  <c r="KH15" i="4"/>
  <c r="JZ21" i="4"/>
  <c r="JU15" i="4"/>
  <c r="JT8" i="4"/>
  <c r="CJ207" i="1"/>
  <c r="CJ236" i="1" s="1"/>
  <c r="CJ235" i="1" s="1"/>
  <c r="CK235" i="1" s="1"/>
  <c r="JQ15" i="4"/>
  <c r="JR15" i="4"/>
  <c r="JR20" i="4" s="1"/>
  <c r="CL121" i="1" s="1"/>
  <c r="KE8" i="4"/>
  <c r="JZ7" i="4"/>
  <c r="JY15" i="4"/>
  <c r="KF8" i="4"/>
  <c r="KF20" i="4" s="1"/>
  <c r="JX8" i="4"/>
  <c r="JX20" i="4" s="1"/>
  <c r="JW8" i="4"/>
  <c r="CL239" i="1"/>
  <c r="CL45" i="1"/>
  <c r="CL295" i="1"/>
  <c r="CL276" i="1"/>
  <c r="JT7" i="4"/>
  <c r="JT19" i="4" s="1"/>
  <c r="JU21" i="4"/>
  <c r="JQ8" i="4"/>
  <c r="KA7" i="4"/>
  <c r="KA19" i="4" s="1"/>
  <c r="JR7" i="4"/>
  <c r="JR19" i="4" s="1"/>
  <c r="CL120" i="1" s="1"/>
  <c r="KC8" i="4"/>
  <c r="KC20" i="4" s="1"/>
  <c r="KE15" i="4"/>
  <c r="JV8" i="4"/>
  <c r="JU14" i="4"/>
  <c r="JU19" i="4" s="1"/>
  <c r="KD15" i="4"/>
  <c r="JV7" i="4"/>
  <c r="JS14" i="4"/>
  <c r="JS19" i="4" s="1"/>
  <c r="KB7" i="4"/>
  <c r="KH8" i="4"/>
  <c r="CJ162" i="1"/>
  <c r="JV15" i="4"/>
  <c r="JV20" i="4" s="1"/>
  <c r="KG8" i="4"/>
  <c r="JW7" i="4"/>
  <c r="JW19" i="4" s="1"/>
  <c r="KF7" i="4"/>
  <c r="KB8" i="4"/>
  <c r="JX14" i="4"/>
  <c r="KB21" i="4"/>
  <c r="CJ195" i="1"/>
  <c r="JX7" i="4"/>
  <c r="JS8" i="4"/>
  <c r="JS20" i="4" s="1"/>
  <c r="KC7" i="4"/>
  <c r="KC19" i="4" s="1"/>
  <c r="KD8" i="4"/>
  <c r="JW15" i="4"/>
  <c r="KE14" i="4"/>
  <c r="KE19" i="4" s="1"/>
  <c r="JZ15" i="4"/>
  <c r="JT15" i="4"/>
  <c r="CK69" i="1"/>
  <c r="CJ170" i="1"/>
  <c r="CJ257" i="1" s="1"/>
  <c r="CK159" i="1"/>
  <c r="CM159" i="1" s="1"/>
  <c r="CN159" i="1" s="1"/>
  <c r="CO159" i="1" s="1"/>
  <c r="CP159" i="1" s="1"/>
  <c r="CQ159" i="1" s="1"/>
  <c r="CR159" i="1" s="1"/>
  <c r="CS159" i="1" s="1"/>
  <c r="CT159" i="1" s="1"/>
  <c r="CU159" i="1" s="1"/>
  <c r="CV159" i="1" s="1"/>
  <c r="CW159" i="1" s="1"/>
  <c r="CX159" i="1" s="1"/>
  <c r="CJ180" i="1"/>
  <c r="CI49" i="1"/>
  <c r="CK45" i="1"/>
  <c r="CY6" i="1"/>
  <c r="CX7" i="1"/>
  <c r="CX41" i="1" s="1"/>
  <c r="CX8" i="1" s="1"/>
  <c r="CH230" i="1"/>
  <c r="CI230" i="1" s="1"/>
  <c r="Y75" i="1"/>
  <c r="CH170" i="1"/>
  <c r="X69" i="1"/>
  <c r="Z247" i="1"/>
  <c r="Y233" i="1"/>
  <c r="Y232" i="1" s="1"/>
  <c r="Y49" i="1"/>
  <c r="Y70" i="1" s="1"/>
  <c r="Y15" i="1" s="1"/>
  <c r="CH173" i="1"/>
  <c r="CH176" i="1" s="1"/>
  <c r="Y69" i="1"/>
  <c r="Y247" i="1"/>
  <c r="Y44" i="1"/>
  <c r="Y239" i="1"/>
  <c r="X49" i="1"/>
  <c r="Z207" i="1"/>
  <c r="X208" i="1"/>
  <c r="Z299" i="1"/>
  <c r="KA20" i="4"/>
  <c r="AB175" i="1"/>
  <c r="CQ175" i="1"/>
  <c r="CR175" i="1" s="1"/>
  <c r="CS175" i="1" s="1"/>
  <c r="CT175" i="1" s="1"/>
  <c r="AC175" i="1" s="1"/>
  <c r="Z69" i="1"/>
  <c r="KG19" i="4"/>
  <c r="CG69" i="1"/>
  <c r="CG49" i="1"/>
  <c r="X171" i="1"/>
  <c r="CI69" i="1"/>
  <c r="Y236" i="1"/>
  <c r="Y208" i="1"/>
  <c r="Y216" i="1" s="1"/>
  <c r="X180" i="1"/>
  <c r="X297" i="1" s="1"/>
  <c r="X75" i="1"/>
  <c r="CH235" i="1"/>
  <c r="CI235" i="1" s="1"/>
  <c r="X299" i="1"/>
  <c r="Y260" i="1"/>
  <c r="Z239" i="1"/>
  <c r="Z44" i="1"/>
  <c r="Z49" i="1"/>
  <c r="AA51" i="1" s="1"/>
  <c r="Z140" i="1"/>
  <c r="Y226" i="1"/>
  <c r="Y299" i="1"/>
  <c r="X79" i="1"/>
  <c r="X219" i="1"/>
  <c r="X151" i="1" s="1"/>
  <c r="X236" i="1"/>
  <c r="Y248" i="1"/>
  <c r="Y300" i="1"/>
  <c r="Y257" i="1"/>
  <c r="Y219" i="1"/>
  <c r="Y151" i="1" s="1"/>
  <c r="CK170" i="1"/>
  <c r="Y79" i="1"/>
  <c r="Y171" i="1"/>
  <c r="Z219" i="1"/>
  <c r="Z151" i="1" s="1"/>
  <c r="Z257" i="1"/>
  <c r="CI45" i="1"/>
  <c r="CJ49" i="1"/>
  <c r="CH69" i="1"/>
  <c r="CJ276" i="1"/>
  <c r="CJ45" i="1"/>
  <c r="CJ69" i="1"/>
  <c r="CH49" i="1"/>
  <c r="CL51" i="1" s="1"/>
  <c r="CH45" i="1"/>
  <c r="Z171" i="1"/>
  <c r="Z79" i="1"/>
  <c r="Z300" i="1"/>
  <c r="Y297" i="1"/>
  <c r="Y295" i="1"/>
  <c r="CH299" i="1"/>
  <c r="X232" i="1"/>
  <c r="Z180" i="1"/>
  <c r="AA254" i="1" s="1"/>
  <c r="AA252" i="1" s="1"/>
  <c r="Z75" i="1"/>
  <c r="CM230" i="1"/>
  <c r="CN166" i="1"/>
  <c r="CM231" i="1"/>
  <c r="CM234" i="1"/>
  <c r="CX214" i="1"/>
  <c r="JP20" i="4"/>
  <c r="CJ121" i="1" s="1"/>
  <c r="JP19" i="4"/>
  <c r="CJ120" i="1" s="1"/>
  <c r="JO19" i="4"/>
  <c r="CI120" i="1" s="1"/>
  <c r="JO20" i="4"/>
  <c r="CI121" i="1" s="1"/>
  <c r="JN20" i="4"/>
  <c r="CH121" i="1" s="1"/>
  <c r="JN19" i="4"/>
  <c r="CH120" i="1" s="1"/>
  <c r="JU20" i="4" l="1"/>
  <c r="KG20" i="4"/>
  <c r="Z232" i="1"/>
  <c r="CK70" i="1"/>
  <c r="CK50" i="1"/>
  <c r="CK52" i="1"/>
  <c r="AA256" i="1"/>
  <c r="JV19" i="4"/>
  <c r="KB19" i="4"/>
  <c r="JW20" i="4"/>
  <c r="JZ20" i="4"/>
  <c r="JY20" i="4"/>
  <c r="Z208" i="1"/>
  <c r="AA248" i="1"/>
  <c r="AA249" i="1" s="1"/>
  <c r="AA250" i="1" s="1"/>
  <c r="AA264" i="1" s="1"/>
  <c r="CK51" i="1"/>
  <c r="JY21" i="4"/>
  <c r="JQ16" i="4" s="1"/>
  <c r="JQ21" i="4" s="1"/>
  <c r="CK119" i="1" s="1"/>
  <c r="KH7" i="4"/>
  <c r="CL257" i="1"/>
  <c r="CL300" i="1"/>
  <c r="JQ20" i="4"/>
  <c r="CK121" i="1" s="1"/>
  <c r="CM69" i="1"/>
  <c r="CJ299" i="1"/>
  <c r="JZ19" i="4"/>
  <c r="KF19" i="4"/>
  <c r="KB20" i="4"/>
  <c r="KH20" i="4"/>
  <c r="CL253" i="1"/>
  <c r="CK253" i="1"/>
  <c r="CI50" i="1"/>
  <c r="CI70" i="1"/>
  <c r="CL283" i="1"/>
  <c r="CL284" i="1" s="1"/>
  <c r="CL76" i="1"/>
  <c r="CL80" i="1" s="1"/>
  <c r="CL71" i="1"/>
  <c r="CL232" i="1"/>
  <c r="CL237" i="1"/>
  <c r="CL217" i="1"/>
  <c r="KE20" i="4"/>
  <c r="KD20" i="4"/>
  <c r="JT20" i="4"/>
  <c r="JX19" i="4"/>
  <c r="CJ300" i="1"/>
  <c r="CJ171" i="1"/>
  <c r="CH171" i="1"/>
  <c r="CI257" i="1"/>
  <c r="CI300" i="1"/>
  <c r="CH219" i="1"/>
  <c r="CZ6" i="1"/>
  <c r="CY7" i="1"/>
  <c r="CY41" i="1" s="1"/>
  <c r="CY8" i="1" s="1"/>
  <c r="CI173" i="1"/>
  <c r="CI176" i="1" s="1"/>
  <c r="CJ75" i="1" s="1"/>
  <c r="Y50" i="1"/>
  <c r="Y51" i="1"/>
  <c r="Y249" i="1"/>
  <c r="Z236" i="1"/>
  <c r="Z235" i="1" s="1"/>
  <c r="X50" i="1"/>
  <c r="CU175" i="1"/>
  <c r="CV175" i="1" s="1"/>
  <c r="CW175" i="1" s="1"/>
  <c r="CX175" i="1" s="1"/>
  <c r="CY175" i="1" s="1"/>
  <c r="CZ175" i="1" s="1"/>
  <c r="DA175" i="1" s="1"/>
  <c r="DB175" i="1" s="1"/>
  <c r="AE175" i="1" s="1"/>
  <c r="X70" i="1"/>
  <c r="X71" i="1" s="1"/>
  <c r="Z248" i="1"/>
  <c r="Z249" i="1" s="1"/>
  <c r="X216" i="1"/>
  <c r="X217" i="1" s="1"/>
  <c r="X295" i="1"/>
  <c r="Y254" i="1"/>
  <c r="Y252" i="1" s="1"/>
  <c r="Z51" i="1"/>
  <c r="Z50" i="1"/>
  <c r="Z70" i="1"/>
  <c r="CG70" i="1"/>
  <c r="CG50" i="1"/>
  <c r="CK236" i="1"/>
  <c r="Y235" i="1"/>
  <c r="Y237" i="1"/>
  <c r="CI236" i="1"/>
  <c r="CI205" i="1"/>
  <c r="CM182" i="1"/>
  <c r="Y217" i="1"/>
  <c r="CI52" i="1"/>
  <c r="CH50" i="1"/>
  <c r="X235" i="1"/>
  <c r="X237" i="1"/>
  <c r="CM167" i="1"/>
  <c r="CJ52" i="1"/>
  <c r="CJ70" i="1"/>
  <c r="CJ50" i="1"/>
  <c r="CK257" i="1"/>
  <c r="CK300" i="1"/>
  <c r="CH70" i="1"/>
  <c r="CL72" i="1" s="1"/>
  <c r="CH52" i="1"/>
  <c r="Z254" i="1"/>
  <c r="Z252" i="1" s="1"/>
  <c r="Z297" i="1"/>
  <c r="Z295" i="1"/>
  <c r="Y154" i="1"/>
  <c r="Y76" i="1"/>
  <c r="Y71" i="1"/>
  <c r="Y283" i="1"/>
  <c r="Y284" i="1" s="1"/>
  <c r="CI75" i="1"/>
  <c r="CH180" i="1"/>
  <c r="CN231" i="1"/>
  <c r="CO166" i="1"/>
  <c r="CN234" i="1"/>
  <c r="CN230" i="1"/>
  <c r="CY159" i="1"/>
  <c r="CY214" i="1"/>
  <c r="CL301" i="1" l="1"/>
  <c r="CL302" i="1" s="1"/>
  <c r="CK15" i="1"/>
  <c r="CL73" i="1"/>
  <c r="CK71" i="1"/>
  <c r="CK76" i="1"/>
  <c r="CK80" i="1" s="1"/>
  <c r="Z216" i="1"/>
  <c r="Z217" i="1" s="1"/>
  <c r="AA261" i="1"/>
  <c r="AA262" i="1" s="1"/>
  <c r="Z15" i="1"/>
  <c r="AA72" i="1"/>
  <c r="AA301" i="1"/>
  <c r="AA302" i="1" s="1"/>
  <c r="KH19" i="4"/>
  <c r="JS16" i="4"/>
  <c r="CN69" i="1"/>
  <c r="CI15" i="1"/>
  <c r="CI76" i="1"/>
  <c r="CI283" i="1"/>
  <c r="CI284" i="1" s="1"/>
  <c r="CI71" i="1"/>
  <c r="CL82" i="1"/>
  <c r="CL83" i="1"/>
  <c r="CL277" i="1"/>
  <c r="CL154" i="1"/>
  <c r="CK154" i="1"/>
  <c r="CI180" i="1"/>
  <c r="CI79" i="1"/>
  <c r="CH151" i="1"/>
  <c r="CG15" i="1"/>
  <c r="CK72" i="1"/>
  <c r="CJ15" i="1"/>
  <c r="CK73" i="1"/>
  <c r="DA6" i="1"/>
  <c r="CZ7" i="1"/>
  <c r="CZ41" i="1" s="1"/>
  <c r="CZ8" i="1" s="1"/>
  <c r="Z237" i="1"/>
  <c r="Y301" i="1"/>
  <c r="Y302" i="1" s="1"/>
  <c r="AD175" i="1"/>
  <c r="Y72" i="1"/>
  <c r="X76" i="1"/>
  <c r="X97" i="1" s="1"/>
  <c r="X15" i="1"/>
  <c r="X283" i="1"/>
  <c r="X284" i="1" s="1"/>
  <c r="CI301" i="1"/>
  <c r="CI302" i="1" s="1"/>
  <c r="CH15" i="1"/>
  <c r="X154" i="1"/>
  <c r="Z301" i="1"/>
  <c r="Z302" i="1" s="1"/>
  <c r="Z76" i="1"/>
  <c r="Z154" i="1"/>
  <c r="Z71" i="1"/>
  <c r="Z283" i="1"/>
  <c r="Z284" i="1" s="1"/>
  <c r="Z72" i="1"/>
  <c r="Y240" i="1"/>
  <c r="Y241" i="1" s="1"/>
  <c r="CG76" i="1"/>
  <c r="CG80" i="1" s="1"/>
  <c r="CG71" i="1"/>
  <c r="CG283" i="1"/>
  <c r="CG284" i="1" s="1"/>
  <c r="CM253" i="1"/>
  <c r="CN182" i="1"/>
  <c r="CM235" i="1"/>
  <c r="CJ73" i="1"/>
  <c r="CJ301" i="1"/>
  <c r="CJ302" i="1" s="1"/>
  <c r="CJ283" i="1"/>
  <c r="CJ284" i="1" s="1"/>
  <c r="CH71" i="1"/>
  <c r="CH76" i="1"/>
  <c r="CH80" i="1" s="1"/>
  <c r="CH73" i="1"/>
  <c r="CH301" i="1"/>
  <c r="CI73" i="1"/>
  <c r="CH283" i="1"/>
  <c r="CH284" i="1" s="1"/>
  <c r="CJ277" i="1"/>
  <c r="CJ154" i="1"/>
  <c r="CJ71" i="1"/>
  <c r="CJ76" i="1"/>
  <c r="CN167" i="1"/>
  <c r="CM170" i="1"/>
  <c r="CM300" i="1" s="1"/>
  <c r="CK245" i="1"/>
  <c r="CK174" i="1"/>
  <c r="Y97" i="1"/>
  <c r="Y80" i="1"/>
  <c r="CP166" i="1"/>
  <c r="CO230" i="1"/>
  <c r="CO231" i="1"/>
  <c r="CO234" i="1"/>
  <c r="CZ214" i="1"/>
  <c r="CZ159" i="1"/>
  <c r="CM87" i="1"/>
  <c r="CN87" i="1" s="1"/>
  <c r="CO87" i="1" s="1"/>
  <c r="CP87" i="1" s="1"/>
  <c r="CQ87" i="1" s="1"/>
  <c r="CR87" i="1" s="1"/>
  <c r="CS87" i="1" s="1"/>
  <c r="CT87" i="1" s="1"/>
  <c r="CU87" i="1" s="1"/>
  <c r="CM88" i="1"/>
  <c r="CK82" i="1" l="1"/>
  <c r="CK83" i="1"/>
  <c r="CI80" i="1"/>
  <c r="Z240" i="1"/>
  <c r="Z241" i="1" s="1"/>
  <c r="AA240" i="1"/>
  <c r="AA241" i="1" s="1"/>
  <c r="CL86" i="1"/>
  <c r="CO69" i="1"/>
  <c r="CP69" i="1" s="1"/>
  <c r="CI83" i="1"/>
  <c r="CI82" i="1"/>
  <c r="CJ254" i="1"/>
  <c r="CJ252" i="1" s="1"/>
  <c r="CI254" i="1"/>
  <c r="CI252" i="1" s="1"/>
  <c r="CL285" i="1"/>
  <c r="CL84" i="1"/>
  <c r="CL296" i="1" s="1"/>
  <c r="CL90" i="1"/>
  <c r="CJ80" i="1"/>
  <c r="CL97" i="1"/>
  <c r="CK176" i="1"/>
  <c r="CL174" i="1"/>
  <c r="CL173" i="1" s="1"/>
  <c r="CK90" i="1"/>
  <c r="CK94" i="1" s="1"/>
  <c r="DB6" i="1"/>
  <c r="DA7" i="1"/>
  <c r="DA41" i="1" s="1"/>
  <c r="X80" i="1"/>
  <c r="CM50" i="1"/>
  <c r="CN50" i="1" s="1"/>
  <c r="Z80" i="1"/>
  <c r="Z83" i="1" s="1"/>
  <c r="AA85" i="1" s="1"/>
  <c r="Z97" i="1"/>
  <c r="CG83" i="1"/>
  <c r="CG82" i="1"/>
  <c r="CN253" i="1"/>
  <c r="CO182" i="1"/>
  <c r="CO253" i="1" s="1"/>
  <c r="CN235" i="1"/>
  <c r="CM236" i="1"/>
  <c r="CH83" i="1"/>
  <c r="CL85" i="1" s="1"/>
  <c r="CH82" i="1"/>
  <c r="CO167" i="1"/>
  <c r="CN170" i="1"/>
  <c r="CN300" i="1" s="1"/>
  <c r="CM257" i="1"/>
  <c r="Y82" i="1"/>
  <c r="Y83" i="1"/>
  <c r="CP234" i="1"/>
  <c r="CP231" i="1"/>
  <c r="CP230" i="1"/>
  <c r="CQ166" i="1"/>
  <c r="DA159" i="1"/>
  <c r="DA214" i="1"/>
  <c r="AB87" i="1"/>
  <c r="AC87" i="1"/>
  <c r="CV87" i="1"/>
  <c r="CW87" i="1" s="1"/>
  <c r="CX87" i="1" s="1"/>
  <c r="CY87" i="1" s="1"/>
  <c r="AB77" i="1"/>
  <c r="CN88" i="1"/>
  <c r="CO88" i="1" s="1"/>
  <c r="CP88" i="1" s="1"/>
  <c r="CQ88" i="1" s="1"/>
  <c r="CK84" i="1" l="1"/>
  <c r="CQ69" i="1"/>
  <c r="CR69" i="1" s="1"/>
  <c r="CS69" i="1" s="1"/>
  <c r="CT69" i="1" s="1"/>
  <c r="CI84" i="1"/>
  <c r="CI296" i="1" s="1"/>
  <c r="CI285" i="1"/>
  <c r="CI90" i="1"/>
  <c r="CJ83" i="1"/>
  <c r="CL278" i="1" s="1"/>
  <c r="CJ82" i="1"/>
  <c r="CL75" i="1"/>
  <c r="CK180" i="1"/>
  <c r="CL94" i="1"/>
  <c r="CL244" i="1"/>
  <c r="CL246" i="1" s="1"/>
  <c r="CM173" i="1"/>
  <c r="CN173" i="1" s="1"/>
  <c r="CO173" i="1" s="1"/>
  <c r="CP173" i="1" s="1"/>
  <c r="CK254" i="1"/>
  <c r="CK252" i="1" s="1"/>
  <c r="CL254" i="1"/>
  <c r="CL252" i="1" s="1"/>
  <c r="CI161" i="1"/>
  <c r="X82" i="1"/>
  <c r="X83" i="1"/>
  <c r="CJ90" i="1"/>
  <c r="CL96" i="1" s="1"/>
  <c r="CK86" i="1"/>
  <c r="CG84" i="1"/>
  <c r="CG296" i="1" s="1"/>
  <c r="CK85" i="1"/>
  <c r="DB7" i="1"/>
  <c r="DB41" i="1" s="1"/>
  <c r="DB8" i="1" s="1"/>
  <c r="AE6" i="1"/>
  <c r="AE7" i="1" s="1"/>
  <c r="CP182" i="1"/>
  <c r="Z82" i="1"/>
  <c r="CJ285" i="1"/>
  <c r="CJ84" i="1"/>
  <c r="CJ296" i="1" s="1"/>
  <c r="CJ86" i="1"/>
  <c r="CJ278" i="1"/>
  <c r="CG285" i="1"/>
  <c r="CG90" i="1"/>
  <c r="CG244" i="1" s="1"/>
  <c r="CG246" i="1" s="1"/>
  <c r="CH86" i="1"/>
  <c r="CO235" i="1"/>
  <c r="CN236" i="1"/>
  <c r="CI86" i="1"/>
  <c r="CH90" i="1"/>
  <c r="CH94" i="1" s="1"/>
  <c r="CH84" i="1"/>
  <c r="CH296" i="1" s="1"/>
  <c r="CH285" i="1"/>
  <c r="CP167" i="1"/>
  <c r="CO170" i="1"/>
  <c r="CO300" i="1" s="1"/>
  <c r="CN257" i="1"/>
  <c r="X285" i="1"/>
  <c r="X84" i="1"/>
  <c r="X296" i="1" s="1"/>
  <c r="Y85" i="1"/>
  <c r="X90" i="1"/>
  <c r="Y285" i="1"/>
  <c r="Z85" i="1"/>
  <c r="Y84" i="1"/>
  <c r="Y296" i="1" s="1"/>
  <c r="Y90" i="1"/>
  <c r="Z90" i="1"/>
  <c r="Z84" i="1"/>
  <c r="Z296" i="1" s="1"/>
  <c r="Z285" i="1"/>
  <c r="CO50" i="1"/>
  <c r="CP50" i="1" s="1"/>
  <c r="CR166" i="1"/>
  <c r="CQ230" i="1"/>
  <c r="CQ234" i="1"/>
  <c r="CQ231" i="1"/>
  <c r="DB159" i="1"/>
  <c r="DB214" i="1"/>
  <c r="CJ244" i="1"/>
  <c r="CJ246" i="1" s="1"/>
  <c r="CJ94" i="1"/>
  <c r="CI162" i="1"/>
  <c r="CI94" i="1"/>
  <c r="CI244" i="1"/>
  <c r="CI246" i="1" s="1"/>
  <c r="AD87" i="1"/>
  <c r="AB88" i="1"/>
  <c r="CZ87" i="1"/>
  <c r="DA87" i="1" s="1"/>
  <c r="DB87" i="1" s="1"/>
  <c r="AE87" i="1" s="1"/>
  <c r="AC77" i="1"/>
  <c r="CR88" i="1"/>
  <c r="CS88" i="1" s="1"/>
  <c r="CT88" i="1" s="1"/>
  <c r="CU88" i="1" s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L6" i="4" a="1"/>
  <c r="EP11" i="4" a="1"/>
  <c r="EU7" i="4" a="1"/>
  <c r="ER7" i="4" a="1"/>
  <c r="ER6" i="4" a="1"/>
  <c r="ES12" i="4" a="1"/>
  <c r="EL12" i="4" a="1"/>
  <c r="EM6" i="4" a="1"/>
  <c r="EV11" i="4" a="1"/>
  <c r="EW7" i="4" a="1"/>
  <c r="EV14" i="4" a="1"/>
  <c r="AF11" i="3"/>
  <c r="AU22" i="3"/>
  <c r="AX5" i="3"/>
  <c r="AX35" i="3"/>
  <c r="AZ7" i="3"/>
  <c r="K5" i="6" a="1"/>
  <c r="AS6" i="3"/>
  <c r="AT6" i="6" a="1"/>
  <c r="AV13" i="3"/>
  <c r="EM8" i="4" a="1"/>
  <c r="EN6" i="4" a="1"/>
  <c r="EO15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Z46" i="3"/>
  <c r="AY15" i="3"/>
  <c r="AX46" i="3"/>
  <c r="AU7" i="3"/>
  <c r="AY42" i="3"/>
  <c r="AY37" i="3"/>
  <c r="ET12" i="4" a="1"/>
  <c r="ER11" i="4" a="1"/>
  <c r="EM5" i="4" a="1"/>
  <c r="EN7" i="4" a="1"/>
  <c r="EV13" i="4" a="1"/>
  <c r="ET15" i="4" a="1"/>
  <c r="EL13" i="4" a="1"/>
  <c r="EO6" i="4" a="1"/>
  <c r="EQ8" i="4" a="1"/>
  <c r="EW9" i="4" a="1"/>
  <c r="ES13" i="4" a="1"/>
  <c r="EV9" i="4" a="1"/>
  <c r="EV16" i="4" a="1"/>
  <c r="EO13" i="4" a="1"/>
  <c r="AY34" i="3"/>
  <c r="W6" i="6" a="1"/>
  <c r="AV32" i="3"/>
  <c r="AY41" i="3"/>
  <c r="AS5" i="3"/>
  <c r="EQ16" i="4" a="1"/>
  <c r="EO14" i="4" a="1"/>
  <c r="EW14" i="4" a="1"/>
  <c r="EO11" i="4" a="1"/>
  <c r="AH6" i="6" a="1"/>
  <c r="EL11" i="4" a="1"/>
  <c r="U5" i="6" a="1"/>
  <c r="EN15" i="4" a="1"/>
  <c r="V5" i="6" a="1"/>
  <c r="AN6" i="6" a="1"/>
  <c r="AZ45" i="3"/>
  <c r="C6" i="4" a="1"/>
  <c r="AW39" i="3"/>
  <c r="AF30" i="3"/>
  <c r="AF40" i="3"/>
  <c r="AZ37" i="3"/>
  <c r="AS41" i="3"/>
  <c r="AF34" i="3"/>
  <c r="AV12" i="3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X27" i="3"/>
  <c r="AF39" i="3"/>
  <c r="AZ19" i="3"/>
  <c r="AU37" i="3"/>
  <c r="EV15" i="4" a="1"/>
  <c r="EO16" i="4" a="1"/>
  <c r="EM9" i="4" a="1"/>
  <c r="ET11" i="4" a="1"/>
  <c r="ER12" i="4" a="1"/>
  <c r="EM7" i="4" a="1"/>
  <c r="ES8" i="4" a="1"/>
  <c r="EW5" i="4" a="1"/>
  <c r="ET14" i="4" a="1"/>
  <c r="ET9" i="4" a="1"/>
  <c r="EP16" i="4" a="1"/>
  <c r="EU16" i="4" a="1"/>
  <c r="EV5" i="4" a="1"/>
  <c r="AU35" i="3"/>
  <c r="AZ38" i="3"/>
  <c r="Y6" i="6" a="1"/>
  <c r="EQ9" i="4" a="1"/>
  <c r="EU12" i="4" a="1"/>
  <c r="ES15" i="4" a="1"/>
  <c r="ET13" i="4" a="1"/>
  <c r="EM15" i="4" a="1"/>
  <c r="EU9" i="4" a="1"/>
  <c r="EP9" i="4" a="1"/>
  <c r="ES6" i="4" a="1"/>
  <c r="EV6" i="4" a="1"/>
  <c r="ES14" i="4" a="1"/>
  <c r="EM16" i="4" a="1"/>
  <c r="AQ5" i="6" a="1"/>
  <c r="EL16" i="4" a="1"/>
  <c r="EL15" i="4" a="1"/>
  <c r="AX16" i="3"/>
  <c r="AW34" i="3"/>
  <c r="AJ6" i="6" a="1"/>
  <c r="AX29" i="3"/>
  <c r="AT14" i="3"/>
  <c r="AV30" i="3"/>
  <c r="AS40" i="3"/>
  <c r="AV9" i="3"/>
  <c r="AD5" i="6" a="1"/>
  <c r="T6" i="6" a="1"/>
  <c r="AV19" i="3"/>
  <c r="AZ13" i="3"/>
  <c r="EW16" i="4" a="1"/>
  <c r="EL8" i="4" a="1"/>
  <c r="EP6" i="4" a="1"/>
  <c r="ER15" i="4" a="1"/>
  <c r="AY30" i="3"/>
  <c r="AZ16" i="3"/>
  <c r="AW30" i="3"/>
  <c r="AX21" i="3"/>
  <c r="AT29" i="3"/>
  <c r="AT5" i="6" a="1"/>
  <c r="AY23" i="3"/>
  <c r="AW10" i="3"/>
  <c r="AU40" i="3"/>
  <c r="AP7" i="3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1" i="4" a="1"/>
  <c r="ES16" i="4" a="1"/>
  <c r="EM14" i="4" a="1"/>
  <c r="ET8" i="4" a="1"/>
  <c r="EM13" i="4" a="1"/>
  <c r="EL14" i="4" a="1"/>
  <c r="EU15" i="4" a="1"/>
  <c r="EL7" i="4" a="1"/>
  <c r="ES11" i="4" a="1"/>
  <c r="AT9" i="3"/>
  <c r="AT18" i="3"/>
  <c r="C5" i="4" a="1"/>
  <c r="ES7" i="4" a="1"/>
  <c r="EQ14" i="4" a="1"/>
  <c r="AU8" i="3"/>
  <c r="ET16" i="4" a="1"/>
  <c r="EP7" i="4" a="1"/>
  <c r="AU32" i="3"/>
  <c r="AZ40" i="3"/>
  <c r="AX12" i="3"/>
  <c r="AF35" i="3"/>
  <c r="AZ36" i="3"/>
  <c r="AY26" i="3"/>
  <c r="AR6" i="3"/>
  <c r="AX40" i="3"/>
  <c r="AU39" i="3"/>
  <c r="AU21" i="3"/>
  <c r="EP15" i="4" a="1"/>
  <c r="EN16" i="4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W12" i="4" a="1"/>
  <c r="EQ5" i="4" a="1"/>
  <c r="AS27" i="3"/>
  <c r="EP14" i="4" a="1"/>
  <c r="AW26" i="3"/>
  <c r="EU8" i="4" a="1"/>
  <c r="AZ6" i="3"/>
  <c r="AU18" i="3"/>
  <c r="AZ18" i="3"/>
  <c r="AG6" i="6" a="1"/>
  <c r="AS20" i="3"/>
  <c r="AY31" i="3"/>
  <c r="AV5" i="3"/>
  <c r="AY7" i="3"/>
  <c r="AY17" i="3"/>
  <c r="AS22" i="3"/>
  <c r="AS13" i="3"/>
  <c r="AU26" i="3"/>
  <c r="AD6" i="6" a="1"/>
  <c r="AV27" i="3"/>
  <c r="AZ34" i="3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V22" i="3"/>
  <c r="AP5" i="6" a="1"/>
  <c r="AP6" i="3"/>
  <c r="AF14" i="3"/>
  <c r="G6" i="6" a="1"/>
  <c r="EL5" i="4" a="1"/>
  <c r="AZ29" i="3"/>
  <c r="AF13" i="3"/>
  <c r="AW9" i="3"/>
  <c r="AW25" i="3"/>
  <c r="ET5" i="4" a="1"/>
  <c r="EQ11" i="4" a="1"/>
  <c r="EP8" i="4" a="1"/>
  <c r="EN8" i="4" a="1"/>
  <c r="EO5" i="4" a="1"/>
  <c r="EW13" i="4" a="1"/>
  <c r="ET7" i="4" a="1"/>
  <c r="AU9" i="3"/>
  <c r="AT21" i="3"/>
  <c r="AB5" i="6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S37" i="3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AV5" i="6" a="1"/>
  <c r="AS35" i="3"/>
  <c r="AX36" i="3"/>
  <c r="AX22" i="3"/>
  <c r="AZ14" i="3"/>
  <c r="AS17" i="3"/>
  <c r="AV39" i="3"/>
  <c r="AX25" i="3"/>
  <c r="C6" i="6" a="1"/>
  <c r="AF18" i="3"/>
  <c r="AW42" i="3"/>
  <c r="F6" i="6" a="1"/>
  <c r="AY9" i="3"/>
  <c r="AS33" i="3"/>
  <c r="AX37" i="3"/>
  <c r="AW24" i="3"/>
  <c r="M5" i="6" a="1"/>
  <c r="AR5" i="6" a="1"/>
  <c r="EU13" i="4" a="1"/>
  <c r="EW11" i="4" a="1"/>
  <c r="AT39" i="3"/>
  <c r="EU14" i="4" a="1"/>
  <c r="EN12" i="4" a="1"/>
  <c r="ER14" i="4" a="1"/>
  <c r="EQ6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S6" i="6" a="1"/>
  <c r="AU31" i="3"/>
  <c r="EQ13" i="4" a="1"/>
  <c r="AT42" i="3"/>
  <c r="AK5" i="6" a="1"/>
  <c r="AT40" i="3"/>
  <c r="AY5" i="3"/>
  <c r="N6" i="6" a="1"/>
  <c r="AS38" i="3"/>
  <c r="AE5" i="6" a="1"/>
  <c r="AU14" i="3"/>
  <c r="AW18" i="3"/>
  <c r="AT12" i="3"/>
  <c r="AX14" i="3"/>
  <c r="AL6" i="6" a="1"/>
  <c r="AS21" i="3"/>
  <c r="EU11" i="4" a="1"/>
  <c r="EN13" i="4" a="1"/>
  <c r="AW37" i="3"/>
  <c r="EO7" i="4" a="1"/>
  <c r="EW6" i="4" a="1"/>
  <c r="AK6" i="6" a="1"/>
  <c r="AF5" i="6" a="1"/>
  <c r="EV7" i="4" a="1"/>
  <c r="EU6" i="4" a="1"/>
  <c r="EU5" i="4" a="1"/>
  <c r="ET6" i="4" a="1"/>
  <c r="EO8" i="4" a="1"/>
  <c r="ES9" i="4" a="1"/>
  <c r="AU34" i="3"/>
  <c r="EO9" i="4" a="1"/>
  <c r="EN9" i="4" a="1"/>
  <c r="EW8" i="4" a="1"/>
  <c r="EQ7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CM75" i="1" l="1"/>
  <c r="CN75" i="1" s="1"/>
  <c r="CO75" i="1" s="1"/>
  <c r="CP75" i="1" s="1"/>
  <c r="CQ75" i="1" s="1"/>
  <c r="CR75" i="1" s="1"/>
  <c r="CS75" i="1" s="1"/>
  <c r="CT75" i="1" s="1"/>
  <c r="CU75" i="1" s="1"/>
  <c r="CV75" i="1" s="1"/>
  <c r="CW75" i="1" s="1"/>
  <c r="CX75" i="1" s="1"/>
  <c r="CY75" i="1" s="1"/>
  <c r="CZ75" i="1" s="1"/>
  <c r="DA75" i="1" s="1"/>
  <c r="DB75" i="1" s="1"/>
  <c r="AB173" i="1"/>
  <c r="CQ173" i="1"/>
  <c r="CR173" i="1" s="1"/>
  <c r="CS173" i="1" s="1"/>
  <c r="CT173" i="1" s="1"/>
  <c r="CP253" i="1"/>
  <c r="CQ182" i="1"/>
  <c r="CG94" i="1"/>
  <c r="CJ96" i="1"/>
  <c r="CH244" i="1"/>
  <c r="CH246" i="1" s="1"/>
  <c r="CP235" i="1"/>
  <c r="CO236" i="1"/>
  <c r="CQ167" i="1"/>
  <c r="CP170" i="1"/>
  <c r="CP300" i="1" s="1"/>
  <c r="CO257" i="1"/>
  <c r="BY63" i="1"/>
  <c r="CA42" i="1"/>
  <c r="CE63" i="1"/>
  <c r="CA63" i="1"/>
  <c r="CF63" i="1"/>
  <c r="CD63" i="1"/>
  <c r="BZ63" i="1"/>
  <c r="BL63" i="1"/>
  <c r="CC63" i="1"/>
  <c r="CB63" i="1"/>
  <c r="CF42" i="1"/>
  <c r="CD42" i="1"/>
  <c r="BY42" i="1"/>
  <c r="CE42" i="1"/>
  <c r="BZ42" i="1"/>
  <c r="CC42" i="1"/>
  <c r="CB42" i="1"/>
  <c r="BL42" i="1"/>
  <c r="Y244" i="1"/>
  <c r="Y246" i="1" s="1"/>
  <c r="Y250" i="1" s="1"/>
  <c r="Y264" i="1" s="1"/>
  <c r="Y258" i="1"/>
  <c r="Y256" i="1" s="1"/>
  <c r="Y96" i="1"/>
  <c r="Y94" i="1"/>
  <c r="X244" i="1"/>
  <c r="X246" i="1" s="1"/>
  <c r="X94" i="1"/>
  <c r="X96" i="1"/>
  <c r="Z244" i="1"/>
  <c r="Z246" i="1" s="1"/>
  <c r="Z250" i="1" s="1"/>
  <c r="Z264" i="1" s="1"/>
  <c r="Z258" i="1"/>
  <c r="Z256" i="1" s="1"/>
  <c r="Z96" i="1"/>
  <c r="Z94" i="1"/>
  <c r="CD60" i="1"/>
  <c r="CC87" i="1"/>
  <c r="CA41" i="1"/>
  <c r="CD81" i="1"/>
  <c r="AH7" i="6" s="1"/>
  <c r="CD77" i="1"/>
  <c r="CF78" i="1"/>
  <c r="BY87" i="1"/>
  <c r="BL87" i="1"/>
  <c r="CD88" i="1"/>
  <c r="AV7" i="6" s="1"/>
  <c r="CB53" i="1"/>
  <c r="R7" i="6" s="1"/>
  <c r="X7" i="6" s="1"/>
  <c r="CD87" i="1"/>
  <c r="CD48" i="1"/>
  <c r="V7" i="6" s="1"/>
  <c r="BY48" i="1"/>
  <c r="CB41" i="1"/>
  <c r="BY93" i="1"/>
  <c r="BL41" i="1"/>
  <c r="BL8" i="1" s="1"/>
  <c r="AW7" i="6" s="1"/>
  <c r="CA46" i="1"/>
  <c r="CB67" i="1"/>
  <c r="BZ78" i="1"/>
  <c r="O7" i="6" s="1"/>
  <c r="BL89" i="1"/>
  <c r="AQ7" i="6" s="1"/>
  <c r="CF41" i="1"/>
  <c r="CF8" i="1" s="1"/>
  <c r="JJ9" i="4" s="1"/>
  <c r="BY88" i="1"/>
  <c r="AM7" i="6" s="1"/>
  <c r="JM16" i="4" s="1"/>
  <c r="CF89" i="1"/>
  <c r="CA59" i="1"/>
  <c r="BL67" i="1"/>
  <c r="BL88" i="1"/>
  <c r="CF77" i="1"/>
  <c r="BL78" i="1"/>
  <c r="BZ87" i="1"/>
  <c r="CC60" i="1"/>
  <c r="JM9" i="4" s="1"/>
  <c r="JL16" i="4" s="1"/>
  <c r="BZ59" i="1"/>
  <c r="CC46" i="1"/>
  <c r="JK16" i="4" s="1"/>
  <c r="CA93" i="1"/>
  <c r="BZ47" i="1"/>
  <c r="CE48" i="1"/>
  <c r="CC47" i="1"/>
  <c r="C7" i="6" s="1"/>
  <c r="T7" i="6" s="1"/>
  <c r="BY59" i="1"/>
  <c r="CC88" i="1"/>
  <c r="CC41" i="1"/>
  <c r="CB77" i="1"/>
  <c r="JL9" i="4" s="1"/>
  <c r="CF81" i="1"/>
  <c r="AL7" i="6" s="1"/>
  <c r="BZ74" i="1"/>
  <c r="BZ245" i="1" s="1"/>
  <c r="BZ77" i="1"/>
  <c r="J7" i="6" s="1"/>
  <c r="BY89" i="1"/>
  <c r="Z7" i="6" s="1"/>
  <c r="BL53" i="1"/>
  <c r="CF46" i="1"/>
  <c r="CF67" i="1"/>
  <c r="BZ46" i="1"/>
  <c r="CA48" i="1"/>
  <c r="CD47" i="1"/>
  <c r="BY47" i="1"/>
  <c r="CE74" i="1"/>
  <c r="CE245" i="1" s="1"/>
  <c r="AD7" i="6" s="1"/>
  <c r="CF60" i="1"/>
  <c r="CE53" i="1"/>
  <c r="CA89" i="1"/>
  <c r="CD78" i="1"/>
  <c r="CB59" i="1"/>
  <c r="CD89" i="1"/>
  <c r="AP7" i="6" s="1"/>
  <c r="Y7" i="6" s="1"/>
  <c r="CA60" i="1"/>
  <c r="AA7" i="6" s="1"/>
  <c r="AJ7" i="6" s="1"/>
  <c r="BY41" i="1"/>
  <c r="BY8" i="1" s="1"/>
  <c r="BY67" i="1"/>
  <c r="CB81" i="1"/>
  <c r="CE60" i="1"/>
  <c r="I7" i="6" s="1"/>
  <c r="AK7" i="6" s="1"/>
  <c r="CE47" i="1"/>
  <c r="K7" i="6" s="1"/>
  <c r="F7" i="6" s="1"/>
  <c r="CB87" i="1"/>
  <c r="CF59" i="1"/>
  <c r="AC7" i="6" s="1"/>
  <c r="AE7" i="6" s="1"/>
  <c r="M7" i="6" s="1"/>
  <c r="Q7" i="6" s="1"/>
  <c r="CA88" i="1"/>
  <c r="BZ88" i="1"/>
  <c r="CA78" i="1"/>
  <c r="CF88" i="1"/>
  <c r="AU7" i="6" s="1"/>
  <c r="BL48" i="1"/>
  <c r="CE59" i="1"/>
  <c r="CB74" i="1"/>
  <c r="CB245" i="1" s="1"/>
  <c r="CC89" i="1"/>
  <c r="CC93" i="1"/>
  <c r="AX7" i="6" s="1"/>
  <c r="BZ67" i="1"/>
  <c r="AT7" i="6" s="1"/>
  <c r="S7" i="6" s="1"/>
  <c r="BY46" i="1"/>
  <c r="CE77" i="1"/>
  <c r="CA87" i="1"/>
  <c r="CB89" i="1"/>
  <c r="CA77" i="1"/>
  <c r="CF93" i="1"/>
  <c r="CA53" i="1"/>
  <c r="AN7" i="6" s="1"/>
  <c r="CE88" i="1"/>
  <c r="CC48" i="1"/>
  <c r="CE93" i="1"/>
  <c r="CF48" i="1"/>
  <c r="G7" i="6" s="1"/>
  <c r="BL74" i="1"/>
  <c r="AF7" i="6" s="1"/>
  <c r="CC53" i="1"/>
  <c r="CD53" i="1"/>
  <c r="JJ16" i="4" s="1"/>
  <c r="BY60" i="1"/>
  <c r="CB88" i="1"/>
  <c r="CE41" i="1"/>
  <c r="CE8" i="1" s="1"/>
  <c r="AB7" i="6" s="1"/>
  <c r="BL47" i="1"/>
  <c r="CD93" i="1"/>
  <c r="BY53" i="1"/>
  <c r="BZ48" i="1"/>
  <c r="L7" i="6" s="1"/>
  <c r="BL81" i="1"/>
  <c r="BZ41" i="1"/>
  <c r="CA74" i="1"/>
  <c r="BZ81" i="1"/>
  <c r="BY74" i="1"/>
  <c r="BY245" i="1" s="1"/>
  <c r="AI7" i="6" s="1"/>
  <c r="CC81" i="1"/>
  <c r="D7" i="6" s="1"/>
  <c r="AG7" i="6" s="1"/>
  <c r="BZ53" i="1"/>
  <c r="BL93" i="1"/>
  <c r="W7" i="6" s="1"/>
  <c r="CB93" i="1"/>
  <c r="CE89" i="1"/>
  <c r="CF53" i="1"/>
  <c r="CC67" i="1"/>
  <c r="CD67" i="1"/>
  <c r="CE46" i="1"/>
  <c r="BY77" i="1"/>
  <c r="CC77" i="1"/>
  <c r="BZ93" i="1"/>
  <c r="AS7" i="6" s="1"/>
  <c r="BZ89" i="1"/>
  <c r="CE78" i="1"/>
  <c r="CD46" i="1"/>
  <c r="BL77" i="1"/>
  <c r="CB47" i="1"/>
  <c r="CC74" i="1"/>
  <c r="CC245" i="1" s="1"/>
  <c r="BY81" i="1"/>
  <c r="H7" i="6" s="1"/>
  <c r="CA67" i="1"/>
  <c r="BZ60" i="1"/>
  <c r="CD41" i="1"/>
  <c r="AR7" i="6" s="1"/>
  <c r="CF47" i="1"/>
  <c r="BL46" i="1"/>
  <c r="BL59" i="1"/>
  <c r="JK9" i="4" s="1"/>
  <c r="AO7" i="6" s="1"/>
  <c r="CA81" i="1"/>
  <c r="BL60" i="1"/>
  <c r="CA47" i="1"/>
  <c r="CE87" i="1"/>
  <c r="CD59" i="1"/>
  <c r="P7" i="6" s="1"/>
  <c r="E7" i="6" s="1"/>
  <c r="U7" i="6" s="1"/>
  <c r="CC59" i="1"/>
  <c r="AY7" i="6" s="1"/>
  <c r="CD74" i="1"/>
  <c r="CB48" i="1"/>
  <c r="CC78" i="1"/>
  <c r="CB78" i="1"/>
  <c r="CE67" i="1"/>
  <c r="CF74" i="1"/>
  <c r="CF245" i="1" s="1"/>
  <c r="CB60" i="1"/>
  <c r="BY78" i="1"/>
  <c r="CF87" i="1"/>
  <c r="N7" i="6" s="1"/>
  <c r="CU69" i="1"/>
  <c r="CQ50" i="1"/>
  <c r="CI171" i="1"/>
  <c r="CS166" i="1"/>
  <c r="CR231" i="1"/>
  <c r="CR234" i="1"/>
  <c r="CR230" i="1"/>
  <c r="CJ258" i="1"/>
  <c r="CJ256" i="1" s="1"/>
  <c r="CJ97" i="1"/>
  <c r="CI258" i="1"/>
  <c r="CI256" i="1" s="1"/>
  <c r="AC88" i="1"/>
  <c r="CV88" i="1"/>
  <c r="CW88" i="1" s="1"/>
  <c r="CX88" i="1" s="1"/>
  <c r="CY88" i="1" s="1"/>
  <c r="AD77" i="1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AF71" i="3"/>
  <c r="AF96" i="3"/>
  <c r="AS62" i="3"/>
  <c r="AX94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C58" i="3"/>
  <c r="AW80" i="3"/>
  <c r="AU83" i="3"/>
  <c r="AV86" i="3"/>
  <c r="AT88" i="3"/>
  <c r="C92" i="3"/>
  <c r="AS59" i="3"/>
  <c r="AX61" i="3"/>
  <c r="AS64" i="3"/>
  <c r="AV80" i="3"/>
  <c r="AY67" i="3"/>
  <c r="AV50" i="3"/>
  <c r="AU65" i="3"/>
  <c r="C65" i="3"/>
  <c r="AT89" i="3"/>
  <c r="AU56" i="3"/>
  <c r="AY62" i="3"/>
  <c r="C93" i="3"/>
  <c r="AY68" i="3"/>
  <c r="AS67" i="3"/>
  <c r="AW75" i="3"/>
  <c r="AY94" i="3"/>
  <c r="AX74" i="3"/>
  <c r="AX66" i="3"/>
  <c r="AY55" i="3"/>
  <c r="AY71" i="3"/>
  <c r="AW94" i="3"/>
  <c r="AV75" i="3"/>
  <c r="AV57" i="3"/>
  <c r="AZ94" i="3"/>
  <c r="AY72" i="3"/>
  <c r="AT80" i="3"/>
  <c r="AX68" i="3"/>
  <c r="AV64" i="3"/>
  <c r="AT69" i="3"/>
  <c r="AV71" i="3"/>
  <c r="AS93" i="3"/>
  <c r="AV87" i="3"/>
  <c r="AT73" i="3"/>
  <c r="AU48" i="3"/>
  <c r="AZ55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Y74" i="3"/>
  <c r="AT55" i="3"/>
  <c r="C78" i="3"/>
  <c r="AU87" i="3"/>
  <c r="AU60" i="3"/>
  <c r="AS86" i="3"/>
  <c r="AW76" i="3"/>
  <c r="AT59" i="3"/>
  <c r="AW96" i="3"/>
  <c r="AU72" i="3"/>
  <c r="AT71" i="3"/>
  <c r="AX89" i="3"/>
  <c r="C60" i="3"/>
  <c r="AF72" i="3"/>
  <c r="AV83" i="3"/>
  <c r="C91" i="3"/>
  <c r="AW86" i="3"/>
  <c r="AY82" i="3"/>
  <c r="AX50" i="3"/>
  <c r="AZ88" i="3"/>
  <c r="AU89" i="3"/>
  <c r="AX96" i="3"/>
  <c r="C72" i="3"/>
  <c r="C55" i="3"/>
  <c r="AW87" i="3"/>
  <c r="AT86" i="3"/>
  <c r="AX56" i="3"/>
  <c r="AW93" i="3"/>
  <c r="C74" i="3"/>
  <c r="AU57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W85" i="3"/>
  <c r="AU59" i="3"/>
  <c r="AY65" i="3"/>
  <c r="AT97" i="3"/>
  <c r="AS87" i="3"/>
  <c r="AS68" i="3"/>
  <c r="AU96" i="3"/>
  <c r="AT76" i="3"/>
  <c r="AZ64" i="3"/>
  <c r="AT67" i="3"/>
  <c r="AV59" i="3"/>
  <c r="C85" i="3"/>
  <c r="AV88" i="3"/>
  <c r="AS58" i="3"/>
  <c r="AT87" i="3"/>
  <c r="AX49" i="3"/>
  <c r="AV77" i="3"/>
  <c r="AY76" i="3"/>
  <c r="AS83" i="3"/>
  <c r="AY61" i="3"/>
  <c r="AX73" i="3"/>
  <c r="AX55" i="3"/>
  <c r="AU82" i="3"/>
  <c r="AT77" i="3"/>
  <c r="AX54" i="3"/>
  <c r="AS85" i="3"/>
  <c r="AY66" i="3"/>
  <c r="AW59" i="3"/>
  <c r="AW48" i="3"/>
  <c r="AU73" i="3"/>
  <c r="AV81" i="3"/>
  <c r="AS76" i="3"/>
  <c r="AF93" i="3"/>
  <c r="AW61" i="3"/>
  <c r="AY81" i="3"/>
  <c r="AS78" i="3"/>
  <c r="AU85" i="3"/>
  <c r="AW62" i="3"/>
  <c r="AY75" i="3"/>
  <c r="AF78" i="3"/>
  <c r="AS90" i="3"/>
  <c r="AU70" i="3"/>
  <c r="C97" i="3"/>
  <c r="AX79" i="3"/>
  <c r="AZ62" i="3"/>
  <c r="AS75" i="3"/>
  <c r="C61" i="3"/>
  <c r="AW55" i="3"/>
  <c r="AS89" i="3"/>
  <c r="AT83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C66" i="3"/>
  <c r="AF91" i="3"/>
  <c r="AV74" i="3"/>
  <c r="AX71" i="3"/>
  <c r="AW60" i="3"/>
  <c r="AZ70" i="3"/>
  <c r="AY78" i="3"/>
  <c r="AW78" i="3"/>
  <c r="AW58" i="3"/>
  <c r="AU80" i="3"/>
  <c r="AX84" i="3"/>
  <c r="AU95" i="3"/>
  <c r="AT96" i="3"/>
  <c r="AW63" i="3"/>
  <c r="AS73" i="3"/>
  <c r="AW89" i="3"/>
  <c r="AW49" i="3"/>
  <c r="AZ92" i="3"/>
  <c r="AX48" i="3"/>
  <c r="AW97" i="3"/>
  <c r="AU54" i="3"/>
  <c r="AT70" i="3"/>
  <c r="AZ69" i="3"/>
  <c r="AZ73" i="3"/>
  <c r="C89" i="3"/>
  <c r="C68" i="3"/>
  <c r="AW64" i="3"/>
  <c r="AZ89" i="3"/>
  <c r="AT68" i="3"/>
  <c r="AZ97" i="3"/>
  <c r="AF60" i="3"/>
  <c r="AF88" i="3"/>
  <c r="AS92" i="3"/>
  <c r="AW92" i="3"/>
  <c r="AF76" i="3"/>
  <c r="AF80" i="3"/>
  <c r="AW70" i="3"/>
  <c r="AX81" i="3"/>
  <c r="AZ54" i="3"/>
  <c r="AX63" i="3"/>
  <c r="AF86" i="3"/>
  <c r="AZ84" i="3"/>
  <c r="AF49" i="3"/>
  <c r="AZ78" i="3"/>
  <c r="AF77" i="3"/>
  <c r="AW82" i="3"/>
  <c r="AF68" i="3"/>
  <c r="AT72" i="3"/>
  <c r="AX85" i="3"/>
  <c r="AU88" i="3"/>
  <c r="AY50" i="3"/>
  <c r="AU63" i="3"/>
  <c r="AX62" i="3"/>
  <c r="AU84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Y73" i="3"/>
  <c r="AF57" i="3"/>
  <c r="AS77" i="3"/>
  <c r="AT66" i="3"/>
  <c r="AF54" i="3"/>
  <c r="AZ85" i="3"/>
  <c r="AW47" i="3"/>
  <c r="AT63" i="3"/>
  <c r="AZ47" i="3"/>
  <c r="AZ63" i="3"/>
  <c r="AF81" i="3"/>
  <c r="AZ79" i="3"/>
  <c r="AT47" i="3"/>
  <c r="AX88" i="3"/>
  <c r="AT78" i="3"/>
  <c r="AV58" i="3"/>
  <c r="AF55" i="3"/>
  <c r="AT79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80" i="3"/>
  <c r="AV96" i="3"/>
  <c r="AZ60" i="3"/>
  <c r="AU75" i="3"/>
  <c r="AF89" i="3"/>
  <c r="AT61" i="3"/>
  <c r="AY54" i="3"/>
  <c r="AF62" i="3"/>
  <c r="AW95" i="3"/>
  <c r="AT54" i="3"/>
  <c r="AV82" i="3"/>
  <c r="C54" i="3"/>
  <c r="AY49" i="3"/>
  <c r="AV91" i="3"/>
  <c r="AZ90" i="3"/>
  <c r="AX82" i="3"/>
  <c r="AW65" i="3"/>
  <c r="AX70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5" i="3"/>
  <c r="AZ67" i="3"/>
  <c r="AX60" i="3"/>
  <c r="AS63" i="3"/>
  <c r="AV67" i="3"/>
  <c r="AZ76" i="3"/>
  <c r="AU71" i="3"/>
  <c r="AF74" i="3"/>
  <c r="AT91" i="3"/>
  <c r="AS56" i="3"/>
  <c r="C57" i="3"/>
  <c r="AZ50" i="3"/>
  <c r="AT75" i="3"/>
  <c r="C59" i="3"/>
  <c r="AW83" i="3"/>
  <c r="AV63" i="3"/>
  <c r="AZ81" i="3"/>
  <c r="AU61" i="3"/>
  <c r="AF82" i="3"/>
  <c r="AT93" i="3"/>
  <c r="AF79" i="3"/>
  <c r="AV95" i="3"/>
  <c r="AU76" i="3"/>
  <c r="AC173" i="1" l="1"/>
  <c r="CU173" i="1"/>
  <c r="CV173" i="1" s="1"/>
  <c r="CW173" i="1" s="1"/>
  <c r="CX173" i="1" s="1"/>
  <c r="CQ253" i="1"/>
  <c r="CR182" i="1"/>
  <c r="CF68" i="1"/>
  <c r="BY68" i="1"/>
  <c r="BL68" i="1"/>
  <c r="BZ68" i="1"/>
  <c r="CD68" i="1"/>
  <c r="CA68" i="1"/>
  <c r="CC68" i="1"/>
  <c r="CE68" i="1"/>
  <c r="CB68" i="1"/>
  <c r="CD282" i="1"/>
  <c r="CD8" i="1"/>
  <c r="CA282" i="1"/>
  <c r="CA8" i="1"/>
  <c r="BZ282" i="1"/>
  <c r="BZ8" i="1"/>
  <c r="CC282" i="1"/>
  <c r="CC8" i="1"/>
  <c r="CB282" i="1"/>
  <c r="CB8" i="1"/>
  <c r="CQ235" i="1"/>
  <c r="CP236" i="1"/>
  <c r="CR167" i="1"/>
  <c r="CQ170" i="1"/>
  <c r="CQ300" i="1" s="1"/>
  <c r="CP257" i="1"/>
  <c r="BZ167" i="1"/>
  <c r="CA167" i="1" s="1"/>
  <c r="BL115" i="1"/>
  <c r="CF116" i="1"/>
  <c r="CB188" i="1"/>
  <c r="CC188" i="1" s="1"/>
  <c r="CD196" i="1"/>
  <c r="CD234" i="1" s="1"/>
  <c r="CE234" i="1" s="1"/>
  <c r="CB215" i="1"/>
  <c r="CC215" i="1" s="1"/>
  <c r="BL166" i="1"/>
  <c r="BM166" i="1" s="1"/>
  <c r="CD175" i="1"/>
  <c r="CD166" i="1"/>
  <c r="CE166" i="1" s="1"/>
  <c r="CF169" i="1"/>
  <c r="CG169" i="1" s="1"/>
  <c r="CB169" i="1"/>
  <c r="CC169" i="1" s="1"/>
  <c r="CB205" i="1"/>
  <c r="CC205" i="1" s="1"/>
  <c r="CB186" i="1"/>
  <c r="CB230" i="1" s="1"/>
  <c r="CC230" i="1" s="1"/>
  <c r="BZ196" i="1"/>
  <c r="BZ234" i="1" s="1"/>
  <c r="CA234" i="1" s="1"/>
  <c r="BZ215" i="1"/>
  <c r="CA215" i="1" s="1"/>
  <c r="BZ201" i="1"/>
  <c r="CA201" i="1" s="1"/>
  <c r="BZ211" i="1"/>
  <c r="BZ206" i="1"/>
  <c r="CA206" i="1" s="1"/>
  <c r="BZ174" i="1"/>
  <c r="BL185" i="1"/>
  <c r="BL196" i="1"/>
  <c r="BL234" i="1" s="1"/>
  <c r="BM234" i="1" s="1"/>
  <c r="BL164" i="1"/>
  <c r="BM164" i="1" s="1"/>
  <c r="CA115" i="1"/>
  <c r="CF115" i="1"/>
  <c r="CF188" i="1"/>
  <c r="CG188" i="1" s="1"/>
  <c r="CF175" i="1"/>
  <c r="CB116" i="1"/>
  <c r="CF186" i="1"/>
  <c r="CF230" i="1" s="1"/>
  <c r="CG230" i="1" s="1"/>
  <c r="CG186" i="1" s="1"/>
  <c r="CF164" i="1"/>
  <c r="CG164" i="1" s="1"/>
  <c r="CB197" i="1"/>
  <c r="CC197" i="1" s="1"/>
  <c r="CF215" i="1"/>
  <c r="CG215" i="1" s="1"/>
  <c r="CB167" i="1"/>
  <c r="CC167" i="1" s="1"/>
  <c r="CB214" i="1"/>
  <c r="CC214" i="1" s="1"/>
  <c r="CD116" i="1"/>
  <c r="CB210" i="1"/>
  <c r="CD185" i="1"/>
  <c r="CD164" i="1"/>
  <c r="CE164" i="1" s="1"/>
  <c r="BL167" i="1"/>
  <c r="CD173" i="1"/>
  <c r="CD202" i="1"/>
  <c r="CE202" i="1" s="1"/>
  <c r="CD210" i="1"/>
  <c r="CD189" i="1"/>
  <c r="CE189" i="1" s="1"/>
  <c r="CF182" i="1"/>
  <c r="CF168" i="1"/>
  <c r="CG168" i="1" s="1"/>
  <c r="CB189" i="1"/>
  <c r="CC189" i="1" s="1"/>
  <c r="BL201" i="1"/>
  <c r="BM201" i="1" s="1"/>
  <c r="BL214" i="1"/>
  <c r="BM214" i="1" s="1"/>
  <c r="BL215" i="1"/>
  <c r="CB168" i="1"/>
  <c r="CC168" i="1" s="1"/>
  <c r="CE116" i="1"/>
  <c r="BZ210" i="1"/>
  <c r="BZ214" i="1"/>
  <c r="CA214" i="1" s="1"/>
  <c r="BZ161" i="1"/>
  <c r="BZ169" i="1"/>
  <c r="CA169" i="1" s="1"/>
  <c r="CF185" i="1"/>
  <c r="CF174" i="1"/>
  <c r="CF197" i="1"/>
  <c r="CB161" i="1"/>
  <c r="CB185" i="1"/>
  <c r="CD211" i="1"/>
  <c r="CD205" i="1"/>
  <c r="CE205" i="1" s="1"/>
  <c r="CB115" i="1"/>
  <c r="BZ203" i="1"/>
  <c r="CA203" i="1" s="1"/>
  <c r="BZ175" i="1"/>
  <c r="BZ159" i="1"/>
  <c r="BZ187" i="1"/>
  <c r="CA187" i="1" s="1"/>
  <c r="BZ116" i="1"/>
  <c r="BZ166" i="1"/>
  <c r="CA166" i="1" s="1"/>
  <c r="BZ168" i="1"/>
  <c r="CA168" i="1" s="1"/>
  <c r="BZ189" i="1"/>
  <c r="CA189" i="1" s="1"/>
  <c r="BZ173" i="1"/>
  <c r="BL175" i="1"/>
  <c r="BL197" i="1"/>
  <c r="BM197" i="1" s="1"/>
  <c r="CF166" i="1"/>
  <c r="CF196" i="1"/>
  <c r="CF234" i="1" s="1"/>
  <c r="CG234" i="1" s="1"/>
  <c r="CG196" i="1" s="1"/>
  <c r="CD201" i="1"/>
  <c r="CE201" i="1" s="1"/>
  <c r="CF201" i="1"/>
  <c r="CG201" i="1" s="1"/>
  <c r="CB173" i="1"/>
  <c r="CB201" i="1"/>
  <c r="CC201" i="1" s="1"/>
  <c r="BY116" i="1"/>
  <c r="CD214" i="1"/>
  <c r="CE214" i="1" s="1"/>
  <c r="CD177" i="1"/>
  <c r="CE177" i="1" s="1"/>
  <c r="BL211" i="1"/>
  <c r="CB196" i="1"/>
  <c r="CB234" i="1" s="1"/>
  <c r="CC234" i="1" s="1"/>
  <c r="CB160" i="1"/>
  <c r="CC160" i="1" s="1"/>
  <c r="BL206" i="1"/>
  <c r="BM206" i="1" s="1"/>
  <c r="CD169" i="1"/>
  <c r="CE169" i="1" s="1"/>
  <c r="CD187" i="1"/>
  <c r="CE187" i="1" s="1"/>
  <c r="CD161" i="1"/>
  <c r="CD188" i="1"/>
  <c r="CE188" i="1" s="1"/>
  <c r="CD203" i="1"/>
  <c r="CE203" i="1" s="1"/>
  <c r="CD182" i="1"/>
  <c r="CE182" i="1" s="1"/>
  <c r="CF159" i="1"/>
  <c r="CF160" i="1"/>
  <c r="CG160" i="1" s="1"/>
  <c r="CF202" i="1"/>
  <c r="CG202" i="1" s="1"/>
  <c r="CF214" i="1"/>
  <c r="CG214" i="1" s="1"/>
  <c r="CB211" i="1"/>
  <c r="CB182" i="1"/>
  <c r="AI116" i="1"/>
  <c r="BL187" i="1"/>
  <c r="BM187" i="1" s="1"/>
  <c r="BL177" i="1"/>
  <c r="BM177" i="1" s="1"/>
  <c r="BL168" i="1"/>
  <c r="BM168" i="1" s="1"/>
  <c r="CB166" i="1"/>
  <c r="CC166" i="1" s="1"/>
  <c r="BL188" i="1"/>
  <c r="BM188" i="1" s="1"/>
  <c r="BZ177" i="1"/>
  <c r="CA177" i="1" s="1"/>
  <c r="BZ115" i="1"/>
  <c r="BL205" i="1"/>
  <c r="BM205" i="1" s="1"/>
  <c r="CB174" i="1"/>
  <c r="CF187" i="1"/>
  <c r="CG187" i="1" s="1"/>
  <c r="CB187" i="1"/>
  <c r="CC187" i="1" s="1"/>
  <c r="CD115" i="1"/>
  <c r="CC116" i="1"/>
  <c r="CD160" i="1"/>
  <c r="CE160" i="1" s="1"/>
  <c r="BL161" i="1"/>
  <c r="CD167" i="1"/>
  <c r="CE167" i="1" s="1"/>
  <c r="CF210" i="1"/>
  <c r="CF205" i="1"/>
  <c r="CG205" i="1" s="1"/>
  <c r="CE115" i="1"/>
  <c r="BZ185" i="1"/>
  <c r="BZ164" i="1"/>
  <c r="CA164" i="1" s="1"/>
  <c r="BZ186" i="1"/>
  <c r="BZ230" i="1" s="1"/>
  <c r="CA230" i="1" s="1"/>
  <c r="BZ160" i="1"/>
  <c r="CA160" i="1" s="1"/>
  <c r="BZ197" i="1"/>
  <c r="BZ202" i="1"/>
  <c r="CA202" i="1" s="1"/>
  <c r="BZ188" i="1"/>
  <c r="CA188" i="1" s="1"/>
  <c r="BZ182" i="1"/>
  <c r="CA182" i="1" s="1"/>
  <c r="BZ205" i="1"/>
  <c r="CA205" i="1" s="1"/>
  <c r="BL203" i="1"/>
  <c r="BM203" i="1" s="1"/>
  <c r="BL186" i="1"/>
  <c r="BL230" i="1" s="1"/>
  <c r="BM230" i="1" s="1"/>
  <c r="BL173" i="1"/>
  <c r="BL174" i="1"/>
  <c r="CA116" i="1"/>
  <c r="CF203" i="1"/>
  <c r="CG203" i="1" s="1"/>
  <c r="CF206" i="1"/>
  <c r="CG206" i="1" s="1"/>
  <c r="CF211" i="1"/>
  <c r="CB159" i="1"/>
  <c r="CC159" i="1" s="1"/>
  <c r="CF173" i="1"/>
  <c r="CF161" i="1"/>
  <c r="CG161" i="1" s="1"/>
  <c r="CF167" i="1"/>
  <c r="CG167" i="1" s="1"/>
  <c r="CD168" i="1"/>
  <c r="CE168" i="1" s="1"/>
  <c r="CB203" i="1"/>
  <c r="CC203" i="1" s="1"/>
  <c r="CB177" i="1"/>
  <c r="CC177" i="1" s="1"/>
  <c r="CB202" i="1"/>
  <c r="CC202" i="1" s="1"/>
  <c r="CD159" i="1"/>
  <c r="BL182" i="1"/>
  <c r="CB175" i="1"/>
  <c r="BL169" i="1"/>
  <c r="BM169" i="1" s="1"/>
  <c r="CD174" i="1"/>
  <c r="CD186" i="1"/>
  <c r="CD230" i="1" s="1"/>
  <c r="CE230" i="1" s="1"/>
  <c r="CD206" i="1"/>
  <c r="CE206" i="1" s="1"/>
  <c r="CD197" i="1"/>
  <c r="CE197" i="1" s="1"/>
  <c r="CD215" i="1"/>
  <c r="CE215" i="1" s="1"/>
  <c r="CF177" i="1"/>
  <c r="CG177" i="1" s="1"/>
  <c r="CF189" i="1"/>
  <c r="CG189" i="1" s="1"/>
  <c r="CC115" i="1"/>
  <c r="CB206" i="1"/>
  <c r="CC206" i="1" s="1"/>
  <c r="CB164" i="1"/>
  <c r="CC164" i="1" s="1"/>
  <c r="BL210" i="1"/>
  <c r="BL159" i="1"/>
  <c r="BM159" i="1" s="1"/>
  <c r="BL202" i="1"/>
  <c r="BM202" i="1" s="1"/>
  <c r="BL189" i="1"/>
  <c r="BM189" i="1" s="1"/>
  <c r="BL160" i="1"/>
  <c r="BM160" i="1" s="1"/>
  <c r="BL304" i="1"/>
  <c r="CH140" i="1"/>
  <c r="CB179" i="1"/>
  <c r="CC179" i="1" s="1"/>
  <c r="CF179" i="1"/>
  <c r="CG179" i="1" s="1"/>
  <c r="CD179" i="1"/>
  <c r="CE179" i="1" s="1"/>
  <c r="BL179" i="1"/>
  <c r="BM179" i="1" s="1"/>
  <c r="BZ179" i="1"/>
  <c r="CA179" i="1" s="1"/>
  <c r="BL193" i="1"/>
  <c r="CD193" i="1"/>
  <c r="CB193" i="1"/>
  <c r="CF193" i="1"/>
  <c r="BZ193" i="1"/>
  <c r="CA303" i="1"/>
  <c r="JJ21" i="4"/>
  <c r="CD119" i="1" s="1"/>
  <c r="CA43" i="1"/>
  <c r="CA49" i="1" s="1"/>
  <c r="CA50" i="1" s="1"/>
  <c r="JK14" i="4"/>
  <c r="BL43" i="1"/>
  <c r="BL49" i="1" s="1"/>
  <c r="BY43" i="1"/>
  <c r="BY49" i="1" s="1"/>
  <c r="BL245" i="1"/>
  <c r="CF43" i="1"/>
  <c r="AA100" i="1" s="1"/>
  <c r="CF303" i="1"/>
  <c r="JL21" i="4"/>
  <c r="CF119" i="1" s="1"/>
  <c r="Y261" i="1"/>
  <c r="Y262" i="1" s="1"/>
  <c r="CF140" i="1"/>
  <c r="CE282" i="1"/>
  <c r="CC304" i="1"/>
  <c r="CE303" i="1"/>
  <c r="CC303" i="1"/>
  <c r="JM7" i="4"/>
  <c r="CA304" i="1"/>
  <c r="JJ8" i="4"/>
  <c r="Z261" i="1"/>
  <c r="Z262" i="1" s="1"/>
  <c r="BZ303" i="1"/>
  <c r="BZ43" i="1"/>
  <c r="CA245" i="1"/>
  <c r="CD304" i="1"/>
  <c r="CB140" i="1"/>
  <c r="JK21" i="4"/>
  <c r="CE119" i="1" s="1"/>
  <c r="JK15" i="4"/>
  <c r="CD303" i="1"/>
  <c r="JL14" i="4"/>
  <c r="CI140" i="1"/>
  <c r="CF282" i="1"/>
  <c r="BY304" i="1"/>
  <c r="JL8" i="4"/>
  <c r="BL303" i="1"/>
  <c r="CE140" i="1"/>
  <c r="CD43" i="1"/>
  <c r="CD49" i="1" s="1"/>
  <c r="CH51" i="1" s="1"/>
  <c r="CC43" i="1"/>
  <c r="CD245" i="1"/>
  <c r="CE43" i="1"/>
  <c r="CG140" i="1"/>
  <c r="CD140" i="1"/>
  <c r="CB43" i="1"/>
  <c r="CB49" i="1" s="1"/>
  <c r="CB303" i="1"/>
  <c r="CC140" i="1"/>
  <c r="JJ15" i="4"/>
  <c r="CB304" i="1"/>
  <c r="BY303" i="1"/>
  <c r="JM8" i="4"/>
  <c r="JL7" i="4"/>
  <c r="CF304" i="1"/>
  <c r="JJ7" i="4"/>
  <c r="JK8" i="4"/>
  <c r="JM21" i="4"/>
  <c r="CG119" i="1" s="1"/>
  <c r="BZ304" i="1"/>
  <c r="CE304" i="1"/>
  <c r="JK7" i="4"/>
  <c r="JL15" i="4"/>
  <c r="JM14" i="4"/>
  <c r="JM15" i="4"/>
  <c r="JJ14" i="4"/>
  <c r="CR50" i="1"/>
  <c r="CS50" i="1" s="1"/>
  <c r="CV69" i="1"/>
  <c r="CS231" i="1"/>
  <c r="CS234" i="1"/>
  <c r="CS230" i="1"/>
  <c r="CT166" i="1"/>
  <c r="AD88" i="1"/>
  <c r="CZ88" i="1"/>
  <c r="DA88" i="1" s="1"/>
  <c r="DB88" i="1" s="1"/>
  <c r="AE77" i="1"/>
  <c r="U41" i="1"/>
  <c r="U8" i="1" s="1"/>
  <c r="V41" i="1"/>
  <c r="V8" i="1" s="1"/>
  <c r="W41" i="1"/>
  <c r="W8" i="1" s="1"/>
  <c r="AD173" i="1" l="1"/>
  <c r="CY173" i="1"/>
  <c r="CZ173" i="1" s="1"/>
  <c r="DA173" i="1" s="1"/>
  <c r="DB173" i="1" s="1"/>
  <c r="AE173" i="1" s="1"/>
  <c r="CR253" i="1"/>
  <c r="CS182" i="1"/>
  <c r="CD231" i="1"/>
  <c r="CE231" i="1" s="1"/>
  <c r="CE185" i="1" s="1"/>
  <c r="CD195" i="1"/>
  <c r="BL231" i="1"/>
  <c r="BM231" i="1" s="1"/>
  <c r="BL195" i="1"/>
  <c r="BZ231" i="1"/>
  <c r="CA231" i="1" s="1"/>
  <c r="BZ195" i="1"/>
  <c r="CB231" i="1"/>
  <c r="CC231" i="1" s="1"/>
  <c r="CB195" i="1"/>
  <c r="CF231" i="1"/>
  <c r="CG231" i="1" s="1"/>
  <c r="CG185" i="1" s="1"/>
  <c r="CF195" i="1"/>
  <c r="CR235" i="1"/>
  <c r="CQ236" i="1"/>
  <c r="CS167" i="1"/>
  <c r="CR170" i="1"/>
  <c r="CR300" i="1" s="1"/>
  <c r="CQ257" i="1"/>
  <c r="BZ212" i="1"/>
  <c r="BL212" i="1"/>
  <c r="CB253" i="1"/>
  <c r="CA159" i="1"/>
  <c r="BZ162" i="1"/>
  <c r="BL162" i="1"/>
  <c r="CB212" i="1"/>
  <c r="CC260" i="1" s="1"/>
  <c r="CG166" i="1"/>
  <c r="CG170" i="1" s="1"/>
  <c r="CF170" i="1"/>
  <c r="CD176" i="1"/>
  <c r="CE75" i="1" s="1"/>
  <c r="CC182" i="1"/>
  <c r="CD253" i="1" s="1"/>
  <c r="CE159" i="1"/>
  <c r="CD162" i="1"/>
  <c r="BM182" i="1"/>
  <c r="BM253" i="1" s="1"/>
  <c r="CD212" i="1"/>
  <c r="CF253" i="1"/>
  <c r="CE170" i="1"/>
  <c r="BM167" i="1"/>
  <c r="BM170" i="1" s="1"/>
  <c r="BL170" i="1"/>
  <c r="CG182" i="1"/>
  <c r="CG197" i="1"/>
  <c r="CG207" i="1" s="1"/>
  <c r="CF207" i="1"/>
  <c r="CF236" i="1" s="1"/>
  <c r="CF235" i="1" s="1"/>
  <c r="CG159" i="1"/>
  <c r="CG162" i="1" s="1"/>
  <c r="CF162" i="1"/>
  <c r="CA197" i="1"/>
  <c r="BZ207" i="1"/>
  <c r="BZ236" i="1" s="1"/>
  <c r="BZ235" i="1" s="1"/>
  <c r="BZ176" i="1"/>
  <c r="BZ180" i="1" s="1"/>
  <c r="CA170" i="1"/>
  <c r="CB176" i="1"/>
  <c r="CF212" i="1"/>
  <c r="BL176" i="1"/>
  <c r="CF176" i="1"/>
  <c r="CF180" i="1" s="1"/>
  <c r="CC170" i="1"/>
  <c r="CB170" i="1"/>
  <c r="CE253" i="1"/>
  <c r="BZ170" i="1"/>
  <c r="CB207" i="1"/>
  <c r="CB236" i="1" s="1"/>
  <c r="CB235" i="1" s="1"/>
  <c r="BL207" i="1"/>
  <c r="BL236" i="1" s="1"/>
  <c r="BL235" i="1" s="1"/>
  <c r="CD207" i="1"/>
  <c r="CD236" i="1" s="1"/>
  <c r="CD235" i="1" s="1"/>
  <c r="CB162" i="1"/>
  <c r="CD170" i="1"/>
  <c r="BM193" i="1"/>
  <c r="CE193" i="1"/>
  <c r="CC193" i="1"/>
  <c r="CG193" i="1"/>
  <c r="CA193" i="1"/>
  <c r="CA69" i="1"/>
  <c r="CA45" i="1"/>
  <c r="JK19" i="4"/>
  <c r="CE120" i="1" s="1"/>
  <c r="BL69" i="1"/>
  <c r="CC44" i="1"/>
  <c r="CC69" i="1"/>
  <c r="CI276" i="1"/>
  <c r="CF49" i="1"/>
  <c r="CG45" i="1"/>
  <c r="CJ44" i="1"/>
  <c r="BY69" i="1"/>
  <c r="JL20" i="4"/>
  <c r="CF121" i="1" s="1"/>
  <c r="BZ49" i="1"/>
  <c r="CD51" i="1" s="1"/>
  <c r="CF69" i="1"/>
  <c r="Y100" i="1"/>
  <c r="JJ19" i="4"/>
  <c r="CD120" i="1" s="1"/>
  <c r="JM20" i="4"/>
  <c r="CG121" i="1" s="1"/>
  <c r="CD69" i="1"/>
  <c r="JM19" i="4"/>
  <c r="CG120" i="1" s="1"/>
  <c r="CE196" i="1"/>
  <c r="CE207" i="1" s="1"/>
  <c r="CE236" i="1" s="1"/>
  <c r="CE235" i="1" s="1"/>
  <c r="JJ20" i="4"/>
  <c r="CD121" i="1" s="1"/>
  <c r="JL19" i="4"/>
  <c r="CF120" i="1" s="1"/>
  <c r="JK20" i="4"/>
  <c r="CE121" i="1" s="1"/>
  <c r="CA70" i="1"/>
  <c r="CD239" i="1"/>
  <c r="CD44" i="1"/>
  <c r="BZ45" i="1"/>
  <c r="CD276" i="1"/>
  <c r="BZ69" i="1"/>
  <c r="CE186" i="1"/>
  <c r="CE239" i="1"/>
  <c r="CG239" i="1"/>
  <c r="CF44" i="1"/>
  <c r="CH276" i="1"/>
  <c r="CJ239" i="1"/>
  <c r="CE69" i="1"/>
  <c r="CC49" i="1"/>
  <c r="CC52" i="1" s="1"/>
  <c r="CF276" i="1"/>
  <c r="CB45" i="1"/>
  <c r="Z100" i="1"/>
  <c r="CE44" i="1"/>
  <c r="CG276" i="1"/>
  <c r="CF45" i="1"/>
  <c r="CF239" i="1"/>
  <c r="CE276" i="1"/>
  <c r="CC45" i="1"/>
  <c r="CC276" i="1"/>
  <c r="CB69" i="1"/>
  <c r="CB50" i="1"/>
  <c r="CB70" i="1"/>
  <c r="CB15" i="1" s="1"/>
  <c r="CB52" i="1"/>
  <c r="CD70" i="1"/>
  <c r="CD45" i="1"/>
  <c r="CH44" i="1"/>
  <c r="CI239" i="1"/>
  <c r="CE49" i="1"/>
  <c r="CE52" i="1" s="1"/>
  <c r="CI44" i="1"/>
  <c r="CD50" i="1"/>
  <c r="CG44" i="1"/>
  <c r="CE45" i="1"/>
  <c r="CH239" i="1"/>
  <c r="CA253" i="1"/>
  <c r="BL50" i="1"/>
  <c r="BL70" i="1"/>
  <c r="BL15" i="1" s="1"/>
  <c r="BY50" i="1"/>
  <c r="BY70" i="1"/>
  <c r="BY15" i="1" s="1"/>
  <c r="CT50" i="1"/>
  <c r="CU50" i="1" s="1"/>
  <c r="CW69" i="1"/>
  <c r="CX69" i="1" s="1"/>
  <c r="CT230" i="1"/>
  <c r="CT234" i="1"/>
  <c r="CU166" i="1"/>
  <c r="CT231" i="1"/>
  <c r="AE88" i="1"/>
  <c r="V282" i="1"/>
  <c r="W282" i="1"/>
  <c r="U282" i="1"/>
  <c r="CF70" i="1" l="1"/>
  <c r="AA101" i="1"/>
  <c r="CS253" i="1"/>
  <c r="CT182" i="1"/>
  <c r="CE195" i="1"/>
  <c r="CG195" i="1"/>
  <c r="CA283" i="1"/>
  <c r="CA284" i="1" s="1"/>
  <c r="CA15" i="1"/>
  <c r="CC253" i="1"/>
  <c r="CH72" i="1"/>
  <c r="CD15" i="1"/>
  <c r="CG300" i="1"/>
  <c r="CS235" i="1"/>
  <c r="CR236" i="1"/>
  <c r="CH253" i="1"/>
  <c r="CG253" i="1"/>
  <c r="CA260" i="1"/>
  <c r="BZ299" i="1"/>
  <c r="CT167" i="1"/>
  <c r="CS170" i="1"/>
  <c r="CS300" i="1" s="1"/>
  <c r="CD257" i="1"/>
  <c r="CF300" i="1"/>
  <c r="BM260" i="1"/>
  <c r="BL299" i="1"/>
  <c r="CF257" i="1"/>
  <c r="CF171" i="1"/>
  <c r="CR257" i="1"/>
  <c r="BL171" i="1"/>
  <c r="BL219" i="1"/>
  <c r="BL151" i="1" s="1"/>
  <c r="CA75" i="1"/>
  <c r="CA176" i="1"/>
  <c r="CB180" i="1"/>
  <c r="CC75" i="1"/>
  <c r="CC176" i="1"/>
  <c r="BZ219" i="1"/>
  <c r="BZ171" i="1"/>
  <c r="CD180" i="1"/>
  <c r="CE176" i="1"/>
  <c r="CE260" i="1"/>
  <c r="CD299" i="1"/>
  <c r="CA300" i="1"/>
  <c r="CA257" i="1"/>
  <c r="BM257" i="1"/>
  <c r="BM300" i="1"/>
  <c r="CH258" i="1"/>
  <c r="CG258" i="1"/>
  <c r="CG260" i="1"/>
  <c r="CF219" i="1"/>
  <c r="CF299" i="1"/>
  <c r="BM176" i="1"/>
  <c r="BM180" i="1" s="1"/>
  <c r="BL180" i="1"/>
  <c r="CG75" i="1"/>
  <c r="CG176" i="1"/>
  <c r="CH300" i="1"/>
  <c r="CH302" i="1" s="1"/>
  <c r="CH257" i="1"/>
  <c r="CG171" i="1"/>
  <c r="CG257" i="1"/>
  <c r="CB300" i="1"/>
  <c r="CB171" i="1"/>
  <c r="CB219" i="1"/>
  <c r="CB257" i="1"/>
  <c r="CB299" i="1"/>
  <c r="CC300" i="1"/>
  <c r="CC257" i="1"/>
  <c r="CE257" i="1"/>
  <c r="CD300" i="1"/>
  <c r="CD171" i="1"/>
  <c r="CD219" i="1"/>
  <c r="CE300" i="1"/>
  <c r="BZ52" i="1"/>
  <c r="BZ70" i="1"/>
  <c r="BZ15" i="1" s="1"/>
  <c r="BZ50" i="1"/>
  <c r="CA52" i="1"/>
  <c r="CG236" i="1"/>
  <c r="CH248" i="1"/>
  <c r="CG248" i="1"/>
  <c r="CJ51" i="1"/>
  <c r="CF50" i="1"/>
  <c r="CG52" i="1"/>
  <c r="CF51" i="1"/>
  <c r="CG51" i="1"/>
  <c r="CC50" i="1"/>
  <c r="Y101" i="1"/>
  <c r="CC70" i="1"/>
  <c r="CD52" i="1"/>
  <c r="CC51" i="1"/>
  <c r="CE248" i="1"/>
  <c r="CF248" i="1"/>
  <c r="CA76" i="1"/>
  <c r="CA80" i="1" s="1"/>
  <c r="CA83" i="1" s="1"/>
  <c r="CA90" i="1" s="1"/>
  <c r="CA244" i="1" s="1"/>
  <c r="CA246" i="1" s="1"/>
  <c r="CA71" i="1"/>
  <c r="CD71" i="1"/>
  <c r="CB71" i="1"/>
  <c r="CB283" i="1"/>
  <c r="CB284" i="1" s="1"/>
  <c r="CB76" i="1"/>
  <c r="CB80" i="1" s="1"/>
  <c r="CB73" i="1"/>
  <c r="CB301" i="1"/>
  <c r="CF72" i="1"/>
  <c r="CD283" i="1"/>
  <c r="CD284" i="1" s="1"/>
  <c r="CD76" i="1"/>
  <c r="CD80" i="1" s="1"/>
  <c r="CD83" i="1" s="1"/>
  <c r="CD285" i="1" s="1"/>
  <c r="CF52" i="1"/>
  <c r="CE51" i="1"/>
  <c r="CI51" i="1"/>
  <c r="Z101" i="1"/>
  <c r="CE70" i="1"/>
  <c r="CE50" i="1"/>
  <c r="BY76" i="1"/>
  <c r="BY80" i="1" s="1"/>
  <c r="BY71" i="1"/>
  <c r="BL76" i="1"/>
  <c r="BL80" i="1" s="1"/>
  <c r="BL71" i="1"/>
  <c r="CV50" i="1"/>
  <c r="CY69" i="1"/>
  <c r="CZ69" i="1" s="1"/>
  <c r="CU230" i="1"/>
  <c r="CV166" i="1"/>
  <c r="CU231" i="1"/>
  <c r="CU234" i="1"/>
  <c r="AB206" i="1"/>
  <c r="A1" i="1"/>
  <c r="CG73" i="1" l="1"/>
  <c r="CI154" i="1"/>
  <c r="CI277" i="1"/>
  <c r="CG301" i="1"/>
  <c r="CF71" i="1"/>
  <c r="CF283" i="1"/>
  <c r="CF284" i="1" s="1"/>
  <c r="CJ72" i="1"/>
  <c r="CF76" i="1"/>
  <c r="AA102" i="1"/>
  <c r="CF15" i="1"/>
  <c r="CT253" i="1"/>
  <c r="CU182" i="1"/>
  <c r="CG302" i="1"/>
  <c r="CG277" i="1"/>
  <c r="CE15" i="1"/>
  <c r="CC76" i="1"/>
  <c r="CC80" i="1" s="1"/>
  <c r="CC83" i="1" s="1"/>
  <c r="CC15" i="1"/>
  <c r="CT235" i="1"/>
  <c r="CS236" i="1"/>
  <c r="CA180" i="1"/>
  <c r="CB75" i="1"/>
  <c r="CU167" i="1"/>
  <c r="CT170" i="1"/>
  <c r="CT300" i="1" s="1"/>
  <c r="CE180" i="1"/>
  <c r="CF75" i="1"/>
  <c r="CS257" i="1"/>
  <c r="CB302" i="1"/>
  <c r="CG256" i="1"/>
  <c r="CD75" i="1"/>
  <c r="CC180" i="1"/>
  <c r="BZ151" i="1"/>
  <c r="CA79" i="1"/>
  <c r="CH256" i="1"/>
  <c r="CF151" i="1"/>
  <c r="CG79" i="1"/>
  <c r="CH75" i="1"/>
  <c r="CG180" i="1"/>
  <c r="CB151" i="1"/>
  <c r="CC79" i="1"/>
  <c r="CD151" i="1"/>
  <c r="CE79" i="1"/>
  <c r="BZ71" i="1"/>
  <c r="BZ76" i="1"/>
  <c r="CA301" i="1"/>
  <c r="CA302" i="1" s="1"/>
  <c r="CA73" i="1"/>
  <c r="BZ283" i="1"/>
  <c r="BZ284" i="1" s="1"/>
  <c r="CD72" i="1"/>
  <c r="BZ73" i="1"/>
  <c r="BZ301" i="1"/>
  <c r="CB154" i="1"/>
  <c r="CD154" i="1"/>
  <c r="CC301" i="1"/>
  <c r="CC302" i="1" s="1"/>
  <c r="CG235" i="1"/>
  <c r="CC283" i="1"/>
  <c r="CC284" i="1" s="1"/>
  <c r="CG72" i="1"/>
  <c r="Y102" i="1"/>
  <c r="CC71" i="1"/>
  <c r="CC277" i="1"/>
  <c r="CD301" i="1"/>
  <c r="CD302" i="1" s="1"/>
  <c r="CC154" i="1"/>
  <c r="CD277" i="1"/>
  <c r="CC73" i="1"/>
  <c r="CD73" i="1"/>
  <c r="CC72" i="1"/>
  <c r="CF80" i="1"/>
  <c r="CI97" i="1"/>
  <c r="CA82" i="1"/>
  <c r="CA161" i="1"/>
  <c r="CA162" i="1" s="1"/>
  <c r="CH85" i="1"/>
  <c r="CD82" i="1"/>
  <c r="CA94" i="1"/>
  <c r="CA285" i="1"/>
  <c r="CA84" i="1"/>
  <c r="CA296" i="1" s="1"/>
  <c r="CD84" i="1"/>
  <c r="CD296" i="1" s="1"/>
  <c r="CF154" i="1"/>
  <c r="CD90" i="1"/>
  <c r="CD94" i="1" s="1"/>
  <c r="CE73" i="1"/>
  <c r="CE154" i="1"/>
  <c r="CE277" i="1"/>
  <c r="CB82" i="1"/>
  <c r="CB83" i="1"/>
  <c r="CE301" i="1"/>
  <c r="CE302" i="1" s="1"/>
  <c r="CF301" i="1"/>
  <c r="CF302" i="1" s="1"/>
  <c r="CE283" i="1"/>
  <c r="CE284" i="1" s="1"/>
  <c r="Z102" i="1"/>
  <c r="CE72" i="1"/>
  <c r="CH154" i="1"/>
  <c r="CE71" i="1"/>
  <c r="CG154" i="1"/>
  <c r="CE76" i="1"/>
  <c r="CH277" i="1"/>
  <c r="CF73" i="1"/>
  <c r="CI72" i="1"/>
  <c r="CF277" i="1"/>
  <c r="BL83" i="1"/>
  <c r="BL82" i="1"/>
  <c r="BY82" i="1"/>
  <c r="BY83" i="1"/>
  <c r="DA69" i="1"/>
  <c r="DB69" i="1" s="1"/>
  <c r="CW50" i="1"/>
  <c r="CX50" i="1" s="1"/>
  <c r="CW166" i="1"/>
  <c r="CV230" i="1"/>
  <c r="CV234" i="1"/>
  <c r="CV231" i="1"/>
  <c r="AC206" i="1"/>
  <c r="CV182" i="1" l="1"/>
  <c r="CU253" i="1"/>
  <c r="CD97" i="1"/>
  <c r="CC82" i="1"/>
  <c r="CU235" i="1"/>
  <c r="CT236" i="1"/>
  <c r="CA254" i="1"/>
  <c r="CA252" i="1" s="1"/>
  <c r="CB254" i="1"/>
  <c r="CB252" i="1" s="1"/>
  <c r="CE254" i="1"/>
  <c r="CE252" i="1" s="1"/>
  <c r="CF254" i="1"/>
  <c r="CF252" i="1" s="1"/>
  <c r="CH254" i="1"/>
  <c r="CH252" i="1" s="1"/>
  <c r="CG254" i="1"/>
  <c r="CG252" i="1" s="1"/>
  <c r="CV167" i="1"/>
  <c r="CU170" i="1"/>
  <c r="CU300" i="1" s="1"/>
  <c r="CT257" i="1"/>
  <c r="CD254" i="1"/>
  <c r="CD252" i="1" s="1"/>
  <c r="CC254" i="1"/>
  <c r="CC252" i="1" s="1"/>
  <c r="BZ80" i="1"/>
  <c r="CB97" i="1"/>
  <c r="CD278" i="1"/>
  <c r="CF83" i="1"/>
  <c r="CF82" i="1"/>
  <c r="CC85" i="1"/>
  <c r="CG85" i="1"/>
  <c r="CC285" i="1"/>
  <c r="CC90" i="1"/>
  <c r="CC84" i="1"/>
  <c r="CC296" i="1" s="1"/>
  <c r="CD86" i="1"/>
  <c r="CA258" i="1"/>
  <c r="CA256" i="1" s="1"/>
  <c r="CA171" i="1"/>
  <c r="CC86" i="1"/>
  <c r="CD244" i="1"/>
  <c r="CD246" i="1" s="1"/>
  <c r="Y103" i="1"/>
  <c r="CF97" i="1"/>
  <c r="CH97" i="1"/>
  <c r="CG97" i="1"/>
  <c r="CE80" i="1"/>
  <c r="CB90" i="1"/>
  <c r="CB86" i="1"/>
  <c r="CB285" i="1"/>
  <c r="CB84" i="1"/>
  <c r="CB296" i="1" s="1"/>
  <c r="BL90" i="1"/>
  <c r="BL84" i="1"/>
  <c r="BL296" i="1" s="1"/>
  <c r="CM106" i="1"/>
  <c r="CN106" i="1" s="1"/>
  <c r="CO106" i="1" s="1"/>
  <c r="CP106" i="1" s="1"/>
  <c r="CQ106" i="1" s="1"/>
  <c r="CR106" i="1" s="1"/>
  <c r="CS106" i="1" s="1"/>
  <c r="CT106" i="1" s="1"/>
  <c r="CU106" i="1" s="1"/>
  <c r="CV106" i="1" s="1"/>
  <c r="CW106" i="1" s="1"/>
  <c r="CX106" i="1" s="1"/>
  <c r="CY106" i="1" s="1"/>
  <c r="CZ106" i="1" s="1"/>
  <c r="DA106" i="1" s="1"/>
  <c r="DB106" i="1" s="1"/>
  <c r="BY84" i="1"/>
  <c r="BY296" i="1" s="1"/>
  <c r="BY90" i="1"/>
  <c r="CY50" i="1"/>
  <c r="CZ50" i="1" s="1"/>
  <c r="CX166" i="1"/>
  <c r="CW231" i="1"/>
  <c r="CW230" i="1"/>
  <c r="CW234" i="1"/>
  <c r="AE206" i="1"/>
  <c r="AD206" i="1"/>
  <c r="CF285" i="1" l="1"/>
  <c r="AA103" i="1"/>
  <c r="CW182" i="1"/>
  <c r="CV253" i="1"/>
  <c r="CV235" i="1"/>
  <c r="CU236" i="1"/>
  <c r="CW167" i="1"/>
  <c r="CV170" i="1"/>
  <c r="CV300" i="1" s="1"/>
  <c r="CU257" i="1"/>
  <c r="CF85" i="1"/>
  <c r="CF84" i="1"/>
  <c r="CF296" i="1" s="1"/>
  <c r="BZ83" i="1"/>
  <c r="BZ82" i="1"/>
  <c r="CJ85" i="1"/>
  <c r="CG86" i="1"/>
  <c r="CI278" i="1"/>
  <c r="CF90" i="1"/>
  <c r="CD96" i="1"/>
  <c r="CC94" i="1"/>
  <c r="CC161" i="1"/>
  <c r="CC162" i="1" s="1"/>
  <c r="CC244" i="1"/>
  <c r="CC246" i="1" s="1"/>
  <c r="CB94" i="1"/>
  <c r="CB244" i="1"/>
  <c r="CB246" i="1" s="1"/>
  <c r="CB258" i="1"/>
  <c r="CB256" i="1" s="1"/>
  <c r="CE83" i="1"/>
  <c r="CE82" i="1"/>
  <c r="BY244" i="1"/>
  <c r="BY246" i="1" s="1"/>
  <c r="BY94" i="1"/>
  <c r="BL244" i="1"/>
  <c r="BL246" i="1" s="1"/>
  <c r="BL94" i="1"/>
  <c r="DA50" i="1"/>
  <c r="DB50" i="1" s="1"/>
  <c r="CX234" i="1"/>
  <c r="CX231" i="1"/>
  <c r="CX230" i="1"/>
  <c r="CY166" i="1"/>
  <c r="AB168" i="1"/>
  <c r="AB178" i="1"/>
  <c r="AB177" i="1"/>
  <c r="AB169" i="1"/>
  <c r="AB164" i="1"/>
  <c r="AB160" i="1"/>
  <c r="CW253" i="1" l="1"/>
  <c r="CX182" i="1"/>
  <c r="CW235" i="1"/>
  <c r="CV236" i="1"/>
  <c r="CX167" i="1"/>
  <c r="CW170" i="1"/>
  <c r="CW300" i="1" s="1"/>
  <c r="CV257" i="1"/>
  <c r="BZ84" i="1"/>
  <c r="BZ296" i="1" s="1"/>
  <c r="BZ86" i="1"/>
  <c r="CC278" i="1"/>
  <c r="BZ90" i="1"/>
  <c r="CC96" i="1" s="1"/>
  <c r="BZ285" i="1"/>
  <c r="CD85" i="1"/>
  <c r="CA86" i="1"/>
  <c r="CF244" i="1"/>
  <c r="CF246" i="1" s="1"/>
  <c r="CF94" i="1"/>
  <c r="CI96" i="1"/>
  <c r="CC171" i="1"/>
  <c r="CC97" i="1" s="1"/>
  <c r="CC258" i="1"/>
  <c r="CC256" i="1" s="1"/>
  <c r="CD258" i="1"/>
  <c r="CD256" i="1" s="1"/>
  <c r="CG278" i="1"/>
  <c r="CI85" i="1"/>
  <c r="CH278" i="1"/>
  <c r="CE86" i="1"/>
  <c r="CE84" i="1"/>
  <c r="CE296" i="1" s="1"/>
  <c r="CE85" i="1"/>
  <c r="CF86" i="1"/>
  <c r="CE90" i="1"/>
  <c r="CF278" i="1"/>
  <c r="CE278" i="1"/>
  <c r="Z103" i="1"/>
  <c r="CE285" i="1"/>
  <c r="CY231" i="1"/>
  <c r="CZ166" i="1"/>
  <c r="CY230" i="1"/>
  <c r="CY234" i="1"/>
  <c r="AC178" i="1"/>
  <c r="AC168" i="1"/>
  <c r="AB215" i="1"/>
  <c r="AC164" i="1"/>
  <c r="AB187" i="1"/>
  <c r="AC169" i="1"/>
  <c r="AC160" i="1"/>
  <c r="AC177" i="1"/>
  <c r="CY182" i="1" l="1"/>
  <c r="CX253" i="1"/>
  <c r="CX235" i="1"/>
  <c r="CW236" i="1"/>
  <c r="CY167" i="1"/>
  <c r="CX170" i="1"/>
  <c r="CX300" i="1" s="1"/>
  <c r="CW257" i="1"/>
  <c r="CB96" i="1"/>
  <c r="BZ94" i="1"/>
  <c r="BZ244" i="1"/>
  <c r="BZ246" i="1" s="1"/>
  <c r="CE94" i="1"/>
  <c r="CE161" i="1"/>
  <c r="CE162" i="1" s="1"/>
  <c r="CE96" i="1" s="1"/>
  <c r="CE244" i="1"/>
  <c r="CE246" i="1" s="1"/>
  <c r="CF96" i="1"/>
  <c r="CG96" i="1"/>
  <c r="CH96" i="1"/>
  <c r="DA166" i="1"/>
  <c r="CZ234" i="1"/>
  <c r="CZ231" i="1"/>
  <c r="CZ230" i="1"/>
  <c r="AE178" i="1"/>
  <c r="AD178" i="1"/>
  <c r="AE168" i="1"/>
  <c r="AD168" i="1"/>
  <c r="AC215" i="1"/>
  <c r="AD160" i="1"/>
  <c r="AE160" i="1"/>
  <c r="AE169" i="1"/>
  <c r="AD169" i="1"/>
  <c r="AE177" i="1"/>
  <c r="AD177" i="1"/>
  <c r="AC187" i="1"/>
  <c r="AE164" i="1"/>
  <c r="AD164" i="1"/>
  <c r="CY253" i="1" l="1"/>
  <c r="CZ182" i="1"/>
  <c r="CZ253" i="1" s="1"/>
  <c r="CY235" i="1"/>
  <c r="CX236" i="1"/>
  <c r="CZ167" i="1"/>
  <c r="CY170" i="1"/>
  <c r="CX257" i="1"/>
  <c r="CF258" i="1"/>
  <c r="CF256" i="1" s="1"/>
  <c r="CE171" i="1"/>
  <c r="CE97" i="1" s="1"/>
  <c r="CE258" i="1"/>
  <c r="CE256" i="1" s="1"/>
  <c r="DA230" i="1"/>
  <c r="DA231" i="1"/>
  <c r="DA234" i="1"/>
  <c r="DB166" i="1"/>
  <c r="AE215" i="1"/>
  <c r="AD215" i="1"/>
  <c r="AE187" i="1"/>
  <c r="AD187" i="1"/>
  <c r="BY282" i="1"/>
  <c r="DA182" i="1" l="1"/>
  <c r="DB182" i="1" s="1"/>
  <c r="DB253" i="1" s="1"/>
  <c r="CZ235" i="1"/>
  <c r="CY236" i="1"/>
  <c r="DA167" i="1"/>
  <c r="CZ170" i="1"/>
  <c r="CZ300" i="1" s="1"/>
  <c r="CY300" i="1"/>
  <c r="CY257" i="1"/>
  <c r="DB231" i="1"/>
  <c r="DB230" i="1"/>
  <c r="DB234" i="1"/>
  <c r="AB53" i="1"/>
  <c r="DA253" i="1" l="1"/>
  <c r="DA235" i="1"/>
  <c r="CZ236" i="1"/>
  <c r="DB167" i="1"/>
  <c r="DB170" i="1" s="1"/>
  <c r="DA170" i="1"/>
  <c r="CZ257" i="1"/>
  <c r="AC53" i="1"/>
  <c r="BY283" i="1"/>
  <c r="BY284" i="1" s="1"/>
  <c r="DB235" i="1" l="1"/>
  <c r="DB236" i="1" s="1"/>
  <c r="DA236" i="1"/>
  <c r="DB257" i="1"/>
  <c r="DB300" i="1"/>
  <c r="DA300" i="1"/>
  <c r="DA257" i="1"/>
  <c r="AD53" i="1"/>
  <c r="BY285" i="1"/>
  <c r="AE53" i="1" l="1"/>
  <c r="BL282" i="1" l="1"/>
  <c r="AB182" i="1" l="1"/>
  <c r="AB253" i="1" l="1"/>
  <c r="Q28" i="2" l="1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CN14" i="4" a="1"/>
  <c r="DQ8" i="4" a="1"/>
  <c r="X5" i="4" a="1"/>
  <c r="AK7" i="4" a="1"/>
  <c r="AD7" i="4" a="1"/>
  <c r="BF12" i="4" a="1"/>
  <c r="EC11" i="4" a="1"/>
  <c r="DB16" i="4" a="1"/>
  <c r="AP16" i="4" a="1"/>
  <c r="EJ7" i="4" a="1"/>
  <c r="CF12" i="4" a="1"/>
  <c r="AR12" i="4" a="1"/>
  <c r="F8" i="4" a="1"/>
  <c r="BV15" i="4" a="1"/>
  <c r="P8" i="4" a="1"/>
  <c r="W8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BX16" i="4" a="1"/>
  <c r="AA12" i="4" a="1"/>
  <c r="DL6" i="4" a="1"/>
  <c r="AC15" i="4" a="1"/>
  <c r="DY8" i="4" a="1"/>
  <c r="O7" i="4" a="1"/>
  <c r="DI16" i="4" a="1"/>
  <c r="AF9" i="4" a="1"/>
  <c r="DX13" i="4" a="1"/>
  <c r="EF13" i="4" a="1"/>
  <c r="DZ12" i="4" a="1"/>
  <c r="BC5" i="4" a="1"/>
  <c r="X6" i="4" a="1"/>
  <c r="AP15" i="4" a="1"/>
  <c r="CE5" i="4" a="1"/>
  <c r="ED6" i="4" a="1"/>
  <c r="EF5" i="4" a="1"/>
  <c r="CR9" i="4" a="1"/>
  <c r="BS15" i="4" a="1"/>
  <c r="BJ9" i="4" a="1"/>
  <c r="BZ11" i="4" a="1"/>
  <c r="CJ11" i="4" a="1"/>
  <c r="EJ13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DQ16" i="4" a="1"/>
  <c r="S15" i="4" a="1"/>
  <c r="EK15" i="4" a="1"/>
  <c r="CA15" i="4" a="1"/>
  <c r="BE12" i="4" a="1"/>
  <c r="AD11" i="4" a="1"/>
  <c r="AC14" i="4" a="1"/>
  <c r="CS8" i="4" a="1"/>
  <c r="DI8" i="4" a="1"/>
  <c r="CZ15" i="4" a="1"/>
  <c r="CV12" i="4" a="1"/>
  <c r="CK14" i="4" a="1"/>
  <c r="AC12" i="4" a="1"/>
  <c r="CU8" i="4" a="1"/>
  <c r="F16" i="4" a="1"/>
  <c r="X8" i="4" a="1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H45" i="3"/>
  <c r="E25" i="3"/>
  <c r="AR36" i="3"/>
  <c r="E26" i="3"/>
  <c r="E20" i="3"/>
  <c r="L46" i="3"/>
  <c r="W46" i="3"/>
  <c r="D15" i="3"/>
  <c r="AR32" i="3"/>
  <c r="E42" i="3"/>
  <c r="AR38" i="3"/>
  <c r="AD46" i="3"/>
  <c r="P45" i="3"/>
  <c r="D22" i="3"/>
  <c r="D6" i="3"/>
  <c r="AO46" i="3"/>
  <c r="E29" i="3"/>
  <c r="AR28" i="3"/>
  <c r="F7" i="3"/>
  <c r="D35" i="3"/>
  <c r="F26" i="3"/>
  <c r="F35" i="3"/>
  <c r="AZ15" i="4" a="1"/>
  <c r="AL12" i="4" a="1"/>
  <c r="DZ14" i="4" a="1"/>
  <c r="BF13" i="4" a="1"/>
  <c r="AI9" i="4" a="1"/>
  <c r="J9" i="4" a="1"/>
  <c r="CM16" i="4" a="1"/>
  <c r="AS6" i="4" a="1"/>
  <c r="DK5" i="4" a="1"/>
  <c r="BO8" i="4" a="1"/>
  <c r="L9" i="4" a="1"/>
  <c r="DV7" i="4" a="1"/>
  <c r="DF5" i="4" a="1"/>
  <c r="CN16" i="4" a="1"/>
  <c r="T7" i="4" a="1"/>
  <c r="EK5" i="4" a="1"/>
  <c r="BA5" i="4" a="1"/>
  <c r="DM15" i="4" a="1"/>
  <c r="R14" i="4" a="1"/>
  <c r="CN8" i="4" a="1"/>
  <c r="DO12" i="4" a="1"/>
  <c r="CO9" i="4" a="1"/>
  <c r="CV6" i="4" a="1"/>
  <c r="AQ15" i="4" a="1"/>
  <c r="CA8" i="4" a="1"/>
  <c r="AY7" i="4" a="1"/>
  <c r="DX6" i="4" a="1"/>
  <c r="DP16" i="4" a="1"/>
  <c r="C7" i="4" a="1"/>
  <c r="BD5" i="4" a="1"/>
  <c r="BK12" i="4" a="1"/>
  <c r="DR11" i="4" a="1"/>
  <c r="W9" i="2"/>
  <c r="U19" i="2"/>
  <c r="U27" i="2"/>
  <c r="Q5" i="2"/>
  <c r="U12" i="2"/>
  <c r="L17" i="2"/>
  <c r="O35" i="2"/>
  <c r="X23" i="2"/>
  <c r="O19" i="2"/>
  <c r="K13" i="2"/>
  <c r="U18" i="2"/>
  <c r="G31" i="2"/>
  <c r="I20" i="2"/>
  <c r="P20" i="2"/>
  <c r="X10" i="2"/>
  <c r="T29" i="2"/>
  <c r="H36" i="2"/>
  <c r="Q24" i="2"/>
  <c r="P8" i="2"/>
  <c r="V36" i="2"/>
  <c r="T18" i="2"/>
  <c r="M12" i="2"/>
  <c r="E8" i="2"/>
  <c r="Q31" i="2"/>
  <c r="S7" i="2"/>
  <c r="W15" i="2"/>
  <c r="J20" i="2"/>
  <c r="M17" i="2"/>
  <c r="L11" i="2"/>
  <c r="E17" i="2"/>
  <c r="C10" i="2"/>
  <c r="V17" i="2"/>
  <c r="J23" i="2"/>
  <c r="M30" i="2"/>
  <c r="E27" i="2"/>
  <c r="C15" i="2"/>
  <c r="Q54" i="2"/>
  <c r="U31" i="2"/>
  <c r="AR37" i="3"/>
  <c r="W45" i="3"/>
  <c r="AR12" i="3"/>
  <c r="E39" i="3"/>
  <c r="AE45" i="3"/>
  <c r="N45" i="3"/>
  <c r="AR27" i="3"/>
  <c r="D32" i="3"/>
  <c r="F11" i="3"/>
  <c r="AD12" i="3"/>
  <c r="F16" i="3"/>
  <c r="E15" i="3"/>
  <c r="D7" i="3"/>
  <c r="AR16" i="3"/>
  <c r="BV7" i="4" a="1"/>
  <c r="DM5" i="4" a="1"/>
  <c r="AK9" i="4" a="1"/>
  <c r="DK7" i="4" a="1"/>
  <c r="S11" i="4" a="1"/>
  <c r="BD15" i="4" a="1"/>
  <c r="AI11" i="4" a="1"/>
  <c r="CO6" i="4" a="1"/>
  <c r="CB13" i="4" a="1"/>
  <c r="BN16" i="4" a="1"/>
  <c r="CY16" i="4" a="1"/>
  <c r="DQ13" i="4" a="1"/>
  <c r="DC12" i="4" a="1"/>
  <c r="BT9" i="4" a="1"/>
  <c r="P9" i="4" a="1"/>
  <c r="CW7" i="4" a="1"/>
  <c r="BQ9" i="4" a="1"/>
  <c r="ED9" i="4" a="1"/>
  <c r="EB8" i="4" a="1"/>
  <c r="DF11" i="4" a="1"/>
  <c r="AI8" i="4" a="1"/>
  <c r="CG8" i="4" a="1"/>
  <c r="DA8" i="4" a="1"/>
  <c r="CE6" i="4" a="1"/>
  <c r="BG12" i="4" a="1"/>
  <c r="DF16" i="4" a="1"/>
  <c r="AU7" i="4" a="1"/>
  <c r="BV16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BQ16" i="4" a="1"/>
  <c r="BL11" i="4" a="1"/>
  <c r="ED7" i="4" a="1"/>
  <c r="DF9" i="4" a="1"/>
  <c r="AK16" i="4" a="1"/>
  <c r="DX14" i="4" a="1"/>
  <c r="Q8" i="4" a="1"/>
  <c r="EE8" i="4" a="1"/>
  <c r="CV15" i="4" a="1"/>
  <c r="DX15" i="4" a="1"/>
  <c r="DL7" i="4" a="1"/>
  <c r="BL14" i="4" a="1"/>
  <c r="AA14" i="4" a="1"/>
  <c r="CV11" i="4" a="1"/>
  <c r="AR15" i="4" a="1"/>
  <c r="Y14" i="4" a="1"/>
  <c r="L14" i="4" a="1"/>
  <c r="AW11" i="4" a="1"/>
  <c r="BT12" i="4" a="1"/>
  <c r="BN12" i="4" a="1"/>
  <c r="BM12" i="4" a="1"/>
  <c r="AD13" i="4" a="1"/>
  <c r="DK15" i="4" a="1"/>
  <c r="S14" i="4" a="1"/>
  <c r="CP5" i="4" a="1"/>
  <c r="BO7" i="4" a="1"/>
  <c r="CK7" i="4" a="1"/>
  <c r="CB6" i="4" a="1"/>
  <c r="BQ13" i="4" a="1"/>
  <c r="CV16" i="4" a="1"/>
  <c r="H11" i="4" a="1"/>
  <c r="DS15" i="4" a="1"/>
  <c r="L15" i="4" a="1"/>
  <c r="BX15" i="4" a="1"/>
  <c r="DB11" i="4" a="1"/>
  <c r="AO6" i="4" a="1"/>
  <c r="CC9" i="4" a="1"/>
  <c r="AN16" i="4" a="1"/>
  <c r="AN14" i="4" a="1"/>
  <c r="BI11" i="4" a="1"/>
  <c r="EJ9" i="4" a="1"/>
  <c r="AO15" i="4" a="1"/>
  <c r="EG13" i="4" a="1"/>
  <c r="DR13" i="4" a="1"/>
  <c r="DI6" i="4" a="1"/>
  <c r="CM5" i="4" a="1"/>
  <c r="G5" i="4" a="1"/>
  <c r="BM7" i="4" a="1"/>
  <c r="DY13" i="4" a="1"/>
  <c r="CO12" i="4" a="1"/>
  <c r="AQ6" i="4" a="1"/>
  <c r="T11" i="4" a="1"/>
  <c r="AH6" i="4" a="1"/>
  <c r="T13" i="4" a="1"/>
  <c r="AI6" i="4" a="1"/>
  <c r="AX12" i="4" a="1"/>
  <c r="BB7" i="4" a="1"/>
  <c r="S8" i="4" a="1"/>
  <c r="V29" i="2"/>
  <c r="C8" i="2"/>
  <c r="K26" i="2"/>
  <c r="U21" i="2"/>
  <c r="U6" i="2"/>
  <c r="R10" i="2"/>
  <c r="C6" i="2"/>
  <c r="G29" i="2"/>
  <c r="Q30" i="2"/>
  <c r="V28" i="2"/>
  <c r="U35" i="2"/>
  <c r="D17" i="2"/>
  <c r="S16" i="2"/>
  <c r="V23" i="2"/>
  <c r="Q55" i="2"/>
  <c r="S9" i="2"/>
  <c r="J19" i="2"/>
  <c r="S22" i="2"/>
  <c r="L15" i="2"/>
  <c r="R9" i="2"/>
  <c r="G35" i="2"/>
  <c r="U20" i="2"/>
  <c r="N7" i="2"/>
  <c r="K59" i="2"/>
  <c r="F36" i="2"/>
  <c r="X92" i="2"/>
  <c r="G9" i="2"/>
  <c r="P5" i="2"/>
  <c r="T10" i="2"/>
  <c r="Q36" i="2"/>
  <c r="T8" i="2"/>
  <c r="E18" i="2"/>
  <c r="X32" i="2"/>
  <c r="S24" i="2"/>
  <c r="F22" i="2"/>
  <c r="C11" i="2"/>
  <c r="H5" i="2"/>
  <c r="L27" i="2"/>
  <c r="AM46" i="3"/>
  <c r="F8" i="3"/>
  <c r="AD10" i="3"/>
  <c r="AD15" i="3"/>
  <c r="D40" i="3"/>
  <c r="AR40" i="3"/>
  <c r="K46" i="3"/>
  <c r="D9" i="3"/>
  <c r="AD7" i="3"/>
  <c r="G23" i="3"/>
  <c r="F5" i="3"/>
  <c r="D25" i="3"/>
  <c r="AR23" i="3"/>
  <c r="AD11" i="3"/>
  <c r="EJ14" i="4" a="1"/>
  <c r="BU6" i="4" a="1"/>
  <c r="CM12" i="4" a="1"/>
  <c r="CB7" i="4" a="1"/>
  <c r="BX8" i="4" a="1"/>
  <c r="AD8" i="4" a="1"/>
  <c r="BL9" i="4" a="1"/>
  <c r="BW15" i="4" a="1"/>
  <c r="DM12" i="4" a="1"/>
  <c r="K15" i="4" a="1"/>
  <c r="ED14" i="4" a="1"/>
  <c r="BT13" i="4" a="1"/>
  <c r="AO11" i="4" a="1"/>
  <c r="CJ9" i="4" a="1"/>
  <c r="M14" i="4" a="1"/>
  <c r="W13" i="4" a="1"/>
  <c r="BR13" i="4" a="1"/>
  <c r="DP11" i="4" a="1"/>
  <c r="AH5" i="4" a="1"/>
  <c r="DK13" i="4" a="1"/>
  <c r="DP12" i="4" a="1"/>
  <c r="BU13" i="4" a="1"/>
  <c r="CF6" i="4" a="1"/>
  <c r="EG6" i="4" a="1"/>
  <c r="DZ6" i="4" a="1"/>
  <c r="BO13" i="4" a="1"/>
  <c r="DU11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DU9" i="4" a="1"/>
  <c r="BZ16" i="4" a="1"/>
  <c r="T5" i="4" a="1"/>
  <c r="V7" i="4" a="1"/>
  <c r="CU16" i="4" a="1"/>
  <c r="CJ7" i="4" a="1"/>
  <c r="DV12" i="4" a="1"/>
  <c r="AZ16" i="4" a="1"/>
  <c r="AU8" i="4" a="1"/>
  <c r="AG8" i="4" a="1"/>
  <c r="CS11" i="4" a="1"/>
  <c r="AM12" i="4" a="1"/>
  <c r="AF14" i="4" a="1"/>
  <c r="EH15" i="4" a="1"/>
  <c r="CE9" i="4" a="1"/>
  <c r="O16" i="4" a="1"/>
  <c r="Q7" i="4" a="1"/>
  <c r="E5" i="4" a="1"/>
  <c r="AO8" i="4" a="1"/>
  <c r="AH11" i="4" a="1"/>
  <c r="BQ6" i="4" a="1"/>
  <c r="CU13" i="4" a="1"/>
  <c r="AB8" i="4" a="1"/>
  <c r="DE13" i="4" a="1"/>
  <c r="G16" i="4" a="1"/>
  <c r="AM9" i="4" a="1"/>
  <c r="EB14" i="4" a="1"/>
  <c r="CE15" i="4" a="1"/>
  <c r="H13" i="4" a="1"/>
  <c r="BS9" i="4" a="1"/>
  <c r="CQ16" i="4" a="1"/>
  <c r="AM15" i="4" a="1"/>
  <c r="ED12" i="4" a="1"/>
  <c r="BK14" i="4" a="1"/>
  <c r="CI6" i="4" a="1"/>
  <c r="DA6" i="4" a="1"/>
  <c r="CO11" i="4" a="1"/>
  <c r="BA16" i="4" a="1"/>
  <c r="CS9" i="4" a="1"/>
  <c r="CR12" i="4" a="1"/>
  <c r="DR9" i="4" a="1"/>
  <c r="DM14" i="4" a="1"/>
  <c r="DH7" i="4" a="1"/>
  <c r="BG13" i="4" a="1"/>
  <c r="ED15" i="4" a="1"/>
  <c r="BH13" i="4" a="1"/>
  <c r="X7" i="2"/>
  <c r="K5" i="2"/>
  <c r="K11" i="2"/>
  <c r="U29" i="2"/>
  <c r="U36" i="2"/>
  <c r="M18" i="2"/>
  <c r="O17" i="2"/>
  <c r="D34" i="2"/>
  <c r="C17" i="2"/>
  <c r="J26" i="2"/>
  <c r="P22" i="2"/>
  <c r="F17" i="2"/>
  <c r="F35" i="2"/>
  <c r="D7" i="2"/>
  <c r="W32" i="2"/>
  <c r="L9" i="2"/>
  <c r="G14" i="2"/>
  <c r="S19" i="2"/>
  <c r="E31" i="2"/>
  <c r="T24" i="2"/>
  <c r="G27" i="2"/>
  <c r="I30" i="2"/>
  <c r="W33" i="2"/>
  <c r="E28" i="2"/>
  <c r="O34" i="2"/>
  <c r="M15" i="2"/>
  <c r="H10" i="2"/>
  <c r="U5" i="2"/>
  <c r="E34" i="2"/>
  <c r="AR90" i="3"/>
  <c r="E7" i="2"/>
  <c r="U33" i="2"/>
  <c r="J16" i="2"/>
  <c r="R7" i="2"/>
  <c r="V19" i="2"/>
  <c r="F14" i="2"/>
  <c r="T17" i="2"/>
  <c r="X12" i="2"/>
  <c r="AG45" i="3"/>
  <c r="D37" i="3"/>
  <c r="D24" i="3"/>
  <c r="AA45" i="3"/>
  <c r="D12" i="3"/>
  <c r="AB45" i="3"/>
  <c r="AR15" i="3"/>
  <c r="Z45" i="3"/>
  <c r="F24" i="3"/>
  <c r="N46" i="3"/>
  <c r="AR18" i="3"/>
  <c r="Y46" i="3"/>
  <c r="K45" i="3"/>
  <c r="AR35" i="3"/>
  <c r="AF7" i="4" a="1"/>
  <c r="Y16" i="4" a="1"/>
  <c r="BC9" i="4" a="1"/>
  <c r="AN7" i="4" a="1"/>
  <c r="DU7" i="4" a="1"/>
  <c r="DF15" i="4" a="1"/>
  <c r="CN11" i="4" a="1"/>
  <c r="CF9" i="4" a="1"/>
  <c r="AC16" i="4" a="1"/>
  <c r="BZ5" i="4" a="1"/>
  <c r="AK13" i="4" a="1"/>
  <c r="AG15" i="4" a="1"/>
  <c r="DC7" i="4" a="1"/>
  <c r="CD8" i="4" a="1"/>
  <c r="BI6" i="4" a="1"/>
  <c r="BZ9" i="4" a="1"/>
  <c r="DD9" i="4" a="1"/>
  <c r="AB9" i="4" a="1"/>
  <c r="BI7" i="4" a="1"/>
  <c r="DG5" i="4" a="1"/>
  <c r="CR5" i="4" a="1"/>
  <c r="AU13" i="4" a="1"/>
  <c r="BB16" i="4" a="1"/>
  <c r="BK11" i="4" a="1"/>
  <c r="DP15" i="4" a="1"/>
  <c r="AP11" i="4" a="1"/>
  <c r="BJ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D16" i="4" a="1"/>
  <c r="CJ14" i="4" a="1"/>
  <c r="H12" i="4" a="1"/>
  <c r="CG5" i="4" a="1"/>
  <c r="DR8" i="4" a="1"/>
  <c r="CU14" i="4" a="1"/>
  <c r="AY14" i="4" a="1"/>
  <c r="W7" i="4" a="1"/>
  <c r="M11" i="4" a="1"/>
  <c r="EC5" i="4" a="1"/>
  <c r="CD13" i="4" a="1"/>
  <c r="DO13" i="4" a="1"/>
  <c r="CX9" i="4" a="1"/>
  <c r="F23" i="2"/>
  <c r="I23" i="2"/>
  <c r="O8" i="2"/>
  <c r="Q6" i="2"/>
  <c r="F89" i="2"/>
  <c r="V12" i="2"/>
  <c r="N36" i="2"/>
  <c r="L20" i="2"/>
  <c r="P34" i="2"/>
  <c r="X8" i="2"/>
  <c r="V24" i="2"/>
  <c r="F28" i="2"/>
  <c r="O30" i="2"/>
  <c r="N33" i="2"/>
  <c r="C28" i="2"/>
  <c r="H54" i="2"/>
  <c r="S20" i="2"/>
  <c r="N19" i="2"/>
  <c r="E26" i="2"/>
  <c r="S28" i="2"/>
  <c r="P13" i="2"/>
  <c r="R14" i="2"/>
  <c r="H18" i="2"/>
  <c r="T14" i="2"/>
  <c r="X21" i="2"/>
  <c r="D18" i="2"/>
  <c r="AR89" i="3"/>
  <c r="T20" i="2"/>
  <c r="R27" i="2"/>
  <c r="AR57" i="3"/>
  <c r="J5" i="2"/>
  <c r="W70" i="2"/>
  <c r="F8" i="2"/>
  <c r="AR84" i="3"/>
  <c r="V8" i="2"/>
  <c r="K27" i="2"/>
  <c r="H25" i="2"/>
  <c r="J34" i="2"/>
  <c r="G7" i="3"/>
  <c r="G27" i="3"/>
  <c r="AR24" i="3"/>
  <c r="AC46" i="3"/>
  <c r="AD13" i="3"/>
  <c r="D30" i="3"/>
  <c r="C46" i="3"/>
  <c r="AQ45" i="3"/>
  <c r="F34" i="3"/>
  <c r="M45" i="3"/>
  <c r="E30" i="3"/>
  <c r="AD16" i="3"/>
  <c r="D41" i="3"/>
  <c r="F28" i="3"/>
  <c r="CX7" i="4" a="1"/>
  <c r="Y5" i="4" a="1"/>
  <c r="AV9" i="4" a="1"/>
  <c r="AI16" i="4" a="1"/>
  <c r="AC11" i="4" a="1"/>
  <c r="DB14" i="4" a="1"/>
  <c r="DP14" i="4" a="1"/>
  <c r="CQ14" i="4" a="1"/>
  <c r="AK14" i="4" a="1"/>
  <c r="CQ13" i="4" a="1"/>
  <c r="J5" i="4" a="1"/>
  <c r="M5" i="4" a="1"/>
  <c r="D13" i="4" a="1"/>
  <c r="CH7" i="4" a="1"/>
  <c r="BY5" i="4" a="1"/>
  <c r="AX6" i="4" a="1"/>
  <c r="CU9" i="4" a="1"/>
  <c r="CN7" i="4" a="1"/>
  <c r="BO5" i="4" a="1"/>
  <c r="EE11" i="4" a="1"/>
  <c r="DQ14" i="4" a="1"/>
  <c r="DS6" i="4" a="1"/>
  <c r="DR12" i="4" a="1"/>
  <c r="CA12" i="4" a="1"/>
  <c r="L5" i="4" a="1"/>
  <c r="K16" i="4" a="1"/>
  <c r="DC15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BA14" i="4" a="1"/>
  <c r="CC5" i="4" a="1"/>
  <c r="DV8" i="4" a="1"/>
  <c r="M13" i="4" a="1"/>
  <c r="DX16" i="4" a="1"/>
  <c r="EF9" i="4" a="1"/>
  <c r="BX14" i="4" a="1"/>
  <c r="CC7" i="4" a="1"/>
  <c r="AD15" i="4" a="1"/>
  <c r="BN13" i="4" a="1"/>
  <c r="G13" i="4" a="1"/>
  <c r="AM8" i="4" a="1"/>
  <c r="P13" i="4" a="1"/>
  <c r="CW16" i="4" a="1"/>
  <c r="AX7" i="4" a="1"/>
  <c r="CL7" i="4" a="1"/>
  <c r="CC12" i="4" a="1"/>
  <c r="EF16" i="4" a="1"/>
  <c r="BS5" i="4" a="1"/>
  <c r="DV11" i="4" a="1"/>
  <c r="CJ16" i="4" a="1"/>
  <c r="AG5" i="4" a="1"/>
  <c r="P15" i="4" a="1"/>
  <c r="BD13" i="4" a="1"/>
  <c r="BQ14" i="4" a="1"/>
  <c r="EI7" i="4" a="1"/>
  <c r="BY6" i="4" a="1"/>
  <c r="DA15" i="4" a="1"/>
  <c r="CK16" i="4" a="1"/>
  <c r="AJ11" i="4" a="1"/>
  <c r="DZ5" i="4" a="1"/>
  <c r="EC6" i="4" a="1"/>
  <c r="W16" i="4" a="1"/>
  <c r="CJ15" i="4" a="1"/>
  <c r="AJ15" i="4" a="1"/>
  <c r="DN11" i="4" a="1"/>
  <c r="S6" i="4" a="1"/>
  <c r="DD16" i="4" a="1"/>
  <c r="DO7" i="4" a="1"/>
  <c r="DM7" i="4" a="1"/>
  <c r="AS12" i="4" a="1"/>
  <c r="DT8" i="4" a="1"/>
  <c r="M14" i="2"/>
  <c r="M22" i="2"/>
  <c r="X41" i="2"/>
  <c r="W46" i="2"/>
  <c r="Q78" i="2"/>
  <c r="U23" i="2"/>
  <c r="W21" i="2"/>
  <c r="D8" i="2"/>
  <c r="T22" i="2"/>
  <c r="K29" i="2"/>
  <c r="T15" i="2"/>
  <c r="Q14" i="2"/>
  <c r="Q12" i="2"/>
  <c r="T30" i="2"/>
  <c r="R21" i="2"/>
  <c r="D15" i="2"/>
  <c r="E29" i="2"/>
  <c r="R20" i="2"/>
  <c r="Q27" i="2"/>
  <c r="W29" i="2"/>
  <c r="O11" i="2"/>
  <c r="L18" i="2"/>
  <c r="U8" i="2"/>
  <c r="C35" i="2"/>
  <c r="M36" i="2"/>
  <c r="X30" i="2"/>
  <c r="D13" i="2"/>
  <c r="T6" i="2"/>
  <c r="R17" i="2"/>
  <c r="AR71" i="3"/>
  <c r="AR68" i="3"/>
  <c r="X36" i="2"/>
  <c r="F32" i="2"/>
  <c r="AR48" i="3"/>
  <c r="N8" i="2"/>
  <c r="I34" i="2"/>
  <c r="M6" i="2"/>
  <c r="AR96" i="3"/>
  <c r="AR34" i="3"/>
  <c r="S46" i="3"/>
  <c r="AD17" i="3"/>
  <c r="D26" i="3"/>
  <c r="D29" i="3"/>
  <c r="D39" i="3"/>
  <c r="F31" i="3"/>
  <c r="G21" i="3"/>
  <c r="P46" i="3"/>
  <c r="F9" i="3"/>
  <c r="E12" i="3"/>
  <c r="AR29" i="3"/>
  <c r="D46" i="3"/>
  <c r="R16" i="4" a="1"/>
  <c r="AB12" i="4" a="1"/>
  <c r="Z8" i="4" a="1"/>
  <c r="CF16" i="4" a="1"/>
  <c r="AI14" i="4" a="1"/>
  <c r="CR8" i="4" a="1"/>
  <c r="DR16" i="4" a="1"/>
  <c r="C9" i="4" a="1"/>
  <c r="CS14" i="4" a="1"/>
  <c r="BG8" i="4" a="1"/>
  <c r="R13" i="4" a="1"/>
  <c r="U16" i="4" a="1"/>
  <c r="CV9" i="4" a="1"/>
  <c r="K14" i="4" a="1"/>
  <c r="CU6" i="4" a="1"/>
  <c r="Y8" i="4" a="1"/>
  <c r="CI13" i="4" a="1"/>
  <c r="DW6" i="4" a="1"/>
  <c r="AF8" i="4" a="1"/>
  <c r="DQ11" i="4" a="1"/>
  <c r="G12" i="4" a="1"/>
  <c r="AZ8" i="4" a="1"/>
  <c r="DJ14" i="4" a="1"/>
  <c r="DP5" i="4" a="1"/>
  <c r="CS12" i="4" a="1"/>
  <c r="N13" i="4" a="1"/>
  <c r="DQ5" i="4" a="1"/>
  <c r="BC8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G6" i="4" a="1"/>
  <c r="J12" i="4" a="1"/>
  <c r="AB16" i="4" a="1"/>
  <c r="Y7" i="4" a="1"/>
  <c r="F13" i="2"/>
  <c r="F10" i="2"/>
  <c r="Q19" i="2"/>
  <c r="Q58" i="2"/>
  <c r="F75" i="2"/>
  <c r="N24" i="2"/>
  <c r="D47" i="2"/>
  <c r="K87" i="2"/>
  <c r="E19" i="2"/>
  <c r="J21" i="2"/>
  <c r="G33" i="2"/>
  <c r="O12" i="2"/>
  <c r="F31" i="2"/>
  <c r="M8" i="2"/>
  <c r="C34" i="2"/>
  <c r="K7" i="2"/>
  <c r="Q9" i="2"/>
  <c r="P28" i="2"/>
  <c r="K16" i="2"/>
  <c r="M26" i="2"/>
  <c r="J36" i="2"/>
  <c r="F9" i="2"/>
  <c r="M13" i="2"/>
  <c r="L36" i="2"/>
  <c r="N6" i="2"/>
  <c r="H15" i="2"/>
  <c r="I7" i="2"/>
  <c r="H28" i="2"/>
  <c r="T21" i="2"/>
  <c r="AR60" i="3"/>
  <c r="P18" i="2"/>
  <c r="D11" i="2"/>
  <c r="R11" i="2"/>
  <c r="AR87" i="3"/>
  <c r="AR47" i="3"/>
  <c r="H33" i="2"/>
  <c r="K15" i="2"/>
  <c r="AR81" i="3"/>
  <c r="AA46" i="3"/>
  <c r="F22" i="3"/>
  <c r="D16" i="3"/>
  <c r="E14" i="3"/>
  <c r="F12" i="3"/>
  <c r="G45" i="3"/>
  <c r="AD14" i="3"/>
  <c r="G18" i="3"/>
  <c r="E13" i="3"/>
  <c r="AO6" i="3"/>
  <c r="E7" i="3"/>
  <c r="AR10" i="3"/>
  <c r="I45" i="3"/>
  <c r="F11" i="4" a="1"/>
  <c r="DO14" i="4" a="1"/>
  <c r="BK8" i="4" a="1"/>
  <c r="BJ12" i="4" a="1"/>
  <c r="D14" i="4" a="1"/>
  <c r="BV5" i="4" a="1"/>
  <c r="CG16" i="4" a="1"/>
  <c r="BV13" i="4" a="1"/>
  <c r="EI14" i="4" a="1"/>
  <c r="DI14" i="4" a="1"/>
  <c r="DN9" i="4" a="1"/>
  <c r="AE6" i="4" a="1"/>
  <c r="AE16" i="4" a="1"/>
  <c r="R11" i="4" a="1"/>
  <c r="DE15" i="4" a="1"/>
  <c r="AM5" i="4" a="1"/>
  <c r="AD5" i="4" a="1"/>
  <c r="DL11" i="4" a="1"/>
  <c r="CM13" i="4" a="1"/>
  <c r="DN12" i="4" a="1"/>
  <c r="BY15" i="4" a="1"/>
  <c r="CL9" i="4" a="1"/>
  <c r="AY6" i="4" a="1"/>
  <c r="BK15" i="4" a="1"/>
  <c r="AM6" i="4" a="1"/>
  <c r="BX5" i="4" a="1"/>
  <c r="CH14" i="4" a="1"/>
  <c r="I13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EC14" i="4" a="1"/>
  <c r="BP14" i="4" a="1"/>
  <c r="CD11" i="4" a="1"/>
  <c r="BR14" i="4" a="1"/>
  <c r="CO5" i="4" a="1"/>
  <c r="G9" i="4" a="1"/>
  <c r="AE9" i="4" a="1"/>
  <c r="AJ8" i="4" a="1"/>
  <c r="CQ7" i="4" a="1"/>
  <c r="BL7" i="4" a="1"/>
  <c r="EB15" i="4" a="1"/>
  <c r="BN8" i="4" a="1"/>
  <c r="DA9" i="4" a="1"/>
  <c r="BB12" i="4" a="1"/>
  <c r="M9" i="4" a="1"/>
  <c r="O12" i="4" a="1"/>
  <c r="X28" i="2"/>
  <c r="M16" i="2"/>
  <c r="Q46" i="2"/>
  <c r="N18" i="2"/>
  <c r="R29" i="2"/>
  <c r="S26" i="2"/>
  <c r="W35" i="2"/>
  <c r="L32" i="2"/>
  <c r="N17" i="2"/>
  <c r="R8" i="2"/>
  <c r="T13" i="2"/>
  <c r="M32" i="2"/>
  <c r="C25" i="2"/>
  <c r="E12" i="2"/>
  <c r="N21" i="2"/>
  <c r="O21" i="2"/>
  <c r="R22" i="2"/>
  <c r="P12" i="2"/>
  <c r="E22" i="2"/>
  <c r="F32" i="3"/>
  <c r="E41" i="3"/>
  <c r="AN45" i="3"/>
  <c r="AG46" i="3"/>
  <c r="AC45" i="3"/>
  <c r="F30" i="3"/>
  <c r="J45" i="3"/>
  <c r="DL9" i="4" a="1"/>
  <c r="AO12" i="4" a="1"/>
  <c r="DT12" i="4" a="1"/>
  <c r="CX14" i="4" a="1"/>
  <c r="DR5" i="4" a="1"/>
  <c r="BU8" i="4" a="1"/>
  <c r="BP11" i="4" a="1"/>
  <c r="J7" i="4" a="1"/>
  <c r="AY9" i="4" a="1"/>
  <c r="BE6" i="4" a="1"/>
  <c r="DU5" i="4" a="1"/>
  <c r="CN15" i="4" a="1"/>
  <c r="AE12" i="4" a="1"/>
  <c r="AN11" i="4" a="1"/>
  <c r="EE16" i="4" a="1"/>
  <c r="AV8" i="4" a="1"/>
  <c r="CW9" i="4" a="1"/>
  <c r="BQ11" i="4" a="1"/>
  <c r="I7" i="4" a="1"/>
  <c r="CI16" i="4" a="1"/>
  <c r="AN15" i="4" a="1"/>
  <c r="CE13" i="4" a="1"/>
  <c r="DB12" i="4" a="1"/>
  <c r="CF11" i="4" a="1"/>
  <c r="T9" i="4" a="1"/>
  <c r="DR6" i="4" a="1"/>
  <c r="BO9" i="4" a="1"/>
  <c r="CF15" i="4" a="1"/>
  <c r="ED11" i="4" a="1"/>
  <c r="BR7" i="4" a="1"/>
  <c r="BX6" i="4" a="1"/>
  <c r="CN13" i="4" a="1"/>
  <c r="CY9" i="4" a="1"/>
  <c r="I9" i="4" a="1"/>
  <c r="Z9" i="4" a="1"/>
  <c r="BD14" i="4" a="1"/>
  <c r="AY13" i="4" a="1"/>
  <c r="DD11" i="4" a="1"/>
  <c r="J15" i="4" a="1"/>
  <c r="DH5" i="4" a="1"/>
  <c r="CA16" i="4" a="1"/>
  <c r="DZ8" i="4" a="1"/>
  <c r="EG9" i="4" a="1"/>
  <c r="CK9" i="4" a="1"/>
  <c r="AV6" i="4" a="1"/>
  <c r="CR11" i="4" a="1"/>
  <c r="O14" i="4" a="1"/>
  <c r="AN5" i="4" a="1"/>
  <c r="DB9" i="4" a="1"/>
  <c r="H8" i="4" a="1"/>
  <c r="BR16" i="4" a="1"/>
  <c r="DU15" i="4" a="1"/>
  <c r="BL5" i="4" a="1"/>
  <c r="CO8" i="4" a="1"/>
  <c r="EB7" i="4" a="1"/>
  <c r="DB15" i="4" a="1"/>
  <c r="J6" i="4" a="1"/>
  <c r="DK12" i="4" a="1"/>
  <c r="S35" i="2"/>
  <c r="H8" i="2"/>
  <c r="G16" i="2"/>
  <c r="C20" i="2"/>
  <c r="W5" i="2"/>
  <c r="Q33" i="2"/>
  <c r="D24" i="2"/>
  <c r="N16" i="2"/>
  <c r="R34" i="2"/>
  <c r="P6" i="2"/>
  <c r="S6" i="2"/>
  <c r="G28" i="2"/>
  <c r="G8" i="2"/>
  <c r="I25" i="2"/>
  <c r="O24" i="2"/>
  <c r="J11" i="2"/>
  <c r="C23" i="2"/>
  <c r="S10" i="2"/>
  <c r="D25" i="2"/>
  <c r="AR19" i="3"/>
  <c r="F19" i="3"/>
  <c r="D21" i="3"/>
  <c r="O45" i="3"/>
  <c r="G10" i="3"/>
  <c r="E46" i="3"/>
  <c r="E8" i="3"/>
  <c r="BF11" i="4" a="1"/>
  <c r="BX9" i="4" a="1"/>
  <c r="CZ12" i="4" a="1"/>
  <c r="CD5" i="4" a="1"/>
  <c r="CG12" i="4" a="1"/>
  <c r="X7" i="4" a="1"/>
  <c r="P14" i="4" a="1"/>
  <c r="CX15" i="4" a="1"/>
  <c r="BL8" i="4" a="1"/>
  <c r="AK5" i="4" a="1"/>
  <c r="EA8" i="4" a="1"/>
  <c r="AY12" i="4" a="1"/>
  <c r="DO6" i="4" a="1"/>
  <c r="CC13" i="4" a="1"/>
  <c r="BP5" i="4" a="1"/>
  <c r="D9" i="4" a="1"/>
  <c r="EI12" i="4" a="1"/>
  <c r="BS14" i="4" a="1"/>
  <c r="BV11" i="4" a="1"/>
  <c r="G11" i="4" a="1"/>
  <c r="AL6" i="4" a="1"/>
  <c r="EB16" i="4" a="1"/>
  <c r="V8" i="4" a="1"/>
  <c r="EE6" i="4" a="1"/>
  <c r="AB6" i="4" a="1"/>
  <c r="DO8" i="4" a="1"/>
  <c r="C13" i="4" a="1"/>
  <c r="DD6" i="4" a="1"/>
  <c r="EC12" i="4" a="1"/>
  <c r="CI11" i="4" a="1"/>
  <c r="DT13" i="4" a="1"/>
  <c r="DW7" i="4" a="1"/>
  <c r="CC6" i="4" a="1"/>
  <c r="AV14" i="4" a="1"/>
  <c r="EE13" i="4" a="1"/>
  <c r="EF11" i="4" a="1"/>
  <c r="AW13" i="4" a="1"/>
  <c r="S9" i="4" a="1"/>
  <c r="EA11" i="4" a="1"/>
  <c r="AR7" i="4" a="1"/>
  <c r="CX8" i="4" a="1"/>
  <c r="EH6" i="4" a="1"/>
  <c r="EK9" i="4" a="1"/>
  <c r="DI9" i="4" a="1"/>
  <c r="CH11" i="4" a="1"/>
  <c r="BX7" i="4" a="1"/>
  <c r="AU9" i="4" a="1"/>
  <c r="AQ14" i="4" a="1"/>
  <c r="CW12" i="4" a="1"/>
  <c r="AU14" i="4" a="1"/>
  <c r="DI11" i="4" a="1"/>
  <c r="ED13" i="4" a="1"/>
  <c r="EF12" i="4" a="1"/>
  <c r="BS8" i="4" a="1"/>
  <c r="EB13" i="4" a="1"/>
  <c r="CX11" i="4" a="1"/>
  <c r="I6" i="4" a="1"/>
  <c r="AQ11" i="4" a="1"/>
  <c r="K11" i="4" a="1"/>
  <c r="CU11" i="4" a="1"/>
  <c r="BF6" i="4" a="1"/>
  <c r="DL8" i="4" a="1"/>
  <c r="DA5" i="4" a="1"/>
  <c r="Q9" i="4" a="1"/>
  <c r="W14" i="4" a="1"/>
  <c r="AX5" i="4" a="1"/>
  <c r="DV14" i="4" a="1"/>
  <c r="CS13" i="4" a="1"/>
  <c r="CG9" i="4" a="1"/>
  <c r="DN7" i="4" a="1"/>
  <c r="BU9" i="4" a="1"/>
  <c r="ED8" i="4" a="1"/>
  <c r="AA15" i="4" a="1"/>
  <c r="DY12" i="4" a="1"/>
  <c r="BA8" i="4" a="1"/>
  <c r="BU16" i="4" a="1"/>
  <c r="CV8" i="4" a="1"/>
  <c r="AT12" i="4" a="1"/>
  <c r="AF6" i="4" a="1"/>
  <c r="DW8" i="4" a="1"/>
  <c r="AL11" i="4" a="1"/>
  <c r="CH9" i="4" a="1"/>
  <c r="BG14" i="4" a="1"/>
  <c r="EB9" i="4" a="1"/>
  <c r="BC11" i="4" a="1"/>
  <c r="O13" i="4" a="1"/>
  <c r="G19" i="2"/>
  <c r="Q21" i="2"/>
  <c r="K36" i="2"/>
  <c r="G30" i="2"/>
  <c r="S8" i="2"/>
  <c r="V11" i="2"/>
  <c r="D5" i="2"/>
  <c r="W19" i="2"/>
  <c r="F29" i="3"/>
  <c r="AK8" i="4" a="1"/>
  <c r="Q12" i="4" a="1"/>
  <c r="BH6" i="4" a="1"/>
  <c r="O6" i="4" a="1"/>
  <c r="BG11" i="4" a="1"/>
  <c r="BM14" i="4" a="1"/>
  <c r="CH6" i="4" a="1"/>
  <c r="BM16" i="4" a="1"/>
  <c r="DT16" i="4" a="1"/>
  <c r="DK14" i="4" a="1"/>
  <c r="CB14" i="4" a="1"/>
  <c r="AN9" i="4" a="1"/>
  <c r="DM11" i="4" a="1"/>
  <c r="F24" i="2"/>
  <c r="G23" i="2"/>
  <c r="T36" i="2"/>
  <c r="S12" i="2"/>
  <c r="I8" i="2"/>
  <c r="H22" i="2"/>
  <c r="R13" i="2"/>
  <c r="D12" i="2"/>
  <c r="C59" i="2"/>
  <c r="O36" i="2"/>
  <c r="F20" i="2"/>
  <c r="V22" i="2"/>
  <c r="U16" i="2"/>
  <c r="M7" i="2"/>
  <c r="C7" i="2"/>
  <c r="F26" i="2"/>
  <c r="Q34" i="2"/>
  <c r="K14" i="2"/>
  <c r="U9" i="2"/>
  <c r="D33" i="3"/>
  <c r="F25" i="3"/>
  <c r="G46" i="3"/>
  <c r="E35" i="3"/>
  <c r="E24" i="3"/>
  <c r="D20" i="3"/>
  <c r="G22" i="3"/>
  <c r="CY15" i="4" a="1"/>
  <c r="EI16" i="4" a="1"/>
  <c r="BE11" i="4" a="1"/>
  <c r="AF16" i="4" a="1"/>
  <c r="DG15" i="4" a="1"/>
  <c r="DF7" i="4" a="1"/>
  <c r="AE7" i="4" a="1"/>
  <c r="X15" i="4" a="1"/>
  <c r="BH14" i="4" a="1"/>
  <c r="EI6" i="4" a="1"/>
  <c r="CQ8" i="4" a="1"/>
  <c r="CC16" i="4" a="1"/>
  <c r="AX16" i="4" a="1"/>
  <c r="AW14" i="4" a="1"/>
  <c r="CJ13" i="4" a="1"/>
  <c r="U12" i="4" a="1"/>
  <c r="BY14" i="4" a="1"/>
  <c r="AA6" i="4" a="1"/>
  <c r="BW12" i="4" a="1"/>
  <c r="EB6" i="4" a="1"/>
  <c r="DN15" i="4" a="1"/>
  <c r="D12" i="4" a="1"/>
  <c r="DG7" i="4" a="1"/>
  <c r="BN9" i="4" a="1"/>
  <c r="DX12" i="4" a="1"/>
  <c r="C16" i="4" a="1"/>
  <c r="AU15" i="4" a="1"/>
  <c r="E12" i="4" a="1"/>
  <c r="L13" i="4" a="1"/>
  <c r="EE15" i="4" a="1"/>
  <c r="DC8" i="4" a="1"/>
  <c r="DU16" i="4" a="1"/>
  <c r="BR15" i="4" a="1"/>
  <c r="EA14" i="4" a="1"/>
  <c r="DU6" i="4" a="1"/>
  <c r="DS16" i="4" a="1"/>
  <c r="M12" i="4" a="1"/>
  <c r="AW15" i="4" a="1"/>
  <c r="AW9" i="4" a="1"/>
  <c r="DJ11" i="4" a="1"/>
  <c r="CR7" i="4" a="1"/>
  <c r="AL9" i="4" a="1"/>
  <c r="DN5" i="4" a="1"/>
  <c r="DD7" i="4" a="1"/>
  <c r="BA12" i="4" a="1"/>
  <c r="CX13" i="4" a="1"/>
  <c r="AF15" i="4" a="1"/>
  <c r="AA5" i="4" a="1"/>
  <c r="AC7" i="4" a="1"/>
  <c r="CA13" i="4" a="1"/>
  <c r="N8" i="4" a="1"/>
  <c r="DK11" i="4" a="1"/>
  <c r="BW9" i="4" a="1"/>
  <c r="AV7" i="4" a="1"/>
  <c r="DN16" i="4" a="1"/>
  <c r="EG15" i="4" a="1"/>
  <c r="DS11" i="4" a="1"/>
  <c r="H9" i="2"/>
  <c r="K10" i="2"/>
  <c r="Q8" i="2"/>
  <c r="P30" i="2"/>
  <c r="J46" i="3"/>
  <c r="G30" i="3"/>
  <c r="F38" i="3"/>
  <c r="DG12" i="4" a="1"/>
  <c r="E33" i="2"/>
  <c r="O7" i="2"/>
  <c r="U14" i="2"/>
  <c r="K32" i="2"/>
  <c r="J10" i="2"/>
  <c r="D29" i="2"/>
  <c r="J15" i="2"/>
  <c r="W20" i="2"/>
  <c r="M28" i="2"/>
  <c r="N10" i="2"/>
  <c r="E10" i="2"/>
  <c r="L22" i="2"/>
  <c r="F29" i="2"/>
  <c r="U26" i="2"/>
  <c r="L5" i="2"/>
  <c r="K18" i="2"/>
  <c r="K19" i="2"/>
  <c r="I11" i="2"/>
  <c r="V25" i="2"/>
  <c r="F39" i="3"/>
  <c r="G5" i="3"/>
  <c r="AR11" i="3"/>
  <c r="E37" i="3"/>
  <c r="F27" i="3"/>
  <c r="E34" i="3"/>
  <c r="F41" i="3"/>
  <c r="BF9" i="4" a="1"/>
  <c r="CF7" i="4" a="1"/>
  <c r="DG8" i="4" a="1"/>
  <c r="EC7" i="4" a="1"/>
  <c r="CT8" i="4" a="1"/>
  <c r="CX6" i="4" a="1"/>
  <c r="P16" i="4" a="1"/>
  <c r="BI5" i="4" a="1"/>
  <c r="CF14" i="4" a="1"/>
  <c r="BS12" i="4" a="1"/>
  <c r="EA15" i="4" a="1"/>
  <c r="DV15" i="4" a="1"/>
  <c r="AI5" i="4" a="1"/>
  <c r="AY11" i="4" a="1"/>
  <c r="EI9" i="4" a="1"/>
  <c r="AT8" i="4" a="1"/>
  <c r="DX8" i="4" a="1"/>
  <c r="F15" i="4" a="1"/>
  <c r="EA7" i="4" a="1"/>
  <c r="AS15" i="4" a="1"/>
  <c r="L16" i="4" a="1"/>
  <c r="BC16" i="4" a="1"/>
  <c r="P6" i="4" a="1"/>
  <c r="BC13" i="4" a="1"/>
  <c r="R8" i="4" a="1"/>
  <c r="BT5" i="4" a="1"/>
  <c r="AX14" i="4" a="1"/>
  <c r="CE11" i="4" a="1"/>
  <c r="CM14" i="4" a="1"/>
  <c r="E8" i="4" a="1"/>
  <c r="CM11" i="4" a="1"/>
  <c r="J13" i="4" a="1"/>
  <c r="DZ7" i="4" a="1"/>
  <c r="O9" i="4" a="1"/>
  <c r="BZ14" i="4" a="1"/>
  <c r="X11" i="4" a="1"/>
  <c r="DD5" i="4" a="1"/>
  <c r="CE8" i="4" a="1"/>
  <c r="CJ6" i="4" a="1"/>
  <c r="CH12" i="4" a="1"/>
  <c r="H16" i="4" a="1"/>
  <c r="CP6" i="4" a="1"/>
  <c r="DJ5" i="4" a="1"/>
  <c r="AY8" i="4" a="1"/>
  <c r="BR8" i="4" a="1"/>
  <c r="EI11" i="4" a="1"/>
  <c r="BF16" i="4" a="1"/>
  <c r="X12" i="4" a="1"/>
  <c r="DJ13" i="4" a="1"/>
  <c r="CY5" i="4" a="1"/>
  <c r="CY11" i="4" a="1"/>
  <c r="AE5" i="4" a="1"/>
  <c r="CL8" i="4" a="1"/>
  <c r="CA14" i="4" a="1"/>
  <c r="CW15" i="4" a="1"/>
  <c r="BC6" i="4" a="1"/>
  <c r="EJ11" i="4" a="1"/>
  <c r="EI15" i="4" a="1"/>
  <c r="D16" i="2"/>
  <c r="W17" i="2"/>
  <c r="L19" i="2"/>
  <c r="T9" i="2"/>
  <c r="T31" i="2"/>
  <c r="U28" i="2"/>
  <c r="E21" i="2"/>
  <c r="R46" i="3"/>
  <c r="F6" i="3"/>
  <c r="F37" i="3"/>
  <c r="CI7" i="4" a="1"/>
  <c r="EG5" i="4" a="1"/>
  <c r="W5" i="4" a="1"/>
  <c r="C8" i="4" a="1"/>
  <c r="T8" i="4" a="1"/>
  <c r="Y6" i="4" a="1"/>
  <c r="D7" i="4" a="1"/>
  <c r="CT15" i="4" a="1"/>
  <c r="BJ8" i="4" a="1"/>
  <c r="Q69" i="2"/>
  <c r="D9" i="2"/>
  <c r="L23" i="2"/>
  <c r="L12" i="2"/>
  <c r="R5" i="2"/>
  <c r="O25" i="2"/>
  <c r="I15" i="2"/>
  <c r="R23" i="2"/>
  <c r="J12" i="2"/>
  <c r="I35" i="2"/>
  <c r="X27" i="2"/>
  <c r="Q29" i="2"/>
  <c r="D31" i="2"/>
  <c r="W14" i="2"/>
  <c r="Q59" i="2"/>
  <c r="U24" i="2"/>
  <c r="M31" i="2"/>
  <c r="P21" i="2"/>
  <c r="C12" i="2"/>
  <c r="X46" i="3"/>
  <c r="G31" i="3"/>
  <c r="V45" i="3"/>
  <c r="Q45" i="3"/>
  <c r="E31" i="3"/>
  <c r="F15" i="3"/>
  <c r="R45" i="3"/>
  <c r="CY6" i="4" a="1"/>
  <c r="Z15" i="4" a="1"/>
  <c r="BH5" i="4" a="1"/>
  <c r="DP9" i="4" a="1"/>
  <c r="AH8" i="4" a="1"/>
  <c r="BK6" i="4" a="1"/>
  <c r="AO5" i="4" a="1"/>
  <c r="BO12" i="4" a="1"/>
  <c r="BE7" i="4" a="1"/>
  <c r="V5" i="4" a="1"/>
  <c r="CM7" i="4" a="1"/>
  <c r="BB6" i="4" a="1"/>
  <c r="T12" i="4" a="1"/>
  <c r="DW15" i="4" a="1"/>
  <c r="AL15" i="4" a="1"/>
  <c r="Z7" i="4" a="1"/>
  <c r="Z16" i="4" a="1"/>
  <c r="DX7" i="4" a="1"/>
  <c r="BV8" i="4" a="1"/>
  <c r="AL8" i="4" a="1"/>
  <c r="AR5" i="4" a="1"/>
  <c r="N14" i="4" a="1"/>
  <c r="DD12" i="4" a="1"/>
  <c r="AS13" i="4" a="1"/>
  <c r="BT15" i="4" a="1"/>
  <c r="AI15" i="4" a="1"/>
  <c r="CT13" i="4" a="1"/>
  <c r="DZ13" i="4" a="1"/>
  <c r="DR14" i="4" a="1"/>
  <c r="DY5" i="4" a="1"/>
  <c r="CT9" i="4" a="1"/>
  <c r="DR7" i="4" a="1"/>
  <c r="AB14" i="4" a="1"/>
  <c r="BT6" i="4" a="1"/>
  <c r="DK9" i="4" a="1"/>
  <c r="DL12" i="4" a="1"/>
  <c r="BH9" i="4" a="1"/>
  <c r="BD9" i="4" a="1"/>
  <c r="S5" i="4" a="1"/>
  <c r="AG13" i="4" a="1"/>
  <c r="F14" i="4" a="1"/>
  <c r="CE14" i="4" a="1"/>
  <c r="M8" i="4" a="1"/>
  <c r="BJ13" i="4" a="1"/>
  <c r="DY7" i="4" a="1"/>
  <c r="CT16" i="4" a="1"/>
  <c r="BM11" i="4" a="1"/>
  <c r="CR15" i="4" a="1"/>
  <c r="DM9" i="4" a="1"/>
  <c r="CZ7" i="4" a="1"/>
  <c r="CF5" i="4" a="1"/>
  <c r="EH11" i="4" a="1"/>
  <c r="Y15" i="4" a="1"/>
  <c r="DV9" i="4" a="1"/>
  <c r="R15" i="4" a="1"/>
  <c r="EI13" i="4" a="1"/>
  <c r="Q6" i="4" a="1"/>
  <c r="CE12" i="4" a="1"/>
  <c r="BE14" i="4" a="1"/>
  <c r="N5" i="4" a="1"/>
  <c r="BO6" i="4" a="1"/>
  <c r="DG6" i="4" a="1"/>
  <c r="BY12" i="4" a="1"/>
  <c r="AJ6" i="4" a="1"/>
  <c r="DE9" i="4" a="1"/>
  <c r="BF8" i="4" a="1"/>
  <c r="DP7" i="4" a="1"/>
  <c r="BP16" i="4" a="1"/>
  <c r="F9" i="4" a="1"/>
  <c r="CP9" i="4" a="1"/>
  <c r="BG15" i="4" a="1"/>
  <c r="BP15" i="4" a="1"/>
  <c r="CN9" i="4" a="1"/>
  <c r="BS11" i="4" a="1"/>
  <c r="CO14" i="4" a="1"/>
  <c r="EH9" i="4" a="1"/>
  <c r="DQ6" i="4" a="1"/>
  <c r="CA5" i="4" a="1"/>
  <c r="R7" i="4" a="1"/>
  <c r="AW8" i="4" a="1"/>
  <c r="EG8" i="4" a="1"/>
  <c r="CW6" i="4" a="1"/>
  <c r="AR6" i="4" a="1"/>
  <c r="CB16" i="4" a="1"/>
  <c r="O15" i="4" a="1"/>
  <c r="Z12" i="4" a="1"/>
  <c r="EK6" i="4" a="1"/>
  <c r="CE16" i="4" a="1"/>
  <c r="Y13" i="4" a="1"/>
  <c r="DE5" i="4" a="1"/>
  <c r="DH11" i="4" a="1"/>
  <c r="AP12" i="4" a="1"/>
  <c r="U13" i="4" a="1"/>
  <c r="BQ5" i="4" a="1"/>
  <c r="L8" i="2"/>
  <c r="L33" i="2"/>
  <c r="P14" i="2"/>
  <c r="W11" i="2"/>
  <c r="AS49" i="3"/>
  <c r="V15" i="2"/>
  <c r="AR46" i="3"/>
  <c r="T26" i="2"/>
  <c r="O16" i="2"/>
  <c r="X11" i="2"/>
  <c r="I16" i="2"/>
  <c r="P15" i="2"/>
  <c r="J22" i="2"/>
  <c r="H13" i="2"/>
  <c r="G32" i="2"/>
  <c r="O28" i="2"/>
  <c r="I17" i="2"/>
  <c r="K9" i="2"/>
  <c r="V13" i="2"/>
  <c r="V9" i="2"/>
  <c r="Q32" i="2"/>
  <c r="AR69" i="3"/>
  <c r="K22" i="2"/>
  <c r="AR75" i="3"/>
  <c r="N20" i="2"/>
  <c r="G18" i="2"/>
  <c r="D13" i="3"/>
  <c r="E18" i="3"/>
  <c r="E23" i="3"/>
  <c r="AL45" i="3"/>
  <c r="AJ45" i="3"/>
  <c r="G20" i="3"/>
  <c r="BO14" i="4" a="1"/>
  <c r="BM8" i="4" a="1"/>
  <c r="BU12" i="4" a="1"/>
  <c r="BQ7" i="4" a="1"/>
  <c r="BB13" i="4" a="1"/>
  <c r="EG16" i="4" a="1"/>
  <c r="BS7" i="4" a="1"/>
  <c r="AV16" i="4" a="1"/>
  <c r="DL13" i="4" a="1"/>
  <c r="EK8" i="4" a="1"/>
  <c r="AH15" i="4" a="1"/>
  <c r="DI13" i="4" a="1"/>
  <c r="EJ16" i="4" a="1"/>
  <c r="BQ8" i="4" a="1"/>
  <c r="CS7" i="4" a="1"/>
  <c r="CL12" i="4" a="1"/>
  <c r="BJ6" i="4" a="1"/>
  <c r="O11" i="4" a="1"/>
  <c r="DB7" i="4" a="1"/>
  <c r="I15" i="4" a="1"/>
  <c r="AT5" i="4" a="1"/>
  <c r="W15" i="4" a="1"/>
  <c r="BE9" i="4" a="1"/>
  <c r="DJ7" i="4" a="1"/>
  <c r="AH7" i="4" a="1"/>
  <c r="CI5" i="4" a="1"/>
  <c r="N6" i="4" a="1"/>
  <c r="BF5" i="4" a="1"/>
  <c r="V13" i="4" a="1"/>
  <c r="DR15" i="4" a="1"/>
  <c r="AC13" i="4" a="1"/>
  <c r="Q15" i="4" a="1"/>
  <c r="BW8" i="4" a="1"/>
  <c r="DW9" i="4" a="1"/>
  <c r="CC15" i="4" a="1"/>
  <c r="AC8" i="4" a="1"/>
  <c r="BF15" i="4" a="1"/>
  <c r="DY15" i="4" a="1"/>
  <c r="Q16" i="4" a="1"/>
  <c r="Q18" i="2"/>
  <c r="P7" i="2"/>
  <c r="R54" i="2"/>
  <c r="K23" i="2"/>
  <c r="H23" i="2"/>
  <c r="V18" i="2"/>
  <c r="M20" i="2"/>
  <c r="E24" i="2"/>
  <c r="C18" i="2"/>
  <c r="Q7" i="2"/>
  <c r="H14" i="2"/>
  <c r="AR54" i="3"/>
  <c r="E9" i="2"/>
  <c r="G11" i="3"/>
  <c r="I46" i="3"/>
  <c r="G14" i="3"/>
  <c r="D38" i="3"/>
  <c r="AB46" i="3"/>
  <c r="V34" i="2"/>
  <c r="J33" i="2"/>
  <c r="P36" i="2"/>
  <c r="J31" i="2"/>
  <c r="O10" i="2"/>
  <c r="R16" i="2"/>
  <c r="O14" i="2"/>
  <c r="AH46" i="3"/>
  <c r="E27" i="3"/>
  <c r="EJ5" i="4" a="1"/>
  <c r="DH15" i="4" a="1"/>
  <c r="DZ16" i="4" a="1"/>
  <c r="CP14" i="4" a="1"/>
  <c r="BS16" i="4" a="1"/>
  <c r="BA7" i="4" a="1"/>
  <c r="DS5" i="4" a="1"/>
  <c r="AZ12" i="4" a="1"/>
  <c r="AJ16" i="4" a="1"/>
  <c r="CL6" i="4" a="1"/>
  <c r="CC14" i="4" a="1"/>
  <c r="AV5" i="4" a="1"/>
  <c r="BM6" i="4" a="1"/>
  <c r="DO11" i="4" a="1"/>
  <c r="DA13" i="4" a="1"/>
  <c r="CW11" i="4" a="1"/>
  <c r="CD7" i="4" a="1"/>
  <c r="C14" i="4" a="1"/>
  <c r="BG16" i="4" a="1"/>
  <c r="AS16" i="4" a="1"/>
  <c r="AB7" i="4" a="1"/>
  <c r="EE9" i="4" a="1"/>
  <c r="CZ13" i="4" a="1"/>
  <c r="J11" i="4" a="1"/>
  <c r="BE16" i="4" a="1"/>
  <c r="DB5" i="4" a="1"/>
  <c r="L12" i="4" a="1"/>
  <c r="AE8" i="4" a="1"/>
  <c r="DA16" i="4" a="1"/>
  <c r="E11" i="4" a="1"/>
  <c r="AW6" i="4" a="1"/>
  <c r="DV13" i="4" a="1"/>
  <c r="DW11" i="4" a="1"/>
  <c r="AR80" i="3"/>
  <c r="DF13" i="4" a="1"/>
  <c r="BP12" i="4" a="1"/>
  <c r="DX11" i="4" a="1"/>
  <c r="CO7" i="4" a="1"/>
  <c r="BE13" i="4" a="1"/>
  <c r="CN6" i="4" a="1"/>
  <c r="AP6" i="4" a="1"/>
  <c r="AN6" i="4" a="1"/>
  <c r="K13" i="4" a="1"/>
  <c r="DK8" i="4" a="1"/>
  <c r="P35" i="2"/>
  <c r="M21" i="2"/>
  <c r="AR50" i="3"/>
  <c r="N22" i="2"/>
  <c r="AR14" i="3"/>
  <c r="EE12" i="4" a="1"/>
  <c r="AT9" i="4" a="1"/>
  <c r="BL15" i="4" a="1"/>
  <c r="D14" i="2"/>
  <c r="K12" i="4" a="1"/>
  <c r="CZ14" i="4" a="1"/>
  <c r="V5" i="2"/>
  <c r="W6" i="4" a="1"/>
  <c r="AF12" i="4" a="1"/>
  <c r="DI12" i="4" a="1"/>
  <c r="AW16" i="4" a="1"/>
  <c r="J24" i="2"/>
  <c r="W13" i="2"/>
  <c r="W31" i="2"/>
  <c r="X20" i="2"/>
  <c r="E15" i="2"/>
  <c r="R19" i="2"/>
  <c r="N15" i="2"/>
  <c r="AR25" i="3"/>
  <c r="G8" i="3"/>
  <c r="AG7" i="4" a="1"/>
  <c r="CT14" i="4" a="1"/>
  <c r="V12" i="4" a="1"/>
  <c r="EA13" i="4" a="1"/>
  <c r="D15" i="4" a="1"/>
  <c r="BA6" i="4" a="1"/>
  <c r="BE5" i="4" a="1"/>
  <c r="DE8" i="4" a="1"/>
  <c r="DN6" i="4" a="1"/>
  <c r="AV11" i="4" a="1"/>
  <c r="AZ5" i="4" a="1"/>
  <c r="AE11" i="4" a="1"/>
  <c r="ED5" i="4" a="1"/>
  <c r="K6" i="4" a="1"/>
  <c r="CW13" i="4" a="1"/>
  <c r="AD6" i="4" a="1"/>
  <c r="S7" i="4" a="1"/>
  <c r="BH8" i="4" a="1"/>
  <c r="CB8" i="4" a="1"/>
  <c r="EK7" i="4" a="1"/>
  <c r="DQ12" i="4" a="1"/>
  <c r="AM13" i="4" a="1"/>
  <c r="DY9" i="4" a="1"/>
  <c r="EA12" i="4" a="1"/>
  <c r="BQ12" i="4" a="1"/>
  <c r="EE5" i="4" a="1"/>
  <c r="DJ15" i="4" a="1"/>
  <c r="EE7" i="4" a="1"/>
  <c r="BO11" i="4" a="1"/>
  <c r="AI12" i="4" a="1"/>
  <c r="C12" i="4" a="1"/>
  <c r="DP13" i="4" a="1"/>
  <c r="CD14" i="4" a="1"/>
  <c r="CZ5" i="4" a="1"/>
  <c r="W9" i="4" a="1"/>
  <c r="CY12" i="4" a="1"/>
  <c r="AO13" i="4" a="1"/>
  <c r="DH9" i="4" a="1"/>
  <c r="CG11" i="4" a="1"/>
  <c r="AZ11" i="4" a="1"/>
  <c r="H9" i="4" a="1"/>
  <c r="BP6" i="4" a="1"/>
  <c r="DE7" i="4" a="1"/>
  <c r="K5" i="4" a="1"/>
  <c r="AD14" i="4" a="1"/>
  <c r="S13" i="4" a="1"/>
  <c r="BK16" i="4" a="1"/>
  <c r="BL6" i="4" a="1"/>
  <c r="AH14" i="4" a="1"/>
  <c r="AE46" i="3"/>
  <c r="CI14" i="4" a="1"/>
  <c r="DG11" i="4" a="1"/>
  <c r="E9" i="4" a="1"/>
  <c r="AC9" i="4" a="1"/>
  <c r="AS14" i="4" a="1"/>
  <c r="BZ12" i="4" a="1"/>
  <c r="DS9" i="4" a="1"/>
  <c r="AF5" i="4" a="1"/>
  <c r="CG13" i="4" a="1"/>
  <c r="DU12" i="4" a="1"/>
  <c r="Z11" i="4" a="1"/>
  <c r="F34" i="2"/>
  <c r="E32" i="3"/>
  <c r="CS15" i="4" a="1"/>
  <c r="L6" i="4" a="1"/>
  <c r="BD12" i="4" a="1"/>
  <c r="DN14" i="4" a="1"/>
  <c r="AA8" i="4" a="1"/>
  <c r="EJ6" i="4" a="1"/>
  <c r="CH16" i="4" a="1"/>
  <c r="R12" i="4" a="1"/>
  <c r="BA13" i="4" a="1"/>
  <c r="CP11" i="4" a="1"/>
  <c r="CR14" i="4" a="1"/>
  <c r="S13" i="2"/>
  <c r="CP12" i="4" a="1"/>
  <c r="V11" i="4" a="1"/>
  <c r="EC16" i="4" a="1"/>
  <c r="AM14" i="4" a="1"/>
  <c r="BI8" i="4" a="1"/>
  <c r="I22" i="2"/>
  <c r="F33" i="3"/>
  <c r="L34" i="2"/>
  <c r="U30" i="2"/>
  <c r="W30" i="2"/>
  <c r="K24" i="2"/>
  <c r="W7" i="2"/>
  <c r="E5" i="2"/>
  <c r="E45" i="2"/>
  <c r="D11" i="3"/>
  <c r="U46" i="3"/>
  <c r="E14" i="4" a="1"/>
  <c r="BK13" i="4" a="1"/>
  <c r="AQ13" i="4" a="1"/>
  <c r="CM6" i="4" a="1"/>
  <c r="CH8" i="4" a="1"/>
  <c r="DL5" i="4" a="1"/>
  <c r="EH13" i="4" a="1"/>
  <c r="AO14" i="4" a="1"/>
  <c r="AX15" i="4" a="1"/>
  <c r="AG16" i="4" a="1"/>
  <c r="DC13" i="4" a="1"/>
  <c r="DP6" i="4" a="1"/>
  <c r="AV12" i="4" a="1"/>
  <c r="CP7" i="4" a="1"/>
  <c r="EJ8" i="4" a="1"/>
  <c r="V26" i="2"/>
  <c r="BP7" i="4" a="1"/>
  <c r="Q5" i="4" a="1"/>
  <c r="BJ16" i="4" a="1"/>
  <c r="AO9" i="4" a="1"/>
  <c r="DF6" i="4" a="1"/>
  <c r="H15" i="4" a="1"/>
  <c r="Y9" i="4" a="1"/>
  <c r="CS16" i="4" a="1"/>
  <c r="DD14" i="4" a="1"/>
  <c r="AP8" i="4" a="1"/>
  <c r="D5" i="4" a="1"/>
  <c r="J28" i="2"/>
  <c r="AD18" i="3"/>
  <c r="F12" i="4" a="1"/>
  <c r="BH12" i="4" a="1"/>
  <c r="CA9" i="4" a="1"/>
  <c r="BB14" i="4" a="1"/>
  <c r="F13" i="4" a="1"/>
  <c r="DH13" i="4" a="1"/>
  <c r="CU5" i="4" a="1"/>
  <c r="X16" i="4" a="1"/>
  <c r="BN5" i="4" a="1"/>
  <c r="G6" i="2"/>
  <c r="O15" i="2"/>
  <c r="J25" i="2"/>
  <c r="P33" i="2"/>
  <c r="V31" i="2"/>
  <c r="Q57" i="2"/>
  <c r="AF48" i="3"/>
  <c r="V46" i="3"/>
  <c r="D31" i="3"/>
  <c r="BI13" i="4" a="1"/>
  <c r="AZ7" i="4" a="1"/>
  <c r="DE12" i="4" a="1"/>
  <c r="AU11" i="4" a="1"/>
  <c r="BP8" i="4" a="1"/>
  <c r="DJ6" i="4" a="1"/>
  <c r="CJ8" i="4" a="1"/>
  <c r="BD11" i="4" a="1"/>
  <c r="BM9" i="4" a="1"/>
  <c r="CH13" i="4" a="1"/>
  <c r="CL11" i="4" a="1"/>
  <c r="T15" i="4" a="1"/>
  <c r="DC16" i="4" a="1"/>
  <c r="DO15" i="4" a="1"/>
  <c r="DM8" i="4" a="1"/>
  <c r="EK14" i="4" a="1"/>
  <c r="EC13" i="4" a="1"/>
  <c r="BV6" i="4" a="1"/>
  <c r="EF8" i="4" a="1"/>
  <c r="CK8" i="4" a="1"/>
  <c r="DU13" i="4" a="1"/>
  <c r="CP16" i="4" a="1"/>
  <c r="O5" i="4" a="1"/>
  <c r="CU7" i="4" a="1"/>
  <c r="AM16" i="4" a="1"/>
  <c r="E7" i="4" a="1"/>
  <c r="CB11" i="4" a="1"/>
  <c r="AL14" i="4" a="1"/>
  <c r="DN13" i="4" a="1"/>
  <c r="Q11" i="4" a="1"/>
  <c r="EH12" i="4" a="1"/>
  <c r="DS14" i="4" a="1"/>
  <c r="U15" i="2"/>
  <c r="D20" i="2"/>
  <c r="H6" i="2"/>
  <c r="H7" i="2"/>
  <c r="O23" i="2"/>
  <c r="M46" i="3"/>
  <c r="DL15" i="4" a="1"/>
  <c r="DH12" i="4" a="1"/>
  <c r="DE16" i="4" a="1"/>
  <c r="V16" i="4" a="1"/>
  <c r="I16" i="4" a="1"/>
  <c r="L7" i="4" a="1"/>
  <c r="AU12" i="4" a="1"/>
  <c r="U15" i="4" a="1"/>
  <c r="N15" i="4" a="1"/>
  <c r="AH16" i="4" a="1"/>
  <c r="BX11" i="4" a="1"/>
  <c r="DD15" i="4" a="1"/>
  <c r="D35" i="2"/>
  <c r="M7" i="4" a="1"/>
  <c r="CT12" i="4" a="1"/>
  <c r="DI7" i="4" a="1"/>
  <c r="CF13" i="4" a="1"/>
  <c r="U7" i="4" a="1"/>
  <c r="Z6" i="4" a="1"/>
  <c r="L8" i="4" a="1"/>
  <c r="CI9" i="4" a="1"/>
  <c r="CK12" i="4" a="1"/>
  <c r="S25" i="2"/>
  <c r="DS12" i="4" a="1"/>
  <c r="E6" i="4" a="1"/>
  <c r="DS13" i="4" a="1"/>
  <c r="H14" i="4" a="1"/>
  <c r="K8" i="4" a="1"/>
  <c r="DC6" i="4" a="1"/>
  <c r="DF8" i="4" a="1"/>
  <c r="AR93" i="3"/>
  <c r="AR8" i="3"/>
  <c r="AK6" i="4" a="1"/>
  <c r="EJ12" i="4" a="1"/>
  <c r="N12" i="4" a="1"/>
  <c r="CD16" i="4" a="1"/>
  <c r="P5" i="4" a="1"/>
  <c r="DT14" i="4" a="1"/>
  <c r="AQ8" i="4" a="1"/>
  <c r="AY15" i="4" a="1"/>
  <c r="BW14" i="4" a="1"/>
  <c r="EH14" i="4" a="1"/>
  <c r="I28" i="2"/>
  <c r="AJ14" i="4" a="1"/>
  <c r="DD13" i="4" a="1"/>
  <c r="DK6" i="4" a="1"/>
  <c r="CL5" i="4" a="1"/>
  <c r="EK13" i="4" a="1"/>
  <c r="BN14" i="4" a="1"/>
  <c r="O32" i="2"/>
  <c r="N27" i="2"/>
  <c r="T7" i="2"/>
  <c r="L26" i="2"/>
  <c r="J32" i="2"/>
  <c r="AR91" i="3"/>
  <c r="AI46" i="3"/>
  <c r="G15" i="3"/>
  <c r="ED16" i="4" a="1"/>
  <c r="DE11" i="4" a="1"/>
  <c r="AB11" i="4" a="1"/>
  <c r="AI13" i="4" a="1"/>
  <c r="CP13" i="4" a="1"/>
  <c r="W12" i="4" a="1"/>
  <c r="I5" i="4" a="1"/>
  <c r="BH16" i="4" a="1"/>
  <c r="EG7" i="4" a="1"/>
  <c r="BI14" i="4" a="1"/>
  <c r="AE15" i="4" a="1"/>
  <c r="CV13" i="4" a="1"/>
  <c r="CD12" i="4" a="1"/>
  <c r="AF11" i="4" a="1"/>
  <c r="BB9" i="4" a="1"/>
  <c r="CO16" i="4" a="1"/>
  <c r="AP5" i="4" a="1"/>
  <c r="CX5" i="4" a="1"/>
  <c r="DI15" i="4" a="1"/>
  <c r="E15" i="4" a="1"/>
  <c r="EB12" i="4" a="1"/>
  <c r="M15" i="4" a="1"/>
  <c r="AR14" i="4" a="1"/>
  <c r="DU14" i="4" a="1"/>
  <c r="AT11" i="4" a="1"/>
  <c r="BD8" i="4" a="1"/>
  <c r="BI12" i="4" a="1"/>
  <c r="BG9" i="4" a="1"/>
  <c r="BT11" i="4" a="1"/>
  <c r="AG6" i="4" a="1"/>
  <c r="AV13" i="4" a="1"/>
  <c r="DW12" i="4" a="1"/>
  <c r="BV12" i="4" a="1"/>
  <c r="E14" i="2"/>
  <c r="T19" i="2"/>
  <c r="F20" i="3"/>
  <c r="EA5" i="4" a="1"/>
  <c r="AZ6" i="4" a="1"/>
  <c r="AO7" i="4" a="1"/>
  <c r="U6" i="4" a="1"/>
  <c r="AX9" i="4" a="1"/>
  <c r="DN8" i="4" a="1"/>
  <c r="DT5" i="4" a="1"/>
  <c r="R9" i="4" a="1"/>
  <c r="Z14" i="4" a="1"/>
  <c r="DJ12" i="4" a="1"/>
  <c r="BD7" i="4" a="1"/>
  <c r="N16" i="4" a="1"/>
  <c r="BU5" i="4" a="1"/>
  <c r="BH11" i="4" a="1"/>
  <c r="V35" i="2"/>
  <c r="BA15" i="4" a="1"/>
  <c r="BK7" i="4" a="1"/>
  <c r="H26" i="2"/>
  <c r="BI16" i="4" a="1"/>
  <c r="Z5" i="4" a="1"/>
  <c r="AW7" i="4" a="1"/>
  <c r="CX16" i="4" a="1"/>
  <c r="DS7" i="4" a="1"/>
  <c r="CW8" i="4" a="1"/>
  <c r="BP13" i="4" a="1"/>
  <c r="H49" i="2"/>
  <c r="DY16" i="4" a="1"/>
  <c r="X14" i="4" a="1"/>
  <c r="DY6" i="4" a="1"/>
  <c r="DJ8" i="4" a="1"/>
  <c r="CL13" i="4" a="1"/>
  <c r="DZ15" i="4" a="1"/>
  <c r="CY7" i="4" a="1"/>
  <c r="I14" i="2"/>
  <c r="I9" i="2"/>
  <c r="U7" i="2"/>
  <c r="L31" i="2"/>
  <c r="M11" i="2"/>
  <c r="AS47" i="3"/>
  <c r="AR41" i="3"/>
  <c r="D8" i="3"/>
  <c r="DV16" i="4" a="1"/>
  <c r="EG12" i="4" a="1"/>
  <c r="AR11" i="4" a="1"/>
  <c r="CC8" i="4" a="1"/>
  <c r="DG16" i="4" a="1"/>
  <c r="AD12" i="4" a="1"/>
  <c r="DT9" i="4" a="1"/>
  <c r="DH6" i="4" a="1"/>
  <c r="AJ13" i="4" a="1"/>
  <c r="CQ11" i="4" a="1"/>
  <c r="BJ7" i="4" a="1"/>
  <c r="R5" i="4" a="1"/>
  <c r="CS6" i="4" a="1"/>
  <c r="BX13" i="4" a="1"/>
  <c r="CT6" i="4" a="1"/>
  <c r="CV7" i="4" a="1"/>
  <c r="C11" i="4" a="1"/>
  <c r="CX12" i="4" a="1"/>
  <c r="AT16" i="4" a="1"/>
  <c r="BC7" i="4" a="1"/>
  <c r="CA7" i="4" a="1"/>
  <c r="Z13" i="4" a="1"/>
  <c r="BU11" i="4" a="1"/>
  <c r="EG11" i="4" a="1"/>
  <c r="H7" i="4" a="1"/>
  <c r="S16" i="4" a="1"/>
  <c r="T14" i="4" a="1"/>
  <c r="AS7" i="4" a="1"/>
  <c r="AL16" i="4" a="1"/>
  <c r="BW5" i="4" a="1"/>
  <c r="CG15" i="4" a="1"/>
  <c r="DT15" i="4" a="1"/>
  <c r="CN5" i="4" a="1"/>
  <c r="O6" i="2"/>
  <c r="X22" i="2"/>
  <c r="J17" i="2"/>
  <c r="AR83" i="3"/>
  <c r="D27" i="3"/>
  <c r="DO5" i="4" a="1"/>
  <c r="BD6" i="4" a="1"/>
  <c r="AG9" i="4" a="1"/>
  <c r="U9" i="4" a="1"/>
  <c r="CT7" i="4" a="1"/>
  <c r="BT16" i="4" a="1"/>
  <c r="G14" i="4" a="1"/>
  <c r="CO15" i="4" a="1"/>
  <c r="DJ9" i="4" a="1"/>
  <c r="E13" i="4" a="1"/>
  <c r="G8" i="4" a="1"/>
  <c r="CZ11" i="4" a="1"/>
  <c r="BH15" i="4" a="1"/>
  <c r="F5" i="4" a="1"/>
  <c r="DE6" i="4" a="1"/>
  <c r="DH16" i="4" a="1"/>
  <c r="AO16" i="4" a="1"/>
  <c r="EJ15" i="4" a="1"/>
  <c r="CQ9" i="4" a="1"/>
  <c r="AR49" i="3"/>
  <c r="Z46" i="3"/>
  <c r="X13" i="4" a="1"/>
  <c r="C15" i="4" a="1"/>
  <c r="AL5" i="4" a="1"/>
  <c r="CS5" i="4" a="1"/>
  <c r="AL7" i="4" a="1"/>
  <c r="DB6" i="4" a="1"/>
  <c r="EI8" i="4" a="1"/>
  <c r="CU12" i="4" a="1"/>
  <c r="CL14" i="4" a="1"/>
  <c r="EK11" i="4" a="1"/>
  <c r="G10" i="2"/>
  <c r="AR33" i="3"/>
  <c r="AK11" i="4" a="1"/>
  <c r="BM15" i="4" a="1"/>
  <c r="Y12" i="4" a="1"/>
  <c r="CA6" i="4" a="1"/>
  <c r="BT14" i="4" a="1"/>
  <c r="CH5" i="4" a="1"/>
  <c r="BN15" i="4" a="1"/>
  <c r="BR9" i="4" a="1"/>
  <c r="CZ6" i="4" a="1"/>
  <c r="N31" i="2"/>
  <c r="BL13" i="4" a="1"/>
  <c r="V9" i="4" a="1"/>
  <c r="AE14" i="4" a="1"/>
  <c r="AU6" i="4" a="1"/>
  <c r="G15" i="4" a="1"/>
  <c r="AT7" i="4" a="1"/>
  <c r="S17" i="2"/>
  <c r="X24" i="2"/>
  <c r="H35" i="2"/>
  <c r="AR31" i="3"/>
  <c r="CP8" i="4" a="1"/>
  <c r="AN13" i="4" a="1"/>
  <c r="EI5" i="4" a="1"/>
  <c r="AF13" i="4" a="1"/>
  <c r="BY16" i="4" a="1"/>
  <c r="BA11" i="4" a="1"/>
  <c r="CU15" i="4" a="1"/>
  <c r="BU15" i="4" a="1"/>
  <c r="DW16" i="4" a="1"/>
  <c r="F79" i="3"/>
  <c r="G55" i="3"/>
  <c r="E55" i="3"/>
  <c r="F89" i="3"/>
  <c r="G54" i="3"/>
  <c r="F66" i="3"/>
  <c r="E84" i="3"/>
  <c r="E74" i="3"/>
  <c r="E82" i="3"/>
  <c r="G63" i="3"/>
  <c r="E62" i="3"/>
  <c r="E75" i="3"/>
  <c r="G71" i="3"/>
  <c r="G87" i="3"/>
  <c r="E77" i="3"/>
  <c r="G88" i="3"/>
  <c r="F58" i="3"/>
  <c r="E64" i="3"/>
  <c r="F88" i="3"/>
  <c r="G86" i="3"/>
  <c r="E61" i="3"/>
  <c r="E56" i="3"/>
  <c r="G81" i="3"/>
  <c r="E65" i="3"/>
  <c r="E78" i="3"/>
  <c r="G95" i="3"/>
  <c r="G74" i="3"/>
  <c r="E81" i="3"/>
  <c r="E80" i="3"/>
  <c r="F83" i="3"/>
  <c r="E83" i="3"/>
  <c r="E96" i="3"/>
  <c r="F94" i="3"/>
  <c r="F82" i="3"/>
  <c r="E91" i="3"/>
  <c r="G82" i="3"/>
  <c r="F64" i="3"/>
  <c r="E57" i="3"/>
  <c r="F77" i="3"/>
  <c r="F69" i="3"/>
  <c r="G58" i="3"/>
  <c r="E69" i="3"/>
  <c r="G67" i="3"/>
  <c r="G78" i="3"/>
  <c r="E76" i="3"/>
  <c r="G83" i="3"/>
  <c r="F62" i="3"/>
  <c r="G77" i="3"/>
  <c r="F86" i="3"/>
  <c r="G72" i="3"/>
  <c r="G66" i="3"/>
  <c r="E73" i="3"/>
  <c r="G89" i="3"/>
  <c r="F74" i="3"/>
  <c r="E90" i="3"/>
  <c r="F85" i="3"/>
  <c r="E70" i="3"/>
  <c r="G64" i="3"/>
  <c r="F71" i="3"/>
  <c r="E72" i="3"/>
  <c r="G70" i="3"/>
  <c r="F68" i="3"/>
  <c r="E88" i="3"/>
  <c r="G73" i="3"/>
  <c r="F78" i="3"/>
  <c r="G94" i="3"/>
  <c r="E79" i="3"/>
  <c r="F65" i="3"/>
  <c r="G61" i="3"/>
  <c r="E89" i="3"/>
  <c r="G91" i="3"/>
  <c r="G59" i="3"/>
  <c r="E58" i="3"/>
  <c r="E60" i="3"/>
  <c r="F47" i="3"/>
  <c r="G68" i="3"/>
  <c r="E95" i="3"/>
  <c r="E54" i="3"/>
  <c r="F93" i="3"/>
  <c r="G93" i="3"/>
  <c r="F61" i="3"/>
  <c r="E68" i="3"/>
  <c r="E85" i="3"/>
  <c r="F81" i="3"/>
  <c r="F50" i="3"/>
  <c r="G80" i="3"/>
  <c r="F49" i="3"/>
  <c r="F90" i="3"/>
  <c r="F60" i="3"/>
  <c r="E94" i="3"/>
  <c r="G96" i="3"/>
  <c r="G57" i="3"/>
  <c r="G60" i="3"/>
  <c r="F70" i="3"/>
  <c r="F63" i="3"/>
  <c r="F97" i="3"/>
  <c r="F91" i="3"/>
  <c r="E67" i="3"/>
  <c r="F96" i="3"/>
  <c r="F92" i="3"/>
  <c r="F59" i="3"/>
  <c r="G85" i="3"/>
  <c r="E93" i="3"/>
  <c r="G97" i="3"/>
  <c r="G84" i="3"/>
  <c r="G76" i="3"/>
  <c r="G92" i="3"/>
  <c r="E87" i="3"/>
  <c r="F80" i="3"/>
  <c r="E97" i="3"/>
  <c r="F84" i="3"/>
  <c r="E59" i="3"/>
  <c r="F48" i="3"/>
  <c r="F73" i="3"/>
  <c r="E86" i="3"/>
  <c r="G75" i="3"/>
  <c r="F57" i="3"/>
  <c r="F55" i="3"/>
  <c r="G90" i="3"/>
  <c r="G62" i="3"/>
  <c r="G65" i="3"/>
  <c r="F95" i="3"/>
  <c r="G69" i="3"/>
  <c r="F75" i="3"/>
  <c r="E63" i="3"/>
  <c r="F67" i="3"/>
  <c r="E71" i="3"/>
  <c r="G56" i="3"/>
  <c r="F56" i="3"/>
  <c r="F87" i="3"/>
  <c r="E92" i="3"/>
  <c r="F76" i="3"/>
  <c r="F72" i="3"/>
  <c r="F54" i="3"/>
  <c r="E66" i="3"/>
  <c r="G79" i="3"/>
  <c r="D68" i="3" l="1"/>
  <c r="AJ173" i="1" s="1"/>
  <c r="D95" i="3"/>
  <c r="AJ215" i="1" s="1"/>
  <c r="AK215" i="1" s="1"/>
  <c r="D93" i="3"/>
  <c r="AD72" i="3"/>
  <c r="BJ177" i="1" s="1"/>
  <c r="BK177" i="1" s="1"/>
  <c r="D66" i="3"/>
  <c r="AJ202" i="1" s="1"/>
  <c r="AK202" i="1" s="1"/>
  <c r="AD79" i="3"/>
  <c r="BJ193" i="1" s="1"/>
  <c r="D88" i="3"/>
  <c r="AJ169" i="1" s="1"/>
  <c r="AK169" i="1" s="1"/>
  <c r="AD76" i="3"/>
  <c r="D85" i="3"/>
  <c r="AJ187" i="1" s="1"/>
  <c r="AK187" i="1" s="1"/>
  <c r="AD56" i="3"/>
  <c r="BJ159" i="1" s="1"/>
  <c r="AD73" i="3"/>
  <c r="D63" i="3"/>
  <c r="AJ167" i="1" s="1"/>
  <c r="AK167" i="1" s="1"/>
  <c r="AD61" i="3"/>
  <c r="D91" i="3"/>
  <c r="AJ201" i="1" s="1"/>
  <c r="AK201" i="1" s="1"/>
  <c r="AD93" i="3"/>
  <c r="D79" i="3"/>
  <c r="AJ193" i="1" s="1"/>
  <c r="AK193" i="1" s="1"/>
  <c r="AD55" i="3"/>
  <c r="D96" i="3"/>
  <c r="AJ214" i="1" s="1"/>
  <c r="AK214" i="1" s="1"/>
  <c r="D84" i="3"/>
  <c r="AJ188" i="1" s="1"/>
  <c r="AK188" i="1" s="1"/>
  <c r="D55" i="3"/>
  <c r="AD71" i="3"/>
  <c r="D62" i="3"/>
  <c r="AJ166" i="1" s="1"/>
  <c r="AK166" i="1" s="1"/>
  <c r="D97" i="3"/>
  <c r="AD70" i="3"/>
  <c r="BJ175" i="1" s="1"/>
  <c r="AD54" i="3"/>
  <c r="D75" i="3"/>
  <c r="D89" i="3"/>
  <c r="AJ196" i="1" s="1"/>
  <c r="AD60" i="3"/>
  <c r="BJ164" i="1" s="1"/>
  <c r="BK164" i="1" s="1"/>
  <c r="AD67" i="3"/>
  <c r="AD87" i="3"/>
  <c r="BJ205" i="1" s="1"/>
  <c r="BK205" i="1" s="1"/>
  <c r="D78" i="3"/>
  <c r="AJ189" i="1" s="1"/>
  <c r="AK189" i="1" s="1"/>
  <c r="AD80" i="3"/>
  <c r="BJ210" i="1" s="1"/>
  <c r="AD81" i="3"/>
  <c r="BJ186" i="1" s="1"/>
  <c r="AD66" i="3"/>
  <c r="BJ202" i="1" s="1"/>
  <c r="BK202" i="1" s="1"/>
  <c r="D58" i="3"/>
  <c r="AJ161" i="1" s="1"/>
  <c r="AD77" i="3"/>
  <c r="BJ182" i="1" s="1"/>
  <c r="BK182" i="1" s="1"/>
  <c r="BL253" i="1" s="1"/>
  <c r="AD90" i="3"/>
  <c r="BJ168" i="1" s="1"/>
  <c r="BK168" i="1" s="1"/>
  <c r="D87" i="3"/>
  <c r="AJ205" i="1" s="1"/>
  <c r="AK205" i="1" s="1"/>
  <c r="D73" i="3"/>
  <c r="D83" i="3"/>
  <c r="AJ211" i="1" s="1"/>
  <c r="D69" i="3"/>
  <c r="AJ174" i="1" s="1"/>
  <c r="AD57" i="3"/>
  <c r="BJ160" i="1" s="1"/>
  <c r="BK160" i="1" s="1"/>
  <c r="D82" i="3"/>
  <c r="AJ185" i="1" s="1"/>
  <c r="D86" i="3"/>
  <c r="D70" i="3"/>
  <c r="AJ175" i="1" s="1"/>
  <c r="AD64" i="3"/>
  <c r="BJ197" i="1" s="1"/>
  <c r="D56" i="3"/>
  <c r="AJ159" i="1" s="1"/>
  <c r="AK159" i="1" s="1"/>
  <c r="D71" i="3"/>
  <c r="D74" i="3"/>
  <c r="AJ179" i="1" s="1"/>
  <c r="AK179" i="1" s="1"/>
  <c r="AD62" i="3"/>
  <c r="BJ166" i="1" s="1"/>
  <c r="BK166" i="1" s="1"/>
  <c r="D59" i="3"/>
  <c r="D60" i="3"/>
  <c r="AJ164" i="1" s="1"/>
  <c r="AK164" i="1" s="1"/>
  <c r="D65" i="3"/>
  <c r="AJ206" i="1" s="1"/>
  <c r="AK206" i="1" s="1"/>
  <c r="AD69" i="3"/>
  <c r="BJ174" i="1" s="1"/>
  <c r="AD94" i="3"/>
  <c r="D72" i="3"/>
  <c r="AJ177" i="1" s="1"/>
  <c r="AK177" i="1" s="1"/>
  <c r="D81" i="3"/>
  <c r="AJ186" i="1" s="1"/>
  <c r="D61" i="3"/>
  <c r="AD88" i="3"/>
  <c r="BJ169" i="1" s="1"/>
  <c r="BK169" i="1" s="1"/>
  <c r="D77" i="3"/>
  <c r="AJ182" i="1" s="1"/>
  <c r="AK182" i="1" s="1"/>
  <c r="D57" i="3"/>
  <c r="AJ160" i="1" s="1"/>
  <c r="AK160" i="1" s="1"/>
  <c r="AD95" i="3"/>
  <c r="BJ215" i="1" s="1"/>
  <c r="AD74" i="3"/>
  <c r="BJ179" i="1" s="1"/>
  <c r="BK179" i="1" s="1"/>
  <c r="AD96" i="3"/>
  <c r="BJ214" i="1" s="1"/>
  <c r="BK214" i="1" s="1"/>
  <c r="D54" i="3"/>
  <c r="AD65" i="3"/>
  <c r="BJ206" i="1" s="1"/>
  <c r="BK206" i="1" s="1"/>
  <c r="AD58" i="3"/>
  <c r="BJ161" i="1" s="1"/>
  <c r="D80" i="3"/>
  <c r="AJ210" i="1" s="1"/>
  <c r="D76" i="3"/>
  <c r="D94" i="3"/>
  <c r="AD97" i="3"/>
  <c r="AD78" i="3"/>
  <c r="BJ189" i="1" s="1"/>
  <c r="BK189" i="1" s="1"/>
  <c r="AD82" i="3"/>
  <c r="BJ185" i="1" s="1"/>
  <c r="AD85" i="3"/>
  <c r="BJ187" i="1" s="1"/>
  <c r="BK187" i="1" s="1"/>
  <c r="AD91" i="3"/>
  <c r="BJ201" i="1" s="1"/>
  <c r="BK201" i="1" s="1"/>
  <c r="D67" i="3"/>
  <c r="AD59" i="3"/>
  <c r="AD92" i="3"/>
  <c r="BJ203" i="1" s="1"/>
  <c r="BK203" i="1" s="1"/>
  <c r="D92" i="3"/>
  <c r="AJ203" i="1" s="1"/>
  <c r="AK203" i="1" s="1"/>
  <c r="AD63" i="3"/>
  <c r="BJ167" i="1" s="1"/>
  <c r="BK167" i="1" s="1"/>
  <c r="AD68" i="3"/>
  <c r="BJ173" i="1" s="1"/>
  <c r="D64" i="3"/>
  <c r="AJ197" i="1" s="1"/>
  <c r="AK197" i="1" s="1"/>
  <c r="AD83" i="3"/>
  <c r="BJ211" i="1" s="1"/>
  <c r="AD75" i="3"/>
  <c r="D90" i="3"/>
  <c r="AJ168" i="1" s="1"/>
  <c r="AK168" i="1" s="1"/>
  <c r="AD84" i="3"/>
  <c r="BJ188" i="1" s="1"/>
  <c r="BK188" i="1" s="1"/>
  <c r="AD89" i="3"/>
  <c r="BJ196" i="1" s="1"/>
  <c r="AD86" i="3"/>
  <c r="G93" i="1"/>
  <c r="BX115" i="1"/>
  <c r="IZ9" i="4" s="1"/>
  <c r="IL16" i="4" s="1"/>
  <c r="BX211" i="1"/>
  <c r="N41" i="1"/>
  <c r="N282" i="1" s="1"/>
  <c r="IY16" i="4" s="1"/>
  <c r="JD16" i="4" s="1"/>
  <c r="L46" i="1"/>
  <c r="T42" i="1"/>
  <c r="H53" i="1"/>
  <c r="JE16" i="4" s="1"/>
  <c r="G214" i="1"/>
  <c r="IV8" i="4" s="1"/>
  <c r="IV16" i="4" s="1"/>
  <c r="U93" i="1"/>
  <c r="HT9" i="4" s="1"/>
  <c r="AL42" i="1"/>
  <c r="S63" i="1"/>
  <c r="D53" i="1"/>
  <c r="IS16" i="4" s="1"/>
  <c r="AM59" i="1"/>
  <c r="BX201" i="1"/>
  <c r="BY201" i="1" s="1"/>
  <c r="I87" i="1"/>
  <c r="S42" i="1"/>
  <c r="M74" i="1"/>
  <c r="M245" i="1" s="1"/>
  <c r="N87" i="1"/>
  <c r="JD14" i="4" s="1"/>
  <c r="BX41" i="1"/>
  <c r="R78" i="1"/>
  <c r="C93" i="1"/>
  <c r="IX15" i="4" s="1"/>
  <c r="HQ16" i="4" s="1"/>
  <c r="N77" i="1"/>
  <c r="G42" i="1"/>
  <c r="G41" i="1"/>
  <c r="G282" i="1" s="1"/>
  <c r="T67" i="1"/>
  <c r="IA16" i="4" s="1"/>
  <c r="IU7" i="4" s="1"/>
  <c r="P203" i="1"/>
  <c r="O88" i="1"/>
  <c r="I78" i="1"/>
  <c r="N67" i="1"/>
  <c r="F41" i="1"/>
  <c r="F282" i="1" s="1"/>
  <c r="HV16" i="4" s="1"/>
  <c r="BJ60" i="1"/>
  <c r="HY16" i="4" s="1"/>
  <c r="AJ48" i="1"/>
  <c r="D164" i="1"/>
  <c r="V42" i="1"/>
  <c r="V43" i="1" s="1"/>
  <c r="V140" i="1" s="1"/>
  <c r="V81" i="1"/>
  <c r="T81" i="1"/>
  <c r="IA14" i="4" s="1"/>
  <c r="R59" i="1"/>
  <c r="JB14" i="4" s="1"/>
  <c r="JC9" i="4" s="1"/>
  <c r="IQ14" i="4" s="1"/>
  <c r="II16" i="4" s="1"/>
  <c r="BX78" i="1"/>
  <c r="M67" i="1"/>
  <c r="Q63" i="1"/>
  <c r="D67" i="1"/>
  <c r="V59" i="1"/>
  <c r="C53" i="1"/>
  <c r="BX67" i="1"/>
  <c r="BX116" i="1"/>
  <c r="O93" i="1"/>
  <c r="BX210" i="1"/>
  <c r="IW16" i="4" s="1"/>
  <c r="IG16" i="4" s="1"/>
  <c r="N53" i="1"/>
  <c r="I88" i="1"/>
  <c r="AM67" i="1"/>
  <c r="AM48" i="1"/>
  <c r="G53" i="1"/>
  <c r="P42" i="1"/>
  <c r="B60" i="1"/>
  <c r="U60" i="1"/>
  <c r="G77" i="1"/>
  <c r="J77" i="1"/>
  <c r="Q196" i="1"/>
  <c r="O42" i="1"/>
  <c r="P60" i="1"/>
  <c r="IG9" i="4" s="1"/>
  <c r="ID16" i="4" s="1"/>
  <c r="AM42" i="1"/>
  <c r="AK77" i="1"/>
  <c r="AK60" i="1"/>
  <c r="F60" i="1"/>
  <c r="BX174" i="1"/>
  <c r="P87" i="1"/>
  <c r="U59" i="1"/>
  <c r="F87" i="1"/>
  <c r="G59" i="1"/>
  <c r="O67" i="1"/>
  <c r="W46" i="1"/>
  <c r="U67" i="1"/>
  <c r="BY115" i="1"/>
  <c r="V46" i="1"/>
  <c r="O53" i="1"/>
  <c r="K88" i="1"/>
  <c r="JH9" i="4" s="1"/>
  <c r="IH15" i="4" s="1"/>
  <c r="HP9" i="4" s="1"/>
  <c r="IG14" i="4" s="1"/>
  <c r="JD9" i="4" s="1"/>
  <c r="JD21" i="4" s="1"/>
  <c r="BX119" i="1" s="1"/>
  <c r="JA9" i="4" s="1"/>
  <c r="IH9" i="4" s="1"/>
  <c r="IS7" i="4" s="1"/>
  <c r="JB9" i="4" s="1"/>
  <c r="AL59" i="1"/>
  <c r="B48" i="1"/>
  <c r="V53" i="1"/>
  <c r="P89" i="1"/>
  <c r="W74" i="1"/>
  <c r="H93" i="1"/>
  <c r="I48" i="1"/>
  <c r="Q77" i="1"/>
  <c r="H67" i="1"/>
  <c r="N78" i="1"/>
  <c r="N303" i="1" s="1"/>
  <c r="K48" i="1"/>
  <c r="K77" i="1"/>
  <c r="AL41" i="1"/>
  <c r="K63" i="1"/>
  <c r="HS9" i="4" s="1"/>
  <c r="HR16" i="4" s="1"/>
  <c r="AK87" i="1"/>
  <c r="BX48" i="1"/>
  <c r="U78" i="1"/>
  <c r="U303" i="1" s="1"/>
  <c r="H46" i="1"/>
  <c r="J63" i="1"/>
  <c r="J60" i="1"/>
  <c r="E89" i="1"/>
  <c r="I67" i="1"/>
  <c r="C89" i="1"/>
  <c r="J87" i="1"/>
  <c r="T53" i="1"/>
  <c r="N42" i="1"/>
  <c r="D88" i="1"/>
  <c r="O81" i="1"/>
  <c r="JH15" i="4" s="1"/>
  <c r="IM9" i="4" s="1"/>
  <c r="JC16" i="4" s="1"/>
  <c r="JC21" i="4" s="1"/>
  <c r="BW119" i="1" s="1"/>
  <c r="IJ9" i="4" s="1"/>
  <c r="IO16" i="4" s="1"/>
  <c r="IH14" i="4" s="1"/>
  <c r="AJ42" i="1"/>
  <c r="AK88" i="1"/>
  <c r="AL78" i="1"/>
  <c r="AL303" i="1" s="1"/>
  <c r="J53" i="1"/>
  <c r="B42" i="1"/>
  <c r="L42" i="1"/>
  <c r="C48" i="1"/>
  <c r="Q59" i="1"/>
  <c r="R48" i="1"/>
  <c r="F77" i="1"/>
  <c r="IJ14" i="4" s="1"/>
  <c r="AL81" i="1"/>
  <c r="V63" i="1"/>
  <c r="U46" i="1"/>
  <c r="F81" i="1"/>
  <c r="F63" i="1"/>
  <c r="JF9" i="4" s="1"/>
  <c r="JI9" i="4" s="1"/>
  <c r="JF16" i="4" s="1"/>
  <c r="JF21" i="4" s="1"/>
  <c r="BZ119" i="1" s="1"/>
  <c r="AM46" i="1"/>
  <c r="AJ63" i="1"/>
  <c r="C78" i="1"/>
  <c r="B77" i="1"/>
  <c r="I46" i="1"/>
  <c r="H78" i="1"/>
  <c r="R41" i="1"/>
  <c r="R282" i="1" s="1"/>
  <c r="O41" i="1"/>
  <c r="P88" i="1"/>
  <c r="R93" i="1"/>
  <c r="HQ9" i="4" s="1"/>
  <c r="IQ16" i="4" s="1"/>
  <c r="O48" i="1"/>
  <c r="D48" i="1"/>
  <c r="B78" i="1"/>
  <c r="L87" i="1"/>
  <c r="S59" i="1"/>
  <c r="K87" i="1"/>
  <c r="V93" i="1"/>
  <c r="Q89" i="1"/>
  <c r="M60" i="1"/>
  <c r="IW9" i="4" s="1"/>
  <c r="JA16" i="4" s="1"/>
  <c r="BX46" i="1"/>
  <c r="AM60" i="1"/>
  <c r="BJ67" i="1"/>
  <c r="AL47" i="1"/>
  <c r="AK67" i="1"/>
  <c r="AJ53" i="1"/>
  <c r="BX186" i="1"/>
  <c r="J67" i="1"/>
  <c r="G88" i="1"/>
  <c r="BX205" i="1"/>
  <c r="BY205" i="1" s="1"/>
  <c r="Q46" i="1"/>
  <c r="C46" i="1"/>
  <c r="O60" i="1"/>
  <c r="BX164" i="1"/>
  <c r="BY164" i="1" s="1"/>
  <c r="H42" i="1"/>
  <c r="G67" i="1"/>
  <c r="M41" i="1"/>
  <c r="M282" i="1" s="1"/>
  <c r="L59" i="1"/>
  <c r="J42" i="1"/>
  <c r="N48" i="1"/>
  <c r="F88" i="1"/>
  <c r="D63" i="1"/>
  <c r="C166" i="1"/>
  <c r="E210" i="1"/>
  <c r="P63" i="1"/>
  <c r="E59" i="1"/>
  <c r="HY14" i="4" s="1"/>
  <c r="IM16" i="4" s="1"/>
  <c r="HV9" i="4" s="1"/>
  <c r="HU16" i="4" s="1"/>
  <c r="BX81" i="1"/>
  <c r="AK47" i="1"/>
  <c r="AM63" i="1"/>
  <c r="AJ81" i="1"/>
  <c r="AJ89" i="1"/>
  <c r="BX87" i="1"/>
  <c r="BX214" i="1"/>
  <c r="BY214" i="1" s="1"/>
  <c r="L41" i="1"/>
  <c r="L282" i="1" s="1"/>
  <c r="E87" i="1"/>
  <c r="BX173" i="1"/>
  <c r="S41" i="1"/>
  <c r="S282" i="1" s="1"/>
  <c r="C59" i="1"/>
  <c r="W81" i="1"/>
  <c r="B93" i="1"/>
  <c r="K60" i="1"/>
  <c r="N46" i="1"/>
  <c r="V89" i="1"/>
  <c r="P74" i="1"/>
  <c r="D89" i="1"/>
  <c r="C67" i="1"/>
  <c r="S81" i="1"/>
  <c r="P48" i="1"/>
  <c r="P53" i="1"/>
  <c r="S67" i="1"/>
  <c r="J89" i="1"/>
  <c r="T77" i="1"/>
  <c r="P211" i="1"/>
  <c r="W159" i="1"/>
  <c r="L53" i="1"/>
  <c r="JB7" i="4" s="1"/>
  <c r="IX16" i="4" s="1"/>
  <c r="AL74" i="1"/>
  <c r="AL245" i="1" s="1"/>
  <c r="BJ53" i="1"/>
  <c r="AL87" i="1"/>
  <c r="G78" i="1"/>
  <c r="G303" i="1" s="1"/>
  <c r="J74" i="1"/>
  <c r="J245" i="1" s="1"/>
  <c r="BX188" i="1"/>
  <c r="BY188" i="1" s="1"/>
  <c r="BX160" i="1"/>
  <c r="BY160" i="1" s="1"/>
  <c r="Q74" i="1"/>
  <c r="Q245" i="1" s="1"/>
  <c r="BX196" i="1"/>
  <c r="C60" i="1"/>
  <c r="S53" i="1"/>
  <c r="G60" i="1"/>
  <c r="Q53" i="1"/>
  <c r="O59" i="1"/>
  <c r="M63" i="1"/>
  <c r="G196" i="1"/>
  <c r="G234" i="1" s="1"/>
  <c r="M88" i="1"/>
  <c r="N81" i="1"/>
  <c r="U48" i="1"/>
  <c r="P41" i="1"/>
  <c r="H77" i="1"/>
  <c r="E77" i="1"/>
  <c r="IV9" i="4" s="1"/>
  <c r="II9" i="4" s="1"/>
  <c r="IY9" i="4" s="1"/>
  <c r="IY21" i="4" s="1"/>
  <c r="BS119" i="1" s="1"/>
  <c r="IT16" i="4" s="1"/>
  <c r="HW16" i="4" s="1"/>
  <c r="IZ16" i="4" s="1"/>
  <c r="HZ9" i="4" s="1"/>
  <c r="IF16" i="4" s="1"/>
  <c r="BX88" i="1"/>
  <c r="BX60" i="1"/>
  <c r="BX59" i="1"/>
  <c r="AJ47" i="1"/>
  <c r="W48" i="1"/>
  <c r="E53" i="1"/>
  <c r="U63" i="1"/>
  <c r="Q42" i="1"/>
  <c r="T88" i="1"/>
  <c r="D42" i="1"/>
  <c r="BX168" i="1"/>
  <c r="BY168" i="1" s="1"/>
  <c r="L67" i="1"/>
  <c r="V88" i="1"/>
  <c r="H81" i="1"/>
  <c r="F74" i="1"/>
  <c r="R63" i="1"/>
  <c r="F53" i="1"/>
  <c r="V87" i="1"/>
  <c r="C42" i="1"/>
  <c r="E93" i="1"/>
  <c r="L60" i="1"/>
  <c r="T89" i="1"/>
  <c r="J46" i="1"/>
  <c r="W42" i="1"/>
  <c r="W43" i="1" s="1"/>
  <c r="W49" i="1" s="1"/>
  <c r="IA9" i="4" s="1"/>
  <c r="HS16" i="4" s="1"/>
  <c r="BJ48" i="1"/>
  <c r="BX77" i="1"/>
  <c r="AJ78" i="1"/>
  <c r="AM77" i="1"/>
  <c r="BJ59" i="1"/>
  <c r="BJ46" i="1"/>
  <c r="K74" i="1"/>
  <c r="K245" i="1" s="1"/>
  <c r="B46" i="1"/>
  <c r="W87" i="1"/>
  <c r="D60" i="1"/>
  <c r="M42" i="1"/>
  <c r="M43" i="1" s="1"/>
  <c r="F93" i="1"/>
  <c r="K67" i="1"/>
  <c r="I63" i="1"/>
  <c r="U77" i="1"/>
  <c r="T93" i="1"/>
  <c r="P81" i="1"/>
  <c r="F89" i="1"/>
  <c r="B41" i="1"/>
  <c r="B282" i="1" s="1"/>
  <c r="T41" i="1"/>
  <c r="T43" i="1" s="1"/>
  <c r="U89" i="1"/>
  <c r="HU8" i="4" s="1"/>
  <c r="IO9" i="4" s="1"/>
  <c r="HR15" i="4" s="1"/>
  <c r="JC15" i="4" s="1"/>
  <c r="JE15" i="4" s="1"/>
  <c r="JG8" i="4" s="1"/>
  <c r="IK16" i="4" s="1"/>
  <c r="BX53" i="1"/>
  <c r="AK59" i="1"/>
  <c r="AL53" i="1"/>
  <c r="BJ47" i="1"/>
  <c r="AL48" i="1"/>
  <c r="BX47" i="1"/>
  <c r="P196" i="1"/>
  <c r="B67" i="1"/>
  <c r="D74" i="1"/>
  <c r="D245" i="1" s="1"/>
  <c r="L81" i="1"/>
  <c r="I77" i="1"/>
  <c r="K46" i="1"/>
  <c r="V67" i="1"/>
  <c r="R42" i="1"/>
  <c r="L48" i="1"/>
  <c r="S60" i="1"/>
  <c r="S89" i="1"/>
  <c r="T60" i="1"/>
  <c r="J59" i="1"/>
  <c r="N63" i="1"/>
  <c r="W77" i="1"/>
  <c r="N93" i="1"/>
  <c r="T48" i="1"/>
  <c r="T74" i="1"/>
  <c r="T63" i="1"/>
  <c r="JB16" i="4" s="1"/>
  <c r="IS9" i="4" s="1"/>
  <c r="HR9" i="4" s="1"/>
  <c r="AL88" i="1"/>
  <c r="AL89" i="1"/>
  <c r="AJ88" i="1"/>
  <c r="BX74" i="1"/>
  <c r="AK81" i="1"/>
  <c r="AJ41" i="1"/>
  <c r="AJ282" i="1" s="1"/>
  <c r="AK93" i="1"/>
  <c r="AJ59" i="1"/>
  <c r="AK42" i="1"/>
  <c r="AK89" i="1"/>
  <c r="AK78" i="1"/>
  <c r="B81" i="1"/>
  <c r="W89" i="1"/>
  <c r="BX215" i="1"/>
  <c r="BY215" i="1" s="1"/>
  <c r="S46" i="1"/>
  <c r="O78" i="1"/>
  <c r="B53" i="1"/>
  <c r="D77" i="1"/>
  <c r="K41" i="1"/>
  <c r="K282" i="1" s="1"/>
  <c r="F46" i="1"/>
  <c r="O87" i="1"/>
  <c r="G46" i="1"/>
  <c r="E63" i="1"/>
  <c r="C88" i="1"/>
  <c r="G74" i="1"/>
  <c r="G245" i="1" s="1"/>
  <c r="F78" i="1"/>
  <c r="T59" i="1"/>
  <c r="W174" i="1"/>
  <c r="R67" i="1"/>
  <c r="I42" i="1"/>
  <c r="M53" i="1"/>
  <c r="M93" i="1"/>
  <c r="V48" i="1"/>
  <c r="H63" i="1"/>
  <c r="O77" i="1"/>
  <c r="T46" i="1"/>
  <c r="T78" i="1"/>
  <c r="S48" i="1"/>
  <c r="E41" i="1"/>
  <c r="Q88" i="1"/>
  <c r="J88" i="1"/>
  <c r="P169" i="1"/>
  <c r="C87" i="1"/>
  <c r="M46" i="1"/>
  <c r="C63" i="1"/>
  <c r="W63" i="1"/>
  <c r="S93" i="1"/>
  <c r="HP16" i="4" s="1"/>
  <c r="AJ67" i="1"/>
  <c r="AJ60" i="1"/>
  <c r="BX89" i="1"/>
  <c r="BX93" i="1"/>
  <c r="AJ87" i="1"/>
  <c r="AK74" i="1"/>
  <c r="AK245" i="1" s="1"/>
  <c r="BX189" i="1"/>
  <c r="BY189" i="1" s="1"/>
  <c r="BX182" i="1"/>
  <c r="BY182" i="1" s="1"/>
  <c r="BZ253" i="1" s="1"/>
  <c r="I81" i="1"/>
  <c r="E67" i="1"/>
  <c r="B59" i="1"/>
  <c r="BX206" i="1"/>
  <c r="BY206" i="1" s="1"/>
  <c r="I53" i="1"/>
  <c r="S87" i="1"/>
  <c r="BX177" i="1"/>
  <c r="BY177" i="1" s="1"/>
  <c r="BX169" i="1"/>
  <c r="BY169" i="1" s="1"/>
  <c r="BX159" i="1"/>
  <c r="BY159" i="1" s="1"/>
  <c r="G87" i="1"/>
  <c r="K81" i="1"/>
  <c r="J41" i="1"/>
  <c r="B87" i="1"/>
  <c r="E88" i="1"/>
  <c r="L89" i="1"/>
  <c r="Q67" i="1"/>
  <c r="S74" i="1"/>
  <c r="E78" i="1"/>
  <c r="W67" i="1"/>
  <c r="I41" i="1"/>
  <c r="I282" i="1" s="1"/>
  <c r="E46" i="1"/>
  <c r="H87" i="1"/>
  <c r="U88" i="1"/>
  <c r="Q41" i="1"/>
  <c r="Q60" i="1"/>
  <c r="J48" i="1"/>
  <c r="E74" i="1"/>
  <c r="E245" i="1" s="1"/>
  <c r="O74" i="1"/>
  <c r="O245" i="1" s="1"/>
  <c r="U42" i="1"/>
  <c r="U43" i="1" s="1"/>
  <c r="G89" i="1"/>
  <c r="W53" i="1"/>
  <c r="R74" i="1"/>
  <c r="R245" i="1" s="1"/>
  <c r="I60" i="1"/>
  <c r="H74" i="1"/>
  <c r="H245" i="1" s="1"/>
  <c r="W88" i="1"/>
  <c r="HT7" i="4" s="1"/>
  <c r="JH16" i="4" s="1"/>
  <c r="JH21" i="4" s="1"/>
  <c r="CB119" i="1" s="1"/>
  <c r="HR7" i="4" s="1"/>
  <c r="HZ7" i="4" s="1"/>
  <c r="IL7" i="4" s="1"/>
  <c r="HX9" i="4" s="1"/>
  <c r="BJ41" i="1"/>
  <c r="BJ282" i="1" s="1"/>
  <c r="AL77" i="1"/>
  <c r="BX42" i="1"/>
  <c r="BX43" i="1" s="1"/>
  <c r="AJ77" i="1"/>
  <c r="AK41" i="1"/>
  <c r="BX63" i="1"/>
  <c r="AL60" i="1"/>
  <c r="BX202" i="1"/>
  <c r="BY202" i="1" s="1"/>
  <c r="R46" i="1"/>
  <c r="U74" i="1"/>
  <c r="B88" i="1"/>
  <c r="F48" i="1"/>
  <c r="C81" i="1"/>
  <c r="BX187" i="1"/>
  <c r="BY187" i="1" s="1"/>
  <c r="S78" i="1"/>
  <c r="BX203" i="1"/>
  <c r="BY203" i="1" s="1"/>
  <c r="BX197" i="1"/>
  <c r="BY197" i="1" s="1"/>
  <c r="L77" i="1"/>
  <c r="K78" i="1"/>
  <c r="K53" i="1"/>
  <c r="D41" i="1"/>
  <c r="D282" i="1" s="1"/>
  <c r="J161" i="1"/>
  <c r="D46" i="1"/>
  <c r="P77" i="1"/>
  <c r="V74" i="1"/>
  <c r="E48" i="1"/>
  <c r="W60" i="1"/>
  <c r="W78" i="1"/>
  <c r="W303" i="1" s="1"/>
  <c r="E42" i="1"/>
  <c r="H89" i="1"/>
  <c r="R81" i="1"/>
  <c r="L74" i="1"/>
  <c r="V60" i="1"/>
  <c r="L78" i="1"/>
  <c r="D81" i="1"/>
  <c r="Q87" i="1"/>
  <c r="G63" i="1"/>
  <c r="V77" i="1"/>
  <c r="L63" i="1"/>
  <c r="W59" i="1"/>
  <c r="K93" i="1"/>
  <c r="Q48" i="1"/>
  <c r="Q78" i="1"/>
  <c r="R88" i="1"/>
  <c r="Q93" i="1"/>
  <c r="F67" i="1"/>
  <c r="F42" i="1"/>
  <c r="R87" i="1"/>
  <c r="U87" i="1"/>
  <c r="IT9" i="4" s="1"/>
  <c r="JG14" i="4" s="1"/>
  <c r="IB9" i="4" s="1"/>
  <c r="IM14" i="4" s="1"/>
  <c r="AJ74" i="1"/>
  <c r="AJ245" i="1" s="1"/>
  <c r="AL63" i="1"/>
  <c r="AM47" i="1"/>
  <c r="AK53" i="1"/>
  <c r="AM41" i="1"/>
  <c r="AM282" i="1" s="1"/>
  <c r="AJ46" i="1"/>
  <c r="AK63" i="1"/>
  <c r="AL93" i="1"/>
  <c r="F59" i="1"/>
  <c r="BX185" i="1"/>
  <c r="T87" i="1"/>
  <c r="H59" i="1"/>
  <c r="M87" i="1"/>
  <c r="W93" i="1"/>
  <c r="BX193" i="1"/>
  <c r="BY193" i="1" s="1"/>
  <c r="BX161" i="1"/>
  <c r="BY161" i="1" s="1"/>
  <c r="BX179" i="1"/>
  <c r="BY179" i="1" s="1"/>
  <c r="H41" i="1"/>
  <c r="H282" i="1" s="1"/>
  <c r="M59" i="1"/>
  <c r="BL116" i="1"/>
  <c r="BX175" i="1"/>
  <c r="R60" i="1"/>
  <c r="P78" i="1"/>
  <c r="I93" i="1"/>
  <c r="C74" i="1"/>
  <c r="C245" i="1" s="1"/>
  <c r="P59" i="1"/>
  <c r="M81" i="1"/>
  <c r="D78" i="1"/>
  <c r="O46" i="1"/>
  <c r="L93" i="1"/>
  <c r="O63" i="1"/>
  <c r="C77" i="1"/>
  <c r="J93" i="1"/>
  <c r="N60" i="1"/>
  <c r="B74" i="1"/>
  <c r="B63" i="1"/>
  <c r="L88" i="1"/>
  <c r="N88" i="1"/>
  <c r="H60" i="1"/>
  <c r="G81" i="1"/>
  <c r="K42" i="1"/>
  <c r="P93" i="1"/>
  <c r="I59" i="1"/>
  <c r="D87" i="1"/>
  <c r="K89" i="1"/>
  <c r="N59" i="1"/>
  <c r="IB16" i="4" s="1"/>
  <c r="AM78" i="1"/>
  <c r="AM81" i="1"/>
  <c r="AM53" i="1"/>
  <c r="AM74" i="1"/>
  <c r="AM245" i="1" s="1"/>
  <c r="AJ93" i="1"/>
  <c r="AL67" i="1"/>
  <c r="AK46" i="1"/>
  <c r="AK48" i="1"/>
  <c r="AL46" i="1"/>
  <c r="E60" i="1"/>
  <c r="E81" i="1"/>
  <c r="Q81" i="1"/>
  <c r="D59" i="1"/>
  <c r="BX167" i="1"/>
  <c r="BY167" i="1" s="1"/>
  <c r="R89" i="1"/>
  <c r="R53" i="1"/>
  <c r="U81" i="1"/>
  <c r="M48" i="1"/>
  <c r="I89" i="1"/>
  <c r="BX166" i="1"/>
  <c r="BY166" i="1" s="1"/>
  <c r="S77" i="1"/>
  <c r="M77" i="1"/>
  <c r="B89" i="1"/>
  <c r="H88" i="1"/>
  <c r="O89" i="1"/>
  <c r="P67" i="1"/>
  <c r="N89" i="1"/>
  <c r="J81" i="1"/>
  <c r="J78" i="1"/>
  <c r="D93" i="1"/>
  <c r="R77" i="1"/>
  <c r="U53" i="1"/>
  <c r="H48" i="1"/>
  <c r="S88" i="1"/>
  <c r="P46" i="1"/>
  <c r="M78" i="1"/>
  <c r="M89" i="1"/>
  <c r="N74" i="1"/>
  <c r="K59" i="1"/>
  <c r="I74" i="1"/>
  <c r="I245" i="1" s="1"/>
  <c r="G48" i="1"/>
  <c r="C41" i="1"/>
  <c r="C304" i="1" s="1"/>
  <c r="V78" i="1"/>
  <c r="V303" i="1" s="1"/>
  <c r="AL203" i="1"/>
  <c r="AM203" i="1" s="1"/>
  <c r="AL116" i="1"/>
  <c r="AL185" i="1"/>
  <c r="AL206" i="1"/>
  <c r="AM206" i="1" s="1"/>
  <c r="AL189" i="1"/>
  <c r="AM189" i="1" s="1"/>
  <c r="AL173" i="1"/>
  <c r="AL167" i="1"/>
  <c r="AM167" i="1" s="1"/>
  <c r="AL215" i="1"/>
  <c r="AM215" i="1" s="1"/>
  <c r="AL197" i="1"/>
  <c r="AM197" i="1" s="1"/>
  <c r="AL161" i="1"/>
  <c r="AL177" i="1"/>
  <c r="AM177" i="1" s="1"/>
  <c r="AL175" i="1"/>
  <c r="AL214" i="1"/>
  <c r="AM214" i="1" s="1"/>
  <c r="AL202" i="1"/>
  <c r="AM202" i="1" s="1"/>
  <c r="AL164" i="1"/>
  <c r="AM164" i="1" s="1"/>
  <c r="AL196" i="1"/>
  <c r="AL188" i="1"/>
  <c r="AM188" i="1" s="1"/>
  <c r="AL205" i="1"/>
  <c r="AM205" i="1" s="1"/>
  <c r="AL210" i="1"/>
  <c r="AL186" i="1"/>
  <c r="AL201" i="1"/>
  <c r="AM201" i="1" s="1"/>
  <c r="AL159" i="1"/>
  <c r="AM159" i="1" s="1"/>
  <c r="AL168" i="1"/>
  <c r="AM168" i="1" s="1"/>
  <c r="AL160" i="1"/>
  <c r="AM160" i="1" s="1"/>
  <c r="AL166" i="1"/>
  <c r="AM166" i="1" s="1"/>
  <c r="AL174" i="1"/>
  <c r="AL211" i="1"/>
  <c r="AL169" i="1"/>
  <c r="AM169" i="1" s="1"/>
  <c r="AL115" i="1"/>
  <c r="AL187" i="1"/>
  <c r="AM187" i="1" s="1"/>
  <c r="AL182" i="1"/>
  <c r="AM182" i="1" s="1"/>
  <c r="AM253" i="1" s="1"/>
  <c r="AL179" i="1"/>
  <c r="AM179" i="1" s="1"/>
  <c r="AL193" i="1"/>
  <c r="IG15" i="4"/>
  <c r="JC7" i="4"/>
  <c r="HP14" i="4"/>
  <c r="HV7" i="4"/>
  <c r="HV14" i="4"/>
  <c r="IE14" i="4"/>
  <c r="JD7" i="4"/>
  <c r="IZ7" i="4"/>
  <c r="IS15" i="4"/>
  <c r="IV14" i="4"/>
  <c r="IX14" i="4"/>
  <c r="II7" i="4"/>
  <c r="HP8" i="4"/>
  <c r="IK8" i="4"/>
  <c r="HX7" i="4"/>
  <c r="IU8" i="4"/>
  <c r="ID8" i="4"/>
  <c r="IB7" i="4"/>
  <c r="HX8" i="4"/>
  <c r="IB14" i="4"/>
  <c r="HU14" i="4"/>
  <c r="IN14" i="4"/>
  <c r="IF15" i="4"/>
  <c r="IO14" i="4"/>
  <c r="IA8" i="4"/>
  <c r="HT14" i="4"/>
  <c r="IY15" i="4"/>
  <c r="IY8" i="4"/>
  <c r="IH8" i="4"/>
  <c r="HX15" i="4"/>
  <c r="JE7" i="4"/>
  <c r="IB8" i="4"/>
  <c r="JC14" i="4"/>
  <c r="HS15" i="4"/>
  <c r="HW7" i="4"/>
  <c r="II8" i="4"/>
  <c r="JH8" i="4"/>
  <c r="JF8" i="4"/>
  <c r="IT8" i="4"/>
  <c r="IT7" i="4"/>
  <c r="JF14" i="4"/>
  <c r="IF8" i="4"/>
  <c r="IP7" i="4"/>
  <c r="HW15" i="4"/>
  <c r="JI7" i="4"/>
  <c r="JD8" i="4"/>
  <c r="HT8" i="4"/>
  <c r="HV8" i="4"/>
  <c r="HX14" i="4"/>
  <c r="HX19" i="4" s="1"/>
  <c r="AR120" i="1" s="1"/>
  <c r="HQ14" i="4"/>
  <c r="IH7" i="4"/>
  <c r="IZ14" i="4"/>
  <c r="IZ19" i="4" s="1"/>
  <c r="BT120" i="1" s="1"/>
  <c r="ID7" i="4"/>
  <c r="HQ15" i="4"/>
  <c r="IJ15" i="4"/>
  <c r="IA7" i="4"/>
  <c r="JD15" i="4"/>
  <c r="JD20" i="4" s="1"/>
  <c r="BX121" i="1" s="1"/>
  <c r="IO7" i="4"/>
  <c r="IG7" i="4"/>
  <c r="IW7" i="4"/>
  <c r="HW14" i="4"/>
  <c r="IC14" i="4"/>
  <c r="HP15" i="4"/>
  <c r="IZ15" i="4"/>
  <c r="JH7" i="4"/>
  <c r="HR8" i="4"/>
  <c r="HU15" i="4"/>
  <c r="IE15" i="4"/>
  <c r="IY7" i="4"/>
  <c r="IT14" i="4"/>
  <c r="IT19" i="4" s="1"/>
  <c r="BN120" i="1" s="1"/>
  <c r="IM8" i="4"/>
  <c r="HT15" i="4"/>
  <c r="HZ15" i="4"/>
  <c r="JI8" i="4"/>
  <c r="IK14" i="4"/>
  <c r="IS14" i="4"/>
  <c r="IS19" i="4" s="1"/>
  <c r="BM120" i="1" s="1"/>
  <c r="IU15" i="4"/>
  <c r="IL8" i="4"/>
  <c r="IL15" i="4"/>
  <c r="JA8" i="4"/>
  <c r="IC7" i="4"/>
  <c r="IL14" i="4"/>
  <c r="IB15" i="4"/>
  <c r="IJ7" i="4"/>
  <c r="II15" i="4"/>
  <c r="II20" i="4" s="1"/>
  <c r="BC121" i="1" s="1"/>
  <c r="IP15" i="4"/>
  <c r="IG8" i="4"/>
  <c r="HR14" i="4"/>
  <c r="JC8" i="4"/>
  <c r="HQ7" i="4"/>
  <c r="IA15" i="4"/>
  <c r="IN7" i="4"/>
  <c r="IT15" i="4"/>
  <c r="IT20" i="4" s="1"/>
  <c r="BN121" i="1" s="1"/>
  <c r="IP8" i="4"/>
  <c r="IX7" i="4"/>
  <c r="HY15" i="4"/>
  <c r="HY8" i="4"/>
  <c r="JH14" i="4"/>
  <c r="JH19" i="4" s="1"/>
  <c r="CB120" i="1" s="1"/>
  <c r="IN8" i="4"/>
  <c r="HQ8" i="4"/>
  <c r="JE14" i="4"/>
  <c r="JE19" i="4" s="1"/>
  <c r="BY120" i="1" s="1"/>
  <c r="IC8" i="4"/>
  <c r="IW8" i="4"/>
  <c r="HZ8" i="4"/>
  <c r="IS8" i="4"/>
  <c r="IW15" i="4"/>
  <c r="IW20" i="4" s="1"/>
  <c r="BQ121" i="1" s="1"/>
  <c r="IN15" i="4"/>
  <c r="IN20" i="4" s="1"/>
  <c r="BH121" i="1" s="1"/>
  <c r="JG15" i="4"/>
  <c r="JG20" i="4" s="1"/>
  <c r="CA121" i="1" s="1"/>
  <c r="IZ8" i="4"/>
  <c r="IM7" i="4"/>
  <c r="JF15" i="4"/>
  <c r="IV15" i="4"/>
  <c r="IV20" i="4" s="1"/>
  <c r="BP121" i="1" s="1"/>
  <c r="IQ7" i="4"/>
  <c r="IF14" i="4"/>
  <c r="JA7" i="4"/>
  <c r="HP7" i="4"/>
  <c r="IE7" i="4"/>
  <c r="JI15" i="4"/>
  <c r="JI20" i="4" s="1"/>
  <c r="CC121" i="1" s="1"/>
  <c r="HY7" i="4"/>
  <c r="IE8" i="4"/>
  <c r="IO8" i="4"/>
  <c r="JG7" i="4"/>
  <c r="IC15" i="4"/>
  <c r="IC20" i="4" s="1"/>
  <c r="AW121" i="1" s="1"/>
  <c r="IU14" i="4"/>
  <c r="IU19" i="4" s="1"/>
  <c r="BO120" i="1" s="1"/>
  <c r="IJ8" i="4"/>
  <c r="IP14" i="4"/>
  <c r="IR8" i="4"/>
  <c r="JB8" i="4"/>
  <c r="IX8" i="4"/>
  <c r="IQ8" i="4"/>
  <c r="JF7" i="4"/>
  <c r="HS14" i="4"/>
  <c r="HV15" i="4"/>
  <c r="JB15" i="4"/>
  <c r="JA15" i="4"/>
  <c r="ID14" i="4"/>
  <c r="IF7" i="4"/>
  <c r="HS7" i="4"/>
  <c r="IK15" i="4"/>
  <c r="JE8" i="4"/>
  <c r="IW14" i="4"/>
  <c r="IY14" i="4"/>
  <c r="IO15" i="4"/>
  <c r="IV7" i="4"/>
  <c r="IM15" i="4"/>
  <c r="IR15" i="4"/>
  <c r="JA14" i="4"/>
  <c r="II14" i="4"/>
  <c r="IQ15" i="4"/>
  <c r="ID15" i="4"/>
  <c r="HS8" i="4"/>
  <c r="IK7" i="4"/>
  <c r="CM74" i="1"/>
  <c r="AC182" i="1"/>
  <c r="JB21" i="4" l="1"/>
  <c r="BV119" i="1" s="1"/>
  <c r="IQ19" i="4"/>
  <c r="BK120" i="1" s="1"/>
  <c r="HY19" i="4"/>
  <c r="AS120" i="1" s="1"/>
  <c r="BX230" i="1"/>
  <c r="BY230" i="1" s="1"/>
  <c r="P234" i="1"/>
  <c r="F43" i="1"/>
  <c r="R43" i="1"/>
  <c r="O303" i="1"/>
  <c r="U49" i="1"/>
  <c r="U50" i="1" s="1"/>
  <c r="I43" i="1"/>
  <c r="L245" i="1"/>
  <c r="M303" i="1"/>
  <c r="S8" i="1"/>
  <c r="L303" i="1"/>
  <c r="N43" i="1"/>
  <c r="S304" i="1"/>
  <c r="I304" i="1"/>
  <c r="AL304" i="1"/>
  <c r="AM304" i="1"/>
  <c r="AM303" i="1"/>
  <c r="AL68" i="1"/>
  <c r="W68" i="1"/>
  <c r="F303" i="1"/>
  <c r="J304" i="1"/>
  <c r="AJ79" i="1"/>
  <c r="P303" i="1"/>
  <c r="B304" i="1"/>
  <c r="IA19" i="4"/>
  <c r="AU120" i="1" s="1"/>
  <c r="IZ21" i="4"/>
  <c r="BT119" i="1" s="1"/>
  <c r="BX212" i="1"/>
  <c r="IO19" i="4"/>
  <c r="BI120" i="1" s="1"/>
  <c r="HW19" i="4"/>
  <c r="AQ120" i="1" s="1"/>
  <c r="G43" i="1"/>
  <c r="IW21" i="4"/>
  <c r="BQ119" i="1" s="1"/>
  <c r="IO21" i="4"/>
  <c r="BI119" i="1" s="1"/>
  <c r="HQ21" i="4"/>
  <c r="AK119" i="1" s="1"/>
  <c r="IB20" i="4"/>
  <c r="AV121" i="1" s="1"/>
  <c r="B303" i="1"/>
  <c r="J43" i="1"/>
  <c r="IM21" i="4"/>
  <c r="BG119" i="1" s="1"/>
  <c r="IA20" i="4"/>
  <c r="AU121" i="1" s="1"/>
  <c r="Q68" i="1"/>
  <c r="HY20" i="4"/>
  <c r="AS121" i="1" s="1"/>
  <c r="Q43" i="1"/>
  <c r="BX68" i="1"/>
  <c r="BX69" i="1" s="1"/>
  <c r="S68" i="1"/>
  <c r="T303" i="1"/>
  <c r="AK68" i="1"/>
  <c r="T282" i="1"/>
  <c r="T8" i="1"/>
  <c r="L304" i="1"/>
  <c r="S303" i="1"/>
  <c r="S43" i="1"/>
  <c r="V68" i="1"/>
  <c r="IA21" i="4"/>
  <c r="AU119" i="1" s="1"/>
  <c r="C68" i="1"/>
  <c r="R8" i="1"/>
  <c r="P68" i="1"/>
  <c r="HP19" i="4"/>
  <c r="AJ120" i="1" s="1"/>
  <c r="H68" i="1"/>
  <c r="L68" i="1"/>
  <c r="I68" i="1"/>
  <c r="E68" i="1"/>
  <c r="T68" i="1"/>
  <c r="HU20" i="4"/>
  <c r="AO121" i="1" s="1"/>
  <c r="HT20" i="4"/>
  <c r="AN121" i="1" s="1"/>
  <c r="F68" i="1"/>
  <c r="IJ19" i="4"/>
  <c r="BD120" i="1" s="1"/>
  <c r="IP20" i="4"/>
  <c r="BJ121" i="1" s="1"/>
  <c r="HR19" i="4"/>
  <c r="AL120" i="1" s="1"/>
  <c r="HQ19" i="4"/>
  <c r="AK120" i="1" s="1"/>
  <c r="G68" i="1"/>
  <c r="IT21" i="4"/>
  <c r="BN119" i="1" s="1"/>
  <c r="D43" i="1"/>
  <c r="D303" i="1"/>
  <c r="D68" i="1"/>
  <c r="D69" i="1" s="1"/>
  <c r="R68" i="1"/>
  <c r="J303" i="1"/>
  <c r="JF20" i="4"/>
  <c r="BZ121" i="1" s="1"/>
  <c r="BY162" i="1"/>
  <c r="BY170" i="1"/>
  <c r="BX162" i="1"/>
  <c r="AL230" i="1"/>
  <c r="AM230" i="1" s="1"/>
  <c r="AL234" i="1"/>
  <c r="AM234" i="1" s="1"/>
  <c r="V49" i="1"/>
  <c r="W51" i="1" s="1"/>
  <c r="W69" i="1"/>
  <c r="HU9" i="4"/>
  <c r="HY9" i="4" s="1"/>
  <c r="HY21" i="4" s="1"/>
  <c r="AS119" i="1" s="1"/>
  <c r="IS21" i="4"/>
  <c r="BM119" i="1" s="1"/>
  <c r="IF9" i="4"/>
  <c r="IH16" i="4" s="1"/>
  <c r="IH21" i="4" s="1"/>
  <c r="BB119" i="1" s="1"/>
  <c r="CA140" i="1"/>
  <c r="BX8" i="1"/>
  <c r="II21" i="4"/>
  <c r="BC119" i="1" s="1"/>
  <c r="JE9" i="4"/>
  <c r="IG21" i="4"/>
  <c r="BA119" i="1" s="1"/>
  <c r="JG9" i="4"/>
  <c r="IC16" i="4" s="1"/>
  <c r="W245" i="1"/>
  <c r="W304" i="1"/>
  <c r="AL43" i="1"/>
  <c r="AL49" i="1" s="1"/>
  <c r="AL282" i="1"/>
  <c r="O282" i="1"/>
  <c r="O43" i="1"/>
  <c r="JG16" i="4"/>
  <c r="JA21" i="4"/>
  <c r="BU119" i="1" s="1"/>
  <c r="HX16" i="4"/>
  <c r="HU21" i="4"/>
  <c r="AO119" i="1" s="1"/>
  <c r="HZ14" i="4"/>
  <c r="P304" i="1"/>
  <c r="P245" i="1"/>
  <c r="P43" i="1"/>
  <c r="P282" i="1"/>
  <c r="IF21" i="4"/>
  <c r="AZ119" i="1" s="1"/>
  <c r="IX9" i="4"/>
  <c r="F245" i="1"/>
  <c r="F304" i="1"/>
  <c r="HS21" i="4"/>
  <c r="AM119" i="1" s="1"/>
  <c r="IU16" i="4"/>
  <c r="JI16" i="4"/>
  <c r="T304" i="1"/>
  <c r="T245" i="1"/>
  <c r="BX304" i="1"/>
  <c r="BX245" i="1"/>
  <c r="E43" i="1"/>
  <c r="E282" i="1"/>
  <c r="HP21" i="4"/>
  <c r="AJ119" i="1" s="1"/>
  <c r="IR14" i="4"/>
  <c r="Q282" i="1"/>
  <c r="Q8" i="1"/>
  <c r="AK282" i="1"/>
  <c r="AK43" i="1"/>
  <c r="U245" i="1"/>
  <c r="U304" i="1"/>
  <c r="V245" i="1"/>
  <c r="V304" i="1"/>
  <c r="N304" i="1"/>
  <c r="N245" i="1"/>
  <c r="IV21" i="4"/>
  <c r="BP119" i="1" s="1"/>
  <c r="R303" i="1"/>
  <c r="IQ9" i="4" s="1"/>
  <c r="Q234" i="1"/>
  <c r="HR21" i="4"/>
  <c r="AL119" i="1" s="1"/>
  <c r="B43" i="1"/>
  <c r="B49" i="1" s="1"/>
  <c r="B50" i="1" s="1"/>
  <c r="L43" i="1"/>
  <c r="IC19" i="4"/>
  <c r="AW120" i="1" s="1"/>
  <c r="IZ20" i="4"/>
  <c r="BT121" i="1" s="1"/>
  <c r="HQ20" i="4"/>
  <c r="AK121" i="1" s="1"/>
  <c r="BJ230" i="1"/>
  <c r="BK230" i="1" s="1"/>
  <c r="K68" i="1"/>
  <c r="HS19" i="4"/>
  <c r="AM120" i="1" s="1"/>
  <c r="M68" i="1"/>
  <c r="AJ68" i="1"/>
  <c r="J68" i="1"/>
  <c r="BX170" i="1"/>
  <c r="BJ234" i="1"/>
  <c r="BK234" i="1" s="1"/>
  <c r="IO20" i="4"/>
  <c r="BI121" i="1" s="1"/>
  <c r="IM20" i="4"/>
  <c r="BG121" i="1" s="1"/>
  <c r="IR20" i="4"/>
  <c r="BL121" i="1" s="1"/>
  <c r="JA19" i="4"/>
  <c r="BU120" i="1" s="1"/>
  <c r="II19" i="4"/>
  <c r="BC120" i="1" s="1"/>
  <c r="AM68" i="1"/>
  <c r="IQ20" i="4"/>
  <c r="BK121" i="1" s="1"/>
  <c r="HS20" i="4"/>
  <c r="AM121" i="1" s="1"/>
  <c r="N68" i="1"/>
  <c r="BX176" i="1"/>
  <c r="B68" i="1"/>
  <c r="O68" i="1"/>
  <c r="U140" i="1"/>
  <c r="AM43" i="1"/>
  <c r="H303" i="1"/>
  <c r="BJ8" i="1"/>
  <c r="IB21" i="4"/>
  <c r="AV119" i="1" s="1"/>
  <c r="O304" i="1"/>
  <c r="U68" i="1"/>
  <c r="W140" i="1"/>
  <c r="X239" i="1"/>
  <c r="S245" i="1"/>
  <c r="H43" i="1"/>
  <c r="C303" i="1"/>
  <c r="BX282" i="1"/>
  <c r="AJ75" i="1"/>
  <c r="K303" i="1"/>
  <c r="BX303" i="1"/>
  <c r="BX207" i="1"/>
  <c r="BX236" i="1" s="1"/>
  <c r="R304" i="1"/>
  <c r="J282" i="1"/>
  <c r="D304" i="1"/>
  <c r="AJ230" i="1"/>
  <c r="C43" i="1"/>
  <c r="K304" i="1"/>
  <c r="C282" i="1"/>
  <c r="G304" i="1"/>
  <c r="BX231" i="1"/>
  <c r="BY231" i="1" s="1"/>
  <c r="I303" i="1"/>
  <c r="V239" i="1"/>
  <c r="V44" i="1"/>
  <c r="Q304" i="1"/>
  <c r="W44" i="1"/>
  <c r="X44" i="1"/>
  <c r="BX234" i="1"/>
  <c r="BY234" i="1" s="1"/>
  <c r="Q303" i="1"/>
  <c r="K43" i="1"/>
  <c r="W239" i="1"/>
  <c r="AM140" i="1"/>
  <c r="H304" i="1"/>
  <c r="AJ234" i="1"/>
  <c r="BX195" i="1"/>
  <c r="AJ43" i="1"/>
  <c r="M304" i="1"/>
  <c r="AJ195" i="1"/>
  <c r="AL231" i="1"/>
  <c r="AM231" i="1" s="1"/>
  <c r="AL195" i="1"/>
  <c r="BJ231" i="1"/>
  <c r="BK231" i="1" s="1"/>
  <c r="BJ195" i="1"/>
  <c r="BJ212" i="1"/>
  <c r="BK260" i="1" s="1"/>
  <c r="BJ176" i="1"/>
  <c r="BK170" i="1"/>
  <c r="BK159" i="1"/>
  <c r="BJ162" i="1"/>
  <c r="AJ212" i="1"/>
  <c r="AK260" i="1" s="1"/>
  <c r="AM170" i="1"/>
  <c r="AL212" i="1"/>
  <c r="AM260" i="1" s="1"/>
  <c r="BJ207" i="1"/>
  <c r="BJ236" i="1" s="1"/>
  <c r="AL176" i="1"/>
  <c r="AM176" i="1" s="1"/>
  <c r="AM180" i="1" s="1"/>
  <c r="BK197" i="1"/>
  <c r="BJ170" i="1"/>
  <c r="AJ170" i="1"/>
  <c r="AL207" i="1"/>
  <c r="AL236" i="1" s="1"/>
  <c r="AJ253" i="1"/>
  <c r="AL162" i="1"/>
  <c r="AL170" i="1"/>
  <c r="AI247" i="1"/>
  <c r="AI249" i="1" s="1"/>
  <c r="AJ176" i="1"/>
  <c r="AK75" i="1" s="1"/>
  <c r="AJ231" i="1"/>
  <c r="AK231" i="1" s="1"/>
  <c r="AK170" i="1"/>
  <c r="AJ162" i="1"/>
  <c r="AJ207" i="1"/>
  <c r="BK193" i="1"/>
  <c r="AM193" i="1"/>
  <c r="IG20" i="4"/>
  <c r="BA121" i="1" s="1"/>
  <c r="HX20" i="4"/>
  <c r="AR121" i="1" s="1"/>
  <c r="HP20" i="4"/>
  <c r="AJ121" i="1" s="1"/>
  <c r="IU20" i="4"/>
  <c r="BO121" i="1" s="1"/>
  <c r="ID20" i="4"/>
  <c r="AX121" i="1" s="1"/>
  <c r="IL19" i="4"/>
  <c r="BF120" i="1" s="1"/>
  <c r="JF19" i="4"/>
  <c r="BZ120" i="1" s="1"/>
  <c r="IL20" i="4"/>
  <c r="BF121" i="1" s="1"/>
  <c r="HR20" i="4"/>
  <c r="AL121" i="1" s="1"/>
  <c r="IX19" i="4"/>
  <c r="BR120" i="1" s="1"/>
  <c r="M49" i="1"/>
  <c r="M50" i="1" s="1"/>
  <c r="IB19" i="4"/>
  <c r="AV120" i="1" s="1"/>
  <c r="JD19" i="4"/>
  <c r="BX120" i="1" s="1"/>
  <c r="JE20" i="4"/>
  <c r="BY121" i="1" s="1"/>
  <c r="JC20" i="4"/>
  <c r="BW121" i="1" s="1"/>
  <c r="JC19" i="4"/>
  <c r="BW120" i="1" s="1"/>
  <c r="IS20" i="4"/>
  <c r="BM121" i="1" s="1"/>
  <c r="IH20" i="4"/>
  <c r="BB121" i="1" s="1"/>
  <c r="N140" i="1"/>
  <c r="N49" i="1"/>
  <c r="U44" i="1"/>
  <c r="T49" i="1"/>
  <c r="U239" i="1"/>
  <c r="IN19" i="4"/>
  <c r="BH120" i="1" s="1"/>
  <c r="T140" i="1"/>
  <c r="JB20" i="4"/>
  <c r="BV121" i="1" s="1"/>
  <c r="IV19" i="4"/>
  <c r="BP120" i="1" s="1"/>
  <c r="IX20" i="4"/>
  <c r="BR121" i="1" s="1"/>
  <c r="HT19" i="4"/>
  <c r="AN120" i="1" s="1"/>
  <c r="HV19" i="4"/>
  <c r="AP120" i="1" s="1"/>
  <c r="JH20" i="4"/>
  <c r="CB121" i="1" s="1"/>
  <c r="IE19" i="4"/>
  <c r="AY120" i="1" s="1"/>
  <c r="IG19" i="4"/>
  <c r="BA120" i="1" s="1"/>
  <c r="IK20" i="4"/>
  <c r="BE121" i="1" s="1"/>
  <c r="IP19" i="4"/>
  <c r="BJ120" i="1" s="1"/>
  <c r="IY19" i="4"/>
  <c r="BS120" i="1" s="1"/>
  <c r="JG19" i="4"/>
  <c r="CA120" i="1" s="1"/>
  <c r="IY20" i="4"/>
  <c r="BS121" i="1" s="1"/>
  <c r="IF20" i="4"/>
  <c r="AZ121" i="1" s="1"/>
  <c r="IM19" i="4"/>
  <c r="BG120" i="1" s="1"/>
  <c r="JB19" i="4"/>
  <c r="BV120" i="1" s="1"/>
  <c r="M140" i="1"/>
  <c r="IH19" i="4"/>
  <c r="BB120" i="1" s="1"/>
  <c r="X51" i="1"/>
  <c r="W50" i="1"/>
  <c r="BY45" i="1"/>
  <c r="CB44" i="1"/>
  <c r="CC239" i="1"/>
  <c r="BX49" i="1"/>
  <c r="AL253" i="1"/>
  <c r="AK253" i="1"/>
  <c r="BK253" i="1"/>
  <c r="BY253" i="1"/>
  <c r="HV21" i="4"/>
  <c r="AP119" i="1" s="1"/>
  <c r="HV20" i="4"/>
  <c r="AP121" i="1" s="1"/>
  <c r="IJ20" i="4"/>
  <c r="BD121" i="1" s="1"/>
  <c r="IK19" i="4"/>
  <c r="BE120" i="1" s="1"/>
  <c r="HZ20" i="4"/>
  <c r="AT121" i="1" s="1"/>
  <c r="R140" i="1"/>
  <c r="R49" i="1"/>
  <c r="IF19" i="4"/>
  <c r="AZ120" i="1" s="1"/>
  <c r="IE20" i="4"/>
  <c r="AY121" i="1" s="1"/>
  <c r="JA20" i="4"/>
  <c r="BU121" i="1" s="1"/>
  <c r="ID19" i="4"/>
  <c r="AX120" i="1" s="1"/>
  <c r="IW19" i="4"/>
  <c r="BQ120" i="1" s="1"/>
  <c r="I49" i="1"/>
  <c r="I140" i="1"/>
  <c r="W70" i="1"/>
  <c r="CM245" i="1"/>
  <c r="CM174" i="1"/>
  <c r="CM176" i="1" s="1"/>
  <c r="CM180" i="1" s="1"/>
  <c r="CM254" i="1" s="1"/>
  <c r="CM252" i="1" s="1"/>
  <c r="AC253" i="1"/>
  <c r="AB159" i="1"/>
  <c r="CA276" i="1"/>
  <c r="K239" i="1" l="1"/>
  <c r="F140" i="1"/>
  <c r="F49" i="1"/>
  <c r="F50" i="1" s="1"/>
  <c r="N239" i="1"/>
  <c r="N44" i="1"/>
  <c r="G49" i="1"/>
  <c r="G140" i="1"/>
  <c r="G239" i="1"/>
  <c r="G44" i="1"/>
  <c r="J44" i="1"/>
  <c r="J239" i="1"/>
  <c r="V69" i="1"/>
  <c r="M239" i="1"/>
  <c r="M44" i="1"/>
  <c r="F239" i="1"/>
  <c r="F44" i="1"/>
  <c r="R239" i="1"/>
  <c r="R44" i="1"/>
  <c r="BY260" i="1"/>
  <c r="J140" i="1"/>
  <c r="J49" i="1"/>
  <c r="S140" i="1"/>
  <c r="S49" i="1"/>
  <c r="T44" i="1"/>
  <c r="T239" i="1"/>
  <c r="S44" i="1"/>
  <c r="S239" i="1"/>
  <c r="Q140" i="1"/>
  <c r="Q239" i="1"/>
  <c r="Q49" i="1"/>
  <c r="Q50" i="1" s="1"/>
  <c r="Q44" i="1"/>
  <c r="I239" i="1"/>
  <c r="AM49" i="1"/>
  <c r="H49" i="1"/>
  <c r="H50" i="1" s="1"/>
  <c r="H239" i="1"/>
  <c r="C49" i="1"/>
  <c r="C239" i="1"/>
  <c r="C44" i="1"/>
  <c r="K44" i="1"/>
  <c r="L44" i="1"/>
  <c r="AJ49" i="1"/>
  <c r="AK45" i="1"/>
  <c r="K49" i="1"/>
  <c r="H140" i="1"/>
  <c r="L239" i="1"/>
  <c r="H44" i="1"/>
  <c r="K140" i="1"/>
  <c r="I44" i="1"/>
  <c r="AJ69" i="1"/>
  <c r="BJ235" i="1"/>
  <c r="AM276" i="1"/>
  <c r="AL235" i="1"/>
  <c r="BY300" i="1"/>
  <c r="BX299" i="1"/>
  <c r="BY171" i="1"/>
  <c r="BZ257" i="1"/>
  <c r="BZ300" i="1"/>
  <c r="BZ302" i="1" s="1"/>
  <c r="BY176" i="1"/>
  <c r="BX180" i="1"/>
  <c r="C69" i="1"/>
  <c r="AM69" i="1"/>
  <c r="E44" i="1"/>
  <c r="E239" i="1"/>
  <c r="D49" i="1"/>
  <c r="AM45" i="1"/>
  <c r="D239" i="1"/>
  <c r="D44" i="1"/>
  <c r="O239" i="1"/>
  <c r="O44" i="1"/>
  <c r="AL69" i="1"/>
  <c r="BY258" i="1"/>
  <c r="BZ258" i="1"/>
  <c r="V50" i="1"/>
  <c r="V51" i="1"/>
  <c r="BY75" i="1"/>
  <c r="BX171" i="1"/>
  <c r="V70" i="1"/>
  <c r="V15" i="1" s="1"/>
  <c r="BX235" i="1"/>
  <c r="BX219" i="1"/>
  <c r="BX151" i="1" s="1"/>
  <c r="BY257" i="1"/>
  <c r="BK300" i="1"/>
  <c r="AJ171" i="1"/>
  <c r="AK257" i="1"/>
  <c r="AM300" i="1"/>
  <c r="BK176" i="1"/>
  <c r="JE21" i="4"/>
  <c r="BY119" i="1" s="1"/>
  <c r="HU7" i="4"/>
  <c r="HU19" i="4" s="1"/>
  <c r="AO120" i="1" s="1"/>
  <c r="IC21" i="4"/>
  <c r="AW119" i="1" s="1"/>
  <c r="HZ16" i="4"/>
  <c r="HZ21" i="4" s="1"/>
  <c r="AT119" i="1" s="1"/>
  <c r="AL70" i="1"/>
  <c r="AL50" i="1"/>
  <c r="O140" i="1"/>
  <c r="O49" i="1"/>
  <c r="JG21" i="4"/>
  <c r="CA119" i="1" s="1"/>
  <c r="IE9" i="4"/>
  <c r="HX21" i="4"/>
  <c r="AR119" i="1" s="1"/>
  <c r="IR9" i="4"/>
  <c r="HZ19" i="4"/>
  <c r="AT120" i="1" s="1"/>
  <c r="IP16" i="4"/>
  <c r="P44" i="1"/>
  <c r="P49" i="1"/>
  <c r="P140" i="1"/>
  <c r="P239" i="1"/>
  <c r="IX21" i="4"/>
  <c r="BR119" i="1" s="1"/>
  <c r="IR7" i="4" s="1"/>
  <c r="IN9" i="4"/>
  <c r="IP9" i="4" s="1"/>
  <c r="IN16" i="4"/>
  <c r="JI21" i="4"/>
  <c r="CC119" i="1" s="1"/>
  <c r="IC9" i="4"/>
  <c r="IK9" i="4" s="1"/>
  <c r="E49" i="1"/>
  <c r="E140" i="1"/>
  <c r="E69" i="1"/>
  <c r="AK69" i="1"/>
  <c r="AK49" i="1"/>
  <c r="AL45" i="1"/>
  <c r="L140" i="1"/>
  <c r="L49" i="1"/>
  <c r="B69" i="1"/>
  <c r="B70" i="1"/>
  <c r="BJ180" i="1"/>
  <c r="BL257" i="1"/>
  <c r="BL300" i="1"/>
  <c r="BJ299" i="1"/>
  <c r="AJ219" i="1"/>
  <c r="AK79" i="1" s="1"/>
  <c r="AJ257" i="1"/>
  <c r="AM75" i="1"/>
  <c r="AL180" i="1"/>
  <c r="AL299" i="1"/>
  <c r="AL257" i="1"/>
  <c r="AM257" i="1"/>
  <c r="AJ248" i="1"/>
  <c r="AJ236" i="1"/>
  <c r="AK176" i="1"/>
  <c r="AL219" i="1"/>
  <c r="BJ171" i="1"/>
  <c r="BJ219" i="1"/>
  <c r="BJ151" i="1" s="1"/>
  <c r="AJ180" i="1"/>
  <c r="BK257" i="1"/>
  <c r="AL300" i="1"/>
  <c r="AL171" i="1"/>
  <c r="I50" i="1"/>
  <c r="N50" i="1"/>
  <c r="N51" i="1"/>
  <c r="U51" i="1"/>
  <c r="T50" i="1"/>
  <c r="BX50" i="1"/>
  <c r="CB51" i="1"/>
  <c r="BY52" i="1"/>
  <c r="BX70" i="1"/>
  <c r="BX15" i="1" s="1"/>
  <c r="W76" i="1"/>
  <c r="W80" i="1" s="1"/>
  <c r="IQ21" i="4"/>
  <c r="BK119" i="1" s="1"/>
  <c r="R50" i="1"/>
  <c r="G50" i="1"/>
  <c r="W15" i="1"/>
  <c r="W71" i="1"/>
  <c r="W154" i="1"/>
  <c r="X301" i="1"/>
  <c r="X72" i="1"/>
  <c r="W283" i="1"/>
  <c r="W284" i="1" s="1"/>
  <c r="AM254" i="1"/>
  <c r="AM252" i="1" s="1"/>
  <c r="AK180" i="1"/>
  <c r="AL254" i="1" s="1"/>
  <c r="AL252" i="1" s="1"/>
  <c r="AL75" i="1"/>
  <c r="AL151" i="1"/>
  <c r="AM79" i="1"/>
  <c r="AJ254" i="1"/>
  <c r="AJ252" i="1" s="1"/>
  <c r="BX71" i="1"/>
  <c r="BX76" i="1"/>
  <c r="CB72" i="1"/>
  <c r="CA154" i="1"/>
  <c r="BX283" i="1"/>
  <c r="BX284" i="1" s="1"/>
  <c r="BY73" i="1"/>
  <c r="BY301" i="1"/>
  <c r="CN74" i="1"/>
  <c r="AB214" i="1"/>
  <c r="AC159" i="1"/>
  <c r="CB276" i="1"/>
  <c r="BQ1" i="1"/>
  <c r="BR1" i="1" s="1"/>
  <c r="BS1" i="1" s="1"/>
  <c r="BT1" i="1" s="1"/>
  <c r="G51" i="1" l="1"/>
  <c r="W83" i="1"/>
  <c r="W82" i="1"/>
  <c r="AM52" i="1"/>
  <c r="AM70" i="1"/>
  <c r="AM50" i="1"/>
  <c r="AJ70" i="1"/>
  <c r="AJ50" i="1"/>
  <c r="I51" i="1"/>
  <c r="D50" i="1"/>
  <c r="D70" i="1"/>
  <c r="E51" i="1"/>
  <c r="C51" i="1"/>
  <c r="C70" i="1"/>
  <c r="D51" i="1"/>
  <c r="C50" i="1"/>
  <c r="AK52" i="1"/>
  <c r="S51" i="1"/>
  <c r="R51" i="1"/>
  <c r="J50" i="1"/>
  <c r="K51" i="1"/>
  <c r="J51" i="1"/>
  <c r="S50" i="1"/>
  <c r="T51" i="1"/>
  <c r="BZ75" i="1"/>
  <c r="BY180" i="1"/>
  <c r="H51" i="1"/>
  <c r="K50" i="1"/>
  <c r="L51" i="1"/>
  <c r="BY302" i="1"/>
  <c r="V283" i="1"/>
  <c r="V284" i="1" s="1"/>
  <c r="BY256" i="1"/>
  <c r="W72" i="1"/>
  <c r="BZ256" i="1"/>
  <c r="W301" i="1"/>
  <c r="BY79" i="1"/>
  <c r="V71" i="1"/>
  <c r="V154" i="1"/>
  <c r="V76" i="1"/>
  <c r="V80" i="1" s="1"/>
  <c r="BL75" i="1"/>
  <c r="BK180" i="1"/>
  <c r="BL254" i="1" s="1"/>
  <c r="BL252" i="1" s="1"/>
  <c r="AL71" i="1"/>
  <c r="AL76" i="1"/>
  <c r="AL80" i="1" s="1"/>
  <c r="AL283" i="1"/>
  <c r="AL284" i="1" s="1"/>
  <c r="P51" i="1"/>
  <c r="O50" i="1"/>
  <c r="P50" i="1"/>
  <c r="Q51" i="1"/>
  <c r="IR19" i="4"/>
  <c r="BL120" i="1" s="1"/>
  <c r="IE16" i="4"/>
  <c r="IK21" i="4"/>
  <c r="BE119" i="1" s="1"/>
  <c r="IL9" i="4"/>
  <c r="E50" i="1"/>
  <c r="F51" i="1"/>
  <c r="E70" i="1"/>
  <c r="AK50" i="1"/>
  <c r="AK70" i="1"/>
  <c r="AL52" i="1"/>
  <c r="M51" i="1"/>
  <c r="L50" i="1"/>
  <c r="B154" i="1"/>
  <c r="B71" i="1"/>
  <c r="IP21" i="4"/>
  <c r="BJ119" i="1" s="1"/>
  <c r="HW8" i="4" s="1"/>
  <c r="IN21" i="4"/>
  <c r="BH119" i="1" s="1"/>
  <c r="HW9" i="4" s="1"/>
  <c r="O51" i="1"/>
  <c r="AM301" i="1"/>
  <c r="AM302" i="1" s="1"/>
  <c r="AK254" i="1"/>
  <c r="AK252" i="1" s="1"/>
  <c r="BX80" i="1"/>
  <c r="CA97" i="1"/>
  <c r="W90" i="1"/>
  <c r="W94" i="1" s="1"/>
  <c r="W285" i="1"/>
  <c r="W84" i="1"/>
  <c r="W296" i="1" s="1"/>
  <c r="X85" i="1"/>
  <c r="CN174" i="1"/>
  <c r="CN176" i="1" s="1"/>
  <c r="CO74" i="1" s="1"/>
  <c r="AB179" i="1"/>
  <c r="AD159" i="1"/>
  <c r="AE159" i="1"/>
  <c r="AC214" i="1"/>
  <c r="BU1" i="1"/>
  <c r="Q69" i="1"/>
  <c r="P69" i="1"/>
  <c r="O69" i="1"/>
  <c r="I69" i="1"/>
  <c r="H69" i="1"/>
  <c r="G69" i="1"/>
  <c r="U69" i="1"/>
  <c r="T69" i="1"/>
  <c r="S69" i="1"/>
  <c r="R69" i="1"/>
  <c r="N69" i="1"/>
  <c r="M69" i="1"/>
  <c r="L69" i="1"/>
  <c r="K69" i="1"/>
  <c r="J69" i="1"/>
  <c r="F69" i="1"/>
  <c r="AM73" i="1" l="1"/>
  <c r="AL301" i="1"/>
  <c r="AL302" i="1" s="1"/>
  <c r="BY254" i="1"/>
  <c r="BY252" i="1" s="1"/>
  <c r="AM283" i="1"/>
  <c r="AM284" i="1" s="1"/>
  <c r="AM71" i="1"/>
  <c r="AM76" i="1"/>
  <c r="AM80" i="1" s="1"/>
  <c r="AJ76" i="1"/>
  <c r="AJ80" i="1" s="1"/>
  <c r="AJ71" i="1"/>
  <c r="AJ283" i="1"/>
  <c r="AJ284" i="1" s="1"/>
  <c r="D154" i="1"/>
  <c r="D301" i="1"/>
  <c r="D283" i="1"/>
  <c r="D284" i="1" s="1"/>
  <c r="D76" i="1"/>
  <c r="D80" i="1" s="1"/>
  <c r="D71" i="1"/>
  <c r="C72" i="1"/>
  <c r="D72" i="1"/>
  <c r="C71" i="1"/>
  <c r="C301" i="1"/>
  <c r="BZ254" i="1"/>
  <c r="BZ252" i="1" s="1"/>
  <c r="V83" i="1"/>
  <c r="V82" i="1"/>
  <c r="AL82" i="1"/>
  <c r="AL83" i="1"/>
  <c r="IE21" i="4"/>
  <c r="AY119" i="1" s="1"/>
  <c r="IU9" i="4"/>
  <c r="IL21" i="4"/>
  <c r="BF119" i="1" s="1"/>
  <c r="IJ16" i="4"/>
  <c r="IJ21" i="4" s="1"/>
  <c r="BD119" i="1" s="1"/>
  <c r="E72" i="1"/>
  <c r="E71" i="1"/>
  <c r="AK73" i="1"/>
  <c r="AM154" i="1"/>
  <c r="AK76" i="1"/>
  <c r="AK80" i="1" s="1"/>
  <c r="AK71" i="1"/>
  <c r="AL73" i="1"/>
  <c r="AK283" i="1"/>
  <c r="AK284" i="1" s="1"/>
  <c r="AM277" i="1"/>
  <c r="HT16" i="4"/>
  <c r="HT21" i="4" s="1"/>
  <c r="AN119" i="1" s="1"/>
  <c r="HW20" i="4"/>
  <c r="AQ121" i="1" s="1"/>
  <c r="IR16" i="4"/>
  <c r="HW21" i="4"/>
  <c r="AQ119" i="1" s="1"/>
  <c r="BX82" i="1"/>
  <c r="BX83" i="1"/>
  <c r="CO245" i="1"/>
  <c r="CO174" i="1"/>
  <c r="CN180" i="1"/>
  <c r="CN245" i="1"/>
  <c r="AD214" i="1"/>
  <c r="AE214" i="1"/>
  <c r="AD182" i="1"/>
  <c r="AC179" i="1"/>
  <c r="BV1" i="1"/>
  <c r="BW1" i="1" s="1"/>
  <c r="BX1" i="1" s="1"/>
  <c r="B283" i="1"/>
  <c r="B284" i="1" s="1"/>
  <c r="BL283" i="1"/>
  <c r="BL284" i="1" s="1"/>
  <c r="G70" i="1"/>
  <c r="O70" i="1"/>
  <c r="H70" i="1"/>
  <c r="P70" i="1"/>
  <c r="I70" i="1"/>
  <c r="Q70" i="1"/>
  <c r="Q15" i="1" s="1"/>
  <c r="J70" i="1"/>
  <c r="R70" i="1"/>
  <c r="R15" i="1" s="1"/>
  <c r="K70" i="1"/>
  <c r="S70" i="1"/>
  <c r="S15" i="1" s="1"/>
  <c r="L70" i="1"/>
  <c r="T70" i="1"/>
  <c r="M70" i="1"/>
  <c r="U70" i="1"/>
  <c r="U15" i="1" s="1"/>
  <c r="F70" i="1"/>
  <c r="F301" i="1" s="1"/>
  <c r="N70" i="1"/>
  <c r="AM82" i="1" l="1"/>
  <c r="AM83" i="1"/>
  <c r="AJ82" i="1"/>
  <c r="AJ83" i="1"/>
  <c r="D82" i="1"/>
  <c r="D83" i="1"/>
  <c r="W85" i="1"/>
  <c r="V84" i="1"/>
  <c r="V296" i="1" s="1"/>
  <c r="V90" i="1"/>
  <c r="AL84" i="1"/>
  <c r="AL296" i="1" s="1"/>
  <c r="AL90" i="1"/>
  <c r="AL285" i="1"/>
  <c r="AM86" i="1"/>
  <c r="IU21" i="4"/>
  <c r="BO119" i="1" s="1"/>
  <c r="ID9" i="4"/>
  <c r="ID21" i="4" s="1"/>
  <c r="AX119" i="1" s="1"/>
  <c r="AK82" i="1"/>
  <c r="AK83" i="1"/>
  <c r="IR21" i="4"/>
  <c r="BL119" i="1" s="1"/>
  <c r="JI14" i="4"/>
  <c r="JI19" i="4" s="1"/>
  <c r="CC120" i="1" s="1"/>
  <c r="T301" i="1"/>
  <c r="P301" i="1"/>
  <c r="CB85" i="1"/>
  <c r="BX285" i="1"/>
  <c r="BX84" i="1"/>
  <c r="BX296" i="1" s="1"/>
  <c r="BX90" i="1"/>
  <c r="BY86" i="1"/>
  <c r="M301" i="1"/>
  <c r="R301" i="1"/>
  <c r="I301" i="1"/>
  <c r="K301" i="1"/>
  <c r="G301" i="1"/>
  <c r="H301" i="1"/>
  <c r="L301" i="1"/>
  <c r="S301" i="1"/>
  <c r="O301" i="1"/>
  <c r="J301" i="1"/>
  <c r="N301" i="1"/>
  <c r="U301" i="1"/>
  <c r="V301" i="1"/>
  <c r="Q301" i="1"/>
  <c r="R154" i="1"/>
  <c r="S72" i="1"/>
  <c r="T154" i="1"/>
  <c r="U72" i="1"/>
  <c r="U154" i="1"/>
  <c r="V72" i="1"/>
  <c r="P154" i="1"/>
  <c r="Q72" i="1"/>
  <c r="Q154" i="1"/>
  <c r="R72" i="1"/>
  <c r="I154" i="1"/>
  <c r="J72" i="1"/>
  <c r="S154" i="1"/>
  <c r="T72" i="1"/>
  <c r="H154" i="1"/>
  <c r="I72" i="1"/>
  <c r="E154" i="1"/>
  <c r="F72" i="1"/>
  <c r="L154" i="1"/>
  <c r="M72" i="1"/>
  <c r="O154" i="1"/>
  <c r="P72" i="1"/>
  <c r="N154" i="1"/>
  <c r="O72" i="1"/>
  <c r="K154" i="1"/>
  <c r="L72" i="1"/>
  <c r="F154" i="1"/>
  <c r="G72" i="1"/>
  <c r="G154" i="1"/>
  <c r="H72" i="1"/>
  <c r="M154" i="1"/>
  <c r="N72" i="1"/>
  <c r="J154" i="1"/>
  <c r="K72" i="1"/>
  <c r="CN254" i="1"/>
  <c r="CN252" i="1" s="1"/>
  <c r="CO176" i="1"/>
  <c r="AD253" i="1"/>
  <c r="AE179" i="1"/>
  <c r="AD179" i="1"/>
  <c r="C154" i="1"/>
  <c r="BY1" i="1"/>
  <c r="L71" i="1"/>
  <c r="N71" i="1"/>
  <c r="F71" i="1"/>
  <c r="O71" i="1"/>
  <c r="U76" i="1"/>
  <c r="U80" i="1" s="1"/>
  <c r="U71" i="1"/>
  <c r="G71" i="1"/>
  <c r="S71" i="1"/>
  <c r="M71" i="1"/>
  <c r="R71" i="1"/>
  <c r="J71" i="1"/>
  <c r="I71" i="1"/>
  <c r="P71" i="1"/>
  <c r="H71" i="1"/>
  <c r="K71" i="1"/>
  <c r="T71" i="1"/>
  <c r="Q71" i="1"/>
  <c r="T283" i="1"/>
  <c r="T284" i="1" s="1"/>
  <c r="Q283" i="1"/>
  <c r="Q284" i="1" s="1"/>
  <c r="K283" i="1"/>
  <c r="K284" i="1" s="1"/>
  <c r="O283" i="1"/>
  <c r="O284" i="1" s="1"/>
  <c r="U283" i="1"/>
  <c r="U284" i="1" s="1"/>
  <c r="L283" i="1"/>
  <c r="L284" i="1" s="1"/>
  <c r="C283" i="1"/>
  <c r="C284" i="1" s="1"/>
  <c r="I283" i="1"/>
  <c r="I284" i="1" s="1"/>
  <c r="G283" i="1"/>
  <c r="G284" i="1" s="1"/>
  <c r="R283" i="1"/>
  <c r="R284" i="1" s="1"/>
  <c r="P283" i="1"/>
  <c r="P284" i="1" s="1"/>
  <c r="F283" i="1"/>
  <c r="F284" i="1" s="1"/>
  <c r="M283" i="1"/>
  <c r="M284" i="1" s="1"/>
  <c r="N283" i="1"/>
  <c r="N284" i="1" s="1"/>
  <c r="E283" i="1"/>
  <c r="E284" i="1" s="1"/>
  <c r="S283" i="1"/>
  <c r="S284" i="1" s="1"/>
  <c r="J283" i="1"/>
  <c r="J284" i="1" s="1"/>
  <c r="H283" i="1"/>
  <c r="H284" i="1" s="1"/>
  <c r="B76" i="1"/>
  <c r="L76" i="1"/>
  <c r="Q76" i="1"/>
  <c r="T76" i="1"/>
  <c r="N76" i="1"/>
  <c r="S76" i="1"/>
  <c r="F76" i="1"/>
  <c r="K76" i="1"/>
  <c r="H76" i="1"/>
  <c r="I76" i="1"/>
  <c r="P76" i="1"/>
  <c r="C76" i="1"/>
  <c r="O76" i="1"/>
  <c r="R76" i="1"/>
  <c r="M76" i="1"/>
  <c r="G76" i="1"/>
  <c r="E76" i="1"/>
  <c r="J76" i="1"/>
  <c r="AM285" i="1" l="1"/>
  <c r="AM84" i="1"/>
  <c r="AM296" i="1" s="1"/>
  <c r="AJ285" i="1"/>
  <c r="AJ90" i="1"/>
  <c r="AJ84" i="1"/>
  <c r="D90" i="1"/>
  <c r="D84" i="1"/>
  <c r="D285" i="1"/>
  <c r="AL94" i="1"/>
  <c r="AL244" i="1"/>
  <c r="AL246" i="1" s="1"/>
  <c r="AM278" i="1"/>
  <c r="AL86" i="1"/>
  <c r="AK86" i="1"/>
  <c r="AK84" i="1"/>
  <c r="AK90" i="1"/>
  <c r="AK285" i="1"/>
  <c r="CA96" i="1"/>
  <c r="BX244" i="1"/>
  <c r="BX246" i="1" s="1"/>
  <c r="BX94" i="1"/>
  <c r="BK215" i="1"/>
  <c r="BM215" i="1"/>
  <c r="CO180" i="1"/>
  <c r="CP74" i="1"/>
  <c r="AE182" i="1"/>
  <c r="AE253" i="1" s="1"/>
  <c r="BZ1" i="1"/>
  <c r="U83" i="1"/>
  <c r="V85" i="1" s="1"/>
  <c r="U82" i="1"/>
  <c r="P80" i="1"/>
  <c r="P83" i="1" s="1"/>
  <c r="R80" i="1"/>
  <c r="R83" i="1" s="1"/>
  <c r="E80" i="1"/>
  <c r="S80" i="1"/>
  <c r="S82" i="1" s="1"/>
  <c r="G80" i="1"/>
  <c r="G83" i="1" s="1"/>
  <c r="K80" i="1"/>
  <c r="K83" i="1" s="1"/>
  <c r="B80" i="1"/>
  <c r="O80" i="1"/>
  <c r="O83" i="1" s="1"/>
  <c r="H80" i="1"/>
  <c r="H83" i="1" s="1"/>
  <c r="N80" i="1"/>
  <c r="N83" i="1" s="1"/>
  <c r="L80" i="1"/>
  <c r="L82" i="1" s="1"/>
  <c r="C80" i="1"/>
  <c r="M80" i="1"/>
  <c r="M82" i="1" s="1"/>
  <c r="T80" i="1"/>
  <c r="T83" i="1" s="1"/>
  <c r="F80" i="1"/>
  <c r="F82" i="1" s="1"/>
  <c r="J80" i="1"/>
  <c r="J82" i="1" s="1"/>
  <c r="I80" i="1"/>
  <c r="I82" i="1" s="1"/>
  <c r="Q80" i="1"/>
  <c r="Q83" i="1" s="1"/>
  <c r="V285" i="1"/>
  <c r="AJ258" i="1" l="1"/>
  <c r="AJ256" i="1" s="1"/>
  <c r="AJ244" i="1"/>
  <c r="AJ246" i="1" s="1"/>
  <c r="AJ94" i="1"/>
  <c r="D94" i="1"/>
  <c r="D244" i="1"/>
  <c r="D246" i="1" s="1"/>
  <c r="AK94" i="1"/>
  <c r="AK244" i="1"/>
  <c r="AK246" i="1" s="1"/>
  <c r="AK161" i="1"/>
  <c r="AK162" i="1" s="1"/>
  <c r="R85" i="1"/>
  <c r="U85" i="1"/>
  <c r="O85" i="1"/>
  <c r="AB74" i="1"/>
  <c r="B83" i="1"/>
  <c r="B82" i="1"/>
  <c r="C83" i="1"/>
  <c r="C82" i="1"/>
  <c r="E83" i="1"/>
  <c r="E90" i="1" s="1"/>
  <c r="E82" i="1"/>
  <c r="P85" i="1"/>
  <c r="H85" i="1"/>
  <c r="Q85" i="1"/>
  <c r="CP245" i="1"/>
  <c r="CP174" i="1"/>
  <c r="CO254" i="1"/>
  <c r="CO252" i="1" s="1"/>
  <c r="CA1" i="1"/>
  <c r="CB1" i="1" s="1"/>
  <c r="O82" i="1"/>
  <c r="BL285" i="1"/>
  <c r="S83" i="1"/>
  <c r="U84" i="1"/>
  <c r="U296" i="1" s="1"/>
  <c r="P84" i="1"/>
  <c r="P296" i="1" s="1"/>
  <c r="Q90" i="1"/>
  <c r="Q84" i="1"/>
  <c r="Q296" i="1" s="1"/>
  <c r="L83" i="1"/>
  <c r="P82" i="1"/>
  <c r="H84" i="1"/>
  <c r="H296" i="1" s="1"/>
  <c r="G84" i="1"/>
  <c r="G296" i="1" s="1"/>
  <c r="U90" i="1"/>
  <c r="N84" i="1"/>
  <c r="N296" i="1" s="1"/>
  <c r="R84" i="1"/>
  <c r="R296" i="1" s="1"/>
  <c r="K84" i="1"/>
  <c r="K296" i="1" s="1"/>
  <c r="O90" i="1"/>
  <c r="O84" i="1"/>
  <c r="O296" i="1" s="1"/>
  <c r="T90" i="1"/>
  <c r="T84" i="1"/>
  <c r="T296" i="1" s="1"/>
  <c r="R82" i="1"/>
  <c r="K82" i="1"/>
  <c r="N82" i="1"/>
  <c r="G82" i="1"/>
  <c r="H82" i="1"/>
  <c r="J83" i="1"/>
  <c r="K85" i="1" s="1"/>
  <c r="M83" i="1"/>
  <c r="N85" i="1" s="1"/>
  <c r="T82" i="1"/>
  <c r="F83" i="1"/>
  <c r="G85" i="1" s="1"/>
  <c r="I83" i="1"/>
  <c r="I85" i="1" s="1"/>
  <c r="O285" i="1"/>
  <c r="Q82" i="1"/>
  <c r="P285" i="1"/>
  <c r="P90" i="1"/>
  <c r="K285" i="1"/>
  <c r="K90" i="1"/>
  <c r="H285" i="1"/>
  <c r="H90" i="1"/>
  <c r="R90" i="1"/>
  <c r="N90" i="1"/>
  <c r="G90" i="1"/>
  <c r="G285" i="1"/>
  <c r="R285" i="1"/>
  <c r="N285" i="1"/>
  <c r="Q285" i="1"/>
  <c r="U285" i="1"/>
  <c r="T285" i="1"/>
  <c r="V94" i="1"/>
  <c r="V244" i="1"/>
  <c r="V246" i="1" s="1"/>
  <c r="AK258" i="1" l="1"/>
  <c r="AK256" i="1" s="1"/>
  <c r="AL258" i="1"/>
  <c r="AL256" i="1" s="1"/>
  <c r="AK171" i="1"/>
  <c r="E285" i="1"/>
  <c r="AB245" i="1"/>
  <c r="E84" i="1"/>
  <c r="E296" i="1" s="1"/>
  <c r="E85" i="1"/>
  <c r="D85" i="1"/>
  <c r="C84" i="1"/>
  <c r="B84" i="1"/>
  <c r="C85" i="1"/>
  <c r="F85" i="1"/>
  <c r="M85" i="1"/>
  <c r="S84" i="1"/>
  <c r="S296" i="1" s="1"/>
  <c r="T85" i="1"/>
  <c r="L85" i="1"/>
  <c r="J85" i="1"/>
  <c r="S85" i="1"/>
  <c r="AB174" i="1"/>
  <c r="AB176" i="1" s="1"/>
  <c r="AB75" i="1" s="1"/>
  <c r="CP176" i="1"/>
  <c r="CC1" i="1"/>
  <c r="K94" i="1"/>
  <c r="G94" i="1"/>
  <c r="E94" i="1"/>
  <c r="S90" i="1"/>
  <c r="S285" i="1"/>
  <c r="L285" i="1"/>
  <c r="L90" i="1"/>
  <c r="O244" i="1"/>
  <c r="O246" i="1" s="1"/>
  <c r="O94" i="1"/>
  <c r="B285" i="1"/>
  <c r="B90" i="1"/>
  <c r="M90" i="1"/>
  <c r="M84" i="1"/>
  <c r="M296" i="1" s="1"/>
  <c r="C285" i="1"/>
  <c r="I90" i="1"/>
  <c r="I84" i="1"/>
  <c r="I296" i="1" s="1"/>
  <c r="J90" i="1"/>
  <c r="J84" i="1"/>
  <c r="J296" i="1" s="1"/>
  <c r="F90" i="1"/>
  <c r="F84" i="1"/>
  <c r="F296" i="1" s="1"/>
  <c r="L84" i="1"/>
  <c r="L296" i="1" s="1"/>
  <c r="J285" i="1"/>
  <c r="E244" i="1"/>
  <c r="E246" i="1" s="1"/>
  <c r="R244" i="1"/>
  <c r="R246" i="1" s="1"/>
  <c r="M285" i="1"/>
  <c r="R94" i="1"/>
  <c r="I285" i="1"/>
  <c r="H94" i="1"/>
  <c r="H244" i="1"/>
  <c r="H246" i="1" s="1"/>
  <c r="F285" i="1"/>
  <c r="C90" i="1"/>
  <c r="N244" i="1"/>
  <c r="N246" i="1" s="1"/>
  <c r="N94" i="1"/>
  <c r="G244" i="1"/>
  <c r="G246" i="1" s="1"/>
  <c r="P94" i="1"/>
  <c r="K244" i="1"/>
  <c r="K246" i="1" s="1"/>
  <c r="P244" i="1"/>
  <c r="P246" i="1" s="1"/>
  <c r="U94" i="1"/>
  <c r="U244" i="1"/>
  <c r="U246" i="1" s="1"/>
  <c r="Q94" i="1"/>
  <c r="Q244" i="1"/>
  <c r="Q246" i="1" s="1"/>
  <c r="T94" i="1"/>
  <c r="T244" i="1"/>
  <c r="T246" i="1" s="1"/>
  <c r="CP180" i="1" l="1"/>
  <c r="CP254" i="1" s="1"/>
  <c r="CP252" i="1" s="1"/>
  <c r="CQ74" i="1"/>
  <c r="CD1" i="1"/>
  <c r="CE1" i="1" s="1"/>
  <c r="CF1" i="1" s="1"/>
  <c r="CG1" i="1" s="1"/>
  <c r="CH1" i="1" s="1"/>
  <c r="CI1" i="1" s="1"/>
  <c r="CJ1" i="1" s="1"/>
  <c r="CK1" i="1" s="1"/>
  <c r="CL1" i="1" s="1"/>
  <c r="L244" i="1"/>
  <c r="L246" i="1" s="1"/>
  <c r="J244" i="1"/>
  <c r="J246" i="1" s="1"/>
  <c r="M244" i="1"/>
  <c r="M246" i="1" s="1"/>
  <c r="B94" i="1"/>
  <c r="F94" i="1"/>
  <c r="I94" i="1"/>
  <c r="C94" i="1"/>
  <c r="L94" i="1"/>
  <c r="S94" i="1"/>
  <c r="J94" i="1"/>
  <c r="S244" i="1"/>
  <c r="S246" i="1" s="1"/>
  <c r="M94" i="1"/>
  <c r="I244" i="1"/>
  <c r="I246" i="1" s="1"/>
  <c r="F244" i="1"/>
  <c r="F246" i="1" s="1"/>
  <c r="C244" i="1"/>
  <c r="C246" i="1" s="1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F88" i="2"/>
  <c r="AB88" i="3"/>
  <c r="AB80" i="3"/>
  <c r="AB93" i="3"/>
  <c r="AP65" i="3"/>
  <c r="AP81" i="3"/>
  <c r="AP85" i="3"/>
  <c r="AP77" i="3"/>
  <c r="AP73" i="3"/>
  <c r="S7" i="3"/>
  <c r="O22" i="3"/>
  <c r="AC18" i="3"/>
  <c r="AK5" i="3"/>
  <c r="AM32" i="3"/>
  <c r="J41" i="3"/>
  <c r="Y4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R9" i="3"/>
  <c r="Y23" i="3"/>
  <c r="I30" i="3"/>
  <c r="AO17" i="3"/>
  <c r="AM37" i="3"/>
  <c r="J13" i="3"/>
  <c r="AE23" i="3"/>
  <c r="H16" i="3"/>
  <c r="AL17" i="3"/>
  <c r="AD26" i="3"/>
  <c r="AL6" i="3"/>
  <c r="AK14" i="3"/>
  <c r="AK33" i="3"/>
  <c r="AH19" i="3"/>
  <c r="W38" i="3"/>
  <c r="S6" i="3"/>
  <c r="U10" i="3"/>
  <c r="G33" i="3"/>
  <c r="AG5" i="3"/>
  <c r="K30" i="3"/>
  <c r="Q21" i="3"/>
  <c r="K14" i="3"/>
  <c r="Q42" i="3"/>
  <c r="K39" i="3"/>
  <c r="Y9" i="3"/>
  <c r="R22" i="3"/>
  <c r="X39" i="3"/>
  <c r="AK8" i="3"/>
  <c r="R8" i="3"/>
  <c r="AG24" i="3"/>
  <c r="V42" i="3"/>
  <c r="AJ37" i="3"/>
  <c r="C36" i="3"/>
  <c r="AN36" i="3"/>
  <c r="R19" i="3"/>
  <c r="AA28" i="3"/>
  <c r="S10" i="3"/>
  <c r="AC34" i="3"/>
  <c r="K37" i="3"/>
  <c r="AC41" i="3"/>
  <c r="AL19" i="3"/>
  <c r="AO36" i="3"/>
  <c r="Q18" i="3"/>
  <c r="J10" i="3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T49" i="2"/>
  <c r="D94" i="2"/>
  <c r="G78" i="2"/>
  <c r="W79" i="2"/>
  <c r="I58" i="2"/>
  <c r="U108" i="2"/>
  <c r="N98" i="2"/>
  <c r="G51" i="2"/>
  <c r="N61" i="2"/>
  <c r="M108" i="2"/>
  <c r="X85" i="2"/>
  <c r="X84" i="2"/>
  <c r="L78" i="2"/>
  <c r="C63" i="2"/>
  <c r="AP56" i="3"/>
  <c r="AP86" i="3"/>
  <c r="AB90" i="3"/>
  <c r="AP57" i="3"/>
  <c r="AP62" i="3"/>
  <c r="AP80" i="3"/>
  <c r="AP89" i="3"/>
  <c r="AB85" i="3"/>
  <c r="Z30" i="3"/>
  <c r="AL33" i="3"/>
  <c r="O39" i="3"/>
  <c r="N26" i="3"/>
  <c r="J16" i="3"/>
  <c r="T25" i="3"/>
  <c r="R24" i="3"/>
  <c r="O21" i="3"/>
  <c r="AO15" i="3"/>
  <c r="Z8" i="3"/>
  <c r="O28" i="3"/>
  <c r="AI41" i="3"/>
  <c r="O37" i="3"/>
  <c r="P41" i="3"/>
  <c r="L11" i="3"/>
  <c r="S32" i="3"/>
  <c r="W18" i="3"/>
  <c r="AP13" i="3"/>
  <c r="AE14" i="3"/>
  <c r="I8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Y31" i="3"/>
  <c r="AN17" i="3"/>
  <c r="P21" i="3"/>
  <c r="V38" i="3"/>
  <c r="I29" i="3"/>
  <c r="AH10" i="3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J44" i="2"/>
  <c r="E91" i="2"/>
  <c r="N106" i="2"/>
  <c r="N69" i="2"/>
  <c r="M79" i="2"/>
  <c r="N113" i="2"/>
  <c r="I45" i="2"/>
  <c r="X48" i="2"/>
  <c r="R71" i="2"/>
  <c r="F56" i="2"/>
  <c r="H67" i="2"/>
  <c r="F58" i="2"/>
  <c r="H68" i="2"/>
  <c r="M51" i="2"/>
  <c r="K78" i="2"/>
  <c r="Q98" i="2"/>
  <c r="V77" i="2"/>
  <c r="T109" i="2"/>
  <c r="J51" i="2"/>
  <c r="S65" i="2"/>
  <c r="S90" i="2"/>
  <c r="D68" i="2"/>
  <c r="R104" i="2"/>
  <c r="E112" i="2"/>
  <c r="T105" i="2"/>
  <c r="M67" i="2"/>
  <c r="G76" i="2"/>
  <c r="O66" i="2"/>
  <c r="G62" i="2"/>
  <c r="O50" i="2"/>
  <c r="J67" i="2"/>
  <c r="U65" i="2"/>
  <c r="I73" i="2"/>
  <c r="T63" i="2"/>
  <c r="L40" i="2"/>
  <c r="X45" i="2"/>
  <c r="AB65" i="3"/>
  <c r="AB58" i="3"/>
  <c r="AB55" i="3"/>
  <c r="AB92" i="3"/>
  <c r="AP79" i="3"/>
  <c r="AB62" i="3"/>
  <c r="AB56" i="3"/>
  <c r="AB69" i="3"/>
  <c r="AB84" i="3"/>
  <c r="W5" i="3"/>
  <c r="J36" i="3"/>
  <c r="AN33" i="3"/>
  <c r="AM16" i="3"/>
  <c r="AQ39" i="3"/>
  <c r="AO39" i="3"/>
  <c r="Z10" i="3"/>
  <c r="V8" i="3"/>
  <c r="L25" i="3"/>
  <c r="AK21" i="3"/>
  <c r="AB20" i="3"/>
  <c r="AE9" i="3"/>
  <c r="M29" i="3"/>
  <c r="AD28" i="3"/>
  <c r="S33" i="3"/>
  <c r="K29" i="3"/>
  <c r="N34" i="3"/>
  <c r="AQ18" i="3"/>
  <c r="Q31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AH11" i="3"/>
  <c r="AA6" i="3"/>
  <c r="AE19" i="3"/>
  <c r="R6" i="3"/>
  <c r="AM9" i="3"/>
  <c r="Q38" i="3"/>
  <c r="AL16" i="3"/>
  <c r="AI34" i="3"/>
  <c r="H42" i="3"/>
  <c r="C33" i="3"/>
  <c r="AI31" i="3"/>
  <c r="N32" i="3"/>
  <c r="AJ36" i="3"/>
  <c r="C8" i="3"/>
  <c r="C24" i="3"/>
  <c r="AC17" i="3"/>
  <c r="AM24" i="3"/>
  <c r="AA32" i="3"/>
  <c r="I40" i="3"/>
  <c r="AN19" i="3"/>
  <c r="AQ22" i="3"/>
  <c r="T11" i="3"/>
  <c r="AP17" i="3"/>
  <c r="I18" i="3"/>
  <c r="N30" i="3"/>
  <c r="AN29" i="3"/>
  <c r="K6" i="3"/>
  <c r="X22" i="3"/>
  <c r="AL7" i="3"/>
  <c r="AG34" i="3"/>
  <c r="AD21" i="3"/>
  <c r="AD40" i="3"/>
  <c r="K10" i="3"/>
  <c r="AO9" i="3"/>
  <c r="M8" i="3"/>
  <c r="U25" i="3"/>
  <c r="U9" i="3"/>
  <c r="U14" i="3"/>
  <c r="P15" i="3"/>
  <c r="AO12" i="3"/>
  <c r="Q30" i="3"/>
  <c r="L17" i="3"/>
  <c r="Z21" i="3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I110" i="2"/>
  <c r="O67" i="2"/>
  <c r="I69" i="2"/>
  <c r="X104" i="2"/>
  <c r="G94" i="2"/>
  <c r="W104" i="2"/>
  <c r="G86" i="2"/>
  <c r="T58" i="2"/>
  <c r="G64" i="2"/>
  <c r="E48" i="2"/>
  <c r="P77" i="2"/>
  <c r="X112" i="2"/>
  <c r="L67" i="2"/>
  <c r="X81" i="2"/>
  <c r="P45" i="2"/>
  <c r="S64" i="2"/>
  <c r="K111" i="2"/>
  <c r="M59" i="2"/>
  <c r="F93" i="2"/>
  <c r="AB83" i="3"/>
  <c r="AB73" i="3"/>
  <c r="AB48" i="3"/>
  <c r="AP55" i="3"/>
  <c r="AP63" i="3"/>
  <c r="AP82" i="3"/>
  <c r="AP76" i="3"/>
  <c r="AB64" i="3"/>
  <c r="AB95" i="3"/>
  <c r="P32" i="3"/>
  <c r="C37" i="3"/>
  <c r="AH23" i="3"/>
  <c r="G36" i="3"/>
  <c r="AP10" i="3"/>
  <c r="AL41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W39" i="3"/>
  <c r="M14" i="3"/>
  <c r="J22" i="3"/>
  <c r="AJ9" i="3"/>
  <c r="V37" i="3"/>
  <c r="AK16" i="3"/>
  <c r="U17" i="3"/>
  <c r="X23" i="3"/>
  <c r="AI26" i="3"/>
  <c r="V19" i="3"/>
  <c r="AJ6" i="3"/>
  <c r="N41" i="3"/>
  <c r="AO40" i="3"/>
  <c r="H22" i="3"/>
  <c r="AO27" i="3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J40" i="2"/>
  <c r="H71" i="2"/>
  <c r="L98" i="2"/>
  <c r="G88" i="2"/>
  <c r="O60" i="2"/>
  <c r="X76" i="2"/>
  <c r="U89" i="2"/>
  <c r="R72" i="2"/>
  <c r="H69" i="2"/>
  <c r="O55" i="2"/>
  <c r="M72" i="2"/>
  <c r="C52" i="2"/>
  <c r="D60" i="2"/>
  <c r="L64" i="2"/>
  <c r="U106" i="2"/>
  <c r="Q42" i="2"/>
  <c r="J48" i="2"/>
  <c r="P93" i="2"/>
  <c r="C104" i="2"/>
  <c r="K112" i="2"/>
  <c r="I81" i="2"/>
  <c r="W45" i="2"/>
  <c r="D67" i="2"/>
  <c r="C78" i="2"/>
  <c r="H63" i="2"/>
  <c r="U43" i="2"/>
  <c r="F77" i="2"/>
  <c r="G67" i="2"/>
  <c r="H88" i="2"/>
  <c r="T74" i="2"/>
  <c r="X78" i="2"/>
  <c r="D41" i="2"/>
  <c r="N67" i="2"/>
  <c r="G55" i="2"/>
  <c r="I40" i="2"/>
  <c r="H97" i="2"/>
  <c r="S66" i="2"/>
  <c r="K63" i="2"/>
  <c r="E77" i="2"/>
  <c r="O109" i="2"/>
  <c r="O47" i="2"/>
  <c r="G83" i="2"/>
  <c r="V79" i="2"/>
  <c r="AP68" i="3"/>
  <c r="AP96" i="3"/>
  <c r="AB77" i="3"/>
  <c r="AP59" i="3"/>
  <c r="AB96" i="3"/>
  <c r="AP87" i="3"/>
  <c r="AB49" i="3"/>
  <c r="AP67" i="3"/>
  <c r="AB74" i="3"/>
  <c r="I22" i="3"/>
  <c r="L19" i="3"/>
  <c r="H41" i="3"/>
  <c r="AJ31" i="3"/>
  <c r="Q34" i="3"/>
  <c r="R25" i="3"/>
  <c r="Z6" i="3"/>
  <c r="AJ22" i="3"/>
  <c r="P5" i="3"/>
  <c r="V24" i="3"/>
  <c r="W33" i="3"/>
  <c r="AA25" i="3"/>
  <c r="U15" i="3"/>
  <c r="N19" i="3"/>
  <c r="U19" i="3"/>
  <c r="AA8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W35" i="3"/>
  <c r="L39" i="3"/>
  <c r="T12" i="3"/>
  <c r="AC5" i="3"/>
  <c r="AJ13" i="3"/>
  <c r="Z29" i="3"/>
  <c r="H10" i="3"/>
  <c r="R33" i="3"/>
  <c r="I6" i="3"/>
  <c r="AO16" i="3"/>
  <c r="M12" i="3"/>
  <c r="Z7" i="3"/>
  <c r="N9" i="3"/>
  <c r="AH28" i="3"/>
  <c r="AH25" i="3"/>
  <c r="AQ15" i="3"/>
  <c r="Z38" i="3"/>
  <c r="P31" i="3"/>
  <c r="Q15" i="3"/>
  <c r="L15" i="3"/>
  <c r="R13" i="3"/>
  <c r="I12" i="3"/>
  <c r="Q12" i="3"/>
  <c r="X17" i="3"/>
  <c r="AL28" i="3"/>
  <c r="Y29" i="3"/>
  <c r="AM31" i="3"/>
  <c r="AN11" i="3"/>
  <c r="AA22" i="3"/>
  <c r="AH38" i="3"/>
  <c r="K12" i="3"/>
  <c r="V21" i="3"/>
  <c r="K27" i="3"/>
  <c r="AC32" i="3"/>
  <c r="T18" i="3"/>
  <c r="AI40" i="3"/>
  <c r="AC11" i="3"/>
  <c r="N23" i="3"/>
  <c r="O40" i="3"/>
  <c r="S15" i="3"/>
  <c r="AO19" i="3"/>
  <c r="AJ40" i="3"/>
  <c r="G47" i="3"/>
  <c r="AJ27" i="3"/>
  <c r="I17" i="3"/>
  <c r="AG40" i="3"/>
  <c r="AN15" i="3"/>
  <c r="L21" i="3"/>
  <c r="N27" i="3"/>
  <c r="Y41" i="3"/>
  <c r="K8" i="3"/>
  <c r="AQ7" i="3"/>
  <c r="AO5" i="3"/>
  <c r="M40" i="3"/>
  <c r="V20" i="3"/>
  <c r="J19" i="3"/>
  <c r="S37" i="3"/>
  <c r="T31" i="3"/>
  <c r="L35" i="3"/>
  <c r="AO8" i="3"/>
  <c r="L41" i="3"/>
  <c r="AC24" i="3"/>
  <c r="AO26" i="3"/>
  <c r="K16" i="3"/>
  <c r="V23" i="3"/>
  <c r="AB35" i="3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K71" i="2"/>
  <c r="N91" i="2"/>
  <c r="I55" i="2"/>
  <c r="S113" i="2"/>
  <c r="S47" i="2"/>
  <c r="R43" i="2"/>
  <c r="S59" i="2"/>
  <c r="T96" i="2"/>
  <c r="H106" i="2"/>
  <c r="Q60" i="2"/>
  <c r="D40" i="2"/>
  <c r="R45" i="2"/>
  <c r="T52" i="2"/>
  <c r="N110" i="2"/>
  <c r="V97" i="2"/>
  <c r="J90" i="2"/>
  <c r="S111" i="2"/>
  <c r="K83" i="2"/>
  <c r="C66" i="2"/>
  <c r="C51" i="2"/>
  <c r="J95" i="2"/>
  <c r="H77" i="2"/>
  <c r="V45" i="2"/>
  <c r="S54" i="2"/>
  <c r="G60" i="2"/>
  <c r="C56" i="2"/>
  <c r="N92" i="2"/>
  <c r="O108" i="2"/>
  <c r="F69" i="2"/>
  <c r="N77" i="2"/>
  <c r="AB61" i="3"/>
  <c r="AP75" i="3"/>
  <c r="AP97" i="3"/>
  <c r="AP71" i="3"/>
  <c r="AB71" i="3"/>
  <c r="AP94" i="3"/>
  <c r="AB97" i="3"/>
  <c r="AB91" i="3"/>
  <c r="H20" i="3"/>
  <c r="K13" i="3"/>
  <c r="N24" i="3"/>
  <c r="Y22" i="3"/>
  <c r="AK31" i="3"/>
  <c r="AH31" i="3"/>
  <c r="S31" i="3"/>
  <c r="N15" i="3"/>
  <c r="P34" i="3"/>
  <c r="AD37" i="3"/>
  <c r="AK12" i="3"/>
  <c r="H38" i="3"/>
  <c r="Z15" i="3"/>
  <c r="O38" i="3"/>
  <c r="AQ38" i="3"/>
  <c r="Q16" i="3"/>
  <c r="AM22" i="3"/>
  <c r="T32" i="3"/>
  <c r="L33" i="3"/>
  <c r="AJ33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L26" i="3"/>
  <c r="H35" i="3"/>
  <c r="AI19" i="3"/>
  <c r="AB6" i="3"/>
  <c r="W36" i="3"/>
  <c r="AM20" i="3"/>
  <c r="I35" i="3"/>
  <c r="AQ33" i="3"/>
  <c r="J21" i="3"/>
  <c r="W31" i="3"/>
  <c r="AO29" i="3"/>
  <c r="AC14" i="3"/>
  <c r="AG36" i="3"/>
  <c r="S23" i="3"/>
  <c r="P19" i="3"/>
  <c r="M5" i="3"/>
  <c r="J29" i="3"/>
  <c r="AH34" i="3"/>
  <c r="S19" i="3"/>
  <c r="Q28" i="3"/>
  <c r="V32" i="3"/>
  <c r="AA14" i="3"/>
  <c r="O10" i="3"/>
  <c r="AN40" i="3"/>
  <c r="G38" i="3"/>
  <c r="U39" i="3"/>
  <c r="I33" i="3"/>
  <c r="U35" i="3"/>
  <c r="AB7" i="3"/>
  <c r="I20" i="3"/>
  <c r="AN10" i="3"/>
  <c r="U27" i="3"/>
  <c r="X33" i="3"/>
  <c r="AL18" i="3"/>
  <c r="N38" i="3"/>
  <c r="U29" i="3"/>
  <c r="AK6" i="3"/>
  <c r="M28" i="3"/>
  <c r="AM28" i="3"/>
  <c r="AK32" i="3"/>
  <c r="J33" i="3"/>
  <c r="AI7" i="3"/>
  <c r="AK38" i="3"/>
  <c r="T39" i="3"/>
  <c r="AJ10" i="3"/>
  <c r="H31" i="3"/>
  <c r="AI29" i="3"/>
  <c r="AE16" i="3"/>
  <c r="M24" i="3"/>
  <c r="N33" i="3"/>
  <c r="S25" i="3"/>
  <c r="U42" i="3"/>
  <c r="AB17" i="3"/>
  <c r="H29" i="3"/>
  <c r="AN41" i="3"/>
  <c r="X18" i="3"/>
  <c r="AB31" i="3"/>
  <c r="S28" i="3"/>
  <c r="X20" i="3"/>
  <c r="AD49" i="3"/>
  <c r="AL11" i="3"/>
  <c r="AK15" i="3"/>
  <c r="AO13" i="3"/>
  <c r="AP39" i="3"/>
  <c r="J9" i="3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L60" i="2"/>
  <c r="N43" i="2"/>
  <c r="D71" i="2"/>
  <c r="F112" i="2"/>
  <c r="F61" i="2"/>
  <c r="J87" i="2"/>
  <c r="M81" i="2"/>
  <c r="V47" i="2"/>
  <c r="J97" i="2"/>
  <c r="I42" i="2"/>
  <c r="L80" i="2"/>
  <c r="E88" i="2"/>
  <c r="W53" i="2"/>
  <c r="C93" i="2"/>
  <c r="V81" i="2"/>
  <c r="M109" i="2"/>
  <c r="G56" i="2"/>
  <c r="H42" i="2"/>
  <c r="O79" i="2"/>
  <c r="R73" i="2"/>
  <c r="G49" i="2"/>
  <c r="J49" i="2"/>
  <c r="Q72" i="2"/>
  <c r="T86" i="2"/>
  <c r="I51" i="2"/>
  <c r="V68" i="2"/>
  <c r="O91" i="2"/>
  <c r="M56" i="2"/>
  <c r="D75" i="2"/>
  <c r="H90" i="2"/>
  <c r="I88" i="2"/>
  <c r="T62" i="2"/>
  <c r="T57" i="2"/>
  <c r="K77" i="2"/>
  <c r="U85" i="2"/>
  <c r="R40" i="2"/>
  <c r="W52" i="2"/>
  <c r="X109" i="2"/>
  <c r="Q47" i="2"/>
  <c r="O61" i="2"/>
  <c r="T110" i="2"/>
  <c r="F97" i="2"/>
  <c r="M47" i="2"/>
  <c r="U113" i="2"/>
  <c r="AB81" i="3"/>
  <c r="AB57" i="3"/>
  <c r="AB72" i="3"/>
  <c r="AP78" i="3"/>
  <c r="AP91" i="3"/>
  <c r="AB87" i="3"/>
  <c r="C49" i="3"/>
  <c r="AB66" i="3"/>
  <c r="T23" i="3"/>
  <c r="AI6" i="3"/>
  <c r="M35" i="3"/>
  <c r="C23" i="3"/>
  <c r="M17" i="3"/>
  <c r="X30" i="3"/>
  <c r="AD50" i="3"/>
  <c r="X31" i="3"/>
  <c r="W22" i="3"/>
  <c r="AD24" i="3"/>
  <c r="AI24" i="3"/>
  <c r="G41" i="3"/>
  <c r="X27" i="3"/>
  <c r="G42" i="3"/>
  <c r="R35" i="3"/>
  <c r="AH17" i="3"/>
  <c r="V31" i="3"/>
  <c r="P30" i="3"/>
  <c r="Y13" i="3"/>
  <c r="AJ24" i="3"/>
  <c r="AA30" i="3"/>
  <c r="AG37" i="3"/>
  <c r="AC22" i="3"/>
  <c r="AP23" i="3"/>
  <c r="M23" i="3"/>
  <c r="AH22" i="3"/>
  <c r="AJ30" i="3"/>
  <c r="AE7" i="3"/>
  <c r="G35" i="3"/>
  <c r="X16" i="3"/>
  <c r="AH37" i="3"/>
  <c r="M25" i="3"/>
  <c r="AO14" i="3"/>
  <c r="P27" i="3"/>
  <c r="J18" i="3"/>
  <c r="S9" i="3"/>
  <c r="T41" i="3"/>
  <c r="AG26" i="3"/>
  <c r="AB10" i="3"/>
  <c r="AP9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P11" i="3"/>
  <c r="R39" i="3"/>
  <c r="AC26" i="3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E42" i="2"/>
  <c r="AB89" i="3"/>
  <c r="C48" i="3"/>
  <c r="AP88" i="3"/>
  <c r="AP61" i="3"/>
  <c r="AB63" i="3"/>
  <c r="AP95" i="3"/>
  <c r="AB67" i="3"/>
  <c r="AB76" i="3"/>
  <c r="AM33" i="3"/>
  <c r="H17" i="3"/>
  <c r="Z19" i="3"/>
  <c r="P39" i="3"/>
  <c r="AO33" i="3"/>
  <c r="I38" i="3"/>
  <c r="S16" i="3"/>
  <c r="AG42" i="3"/>
  <c r="P10" i="3"/>
  <c r="I23" i="3"/>
  <c r="AE24" i="3"/>
  <c r="K38" i="3"/>
  <c r="AB41" i="3"/>
  <c r="H14" i="3"/>
  <c r="AI11" i="3"/>
  <c r="AA12" i="3"/>
  <c r="N39" i="3"/>
  <c r="S35" i="3"/>
  <c r="K36" i="3"/>
  <c r="X28" i="3"/>
  <c r="W19" i="3"/>
  <c r="N5" i="3"/>
  <c r="U41" i="3"/>
  <c r="Y39" i="3"/>
  <c r="AB22" i="3"/>
  <c r="Z12" i="3"/>
  <c r="AA36" i="3"/>
  <c r="V9" i="3"/>
  <c r="C22" i="3"/>
  <c r="C32" i="3"/>
  <c r="M22" i="3"/>
  <c r="AN27" i="3"/>
  <c r="AI10" i="3"/>
  <c r="Q29" i="3"/>
  <c r="V33" i="3"/>
  <c r="AO24" i="3"/>
  <c r="AP26" i="3"/>
  <c r="AK11" i="3"/>
  <c r="AN6" i="3"/>
  <c r="O20" i="3"/>
  <c r="AO32" i="3"/>
  <c r="AO34" i="3"/>
  <c r="M7" i="3"/>
  <c r="R26" i="3"/>
  <c r="AQ19" i="3"/>
  <c r="G50" i="3"/>
  <c r="AG23" i="3"/>
  <c r="AB24" i="3"/>
  <c r="H25" i="3"/>
  <c r="T10" i="3"/>
  <c r="K15" i="3"/>
  <c r="AB29" i="3"/>
  <c r="AN24" i="3"/>
  <c r="AB13" i="3"/>
  <c r="AC16" i="3"/>
  <c r="AP22" i="3"/>
  <c r="M30" i="3"/>
  <c r="AD48" i="3"/>
  <c r="Z36" i="3"/>
  <c r="AJ32" i="3"/>
  <c r="Y36" i="3"/>
  <c r="R37" i="3"/>
  <c r="L27" i="3"/>
  <c r="O26" i="3"/>
  <c r="Z23" i="3"/>
  <c r="AB27" i="3"/>
  <c r="Y33" i="3"/>
  <c r="AD30" i="3"/>
  <c r="J20" i="3"/>
  <c r="H23" i="3"/>
  <c r="AN38" i="3"/>
  <c r="AL29" i="3"/>
  <c r="L42" i="3"/>
  <c r="AD36" i="3"/>
  <c r="J5" i="3"/>
  <c r="AL26" i="3"/>
  <c r="C20" i="3"/>
  <c r="O32" i="3"/>
  <c r="T37" i="3"/>
  <c r="T45" i="2"/>
  <c r="M48" i="2"/>
  <c r="E46" i="2"/>
  <c r="E84" i="2"/>
  <c r="T88" i="2"/>
  <c r="T84" i="2"/>
  <c r="M110" i="2"/>
  <c r="K76" i="2"/>
  <c r="R95" i="2"/>
  <c r="D50" i="2"/>
  <c r="J65" i="2"/>
  <c r="S86" i="2"/>
  <c r="J80" i="2"/>
  <c r="C71" i="2"/>
  <c r="J47" i="2"/>
  <c r="H70" i="2"/>
  <c r="M99" i="2"/>
  <c r="S108" i="2"/>
  <c r="E67" i="2"/>
  <c r="X113" i="2"/>
  <c r="E99" i="2"/>
  <c r="F68" i="2"/>
  <c r="W66" i="2"/>
  <c r="U83" i="2"/>
  <c r="Q94" i="2"/>
  <c r="X89" i="2"/>
  <c r="K84" i="2"/>
  <c r="U77" i="2"/>
  <c r="I43" i="2"/>
  <c r="O65" i="2"/>
  <c r="J69" i="2"/>
  <c r="U59" i="2"/>
  <c r="N79" i="2"/>
  <c r="X111" i="2"/>
  <c r="E113" i="2"/>
  <c r="E97" i="2"/>
  <c r="I75" i="2"/>
  <c r="E87" i="2"/>
  <c r="N70" i="2"/>
  <c r="E78" i="2"/>
  <c r="U40" i="2"/>
  <c r="AB68" i="3"/>
  <c r="C47" i="3"/>
  <c r="AB86" i="3"/>
  <c r="AG39" i="3"/>
  <c r="T17" i="3"/>
  <c r="AH21" i="3"/>
  <c r="S36" i="3"/>
  <c r="AA9" i="3"/>
  <c r="M11" i="3"/>
  <c r="O5" i="3"/>
  <c r="I39" i="3"/>
  <c r="Z35" i="3"/>
  <c r="AN35" i="3"/>
  <c r="Q26" i="3"/>
  <c r="V34" i="3"/>
  <c r="J27" i="3"/>
  <c r="AK9" i="3"/>
  <c r="AG21" i="3"/>
  <c r="R14" i="3"/>
  <c r="AC9" i="3"/>
  <c r="U33" i="3"/>
  <c r="AG18" i="3"/>
  <c r="AE6" i="3"/>
  <c r="R38" i="3"/>
  <c r="N42" i="3"/>
  <c r="AE28" i="3"/>
  <c r="P24" i="3"/>
  <c r="AI18" i="3"/>
  <c r="AD25" i="3"/>
  <c r="AN28" i="3"/>
  <c r="AI35" i="3"/>
  <c r="AE37" i="3"/>
  <c r="W23" i="3"/>
  <c r="U18" i="3"/>
  <c r="R34" i="3"/>
  <c r="AQ25" i="3"/>
  <c r="AA29" i="3"/>
  <c r="K31" i="3"/>
  <c r="AC30" i="3"/>
  <c r="AC35" i="3"/>
  <c r="AG16" i="3"/>
  <c r="AQ10" i="3"/>
  <c r="N37" i="3"/>
  <c r="AD22" i="3"/>
  <c r="AQ34" i="3"/>
  <c r="AQ16" i="3"/>
  <c r="M16" i="3"/>
  <c r="U8" i="3"/>
  <c r="Q32" i="3"/>
  <c r="AA38" i="3"/>
  <c r="AD29" i="3"/>
  <c r="AI14" i="3"/>
  <c r="AM42" i="3"/>
  <c r="J31" i="3"/>
  <c r="C26" i="3"/>
  <c r="AA19" i="3"/>
  <c r="Q7" i="3"/>
  <c r="Y14" i="3"/>
  <c r="U5" i="3"/>
  <c r="Z5" i="3"/>
  <c r="AN39" i="3"/>
  <c r="V35" i="3"/>
  <c r="AC40" i="3"/>
  <c r="K32" i="3"/>
  <c r="AB9" i="3"/>
  <c r="X19" i="3"/>
  <c r="Q17" i="3"/>
  <c r="AB15" i="3"/>
  <c r="AA37" i="3"/>
  <c r="AG11" i="3"/>
  <c r="N28" i="3"/>
  <c r="J23" i="3"/>
  <c r="T7" i="3"/>
  <c r="AM35" i="3"/>
  <c r="AI8" i="3"/>
  <c r="AL24" i="3"/>
  <c r="AK23" i="3"/>
  <c r="AK25" i="3"/>
  <c r="AH12" i="3"/>
  <c r="AG35" i="3"/>
  <c r="X6" i="3"/>
  <c r="G70" i="2"/>
  <c r="AG7" i="3"/>
  <c r="AN23" i="3"/>
  <c r="AM13" i="3"/>
  <c r="V25" i="3"/>
  <c r="U28" i="3"/>
  <c r="AA13" i="3"/>
  <c r="AJ18" i="3"/>
  <c r="AH26" i="3"/>
  <c r="N6" i="3"/>
  <c r="C29" i="3"/>
  <c r="V26" i="3"/>
  <c r="O14" i="3"/>
  <c r="X8" i="3"/>
  <c r="Y15" i="3"/>
  <c r="AH6" i="3"/>
  <c r="P96" i="2"/>
  <c r="W81" i="2"/>
  <c r="W58" i="2"/>
  <c r="S58" i="2"/>
  <c r="C21" i="3"/>
  <c r="T34" i="3"/>
  <c r="V98" i="2"/>
  <c r="J62" i="2"/>
  <c r="X77" i="2"/>
  <c r="S91" i="2"/>
  <c r="C70" i="2"/>
  <c r="F53" i="2"/>
  <c r="N96" i="2"/>
  <c r="Q65" i="2"/>
  <c r="F104" i="2"/>
  <c r="N93" i="2"/>
  <c r="D69" i="2"/>
  <c r="L92" i="2"/>
  <c r="S70" i="2"/>
  <c r="J104" i="2"/>
  <c r="H105" i="2"/>
  <c r="L91" i="2"/>
  <c r="U58" i="2"/>
  <c r="C76" i="2"/>
  <c r="P78" i="2"/>
  <c r="I96" i="2"/>
  <c r="C64" i="2"/>
  <c r="U88" i="2"/>
  <c r="N80" i="2"/>
  <c r="G95" i="2"/>
  <c r="G91" i="2"/>
  <c r="E111" i="2"/>
  <c r="C107" i="2"/>
  <c r="F44" i="2"/>
  <c r="P44" i="2"/>
  <c r="V41" i="2"/>
  <c r="E72" i="2"/>
  <c r="N42" i="2"/>
  <c r="E59" i="2"/>
  <c r="E40" i="2"/>
  <c r="H108" i="2"/>
  <c r="V59" i="2"/>
  <c r="L106" i="2"/>
  <c r="O70" i="2"/>
  <c r="H45" i="2"/>
  <c r="I44" i="2"/>
  <c r="R50" i="2"/>
  <c r="F67" i="2"/>
  <c r="AB60" i="3"/>
  <c r="AB79" i="3"/>
  <c r="AP50" i="3"/>
  <c r="AN8" i="3"/>
  <c r="O23" i="3"/>
  <c r="AL27" i="3"/>
  <c r="S12" i="3"/>
  <c r="J12" i="3"/>
  <c r="G37" i="3"/>
  <c r="X14" i="3"/>
  <c r="S42" i="3"/>
  <c r="Y25" i="3"/>
  <c r="C12" i="3"/>
  <c r="AQ36" i="3"/>
  <c r="AJ23" i="3"/>
  <c r="AP14" i="3"/>
  <c r="J17" i="3"/>
  <c r="Q5" i="3"/>
  <c r="AG38" i="3"/>
  <c r="C9" i="3"/>
  <c r="AL15" i="3"/>
  <c r="AQ37" i="3"/>
  <c r="W27" i="3"/>
  <c r="O27" i="3"/>
  <c r="X21" i="3"/>
  <c r="P17" i="3"/>
  <c r="AI20" i="3"/>
  <c r="AM23" i="3"/>
  <c r="V30" i="3"/>
  <c r="Z13" i="3"/>
  <c r="Q6" i="3"/>
  <c r="AQ26" i="3"/>
  <c r="S29" i="3"/>
  <c r="AO35" i="3"/>
  <c r="R31" i="3"/>
  <c r="AG41" i="3"/>
  <c r="K34" i="3"/>
  <c r="O12" i="3"/>
  <c r="AM6" i="3"/>
  <c r="AH18" i="3"/>
  <c r="O33" i="3"/>
  <c r="AO37" i="3"/>
  <c r="X42" i="3"/>
  <c r="J11" i="3"/>
  <c r="Q41" i="3"/>
  <c r="T19" i="3"/>
  <c r="N13" i="3"/>
  <c r="AI39" i="3"/>
  <c r="L7" i="3"/>
  <c r="AH5" i="3"/>
  <c r="AO42" i="3"/>
  <c r="S20" i="3"/>
  <c r="K9" i="3"/>
  <c r="AA26" i="3"/>
  <c r="N22" i="3"/>
  <c r="V15" i="3"/>
  <c r="J81" i="2"/>
  <c r="AJ38" i="3"/>
  <c r="L37" i="3"/>
  <c r="X34" i="3"/>
  <c r="M15" i="3"/>
  <c r="W15" i="3"/>
  <c r="X5" i="3"/>
  <c r="H37" i="3"/>
  <c r="H7" i="3"/>
  <c r="W41" i="3"/>
  <c r="AE29" i="3"/>
  <c r="S39" i="3"/>
  <c r="N12" i="3"/>
  <c r="Y27" i="3"/>
  <c r="T36" i="3"/>
  <c r="AQ11" i="3"/>
  <c r="P40" i="3"/>
  <c r="AA7" i="3"/>
  <c r="Q13" i="3"/>
  <c r="AH30" i="3"/>
  <c r="AN13" i="3"/>
  <c r="AA24" i="3"/>
  <c r="N25" i="3"/>
  <c r="V88" i="2"/>
  <c r="P61" i="2"/>
  <c r="K65" i="2"/>
  <c r="V83" i="2"/>
  <c r="AJ17" i="3"/>
  <c r="H83" i="2"/>
  <c r="H43" i="2"/>
  <c r="I57" i="2"/>
  <c r="G108" i="2"/>
  <c r="F84" i="2"/>
  <c r="N68" i="2"/>
  <c r="H75" i="2"/>
  <c r="M87" i="2"/>
  <c r="M80" i="2"/>
  <c r="U97" i="2"/>
  <c r="D48" i="2"/>
  <c r="X57" i="2"/>
  <c r="L68" i="2"/>
  <c r="F83" i="2"/>
  <c r="T72" i="2"/>
  <c r="P112" i="2"/>
  <c r="N48" i="2"/>
  <c r="V58" i="2"/>
  <c r="W72" i="2"/>
  <c r="D44" i="2"/>
  <c r="J110" i="2"/>
  <c r="L89" i="2"/>
  <c r="W85" i="2"/>
  <c r="V54" i="2"/>
  <c r="F90" i="2"/>
  <c r="E57" i="2"/>
  <c r="S76" i="2"/>
  <c r="L49" i="2"/>
  <c r="F91" i="2"/>
  <c r="O80" i="2"/>
  <c r="C68" i="2"/>
  <c r="R96" i="2"/>
  <c r="M90" i="2"/>
  <c r="K55" i="2"/>
  <c r="D73" i="2"/>
  <c r="C110" i="2"/>
  <c r="H57" i="2"/>
  <c r="I93" i="2"/>
  <c r="N46" i="2"/>
  <c r="K58" i="2"/>
  <c r="S95" i="2"/>
  <c r="L109" i="2"/>
  <c r="AP84" i="3"/>
  <c r="AB94" i="3"/>
  <c r="AP72" i="3"/>
  <c r="AP12" i="3"/>
  <c r="AP25" i="3"/>
  <c r="U30" i="3"/>
  <c r="AJ25" i="3"/>
  <c r="E47" i="3"/>
  <c r="I16" i="3"/>
  <c r="AM11" i="3"/>
  <c r="Y34" i="3"/>
  <c r="AA17" i="3"/>
  <c r="AC37" i="3"/>
  <c r="O8" i="3"/>
  <c r="N35" i="3"/>
  <c r="J8" i="3"/>
  <c r="Z24" i="3"/>
  <c r="AC33" i="3"/>
  <c r="AI23" i="3"/>
  <c r="R42" i="3"/>
  <c r="E48" i="3"/>
  <c r="I42" i="3"/>
  <c r="K24" i="3"/>
  <c r="AE20" i="3"/>
  <c r="AJ28" i="3"/>
  <c r="AI22" i="3"/>
  <c r="C14" i="3"/>
  <c r="P7" i="3"/>
  <c r="I11" i="3"/>
  <c r="T42" i="3"/>
  <c r="AB40" i="3"/>
  <c r="I32" i="3"/>
  <c r="P9" i="3"/>
  <c r="AO22" i="3"/>
  <c r="N55" i="2"/>
  <c r="Q36" i="3"/>
  <c r="X13" i="3"/>
  <c r="J32" i="3"/>
  <c r="W42" i="3"/>
  <c r="AC12" i="3"/>
  <c r="AD42" i="3"/>
  <c r="T38" i="3"/>
  <c r="AL35" i="3"/>
  <c r="R12" i="3"/>
  <c r="M21" i="3"/>
  <c r="I5" i="3"/>
  <c r="U20" i="3"/>
  <c r="AQ17" i="3"/>
  <c r="C11" i="3"/>
  <c r="S21" i="3"/>
  <c r="AD27" i="3"/>
  <c r="P26" i="3"/>
  <c r="Z16" i="3"/>
  <c r="AB16" i="3"/>
  <c r="AE12" i="3"/>
  <c r="Q11" i="3"/>
  <c r="W65" i="2"/>
  <c r="Q105" i="2"/>
  <c r="J85" i="2"/>
  <c r="P49" i="2"/>
  <c r="D113" i="2"/>
  <c r="M36" i="3"/>
  <c r="T111" i="2"/>
  <c r="F55" i="2"/>
  <c r="C92" i="2"/>
  <c r="X71" i="2"/>
  <c r="V85" i="2"/>
  <c r="G90" i="2"/>
  <c r="S57" i="2"/>
  <c r="H113" i="2"/>
  <c r="L90" i="2"/>
  <c r="P109" i="2"/>
  <c r="M97" i="2"/>
  <c r="P79" i="2"/>
  <c r="G44" i="2"/>
  <c r="C84" i="2"/>
  <c r="I92" i="2"/>
  <c r="S73" i="2"/>
  <c r="H86" i="2"/>
  <c r="D81" i="2"/>
  <c r="V92" i="2"/>
  <c r="D97" i="2"/>
  <c r="U45" i="2"/>
  <c r="T46" i="2"/>
  <c r="C43" i="2"/>
  <c r="C99" i="2"/>
  <c r="C57" i="2"/>
  <c r="G93" i="2"/>
  <c r="J84" i="2"/>
  <c r="N111" i="2"/>
  <c r="C105" i="2"/>
  <c r="J113" i="2"/>
  <c r="K68" i="2"/>
  <c r="D95" i="2"/>
  <c r="W82" i="2"/>
  <c r="V70" i="2"/>
  <c r="W110" i="2"/>
  <c r="H58" i="2"/>
  <c r="D56" i="2"/>
  <c r="F59" i="2"/>
  <c r="R59" i="2"/>
  <c r="Q51" i="2"/>
  <c r="W96" i="2"/>
  <c r="M42" i="2"/>
  <c r="AP70" i="3"/>
  <c r="AB50" i="3"/>
  <c r="AB70" i="3"/>
  <c r="T8" i="3"/>
  <c r="AL20" i="3"/>
  <c r="Y17" i="3"/>
  <c r="AE32" i="3"/>
  <c r="I9" i="3"/>
  <c r="AG17" i="3"/>
  <c r="AI21" i="3"/>
  <c r="AB38" i="3"/>
  <c r="AG15" i="3"/>
  <c r="AM12" i="3"/>
  <c r="I13" i="3"/>
  <c r="C17" i="3"/>
  <c r="L30" i="3"/>
  <c r="X38" i="3"/>
  <c r="O6" i="3"/>
  <c r="AG32" i="3"/>
  <c r="AP31" i="3"/>
  <c r="H18" i="3"/>
  <c r="D50" i="3"/>
  <c r="G39" i="3"/>
  <c r="Z26" i="3"/>
  <c r="AL38" i="3"/>
  <c r="AC31" i="3"/>
  <c r="H15" i="3"/>
  <c r="AL13" i="3"/>
  <c r="O25" i="3"/>
  <c r="AC28" i="3"/>
  <c r="AI25" i="3"/>
  <c r="AJ26" i="3"/>
  <c r="AI37" i="3"/>
  <c r="V22" i="3"/>
  <c r="AN42" i="3"/>
  <c r="AE35" i="3"/>
  <c r="X37" i="3"/>
  <c r="AA18" i="3"/>
  <c r="H26" i="3"/>
  <c r="AM19" i="3"/>
  <c r="AJ42" i="3"/>
  <c r="U38" i="3"/>
  <c r="U32" i="3"/>
  <c r="Z14" i="3"/>
  <c r="AA15" i="3"/>
  <c r="T27" i="3"/>
  <c r="AE40" i="3"/>
  <c r="AJ21" i="3"/>
  <c r="AG13" i="3"/>
  <c r="Z27" i="3"/>
  <c r="J26" i="3"/>
  <c r="Q25" i="3"/>
  <c r="L10" i="3"/>
  <c r="AJ7" i="3"/>
  <c r="J14" i="3"/>
  <c r="V39" i="3"/>
  <c r="AA35" i="3"/>
  <c r="J50" i="2"/>
  <c r="X50" i="2"/>
  <c r="H112" i="2"/>
  <c r="I83" i="2"/>
  <c r="Q66" i="2"/>
  <c r="F71" i="2"/>
  <c r="K82" i="2"/>
  <c r="J57" i="2"/>
  <c r="Q68" i="2"/>
  <c r="O105" i="2"/>
  <c r="H41" i="2"/>
  <c r="F109" i="2"/>
  <c r="D76" i="2"/>
  <c r="S84" i="2"/>
  <c r="E89" i="2"/>
  <c r="K67" i="2"/>
  <c r="V94" i="2"/>
  <c r="X51" i="2"/>
  <c r="Q79" i="2"/>
  <c r="U90" i="2"/>
  <c r="J70" i="2"/>
  <c r="L96" i="2"/>
  <c r="X56" i="2"/>
  <c r="E56" i="2"/>
  <c r="D104" i="2"/>
  <c r="S83" i="2"/>
  <c r="X53" i="2"/>
  <c r="S56" i="2"/>
  <c r="X97" i="2"/>
  <c r="K73" i="2"/>
  <c r="L97" i="2"/>
  <c r="AB59" i="3"/>
  <c r="AP58" i="3"/>
  <c r="AP49" i="3"/>
  <c r="M10" i="3"/>
  <c r="W37" i="3"/>
  <c r="H19" i="3"/>
  <c r="R30" i="3"/>
  <c r="O19" i="3"/>
  <c r="AJ29" i="3"/>
  <c r="S26" i="3"/>
  <c r="J30" i="3"/>
  <c r="AC38" i="3"/>
  <c r="AM38" i="3"/>
  <c r="L107" i="2"/>
  <c r="S55" i="2"/>
  <c r="O45" i="2"/>
  <c r="AP90" i="3"/>
  <c r="Q33" i="3"/>
  <c r="V29" i="3"/>
  <c r="W48" i="2"/>
  <c r="S69" i="2"/>
  <c r="I108" i="2"/>
  <c r="M93" i="2"/>
  <c r="U74" i="2"/>
  <c r="X73" i="2"/>
  <c r="V107" i="2"/>
  <c r="N84" i="2"/>
  <c r="AB28" i="3"/>
  <c r="I31" i="3"/>
  <c r="AE13" i="3"/>
  <c r="AG25" i="3"/>
  <c r="AE15" i="3"/>
  <c r="X40" i="3"/>
  <c r="Q24" i="3"/>
  <c r="K33" i="3"/>
  <c r="F96" i="2"/>
  <c r="K56" i="2"/>
  <c r="P113" i="2"/>
  <c r="D51" i="2"/>
  <c r="T98" i="2"/>
  <c r="I74" i="2"/>
  <c r="P94" i="2"/>
  <c r="L87" i="2"/>
  <c r="F78" i="2"/>
  <c r="H48" i="2"/>
  <c r="M50" i="2"/>
  <c r="H78" i="2"/>
  <c r="X64" i="2"/>
  <c r="V61" i="2"/>
  <c r="J59" i="2"/>
  <c r="O71" i="2"/>
  <c r="Q52" i="2"/>
  <c r="L43" i="2"/>
  <c r="R88" i="2"/>
  <c r="H81" i="2"/>
  <c r="V86" i="2"/>
  <c r="I72" i="2"/>
  <c r="W94" i="2"/>
  <c r="O72" i="2"/>
  <c r="R82" i="2"/>
  <c r="O46" i="2"/>
  <c r="I97" i="2"/>
  <c r="X67" i="2"/>
  <c r="C86" i="2"/>
  <c r="X55" i="2"/>
  <c r="V112" i="2"/>
  <c r="O93" i="2"/>
  <c r="U46" i="2"/>
  <c r="E74" i="2"/>
  <c r="S52" i="2"/>
  <c r="F98" i="2"/>
  <c r="F85" i="2"/>
  <c r="N71" i="2"/>
  <c r="L42" i="2"/>
  <c r="G79" i="2"/>
  <c r="R97" i="2"/>
  <c r="M111" i="2"/>
  <c r="H55" i="2"/>
  <c r="AP93" i="3"/>
  <c r="AB75" i="3"/>
  <c r="AP64" i="3"/>
  <c r="AI12" i="3"/>
  <c r="W28" i="3"/>
  <c r="AB19" i="3"/>
  <c r="H28" i="3"/>
  <c r="AP19" i="3"/>
  <c r="T33" i="3"/>
  <c r="AP37" i="3"/>
  <c r="R15" i="3"/>
  <c r="AN20" i="3"/>
  <c r="P22" i="3"/>
  <c r="S11" i="3"/>
  <c r="Y28" i="3"/>
  <c r="Q19" i="3"/>
  <c r="AC6" i="3"/>
  <c r="W16" i="3"/>
  <c r="L22" i="3"/>
  <c r="AQ21" i="3"/>
  <c r="AA5" i="3"/>
  <c r="Q9" i="3"/>
  <c r="AO41" i="3"/>
  <c r="V11" i="3"/>
  <c r="R10" i="3"/>
  <c r="AJ12" i="3"/>
  <c r="AL12" i="3"/>
  <c r="I24" i="3"/>
  <c r="Z20" i="3"/>
  <c r="Y8" i="3"/>
  <c r="AM34" i="3"/>
  <c r="R27" i="3"/>
  <c r="C31" i="3"/>
  <c r="AJ35" i="3"/>
  <c r="W17" i="3"/>
  <c r="AQ31" i="3"/>
  <c r="K17" i="3"/>
  <c r="C13" i="3"/>
  <c r="T29" i="3"/>
  <c r="S22" i="3"/>
  <c r="AL5" i="3"/>
  <c r="O31" i="3"/>
  <c r="R11" i="3"/>
  <c r="H8" i="3"/>
  <c r="X11" i="3"/>
  <c r="W30" i="3"/>
  <c r="R16" i="3"/>
  <c r="AD23" i="3"/>
  <c r="J35" i="3"/>
  <c r="W14" i="3"/>
  <c r="AA39" i="3"/>
  <c r="T5" i="3"/>
  <c r="Y21" i="3"/>
  <c r="M41" i="3"/>
  <c r="AH8" i="3"/>
  <c r="AD41" i="3"/>
  <c r="AH39" i="3"/>
  <c r="I37" i="3"/>
  <c r="K23" i="3"/>
  <c r="S17" i="3"/>
  <c r="K42" i="3"/>
  <c r="Y24" i="3"/>
  <c r="N7" i="3"/>
  <c r="U7" i="3"/>
  <c r="M19" i="3"/>
  <c r="S82" i="2"/>
  <c r="D49" i="2"/>
  <c r="I63" i="2"/>
  <c r="Q64" i="2"/>
  <c r="V82" i="2"/>
  <c r="C97" i="2"/>
  <c r="M64" i="2"/>
  <c r="I79" i="2"/>
  <c r="V95" i="2"/>
  <c r="AQ29" i="3"/>
  <c r="U52" i="2"/>
  <c r="U98" i="2"/>
  <c r="O69" i="2"/>
  <c r="I64" i="2"/>
  <c r="M65" i="2"/>
  <c r="M55" i="2"/>
  <c r="I68" i="2"/>
  <c r="I48" i="2"/>
  <c r="V87" i="2"/>
  <c r="I54" i="2"/>
  <c r="G113" i="2"/>
  <c r="I60" i="2"/>
  <c r="Q97" i="2"/>
  <c r="I109" i="2"/>
  <c r="E47" i="2"/>
  <c r="V78" i="2"/>
  <c r="N59" i="2"/>
  <c r="K47" i="2"/>
  <c r="R108" i="2"/>
  <c r="E94" i="2"/>
  <c r="T104" i="2"/>
  <c r="R75" i="2"/>
  <c r="M49" i="2"/>
  <c r="H73" i="2"/>
  <c r="L76" i="2"/>
  <c r="X88" i="2"/>
  <c r="R47" i="2"/>
  <c r="L73" i="2"/>
  <c r="G104" i="2"/>
  <c r="V104" i="2"/>
  <c r="D64" i="2"/>
  <c r="N75" i="2"/>
  <c r="N109" i="2"/>
  <c r="V109" i="2"/>
  <c r="D43" i="2"/>
  <c r="W64" i="2"/>
  <c r="V44" i="2"/>
  <c r="R65" i="2"/>
  <c r="N44" i="2"/>
  <c r="G69" i="2"/>
  <c r="N57" i="2"/>
  <c r="U51" i="2"/>
  <c r="AP66" i="3"/>
  <c r="AP47" i="3"/>
  <c r="AP60" i="3"/>
  <c r="V16" i="3"/>
  <c r="W26" i="3"/>
  <c r="AN31" i="3"/>
  <c r="AP41" i="3"/>
  <c r="N40" i="3"/>
  <c r="AE25" i="3"/>
  <c r="AH15" i="3"/>
  <c r="AK17" i="3"/>
  <c r="L5" i="3"/>
  <c r="AL9" i="3"/>
  <c r="P20" i="3"/>
  <c r="N21" i="3"/>
  <c r="AL10" i="3"/>
  <c r="L16" i="3"/>
  <c r="AP15" i="3"/>
  <c r="K21" i="3"/>
  <c r="AJ34" i="3"/>
  <c r="T14" i="3"/>
  <c r="AM30" i="3"/>
  <c r="N29" i="3"/>
  <c r="AE38" i="3"/>
  <c r="AH32" i="3"/>
  <c r="T21" i="3"/>
  <c r="AD33" i="3"/>
  <c r="L9" i="3"/>
  <c r="AL40" i="3"/>
  <c r="AO18" i="3"/>
  <c r="AA16" i="3"/>
  <c r="J40" i="3"/>
  <c r="AJ39" i="3"/>
  <c r="AN16" i="3"/>
  <c r="S5" i="3"/>
  <c r="AG33" i="3"/>
  <c r="S8" i="3"/>
  <c r="H30" i="3"/>
  <c r="AG12" i="3"/>
  <c r="Z39" i="3"/>
  <c r="AL23" i="3"/>
  <c r="AC10" i="3"/>
  <c r="D47" i="3"/>
  <c r="AM18" i="3"/>
  <c r="V14" i="3"/>
  <c r="AM27" i="3"/>
  <c r="V36" i="3"/>
  <c r="H12" i="3"/>
  <c r="K22" i="3"/>
  <c r="AP38" i="3"/>
  <c r="AK19" i="3"/>
  <c r="N18" i="3"/>
  <c r="U16" i="3"/>
  <c r="P33" i="3"/>
  <c r="U40" i="3"/>
  <c r="AA27" i="3"/>
  <c r="AD31" i="3"/>
  <c r="U57" i="2"/>
  <c r="F105" i="2"/>
  <c r="O41" i="2"/>
  <c r="V74" i="2"/>
  <c r="G96" i="2"/>
  <c r="I76" i="2"/>
  <c r="P87" i="2"/>
  <c r="I107" i="2"/>
  <c r="U78" i="2"/>
  <c r="I47" i="2"/>
  <c r="M94" i="2"/>
  <c r="H79" i="2"/>
  <c r="J89" i="2"/>
  <c r="T41" i="2"/>
  <c r="F43" i="2"/>
  <c r="G105" i="2"/>
  <c r="Q61" i="2"/>
  <c r="C90" i="2"/>
  <c r="X87" i="2"/>
  <c r="M68" i="2"/>
  <c r="R107" i="2"/>
  <c r="F45" i="2"/>
  <c r="P48" i="2"/>
  <c r="N63" i="2"/>
  <c r="P92" i="2"/>
  <c r="U64" i="2"/>
  <c r="N47" i="2"/>
  <c r="AB47" i="3"/>
  <c r="AB54" i="3"/>
  <c r="C28" i="3"/>
  <c r="AQ13" i="3"/>
  <c r="AN22" i="3"/>
  <c r="AE31" i="3"/>
  <c r="Y6" i="3"/>
  <c r="P25" i="3"/>
  <c r="AI15" i="3"/>
  <c r="AB23" i="3"/>
  <c r="H40" i="3"/>
  <c r="M26" i="3"/>
  <c r="AE8" i="3"/>
  <c r="AK36" i="3"/>
  <c r="K18" i="3"/>
  <c r="AA33" i="3"/>
  <c r="G49" i="3"/>
  <c r="P37" i="3"/>
  <c r="AK18" i="3"/>
  <c r="AI33" i="3"/>
  <c r="U50" i="2"/>
  <c r="AP74" i="3"/>
  <c r="H5" i="3"/>
  <c r="Q27" i="3"/>
  <c r="AE11" i="3"/>
  <c r="J54" i="2"/>
  <c r="L54" i="2"/>
  <c r="M88" i="2"/>
  <c r="T92" i="2"/>
  <c r="X106" i="2"/>
  <c r="D89" i="2"/>
  <c r="Q108" i="2"/>
  <c r="O107" i="2"/>
  <c r="I41" i="2"/>
  <c r="N65" i="2"/>
  <c r="H74" i="2"/>
  <c r="S60" i="2"/>
  <c r="D88" i="2"/>
  <c r="T53" i="2"/>
  <c r="O57" i="2"/>
  <c r="U71" i="2"/>
  <c r="R57" i="2"/>
  <c r="S46" i="2"/>
  <c r="N82" i="2"/>
  <c r="M44" i="2"/>
  <c r="G57" i="2"/>
  <c r="W49" i="2"/>
  <c r="M60" i="2"/>
  <c r="F86" i="2"/>
  <c r="U73" i="2"/>
  <c r="L53" i="2"/>
  <c r="R93" i="2"/>
  <c r="T47" i="2"/>
  <c r="R70" i="2"/>
  <c r="G59" i="2"/>
  <c r="N86" i="2"/>
  <c r="F64" i="2"/>
  <c r="I111" i="2"/>
  <c r="G54" i="2"/>
  <c r="C40" i="2"/>
  <c r="W86" i="2"/>
  <c r="P57" i="2"/>
  <c r="J60" i="2"/>
  <c r="P56" i="2"/>
  <c r="H109" i="2"/>
  <c r="W112" i="2"/>
  <c r="S98" i="2"/>
  <c r="AB78" i="3"/>
  <c r="AP92" i="3"/>
  <c r="AP69" i="3"/>
  <c r="L32" i="3"/>
  <c r="T24" i="3"/>
  <c r="AH33" i="3"/>
  <c r="AI16" i="3"/>
  <c r="AN9" i="3"/>
  <c r="H13" i="3"/>
  <c r="W29" i="3"/>
  <c r="AG28" i="3"/>
  <c r="AB37" i="3"/>
  <c r="O41" i="3"/>
  <c r="AI5" i="3"/>
  <c r="AL22" i="3"/>
  <c r="R17" i="3"/>
  <c r="C34" i="3"/>
  <c r="R28" i="3"/>
  <c r="V27" i="3"/>
  <c r="Z31" i="3"/>
  <c r="Q22" i="3"/>
  <c r="AB33" i="3"/>
  <c r="X29" i="3"/>
  <c r="AE41" i="3"/>
  <c r="C39" i="3"/>
  <c r="AO30" i="3"/>
  <c r="AB25" i="3"/>
  <c r="X32" i="3"/>
  <c r="AB36" i="3"/>
  <c r="V6" i="3"/>
  <c r="L13" i="3"/>
  <c r="T20" i="3"/>
  <c r="AN21" i="3"/>
  <c r="Z18" i="3"/>
  <c r="Y35" i="3"/>
  <c r="M42" i="3"/>
  <c r="L40" i="3"/>
  <c r="AL32" i="3"/>
  <c r="N16" i="3"/>
  <c r="W25" i="3"/>
  <c r="AK26" i="3"/>
  <c r="N17" i="3"/>
  <c r="R5" i="3"/>
  <c r="T40" i="3"/>
  <c r="AM15" i="3"/>
  <c r="G34" i="3"/>
  <c r="Z17" i="3"/>
  <c r="R7" i="3"/>
  <c r="S14" i="3"/>
  <c r="P36" i="3"/>
  <c r="K25" i="3"/>
  <c r="T13" i="3"/>
  <c r="AQ20" i="3"/>
  <c r="H33" i="3"/>
  <c r="K5" i="3"/>
  <c r="Z33" i="3"/>
  <c r="AN30" i="3"/>
  <c r="P88" i="2"/>
  <c r="L84" i="2"/>
  <c r="R109" i="2"/>
  <c r="L95" i="2"/>
  <c r="N88" i="2"/>
  <c r="O54" i="2"/>
  <c r="W73" i="2"/>
  <c r="C72" i="2"/>
  <c r="R55" i="2"/>
  <c r="H95" i="2"/>
  <c r="F72" i="2"/>
  <c r="U55" i="2"/>
  <c r="L62" i="2"/>
  <c r="W67" i="2"/>
  <c r="X107" i="2"/>
  <c r="AG27" i="3"/>
  <c r="AK34" i="3"/>
  <c r="U6" i="3"/>
  <c r="AM17" i="3"/>
  <c r="V5" i="3"/>
  <c r="Q39" i="3"/>
  <c r="T73" i="2"/>
  <c r="T85" i="2"/>
  <c r="Q48" i="2"/>
  <c r="Q112" i="2"/>
  <c r="V91" i="2"/>
  <c r="AM25" i="3"/>
  <c r="J25" i="3"/>
  <c r="G41" i="2"/>
  <c r="P95" i="2"/>
  <c r="R69" i="2"/>
  <c r="L63" i="2"/>
  <c r="F47" i="2"/>
  <c r="T113" i="2"/>
  <c r="E76" i="2"/>
  <c r="J72" i="2"/>
  <c r="C48" i="2"/>
  <c r="F65" i="2"/>
  <c r="P59" i="2"/>
  <c r="I52" i="2"/>
  <c r="U41" i="2"/>
  <c r="P97" i="2"/>
  <c r="E65" i="2"/>
  <c r="V52" i="2"/>
  <c r="O42" i="2"/>
  <c r="F92" i="2"/>
  <c r="X44" i="2"/>
  <c r="I84" i="2"/>
  <c r="J108" i="2"/>
  <c r="H50" i="2"/>
  <c r="J99" i="2"/>
  <c r="R49" i="2"/>
  <c r="K66" i="2"/>
  <c r="V69" i="2"/>
  <c r="W51" i="2"/>
  <c r="U95" i="2"/>
  <c r="O92" i="2"/>
  <c r="C54" i="2"/>
  <c r="O112" i="2"/>
  <c r="M70" i="2"/>
  <c r="U93" i="2"/>
  <c r="T91" i="2"/>
  <c r="C44" i="2"/>
  <c r="U86" i="2"/>
  <c r="P110" i="2"/>
  <c r="J45" i="2"/>
  <c r="U107" i="2"/>
  <c r="H76" i="2"/>
  <c r="O62" i="2"/>
  <c r="L83" i="2"/>
  <c r="AP48" i="3"/>
  <c r="AB82" i="3"/>
  <c r="H34" i="3"/>
  <c r="U21" i="3"/>
  <c r="O29" i="3"/>
  <c r="AC39" i="3"/>
  <c r="AA34" i="3"/>
  <c r="Z25" i="3"/>
  <c r="AP36" i="3"/>
  <c r="W34" i="3"/>
  <c r="H27" i="3"/>
  <c r="M32" i="3"/>
  <c r="O42" i="3"/>
  <c r="T30" i="3"/>
  <c r="I15" i="3"/>
  <c r="Z9" i="3"/>
  <c r="C30" i="3"/>
  <c r="K19" i="3"/>
  <c r="AE33" i="3"/>
  <c r="AO10" i="3"/>
  <c r="AQ14" i="3"/>
  <c r="AO23" i="3"/>
  <c r="AI42" i="3"/>
  <c r="AO38" i="3"/>
  <c r="V13" i="3"/>
  <c r="U26" i="3"/>
  <c r="AQ24" i="3"/>
  <c r="AL36" i="3"/>
  <c r="P42" i="3"/>
  <c r="Z22" i="3"/>
  <c r="U34" i="3"/>
  <c r="AK42" i="3"/>
  <c r="AP42" i="3"/>
  <c r="AA20" i="3"/>
  <c r="L12" i="3"/>
  <c r="Y5" i="3"/>
  <c r="P28" i="3"/>
  <c r="W20" i="3"/>
  <c r="AQ35" i="3"/>
  <c r="AB8" i="3"/>
  <c r="V28" i="3"/>
  <c r="AG14" i="3"/>
  <c r="AE26" i="3"/>
  <c r="Q8" i="3"/>
  <c r="T15" i="3"/>
  <c r="C16" i="3"/>
  <c r="AE27" i="3"/>
  <c r="L24" i="3"/>
  <c r="AE22" i="3"/>
  <c r="AG29" i="3"/>
  <c r="AH20" i="3"/>
  <c r="K26" i="3"/>
  <c r="W32" i="3"/>
  <c r="M18" i="3"/>
  <c r="AP21" i="3"/>
  <c r="AC15" i="3"/>
  <c r="Q113" i="2"/>
  <c r="P105" i="2"/>
  <c r="C50" i="2"/>
  <c r="T51" i="2"/>
  <c r="C73" i="2"/>
  <c r="E49" i="2"/>
  <c r="X40" i="2"/>
  <c r="I70" i="2"/>
  <c r="L59" i="2"/>
  <c r="V51" i="2"/>
  <c r="I91" i="2"/>
  <c r="T79" i="2"/>
  <c r="O52" i="2"/>
  <c r="AE10" i="3"/>
  <c r="AC19" i="3"/>
  <c r="I34" i="3"/>
  <c r="AD47" i="3"/>
  <c r="I27" i="3"/>
  <c r="D49" i="3"/>
  <c r="AN26" i="3"/>
  <c r="C35" i="3"/>
  <c r="AO28" i="3"/>
  <c r="T9" i="3"/>
  <c r="AJ19" i="3"/>
  <c r="O34" i="3"/>
  <c r="S18" i="3"/>
  <c r="O13" i="3"/>
  <c r="AH35" i="3"/>
  <c r="AM7" i="3"/>
  <c r="AM5" i="3"/>
  <c r="AQ28" i="3"/>
  <c r="O40" i="2"/>
  <c r="F60" i="2"/>
  <c r="Q50" i="2"/>
  <c r="X12" i="3"/>
  <c r="AP28" i="3"/>
  <c r="Y37" i="3"/>
  <c r="W8" i="3"/>
  <c r="K7" i="3"/>
  <c r="X47" i="2"/>
  <c r="AG9" i="3"/>
  <c r="V42" i="2"/>
  <c r="G97" i="2"/>
  <c r="S48" i="2"/>
  <c r="G42" i="2"/>
  <c r="X7" i="3"/>
  <c r="AJ20" i="3"/>
  <c r="N8" i="3"/>
  <c r="AK35" i="3"/>
  <c r="AH27" i="3"/>
  <c r="N11" i="3"/>
  <c r="P14" i="3"/>
  <c r="Q10" i="3"/>
  <c r="AK28" i="3"/>
  <c r="AP54" i="3"/>
  <c r="J28" i="3"/>
  <c r="K20" i="3"/>
  <c r="S105" i="2"/>
  <c r="O30" i="3"/>
  <c r="AC21" i="3"/>
  <c r="K28" i="3"/>
  <c r="G43" i="2"/>
  <c r="J52" i="2"/>
  <c r="Q90" i="2"/>
  <c r="C61" i="2"/>
  <c r="AE21" i="3"/>
  <c r="AC25" i="3"/>
  <c r="Y7" i="3"/>
  <c r="AE36" i="3"/>
  <c r="AK40" i="3"/>
  <c r="D48" i="3"/>
  <c r="P12" i="3"/>
  <c r="AP32" i="3"/>
  <c r="AQ42" i="3"/>
  <c r="K11" i="3"/>
  <c r="J41" i="2"/>
  <c r="U54" i="2"/>
  <c r="E43" i="2"/>
  <c r="N74" i="2"/>
  <c r="Q73" i="2"/>
  <c r="AD20" i="3"/>
  <c r="D93" i="2"/>
  <c r="Q99" i="2"/>
  <c r="O51" i="2"/>
  <c r="F81" i="2"/>
  <c r="AN12" i="3"/>
  <c r="AH40" i="3"/>
  <c r="AK10" i="3"/>
  <c r="AG31" i="3"/>
  <c r="AQ5" i="3"/>
  <c r="AI13" i="3"/>
  <c r="AG22" i="3"/>
  <c r="AI32" i="3"/>
  <c r="AQ32" i="3"/>
  <c r="O73" i="2"/>
  <c r="P72" i="2"/>
  <c r="D55" i="2"/>
  <c r="F82" i="2"/>
  <c r="AJ16" i="3"/>
  <c r="AO31" i="3"/>
  <c r="P23" i="3"/>
  <c r="J6" i="3"/>
  <c r="J39" i="3"/>
  <c r="AP35" i="3"/>
  <c r="K41" i="3"/>
  <c r="S13" i="3"/>
  <c r="AM29" i="3"/>
  <c r="Z32" i="3"/>
  <c r="N31" i="3"/>
  <c r="L34" i="3"/>
  <c r="H39" i="3"/>
  <c r="AD39" i="3"/>
  <c r="C6" i="3"/>
  <c r="AN18" i="3"/>
  <c r="AB32" i="3"/>
  <c r="U13" i="3"/>
  <c r="L66" i="2"/>
  <c r="AG19" i="3"/>
  <c r="L88" i="2"/>
  <c r="R46" i="2"/>
  <c r="R66" i="2"/>
  <c r="V66" i="2"/>
  <c r="C87" i="2"/>
  <c r="P8" i="3"/>
  <c r="AG30" i="3"/>
  <c r="Y26" i="3"/>
  <c r="P38" i="3"/>
  <c r="R53" i="2"/>
  <c r="P81" i="2"/>
  <c r="P53" i="2"/>
  <c r="AP83" i="3"/>
  <c r="L31" i="3"/>
  <c r="AB26" i="3"/>
  <c r="R29" i="3"/>
  <c r="Z40" i="3"/>
  <c r="D65" i="2"/>
  <c r="D84" i="2"/>
  <c r="X43" i="2"/>
  <c r="R18" i="3"/>
  <c r="W7" i="3"/>
  <c r="V7" i="3"/>
  <c r="M27" i="3"/>
  <c r="AG20" i="3"/>
  <c r="Y42" i="3"/>
  <c r="AI17" i="3"/>
  <c r="T6" i="3"/>
  <c r="M37" i="3"/>
  <c r="V40" i="3"/>
  <c r="D58" i="2"/>
  <c r="J24" i="3"/>
  <c r="S188" i="1" l="1"/>
  <c r="S193" i="1"/>
  <c r="V193" i="1"/>
  <c r="T193" i="1"/>
  <c r="W193" i="1"/>
  <c r="P188" i="1"/>
  <c r="R193" i="1"/>
  <c r="V189" i="1"/>
  <c r="S189" i="1"/>
  <c r="P189" i="1"/>
  <c r="U193" i="1"/>
  <c r="U188" i="1"/>
  <c r="Q189" i="1"/>
  <c r="R189" i="1"/>
  <c r="T189" i="1"/>
  <c r="R188" i="1"/>
  <c r="U189" i="1"/>
  <c r="W189" i="1"/>
  <c r="W188" i="1"/>
  <c r="Q188" i="1"/>
  <c r="V188" i="1"/>
  <c r="W202" i="1"/>
  <c r="T188" i="1"/>
  <c r="BH185" i="1"/>
  <c r="B174" i="1"/>
  <c r="B168" i="1"/>
  <c r="B201" i="1" s="1"/>
  <c r="U222" i="1"/>
  <c r="D160" i="1"/>
  <c r="K215" i="1"/>
  <c r="M166" i="1"/>
  <c r="T116" i="1"/>
  <c r="M185" i="1"/>
  <c r="E223" i="1"/>
  <c r="W164" i="1"/>
  <c r="K211" i="1"/>
  <c r="T206" i="1"/>
  <c r="L166" i="1"/>
  <c r="F215" i="1"/>
  <c r="L160" i="1"/>
  <c r="C160" i="1"/>
  <c r="E179" i="1"/>
  <c r="N121" i="1"/>
  <c r="N166" i="1"/>
  <c r="S174" i="1"/>
  <c r="W221" i="1"/>
  <c r="U215" i="1"/>
  <c r="W178" i="1"/>
  <c r="T175" i="1"/>
  <c r="S109" i="1"/>
  <c r="R175" i="1"/>
  <c r="H193" i="1"/>
  <c r="L121" i="1"/>
  <c r="C120" i="1"/>
  <c r="V115" i="1"/>
  <c r="M203" i="1"/>
  <c r="B121" i="1"/>
  <c r="B169" i="1"/>
  <c r="D185" i="1"/>
  <c r="O164" i="1"/>
  <c r="R222" i="1"/>
  <c r="B222" i="1"/>
  <c r="Q197" i="1"/>
  <c r="D211" i="1"/>
  <c r="P166" i="1"/>
  <c r="J174" i="1"/>
  <c r="I179" i="1"/>
  <c r="F206" i="1"/>
  <c r="J175" i="1"/>
  <c r="H188" i="1"/>
  <c r="W196" i="1"/>
  <c r="G186" i="1"/>
  <c r="G230" i="1" s="1"/>
  <c r="R196" i="1"/>
  <c r="R234" i="1" s="1"/>
  <c r="K179" i="1"/>
  <c r="N197" i="1"/>
  <c r="G223" i="1"/>
  <c r="J119" i="1"/>
  <c r="V202" i="1"/>
  <c r="U164" i="1"/>
  <c r="W115" i="1"/>
  <c r="T121" i="1"/>
  <c r="P206" i="1"/>
  <c r="B188" i="1"/>
  <c r="G185" i="1"/>
  <c r="O185" i="1"/>
  <c r="P193" i="1"/>
  <c r="C116" i="1"/>
  <c r="T120" i="1"/>
  <c r="M174" i="1"/>
  <c r="T221" i="1"/>
  <c r="I222" i="1"/>
  <c r="D167" i="1"/>
  <c r="F186" i="1"/>
  <c r="F230" i="1" s="1"/>
  <c r="O169" i="1"/>
  <c r="F188" i="1"/>
  <c r="J185" i="1"/>
  <c r="B206" i="1"/>
  <c r="M179" i="1"/>
  <c r="F175" i="1"/>
  <c r="L179" i="1"/>
  <c r="F211" i="1"/>
  <c r="G164" i="1"/>
  <c r="D168" i="1"/>
  <c r="D201" i="1" s="1"/>
  <c r="S203" i="1"/>
  <c r="C159" i="1"/>
  <c r="I164" i="1"/>
  <c r="O167" i="1"/>
  <c r="J215" i="1"/>
  <c r="W211" i="1"/>
  <c r="F177" i="1"/>
  <c r="F173" i="1" s="1"/>
  <c r="D115" i="1"/>
  <c r="S214" i="1"/>
  <c r="R160" i="1"/>
  <c r="K160" i="1"/>
  <c r="J193" i="1"/>
  <c r="Q178" i="1"/>
  <c r="H223" i="1"/>
  <c r="W187" i="1"/>
  <c r="H210" i="1"/>
  <c r="C178" i="1"/>
  <c r="J159" i="1"/>
  <c r="M196" i="1"/>
  <c r="M234" i="1" s="1"/>
  <c r="F160" i="1"/>
  <c r="L175" i="1"/>
  <c r="O109" i="1"/>
  <c r="E164" i="1"/>
  <c r="C210" i="1"/>
  <c r="F179" i="1"/>
  <c r="W177" i="1"/>
  <c r="W173" i="1" s="1"/>
  <c r="O202" i="1"/>
  <c r="O203" i="1"/>
  <c r="C119" i="1"/>
  <c r="M182" i="1"/>
  <c r="L169" i="1"/>
  <c r="M109" i="1"/>
  <c r="E185" i="1"/>
  <c r="T109" i="1"/>
  <c r="C169" i="1"/>
  <c r="G203" i="1"/>
  <c r="D193" i="1"/>
  <c r="K119" i="1"/>
  <c r="S202" i="1"/>
  <c r="T161" i="1"/>
  <c r="N179" i="1"/>
  <c r="I206" i="1"/>
  <c r="P197" i="1"/>
  <c r="F221" i="1"/>
  <c r="T177" i="1"/>
  <c r="T173" i="1" s="1"/>
  <c r="Q120" i="1"/>
  <c r="U178" i="1"/>
  <c r="Q164" i="1"/>
  <c r="G174" i="1"/>
  <c r="H109" i="1"/>
  <c r="V177" i="1"/>
  <c r="V173" i="1" s="1"/>
  <c r="V175" i="1"/>
  <c r="B187" i="1"/>
  <c r="E221" i="1"/>
  <c r="R169" i="1"/>
  <c r="H206" i="1"/>
  <c r="B211" i="1"/>
  <c r="U185" i="1"/>
  <c r="U121" i="1"/>
  <c r="S115" i="1"/>
  <c r="B109" i="1"/>
  <c r="J221" i="1"/>
  <c r="D116" i="1"/>
  <c r="S177" i="1"/>
  <c r="S173" i="1" s="1"/>
  <c r="C179" i="1"/>
  <c r="P177" i="1"/>
  <c r="P173" i="1" s="1"/>
  <c r="S223" i="1"/>
  <c r="L174" i="1"/>
  <c r="N202" i="1"/>
  <c r="O214" i="1"/>
  <c r="L178" i="1"/>
  <c r="G119" i="1"/>
  <c r="V164" i="1"/>
  <c r="J211" i="1"/>
  <c r="G187" i="1"/>
  <c r="F187" i="1"/>
  <c r="C161" i="1"/>
  <c r="V186" i="1"/>
  <c r="V230" i="1" s="1"/>
  <c r="I214" i="1"/>
  <c r="L206" i="1"/>
  <c r="V109" i="1"/>
  <c r="C193" i="1"/>
  <c r="G121" i="1"/>
  <c r="F214" i="1"/>
  <c r="J115" i="1"/>
  <c r="I185" i="1"/>
  <c r="G178" i="1"/>
  <c r="R109" i="1"/>
  <c r="W161" i="1"/>
  <c r="W168" i="1"/>
  <c r="W201" i="1" s="1"/>
  <c r="Q193" i="1"/>
  <c r="Q161" i="1"/>
  <c r="B105" i="1"/>
  <c r="D187" i="1"/>
  <c r="J203" i="1"/>
  <c r="B215" i="1"/>
  <c r="F196" i="1"/>
  <c r="F234" i="1" s="1"/>
  <c r="R202" i="1"/>
  <c r="R215" i="1"/>
  <c r="N188" i="1"/>
  <c r="R166" i="1"/>
  <c r="O223" i="1"/>
  <c r="F168" i="1"/>
  <c r="F201" i="1" s="1"/>
  <c r="G179" i="1"/>
  <c r="M214" i="1"/>
  <c r="M188" i="1"/>
  <c r="G160" i="1"/>
  <c r="R116" i="1"/>
  <c r="I167" i="1"/>
  <c r="E169" i="1"/>
  <c r="G166" i="1"/>
  <c r="O177" i="1"/>
  <c r="O173" i="1" s="1"/>
  <c r="P187" i="1"/>
  <c r="T223" i="1"/>
  <c r="F169" i="1"/>
  <c r="P160" i="1"/>
  <c r="S182" i="1"/>
  <c r="Q182" i="1"/>
  <c r="B210" i="1"/>
  <c r="C105" i="1"/>
  <c r="T119" i="1"/>
  <c r="S169" i="1"/>
  <c r="W167" i="1"/>
  <c r="L210" i="1"/>
  <c r="I177" i="1"/>
  <c r="I173" i="1" s="1"/>
  <c r="J182" i="1"/>
  <c r="K175" i="1"/>
  <c r="H164" i="1"/>
  <c r="N175" i="1"/>
  <c r="B185" i="1"/>
  <c r="R210" i="1"/>
  <c r="B223" i="1"/>
  <c r="H168" i="1"/>
  <c r="H201" i="1" s="1"/>
  <c r="M116" i="1"/>
  <c r="E175" i="1"/>
  <c r="M210" i="1"/>
  <c r="D169" i="1"/>
  <c r="P120" i="1"/>
  <c r="B202" i="1"/>
  <c r="E188" i="1"/>
  <c r="L188" i="1"/>
  <c r="V211" i="1"/>
  <c r="C222" i="1"/>
  <c r="M160" i="1"/>
  <c r="U223" i="1"/>
  <c r="L189" i="1"/>
  <c r="I221" i="1"/>
  <c r="C185" i="1"/>
  <c r="N115" i="1"/>
  <c r="W120" i="1"/>
  <c r="K187" i="1"/>
  <c r="L222" i="1"/>
  <c r="M119" i="1"/>
  <c r="R159" i="1"/>
  <c r="F174" i="1"/>
  <c r="M177" i="1"/>
  <c r="M173" i="1" s="1"/>
  <c r="C175" i="1"/>
  <c r="N223" i="1"/>
  <c r="W169" i="1"/>
  <c r="H160" i="1"/>
  <c r="T115" i="1"/>
  <c r="J178" i="1"/>
  <c r="B178" i="1"/>
  <c r="L120" i="1"/>
  <c r="D189" i="1"/>
  <c r="L161" i="1"/>
  <c r="L215" i="1"/>
  <c r="G202" i="1"/>
  <c r="B196" i="1"/>
  <c r="B234" i="1" s="1"/>
  <c r="U166" i="1"/>
  <c r="D223" i="1"/>
  <c r="Q186" i="1"/>
  <c r="Q230" i="1" s="1"/>
  <c r="E120" i="1"/>
  <c r="I175" i="1"/>
  <c r="U115" i="1"/>
  <c r="W186" i="1"/>
  <c r="D197" i="1"/>
  <c r="D106" i="1"/>
  <c r="I116" i="1"/>
  <c r="N187" i="1"/>
  <c r="M215" i="1"/>
  <c r="U159" i="1"/>
  <c r="H161" i="1"/>
  <c r="I168" i="1"/>
  <c r="I201" i="1" s="1"/>
  <c r="D120" i="1"/>
  <c r="U169" i="1"/>
  <c r="S215" i="1"/>
  <c r="E196" i="1"/>
  <c r="E234" i="1" s="1"/>
  <c r="E161" i="1"/>
  <c r="V159" i="1"/>
  <c r="M222" i="1"/>
  <c r="P210" i="1"/>
  <c r="P212" i="1" s="1"/>
  <c r="Q260" i="1" s="1"/>
  <c r="E115" i="1"/>
  <c r="F197" i="1"/>
  <c r="I160" i="1"/>
  <c r="C115" i="1"/>
  <c r="U174" i="1"/>
  <c r="B106" i="1"/>
  <c r="T185" i="1"/>
  <c r="C182" i="1"/>
  <c r="G182" i="1"/>
  <c r="D215" i="1"/>
  <c r="S168" i="1"/>
  <c r="S201" i="1" s="1"/>
  <c r="D178" i="1"/>
  <c r="N206" i="1"/>
  <c r="P115" i="1"/>
  <c r="T222" i="1"/>
  <c r="S159" i="1"/>
  <c r="M161" i="1"/>
  <c r="O161" i="1"/>
  <c r="J167" i="1"/>
  <c r="S119" i="1"/>
  <c r="S166" i="1"/>
  <c r="K193" i="1"/>
  <c r="L193" i="1"/>
  <c r="B177" i="1"/>
  <c r="D196" i="1"/>
  <c r="D234" i="1" s="1"/>
  <c r="N109" i="1"/>
  <c r="B119" i="1"/>
  <c r="K214" i="1"/>
  <c r="H115" i="1"/>
  <c r="K169" i="1"/>
  <c r="B173" i="1"/>
  <c r="I193" i="1"/>
  <c r="K188" i="1"/>
  <c r="L115" i="1"/>
  <c r="P175" i="1"/>
  <c r="V206" i="1"/>
  <c r="V179" i="1"/>
  <c r="Q187" i="1"/>
  <c r="Q215" i="1"/>
  <c r="M121" i="1"/>
  <c r="R182" i="1"/>
  <c r="R164" i="1"/>
  <c r="Q223" i="1"/>
  <c r="Q166" i="1"/>
  <c r="P159" i="1"/>
  <c r="W179" i="1"/>
  <c r="N174" i="1"/>
  <c r="V119" i="1"/>
  <c r="Q116" i="1"/>
  <c r="I178" i="1"/>
  <c r="C168" i="1"/>
  <c r="C201" i="1" s="1"/>
  <c r="D121" i="1"/>
  <c r="R186" i="1"/>
  <c r="R230" i="1" s="1"/>
  <c r="B120" i="1"/>
  <c r="V187" i="1"/>
  <c r="W160" i="1"/>
  <c r="O121" i="1"/>
  <c r="U197" i="1"/>
  <c r="F178" i="1"/>
  <c r="R197" i="1"/>
  <c r="F202" i="1"/>
  <c r="G169" i="1"/>
  <c r="K203" i="1"/>
  <c r="L159" i="1"/>
  <c r="W206" i="1"/>
  <c r="M202" i="1"/>
  <c r="J206" i="1"/>
  <c r="I186" i="1"/>
  <c r="I230" i="1" s="1"/>
  <c r="F223" i="1"/>
  <c r="D203" i="1"/>
  <c r="M193" i="1"/>
  <c r="K121" i="1"/>
  <c r="N177" i="1"/>
  <c r="N173" i="1" s="1"/>
  <c r="R120" i="1"/>
  <c r="R167" i="1"/>
  <c r="N164" i="1"/>
  <c r="G188" i="1"/>
  <c r="R223" i="1"/>
  <c r="D206" i="1"/>
  <c r="W222" i="1"/>
  <c r="U186" i="1"/>
  <c r="U230" i="1" s="1"/>
  <c r="K186" i="1"/>
  <c r="K230" i="1" s="1"/>
  <c r="C196" i="1"/>
  <c r="C234" i="1" s="1"/>
  <c r="E206" i="1"/>
  <c r="H177" i="1"/>
  <c r="H173" i="1" s="1"/>
  <c r="G189" i="1"/>
  <c r="B203" i="1"/>
  <c r="J109" i="1"/>
  <c r="T215" i="1"/>
  <c r="F109" i="1"/>
  <c r="D182" i="1"/>
  <c r="Q115" i="1"/>
  <c r="T197" i="1"/>
  <c r="Q214" i="1"/>
  <c r="J189" i="1"/>
  <c r="T168" i="1"/>
  <c r="T201" i="1" s="1"/>
  <c r="T174" i="1"/>
  <c r="R214" i="1"/>
  <c r="B164" i="1"/>
  <c r="E167" i="1"/>
  <c r="E177" i="1"/>
  <c r="E173" i="1" s="1"/>
  <c r="G193" i="1"/>
  <c r="L202" i="1"/>
  <c r="J179" i="1"/>
  <c r="I188" i="1"/>
  <c r="C177" i="1"/>
  <c r="U196" i="1"/>
  <c r="U234" i="1" s="1"/>
  <c r="H197" i="1"/>
  <c r="F222" i="1"/>
  <c r="P223" i="1"/>
  <c r="V196" i="1"/>
  <c r="V234" i="1" s="1"/>
  <c r="T179" i="1"/>
  <c r="H174" i="1"/>
  <c r="H166" i="1"/>
  <c r="Q175" i="1"/>
  <c r="L214" i="1"/>
  <c r="N189" i="1"/>
  <c r="U182" i="1"/>
  <c r="I174" i="1"/>
  <c r="W109" i="1"/>
  <c r="R178" i="1"/>
  <c r="B161" i="1"/>
  <c r="V221" i="1"/>
  <c r="I119" i="1"/>
  <c r="M187" i="1"/>
  <c r="E178" i="1"/>
  <c r="S178" i="1"/>
  <c r="K164" i="1"/>
  <c r="V120" i="1"/>
  <c r="P167" i="1"/>
  <c r="G197" i="1"/>
  <c r="S167" i="1"/>
  <c r="G221" i="1"/>
  <c r="V160" i="1"/>
  <c r="J160" i="1"/>
  <c r="V214" i="1"/>
  <c r="Q210" i="1"/>
  <c r="U167" i="1"/>
  <c r="H169" i="1"/>
  <c r="D221" i="1"/>
  <c r="F115" i="1"/>
  <c r="S120" i="1"/>
  <c r="Q206" i="1"/>
  <c r="T166" i="1"/>
  <c r="L185" i="1"/>
  <c r="I121" i="1"/>
  <c r="C188" i="1"/>
  <c r="G168" i="1"/>
  <c r="G201" i="1" s="1"/>
  <c r="P119" i="1"/>
  <c r="F203" i="1"/>
  <c r="H189" i="1"/>
  <c r="C186" i="1"/>
  <c r="C230" i="1" s="1"/>
  <c r="S210" i="1"/>
  <c r="K109" i="1"/>
  <c r="Q185" i="1"/>
  <c r="T164" i="1"/>
  <c r="I109" i="1"/>
  <c r="O187" i="1"/>
  <c r="B175" i="1"/>
  <c r="W116" i="1"/>
  <c r="O166" i="1"/>
  <c r="K185" i="1"/>
  <c r="Q174" i="1"/>
  <c r="U109" i="1"/>
  <c r="W166" i="1"/>
  <c r="C214" i="1"/>
  <c r="K182" i="1"/>
  <c r="T211" i="1"/>
  <c r="N168" i="1"/>
  <c r="N201" i="1" s="1"/>
  <c r="B166" i="1"/>
  <c r="V169" i="1"/>
  <c r="C202" i="1"/>
  <c r="K166" i="1"/>
  <c r="U177" i="1"/>
  <c r="U173" i="1" s="1"/>
  <c r="E214" i="1"/>
  <c r="V222" i="1"/>
  <c r="Q221" i="1"/>
  <c r="M186" i="1"/>
  <c r="M230" i="1" s="1"/>
  <c r="E186" i="1"/>
  <c r="E230" i="1" s="1"/>
  <c r="D179" i="1"/>
  <c r="L211" i="1"/>
  <c r="S187" i="1"/>
  <c r="D159" i="1"/>
  <c r="U116" i="1"/>
  <c r="E189" i="1"/>
  <c r="J222" i="1"/>
  <c r="Q168" i="1"/>
  <c r="Q201" i="1" s="1"/>
  <c r="C106" i="1"/>
  <c r="Q121" i="1"/>
  <c r="N221" i="1"/>
  <c r="G159" i="1"/>
  <c r="J168" i="1"/>
  <c r="J201" i="1" s="1"/>
  <c r="M189" i="1"/>
  <c r="O159" i="1"/>
  <c r="P222" i="1"/>
  <c r="M159" i="1"/>
  <c r="O211" i="1"/>
  <c r="R121" i="1"/>
  <c r="B160" i="1"/>
  <c r="V178" i="1"/>
  <c r="S221" i="1"/>
  <c r="O210" i="1"/>
  <c r="H120" i="1"/>
  <c r="D188" i="1"/>
  <c r="R174" i="1"/>
  <c r="K159" i="1"/>
  <c r="L116" i="1"/>
  <c r="J166" i="1"/>
  <c r="S196" i="1"/>
  <c r="S234" i="1" s="1"/>
  <c r="V215" i="1"/>
  <c r="E119" i="1"/>
  <c r="T169" i="1"/>
  <c r="O119" i="1"/>
  <c r="B186" i="1"/>
  <c r="B230" i="1" s="1"/>
  <c r="L177" i="1"/>
  <c r="L173" i="1" s="1"/>
  <c r="L164" i="1"/>
  <c r="V168" i="1"/>
  <c r="V201" i="1" s="1"/>
  <c r="N119" i="1"/>
  <c r="R115" i="1"/>
  <c r="O189" i="1"/>
  <c r="U206" i="1"/>
  <c r="O196" i="1"/>
  <c r="O234" i="1" s="1"/>
  <c r="N160" i="1"/>
  <c r="G222" i="1"/>
  <c r="U187" i="1"/>
  <c r="Q203" i="1"/>
  <c r="K161" i="1"/>
  <c r="P178" i="1"/>
  <c r="C189" i="1"/>
  <c r="N215" i="1"/>
  <c r="P185" i="1"/>
  <c r="G177" i="1"/>
  <c r="G173" i="1" s="1"/>
  <c r="M167" i="1"/>
  <c r="D105" i="1"/>
  <c r="C109" i="1"/>
  <c r="P186" i="1"/>
  <c r="P230" i="1" s="1"/>
  <c r="F167" i="1"/>
  <c r="E202" i="1"/>
  <c r="V166" i="1"/>
  <c r="U202" i="1"/>
  <c r="O168" i="1"/>
  <c r="O201" i="1" s="1"/>
  <c r="V210" i="1"/>
  <c r="K197" i="1"/>
  <c r="E160" i="1"/>
  <c r="E168" i="1"/>
  <c r="E201" i="1" s="1"/>
  <c r="V185" i="1"/>
  <c r="R211" i="1"/>
  <c r="T182" i="1"/>
  <c r="U211" i="1"/>
  <c r="P202" i="1"/>
  <c r="I203" i="1"/>
  <c r="I210" i="1"/>
  <c r="K116" i="1"/>
  <c r="O115" i="1"/>
  <c r="I166" i="1"/>
  <c r="K206" i="1"/>
  <c r="D161" i="1"/>
  <c r="N161" i="1"/>
  <c r="B214" i="1"/>
  <c r="H185" i="1"/>
  <c r="K189" i="1"/>
  <c r="N203" i="1"/>
  <c r="D166" i="1"/>
  <c r="N182" i="1"/>
  <c r="J164" i="1"/>
  <c r="T167" i="1"/>
  <c r="B182" i="1"/>
  <c r="Q169" i="1"/>
  <c r="Q109" i="1"/>
  <c r="P214" i="1"/>
  <c r="J187" i="1"/>
  <c r="I202" i="1"/>
  <c r="Q160" i="1"/>
  <c r="B189" i="1"/>
  <c r="W223" i="1"/>
  <c r="H116" i="1"/>
  <c r="R161" i="1"/>
  <c r="C203" i="1"/>
  <c r="L196" i="1"/>
  <c r="L234" i="1" s="1"/>
  <c r="P182" i="1"/>
  <c r="E182" i="1"/>
  <c r="T178" i="1"/>
  <c r="K167" i="1"/>
  <c r="P179" i="1"/>
  <c r="V182" i="1"/>
  <c r="E215" i="1"/>
  <c r="I187" i="1"/>
  <c r="W121" i="1"/>
  <c r="O120" i="1"/>
  <c r="N211" i="1"/>
  <c r="U161" i="1"/>
  <c r="D214" i="1"/>
  <c r="T159" i="1"/>
  <c r="H186" i="1"/>
  <c r="E222" i="1"/>
  <c r="O160" i="1"/>
  <c r="P168" i="1"/>
  <c r="P201" i="1" s="1"/>
  <c r="V116" i="1"/>
  <c r="E203" i="1"/>
  <c r="S197" i="1"/>
  <c r="Q167" i="1"/>
  <c r="M120" i="1"/>
  <c r="K178" i="1"/>
  <c r="R177" i="1"/>
  <c r="R173" i="1" s="1"/>
  <c r="E159" i="1"/>
  <c r="C174" i="1"/>
  <c r="Q119" i="1"/>
  <c r="O182" i="1"/>
  <c r="B193" i="1"/>
  <c r="H202" i="1"/>
  <c r="C164" i="1"/>
  <c r="K115" i="1"/>
  <c r="M115" i="1"/>
  <c r="L186" i="1"/>
  <c r="L230" i="1" s="1"/>
  <c r="M211" i="1"/>
  <c r="W175" i="1"/>
  <c r="H215" i="1"/>
  <c r="S160" i="1"/>
  <c r="S222" i="1"/>
  <c r="J121" i="1"/>
  <c r="K202" i="1"/>
  <c r="O179" i="1"/>
  <c r="O188" i="1"/>
  <c r="W203" i="1"/>
  <c r="I215" i="1"/>
  <c r="D175" i="1"/>
  <c r="S161" i="1"/>
  <c r="S179" i="1"/>
  <c r="C215" i="1"/>
  <c r="F116" i="1"/>
  <c r="V161" i="1"/>
  <c r="G211" i="1"/>
  <c r="G115" i="1"/>
  <c r="T210" i="1"/>
  <c r="B221" i="1"/>
  <c r="C167" i="1"/>
  <c r="C197" i="1"/>
  <c r="C121" i="1"/>
  <c r="B179" i="1"/>
  <c r="V203" i="1"/>
  <c r="F164" i="1"/>
  <c r="S206" i="1"/>
  <c r="N196" i="1"/>
  <c r="N234" i="1" s="1"/>
  <c r="F166" i="1"/>
  <c r="H187" i="1"/>
  <c r="L203" i="1"/>
  <c r="R221" i="1"/>
  <c r="H196" i="1"/>
  <c r="H234" i="1" s="1"/>
  <c r="E174" i="1"/>
  <c r="L197" i="1"/>
  <c r="W197" i="1"/>
  <c r="C173" i="1"/>
  <c r="I223" i="1"/>
  <c r="I211" i="1"/>
  <c r="J188" i="1"/>
  <c r="N214" i="1"/>
  <c r="M223" i="1"/>
  <c r="Q222" i="1"/>
  <c r="J202" i="1"/>
  <c r="U210" i="1"/>
  <c r="P174" i="1"/>
  <c r="F193" i="1"/>
  <c r="H182" i="1"/>
  <c r="B167" i="1"/>
  <c r="H221" i="1"/>
  <c r="R185" i="1"/>
  <c r="E187" i="1"/>
  <c r="W214" i="1"/>
  <c r="H159" i="1"/>
  <c r="U168" i="1"/>
  <c r="U201" i="1" s="1"/>
  <c r="T186" i="1"/>
  <c r="T230" i="1" s="1"/>
  <c r="G167" i="1"/>
  <c r="I197" i="1"/>
  <c r="C221" i="1"/>
  <c r="M197" i="1"/>
  <c r="O174" i="1"/>
  <c r="Q211" i="1"/>
  <c r="N186" i="1"/>
  <c r="L187" i="1"/>
  <c r="J186" i="1"/>
  <c r="J230" i="1" s="1"/>
  <c r="J214" i="1"/>
  <c r="R206" i="1"/>
  <c r="I159" i="1"/>
  <c r="N210" i="1"/>
  <c r="I189" i="1"/>
  <c r="N159" i="1"/>
  <c r="K223" i="1"/>
  <c r="H119" i="1"/>
  <c r="D177" i="1"/>
  <c r="I182" i="1"/>
  <c r="V174" i="1"/>
  <c r="J223" i="1"/>
  <c r="N120" i="1"/>
  <c r="H167" i="1"/>
  <c r="E211" i="1"/>
  <c r="E212" i="1" s="1"/>
  <c r="F260" i="1" s="1"/>
  <c r="E116" i="1"/>
  <c r="O178" i="1"/>
  <c r="S211" i="1"/>
  <c r="G109" i="1"/>
  <c r="I169" i="1"/>
  <c r="F185" i="1"/>
  <c r="H179" i="1"/>
  <c r="G116" i="1"/>
  <c r="L168" i="1"/>
  <c r="L201" i="1" s="1"/>
  <c r="U175" i="1"/>
  <c r="L109" i="1"/>
  <c r="N178" i="1"/>
  <c r="U214" i="1"/>
  <c r="F120" i="1"/>
  <c r="J177" i="1"/>
  <c r="J173" i="1" s="1"/>
  <c r="F119" i="1"/>
  <c r="B197" i="1"/>
  <c r="E109" i="1"/>
  <c r="D186" i="1"/>
  <c r="D230" i="1" s="1"/>
  <c r="D202" i="1"/>
  <c r="E121" i="1"/>
  <c r="I115" i="1"/>
  <c r="P121" i="1"/>
  <c r="H178" i="1"/>
  <c r="K168" i="1"/>
  <c r="K201" i="1" s="1"/>
  <c r="U120" i="1"/>
  <c r="O175" i="1"/>
  <c r="D173" i="1"/>
  <c r="W210" i="1"/>
  <c r="D174" i="1"/>
  <c r="R203" i="1"/>
  <c r="G210" i="1"/>
  <c r="M169" i="1"/>
  <c r="Q177" i="1"/>
  <c r="Q173" i="1" s="1"/>
  <c r="B159" i="1"/>
  <c r="G175" i="1"/>
  <c r="K120" i="1"/>
  <c r="P109" i="1"/>
  <c r="S116" i="1"/>
  <c r="V223" i="1"/>
  <c r="M164" i="1"/>
  <c r="S185" i="1"/>
  <c r="Q202" i="1"/>
  <c r="J197" i="1"/>
  <c r="V121" i="1"/>
  <c r="S175" i="1"/>
  <c r="M178" i="1"/>
  <c r="H211" i="1"/>
  <c r="N193" i="1"/>
  <c r="M221" i="1"/>
  <c r="E166" i="1"/>
  <c r="K222" i="1"/>
  <c r="M175" i="1"/>
  <c r="D109" i="1"/>
  <c r="K210" i="1"/>
  <c r="W119" i="1"/>
  <c r="Q159" i="1"/>
  <c r="W215" i="1"/>
  <c r="P221" i="1"/>
  <c r="R179" i="1"/>
  <c r="I120" i="1"/>
  <c r="U221" i="1"/>
  <c r="E197" i="1"/>
  <c r="I161" i="1"/>
  <c r="F182" i="1"/>
  <c r="O193" i="1"/>
  <c r="T160" i="1"/>
  <c r="C223" i="1"/>
  <c r="E193" i="1"/>
  <c r="K174" i="1"/>
  <c r="L221" i="1"/>
  <c r="C211" i="1"/>
  <c r="J196" i="1"/>
  <c r="J234" i="1" s="1"/>
  <c r="T187" i="1"/>
  <c r="H175" i="1"/>
  <c r="L223" i="1"/>
  <c r="H214" i="1"/>
  <c r="R119" i="1"/>
  <c r="K221" i="1"/>
  <c r="W182" i="1"/>
  <c r="F121" i="1"/>
  <c r="N222" i="1"/>
  <c r="C187" i="1"/>
  <c r="O186" i="1"/>
  <c r="O230" i="1" s="1"/>
  <c r="F189" i="1"/>
  <c r="T196" i="1"/>
  <c r="T234" i="1" s="1"/>
  <c r="R168" i="1"/>
  <c r="R201" i="1" s="1"/>
  <c r="M206" i="1"/>
  <c r="D210" i="1"/>
  <c r="J120" i="1"/>
  <c r="C206" i="1"/>
  <c r="H121" i="1"/>
  <c r="H222" i="1"/>
  <c r="K177" i="1"/>
  <c r="K173" i="1" s="1"/>
  <c r="S186" i="1"/>
  <c r="S230" i="1" s="1"/>
  <c r="N167" i="1"/>
  <c r="O221" i="1"/>
  <c r="H203" i="1"/>
  <c r="F210" i="1"/>
  <c r="W185" i="1"/>
  <c r="L167" i="1"/>
  <c r="O215" i="1"/>
  <c r="O206" i="1"/>
  <c r="F161" i="1"/>
  <c r="O222" i="1"/>
  <c r="R187" i="1"/>
  <c r="Q179" i="1"/>
  <c r="G206" i="1"/>
  <c r="P215" i="1"/>
  <c r="K196" i="1"/>
  <c r="K234" i="1" s="1"/>
  <c r="O116" i="1"/>
  <c r="D119" i="1"/>
  <c r="N185" i="1"/>
  <c r="S121" i="1"/>
  <c r="U119" i="1"/>
  <c r="J210" i="1"/>
  <c r="G161" i="1"/>
  <c r="V197" i="1"/>
  <c r="S164" i="1"/>
  <c r="L182" i="1"/>
  <c r="T214" i="1"/>
  <c r="N169" i="1"/>
  <c r="U160" i="1"/>
  <c r="P116" i="1"/>
  <c r="P164" i="1"/>
  <c r="F159" i="1"/>
  <c r="T203" i="1"/>
  <c r="D222" i="1"/>
  <c r="U179" i="1"/>
  <c r="N116" i="1"/>
  <c r="P161" i="1"/>
  <c r="I196" i="1"/>
  <c r="I234" i="1" s="1"/>
  <c r="T202" i="1"/>
  <c r="M168" i="1"/>
  <c r="J169" i="1"/>
  <c r="V167" i="1"/>
  <c r="O197" i="1"/>
  <c r="G120" i="1"/>
  <c r="J116" i="1"/>
  <c r="L119" i="1"/>
  <c r="G215" i="1"/>
  <c r="U203" i="1"/>
  <c r="AQ42" i="1"/>
  <c r="BV63" i="1"/>
  <c r="BW42" i="1"/>
  <c r="BE63" i="1"/>
  <c r="BA42" i="1"/>
  <c r="BN42" i="1"/>
  <c r="BD42" i="1"/>
  <c r="AS63" i="1"/>
  <c r="AR63" i="1"/>
  <c r="BP63" i="1"/>
  <c r="AW42" i="1"/>
  <c r="BC42" i="1"/>
  <c r="BB63" i="1"/>
  <c r="AW63" i="1"/>
  <c r="BG42" i="1"/>
  <c r="BM42" i="1"/>
  <c r="BI63" i="1"/>
  <c r="BT63" i="1"/>
  <c r="AZ42" i="1"/>
  <c r="AI42" i="1"/>
  <c r="BF63" i="1"/>
  <c r="AO42" i="1"/>
  <c r="BV42" i="1"/>
  <c r="BF42" i="1"/>
  <c r="AX63" i="1"/>
  <c r="BH88" i="1"/>
  <c r="AP42" i="1"/>
  <c r="BE42" i="1"/>
  <c r="BO42" i="1"/>
  <c r="AZ63" i="1"/>
  <c r="BJ63" i="1"/>
  <c r="BJ68" i="1" s="1"/>
  <c r="AU89" i="1"/>
  <c r="BD63" i="1"/>
  <c r="AY63" i="1"/>
  <c r="BR63" i="1"/>
  <c r="BK42" i="1"/>
  <c r="BQ42" i="1"/>
  <c r="AP63" i="1"/>
  <c r="BS42" i="1"/>
  <c r="AO63" i="1"/>
  <c r="BW63" i="1"/>
  <c r="AQ63" i="1"/>
  <c r="AV63" i="1"/>
  <c r="BM63" i="1"/>
  <c r="BP42" i="1"/>
  <c r="BG63" i="1"/>
  <c r="BH63" i="1"/>
  <c r="AT63" i="1"/>
  <c r="AN63" i="1"/>
  <c r="BS63" i="1"/>
  <c r="BU63" i="1"/>
  <c r="BO63" i="1"/>
  <c r="BJ42" i="1"/>
  <c r="BJ43" i="1" s="1"/>
  <c r="BJ49" i="1" s="1"/>
  <c r="BC63" i="1"/>
  <c r="BK63" i="1"/>
  <c r="BQ63" i="1"/>
  <c r="AU63" i="1"/>
  <c r="BN63" i="1"/>
  <c r="BA63" i="1"/>
  <c r="AI63" i="1"/>
  <c r="AN42" i="1"/>
  <c r="BH42" i="1"/>
  <c r="AW89" i="1"/>
  <c r="AV42" i="1"/>
  <c r="AR42" i="1"/>
  <c r="BR42" i="1"/>
  <c r="AT42" i="1"/>
  <c r="BT42" i="1"/>
  <c r="BI42" i="1"/>
  <c r="BU42" i="1"/>
  <c r="AX42" i="1"/>
  <c r="AS42" i="1"/>
  <c r="AU42" i="1"/>
  <c r="BB42" i="1"/>
  <c r="AV89" i="1"/>
  <c r="AY42" i="1"/>
  <c r="BH193" i="1"/>
  <c r="BI193" i="1" s="1"/>
  <c r="BV179" i="1"/>
  <c r="BW179" i="1" s="1"/>
  <c r="BV193" i="1"/>
  <c r="BW193" i="1" s="1"/>
  <c r="BH179" i="1"/>
  <c r="BI179" i="1" s="1"/>
  <c r="AV74" i="1"/>
  <c r="AV245" i="1" s="1"/>
  <c r="BF67" i="1"/>
  <c r="AY78" i="1"/>
  <c r="BU93" i="1"/>
  <c r="BE46" i="1"/>
  <c r="AP89" i="1"/>
  <c r="AQ78" i="1"/>
  <c r="AU67" i="1"/>
  <c r="BG89" i="1"/>
  <c r="AW60" i="1"/>
  <c r="AY59" i="1"/>
  <c r="BJ81" i="1"/>
  <c r="AR87" i="1"/>
  <c r="BV88" i="1"/>
  <c r="AQ67" i="1"/>
  <c r="BM81" i="1"/>
  <c r="BK89" i="1"/>
  <c r="BK47" i="1"/>
  <c r="BF53" i="1"/>
  <c r="AW93" i="1"/>
  <c r="BJ115" i="1"/>
  <c r="BG81" i="1"/>
  <c r="BH214" i="1"/>
  <c r="BI214" i="1" s="1"/>
  <c r="BU41" i="1"/>
  <c r="BQ53" i="1"/>
  <c r="AQ48" i="1"/>
  <c r="BS60" i="1"/>
  <c r="AX48" i="1"/>
  <c r="BS74" i="1"/>
  <c r="BS245" i="1" s="1"/>
  <c r="BH182" i="1"/>
  <c r="BI182" i="1" s="1"/>
  <c r="BJ253" i="1" s="1"/>
  <c r="BC67" i="1"/>
  <c r="AI48" i="1"/>
  <c r="BM78" i="1"/>
  <c r="BG88" i="1"/>
  <c r="AS93" i="1"/>
  <c r="BB77" i="1"/>
  <c r="BB93" i="1"/>
  <c r="AR88" i="1"/>
  <c r="AU47" i="1"/>
  <c r="BD41" i="1"/>
  <c r="BD8" i="1" s="1"/>
  <c r="AP48" i="1"/>
  <c r="BB89" i="1"/>
  <c r="BV167" i="1"/>
  <c r="BW167" i="1" s="1"/>
  <c r="BM67" i="1"/>
  <c r="BK88" i="1"/>
  <c r="BK53" i="1"/>
  <c r="AT77" i="1"/>
  <c r="BW78" i="1"/>
  <c r="BI59" i="1"/>
  <c r="BJ87" i="1"/>
  <c r="AS74" i="1"/>
  <c r="AT78" i="1"/>
  <c r="BQ60" i="1"/>
  <c r="BT48" i="1"/>
  <c r="BH210" i="1"/>
  <c r="BI46" i="1"/>
  <c r="BE47" i="1"/>
  <c r="AY67" i="1"/>
  <c r="BH215" i="1"/>
  <c r="BI215" i="1" s="1"/>
  <c r="BH115" i="1"/>
  <c r="AP88" i="1"/>
  <c r="BH189" i="1"/>
  <c r="AY74" i="1"/>
  <c r="AY245" i="1" s="1"/>
  <c r="AR47" i="1"/>
  <c r="BP81" i="1"/>
  <c r="BE88" i="1"/>
  <c r="AQ87" i="1"/>
  <c r="BB59" i="1"/>
  <c r="BW46" i="1"/>
  <c r="BD93" i="1"/>
  <c r="BO81" i="1"/>
  <c r="AI81" i="1"/>
  <c r="BI48" i="1"/>
  <c r="BQ41" i="1"/>
  <c r="BQ8" i="1" s="1"/>
  <c r="BF93" i="1"/>
  <c r="AV67" i="1"/>
  <c r="AT48" i="1"/>
  <c r="BT93" i="1"/>
  <c r="AQ53" i="1"/>
  <c r="BS88" i="1"/>
  <c r="BB74" i="1"/>
  <c r="BH188" i="1"/>
  <c r="BI188" i="1" s="1"/>
  <c r="BV161" i="1"/>
  <c r="BT59" i="1"/>
  <c r="BQ89" i="1"/>
  <c r="BV160" i="1"/>
  <c r="BW160" i="1" s="1"/>
  <c r="BN41" i="1"/>
  <c r="BN8" i="1" s="1"/>
  <c r="BR77" i="1"/>
  <c r="BU88" i="1"/>
  <c r="AX87" i="1"/>
  <c r="AN47" i="1"/>
  <c r="AT47" i="1"/>
  <c r="BK59" i="1"/>
  <c r="BJ77" i="1"/>
  <c r="AP67" i="1"/>
  <c r="AX47" i="1"/>
  <c r="BR67" i="1"/>
  <c r="BM88" i="1"/>
  <c r="BP93" i="1"/>
  <c r="BA81" i="1"/>
  <c r="BM48" i="1"/>
  <c r="BQ78" i="1"/>
  <c r="AZ93" i="1"/>
  <c r="BE81" i="1"/>
  <c r="AI89" i="1"/>
  <c r="BU89" i="1"/>
  <c r="BB88" i="1"/>
  <c r="BF60" i="1"/>
  <c r="BD60" i="1"/>
  <c r="BM53" i="1"/>
  <c r="BT53" i="1"/>
  <c r="BQ74" i="1"/>
  <c r="BQ245" i="1" s="1"/>
  <c r="AS67" i="1"/>
  <c r="AJ115" i="1"/>
  <c r="BP88" i="1"/>
  <c r="AW46" i="1"/>
  <c r="AV47" i="1"/>
  <c r="BI47" i="1"/>
  <c r="AS60" i="1"/>
  <c r="BI87" i="1"/>
  <c r="BP46" i="1"/>
  <c r="AZ60" i="1"/>
  <c r="AY81" i="1"/>
  <c r="BH53" i="1"/>
  <c r="BA60" i="1"/>
  <c r="BC78" i="1"/>
  <c r="BR74" i="1"/>
  <c r="AX53" i="1"/>
  <c r="BS46" i="1"/>
  <c r="BQ59" i="1"/>
  <c r="BE59" i="1"/>
  <c r="BP41" i="1"/>
  <c r="BV202" i="1"/>
  <c r="BW202" i="1" s="1"/>
  <c r="BA46" i="1"/>
  <c r="BV93" i="1"/>
  <c r="AY46" i="1"/>
  <c r="BI88" i="1"/>
  <c r="BH187" i="1"/>
  <c r="BI187" i="1" s="1"/>
  <c r="BN60" i="1"/>
  <c r="AS53" i="1"/>
  <c r="AW48" i="1"/>
  <c r="AU87" i="1"/>
  <c r="AI46" i="1"/>
  <c r="AT41" i="1"/>
  <c r="BT89" i="1"/>
  <c r="BE93" i="1"/>
  <c r="BR60" i="1"/>
  <c r="BA53" i="1"/>
  <c r="AI53" i="1"/>
  <c r="AN81" i="1"/>
  <c r="BW88" i="1"/>
  <c r="AY41" i="1"/>
  <c r="AY8" i="1" s="1"/>
  <c r="BW48" i="1"/>
  <c r="AM87" i="1"/>
  <c r="AT53" i="1"/>
  <c r="BE67" i="1"/>
  <c r="AR46" i="1"/>
  <c r="BM47" i="1"/>
  <c r="BC77" i="1"/>
  <c r="BG74" i="1"/>
  <c r="BG245" i="1" s="1"/>
  <c r="AZ81" i="1"/>
  <c r="BH59" i="1"/>
  <c r="BJ93" i="1"/>
  <c r="BS93" i="1"/>
  <c r="BR88" i="1"/>
  <c r="BE89" i="1"/>
  <c r="AY60" i="1"/>
  <c r="BV206" i="1"/>
  <c r="BW206" i="1" s="1"/>
  <c r="BV81" i="1"/>
  <c r="BQ93" i="1"/>
  <c r="AI88" i="1"/>
  <c r="AN89" i="1"/>
  <c r="AQ89" i="1"/>
  <c r="BW53" i="1"/>
  <c r="AO48" i="1"/>
  <c r="AW47" i="1"/>
  <c r="BR48" i="1"/>
  <c r="BH67" i="1"/>
  <c r="AI60" i="1"/>
  <c r="BO89" i="1"/>
  <c r="AP74" i="1"/>
  <c r="AQ74" i="1"/>
  <c r="BT60" i="1"/>
  <c r="AY89" i="1"/>
  <c r="BV201" i="1"/>
  <c r="BW201" i="1" s="1"/>
  <c r="AZ59" i="1"/>
  <c r="BK77" i="1"/>
  <c r="BH116" i="1"/>
  <c r="BH74" i="1"/>
  <c r="BH245" i="1" s="1"/>
  <c r="AT60" i="1"/>
  <c r="BV174" i="1"/>
  <c r="BR93" i="1"/>
  <c r="BP89" i="1"/>
  <c r="AN77" i="1"/>
  <c r="BS59" i="1"/>
  <c r="AX93" i="1"/>
  <c r="AZ46" i="1"/>
  <c r="BB67" i="1"/>
  <c r="AW78" i="1"/>
  <c r="BD48" i="1"/>
  <c r="BN74" i="1"/>
  <c r="BM41" i="1"/>
  <c r="BM8" i="1" s="1"/>
  <c r="AO47" i="1"/>
  <c r="BN47" i="1"/>
  <c r="BH41" i="1"/>
  <c r="BA78" i="1"/>
  <c r="BH159" i="1"/>
  <c r="BA93" i="1"/>
  <c r="BH93" i="1"/>
  <c r="AP77" i="1"/>
  <c r="BS77" i="1"/>
  <c r="BN46" i="1"/>
  <c r="AY77" i="1"/>
  <c r="AV53" i="1"/>
  <c r="BW89" i="1"/>
  <c r="BO60" i="1"/>
  <c r="BO67" i="1"/>
  <c r="BB46" i="1"/>
  <c r="BI89" i="1"/>
  <c r="AN78" i="1"/>
  <c r="AU46" i="1"/>
  <c r="BT81" i="1"/>
  <c r="BQ87" i="1"/>
  <c r="BG59" i="1"/>
  <c r="BU78" i="1"/>
  <c r="BV164" i="1"/>
  <c r="BW164" i="1" s="1"/>
  <c r="BQ77" i="1"/>
  <c r="BO74" i="1"/>
  <c r="BO245" i="1" s="1"/>
  <c r="BG60" i="1"/>
  <c r="BV210" i="1"/>
  <c r="AM115" i="1"/>
  <c r="BO93" i="1"/>
  <c r="AO81" i="1"/>
  <c r="BV60" i="1"/>
  <c r="BH160" i="1"/>
  <c r="BI160" i="1" s="1"/>
  <c r="BS41" i="1"/>
  <c r="BH78" i="1"/>
  <c r="AZ47" i="1"/>
  <c r="BV187" i="1"/>
  <c r="BW187" i="1" s="1"/>
  <c r="BG67" i="1"/>
  <c r="AQ60" i="1"/>
  <c r="AP41" i="1"/>
  <c r="AP282" i="1" s="1"/>
  <c r="AO46" i="1"/>
  <c r="BD77" i="1"/>
  <c r="BD81" i="1"/>
  <c r="BW87" i="1"/>
  <c r="BR47" i="1"/>
  <c r="AT81" i="1"/>
  <c r="BT67" i="1"/>
  <c r="AN88" i="1"/>
  <c r="AZ41" i="1"/>
  <c r="AZ8" i="1" s="1"/>
  <c r="AN59" i="1"/>
  <c r="BV48" i="1"/>
  <c r="AQ47" i="1"/>
  <c r="BP74" i="1"/>
  <c r="BI67" i="1"/>
  <c r="BA87" i="1"/>
  <c r="AZ89" i="1"/>
  <c r="BV197" i="1"/>
  <c r="BW197" i="1" s="1"/>
  <c r="BW74" i="1"/>
  <c r="BW245" i="1" s="1"/>
  <c r="AV48" i="1"/>
  <c r="AO60" i="1"/>
  <c r="BO77" i="1"/>
  <c r="BM77" i="1"/>
  <c r="AP46" i="1"/>
  <c r="AS47" i="1"/>
  <c r="BG48" i="1"/>
  <c r="BV214" i="1"/>
  <c r="BW214" i="1" s="1"/>
  <c r="BV115" i="1"/>
  <c r="AQ46" i="1"/>
  <c r="AX67" i="1"/>
  <c r="BV189" i="1"/>
  <c r="BW189" i="1" s="1"/>
  <c r="BK41" i="1"/>
  <c r="BK8" i="1" s="1"/>
  <c r="AR89" i="1"/>
  <c r="AU48" i="1"/>
  <c r="BT46" i="1"/>
  <c r="AI41" i="1"/>
  <c r="BU81" i="1"/>
  <c r="BC88" i="1"/>
  <c r="BA89" i="1"/>
  <c r="BD89" i="1"/>
  <c r="BW47" i="1"/>
  <c r="BG53" i="1"/>
  <c r="AO87" i="1"/>
  <c r="BN88" i="1"/>
  <c r="AW74" i="1"/>
  <c r="AW245" i="1" s="1"/>
  <c r="BC46" i="1"/>
  <c r="AM116" i="1"/>
  <c r="BS87" i="1"/>
  <c r="BU53" i="1"/>
  <c r="BU77" i="1"/>
  <c r="BN89" i="1"/>
  <c r="BH202" i="1"/>
  <c r="BI202" i="1" s="1"/>
  <c r="BR89" i="1"/>
  <c r="BA41" i="1"/>
  <c r="AZ53" i="1"/>
  <c r="BO78" i="1"/>
  <c r="AI67" i="1"/>
  <c r="BE77" i="1"/>
  <c r="AW41" i="1"/>
  <c r="AW8" i="1" s="1"/>
  <c r="BP47" i="1"/>
  <c r="BR87" i="1"/>
  <c r="AR59" i="1"/>
  <c r="BF77" i="1"/>
  <c r="BV215" i="1"/>
  <c r="BW215" i="1" s="1"/>
  <c r="BO88" i="1"/>
  <c r="BA77" i="1"/>
  <c r="AZ48" i="1"/>
  <c r="AV88" i="1"/>
  <c r="BQ67" i="1"/>
  <c r="AX74" i="1"/>
  <c r="AX245" i="1" s="1"/>
  <c r="AO41" i="1"/>
  <c r="BV59" i="1"/>
  <c r="AJ116" i="1"/>
  <c r="BC53" i="1"/>
  <c r="BI53" i="1"/>
  <c r="BA74" i="1"/>
  <c r="AO93" i="1"/>
  <c r="BB41" i="1"/>
  <c r="BB8" i="1" s="1"/>
  <c r="BW77" i="1"/>
  <c r="BK74" i="1"/>
  <c r="AO67" i="1"/>
  <c r="AW59" i="1"/>
  <c r="BE53" i="1"/>
  <c r="BR78" i="1"/>
  <c r="BS81" i="1"/>
  <c r="AV77" i="1"/>
  <c r="BU60" i="1"/>
  <c r="BH161" i="1"/>
  <c r="BR41" i="1"/>
  <c r="BH201" i="1"/>
  <c r="BI201" i="1" s="1"/>
  <c r="BM60" i="1"/>
  <c r="BN87" i="1"/>
  <c r="AU41" i="1"/>
  <c r="AU8" i="1" s="1"/>
  <c r="BC93" i="1"/>
  <c r="AX89" i="1"/>
  <c r="BI74" i="1"/>
  <c r="BM87" i="1"/>
  <c r="BW67" i="1"/>
  <c r="AP59" i="1"/>
  <c r="BA88" i="1"/>
  <c r="BN81" i="1"/>
  <c r="AR74" i="1"/>
  <c r="AR245" i="1" s="1"/>
  <c r="BI77" i="1"/>
  <c r="BU47" i="1"/>
  <c r="AK116" i="1"/>
  <c r="BT74" i="1"/>
  <c r="AI93" i="1"/>
  <c r="BJ89" i="1"/>
  <c r="AX46" i="1"/>
  <c r="AR77" i="1"/>
  <c r="BI78" i="1"/>
  <c r="AP81" i="1"/>
  <c r="AZ67" i="1"/>
  <c r="BQ88" i="1"/>
  <c r="AN46" i="1"/>
  <c r="AR93" i="1"/>
  <c r="BV159" i="1"/>
  <c r="AV93" i="1"/>
  <c r="AN60" i="1"/>
  <c r="AQ93" i="1"/>
  <c r="BK81" i="1"/>
  <c r="BH47" i="1"/>
  <c r="AV81" i="1"/>
  <c r="BC48" i="1"/>
  <c r="AO88" i="1"/>
  <c r="AT74" i="1"/>
  <c r="AT245" i="1" s="1"/>
  <c r="BH169" i="1"/>
  <c r="BI169" i="1" s="1"/>
  <c r="AW67" i="1"/>
  <c r="BD78" i="1"/>
  <c r="BH197" i="1"/>
  <c r="AV59" i="1"/>
  <c r="AI59" i="1"/>
  <c r="AT93" i="1"/>
  <c r="AN93" i="1"/>
  <c r="AR60" i="1"/>
  <c r="BR59" i="1"/>
  <c r="BH205" i="1"/>
  <c r="BI205" i="1" s="1"/>
  <c r="BP60" i="1"/>
  <c r="BF81" i="1"/>
  <c r="BU48" i="1"/>
  <c r="BR81" i="1"/>
  <c r="BH81" i="1"/>
  <c r="AI87" i="1"/>
  <c r="AU78" i="1"/>
  <c r="BH203" i="1"/>
  <c r="BI203" i="1" s="1"/>
  <c r="AR53" i="1"/>
  <c r="BV175" i="1"/>
  <c r="BQ46" i="1"/>
  <c r="BU87" i="1"/>
  <c r="BG46" i="1"/>
  <c r="BH89" i="1"/>
  <c r="BI41" i="1"/>
  <c r="BW93" i="1"/>
  <c r="AS41" i="1"/>
  <c r="AS282" i="1" s="1"/>
  <c r="BH174" i="1"/>
  <c r="BB78" i="1"/>
  <c r="BW59" i="1"/>
  <c r="BK60" i="1"/>
  <c r="BA67" i="1"/>
  <c r="BG77" i="1"/>
  <c r="BU46" i="1"/>
  <c r="AN53" i="1"/>
  <c r="BP48" i="1"/>
  <c r="BJ78" i="1"/>
  <c r="BJ303" i="1" s="1"/>
  <c r="BO87" i="1"/>
  <c r="BU74" i="1"/>
  <c r="BH168" i="1"/>
  <c r="BI168" i="1" s="1"/>
  <c r="AO78" i="1"/>
  <c r="AQ41" i="1"/>
  <c r="AQ282" i="1" s="1"/>
  <c r="AQ59" i="1"/>
  <c r="BV188" i="1"/>
  <c r="BW188" i="1" s="1"/>
  <c r="BP87" i="1"/>
  <c r="BV196" i="1"/>
  <c r="BC41" i="1"/>
  <c r="BB48" i="1"/>
  <c r="BV205" i="1"/>
  <c r="BW205" i="1" s="1"/>
  <c r="BH196" i="1"/>
  <c r="BR53" i="1"/>
  <c r="BN78" i="1"/>
  <c r="BA47" i="1"/>
  <c r="AR67" i="1"/>
  <c r="BS48" i="1"/>
  <c r="AX77" i="1"/>
  <c r="BV74" i="1"/>
  <c r="BV245" i="1" s="1"/>
  <c r="BD74" i="1"/>
  <c r="BD245" i="1" s="1"/>
  <c r="BF89" i="1"/>
  <c r="BD67" i="1"/>
  <c r="BD53" i="1"/>
  <c r="BD47" i="1"/>
  <c r="AS89" i="1"/>
  <c r="BV182" i="1"/>
  <c r="BW182" i="1" s="1"/>
  <c r="BX253" i="1" s="1"/>
  <c r="BS89" i="1"/>
  <c r="AO77" i="1"/>
  <c r="AV60" i="1"/>
  <c r="BF74" i="1"/>
  <c r="BF245" i="1" s="1"/>
  <c r="BA48" i="1"/>
  <c r="BK93" i="1"/>
  <c r="BV185" i="1"/>
  <c r="BK67" i="1"/>
  <c r="BS47" i="1"/>
  <c r="AW88" i="1"/>
  <c r="AV41" i="1"/>
  <c r="AO74" i="1"/>
  <c r="AO245" i="1" s="1"/>
  <c r="AR78" i="1"/>
  <c r="BR46" i="1"/>
  <c r="AI47" i="1"/>
  <c r="BU59" i="1"/>
  <c r="BV211" i="1"/>
  <c r="BT88" i="1"/>
  <c r="BT41" i="1"/>
  <c r="BT8" i="1" s="1"/>
  <c r="AM88" i="1"/>
  <c r="AV78" i="1"/>
  <c r="BN67" i="1"/>
  <c r="AP93" i="1"/>
  <c r="AV46" i="1"/>
  <c r="BH46" i="1"/>
  <c r="BQ81" i="1"/>
  <c r="AY87" i="1"/>
  <c r="AR81" i="1"/>
  <c r="BM46" i="1"/>
  <c r="BW60" i="1"/>
  <c r="AV87" i="1"/>
  <c r="BT87" i="1"/>
  <c r="AP78" i="1"/>
  <c r="AZ74" i="1"/>
  <c r="BH164" i="1"/>
  <c r="BI164" i="1" s="1"/>
  <c r="BK78" i="1"/>
  <c r="BH175" i="1"/>
  <c r="AY88" i="1"/>
  <c r="BQ48" i="1"/>
  <c r="BV67" i="1"/>
  <c r="BD87" i="1"/>
  <c r="BM93" i="1"/>
  <c r="BM89" i="1"/>
  <c r="BV87" i="1"/>
  <c r="BH166" i="1"/>
  <c r="BV168" i="1"/>
  <c r="BW168" i="1" s="1"/>
  <c r="BH173" i="1"/>
  <c r="BI93" i="1"/>
  <c r="AT59" i="1"/>
  <c r="BD59" i="1"/>
  <c r="BF41" i="1"/>
  <c r="BF8" i="1" s="1"/>
  <c r="AX41" i="1"/>
  <c r="AX8" i="1" s="1"/>
  <c r="AT87" i="1"/>
  <c r="BV177" i="1"/>
  <c r="BW177" i="1" s="1"/>
  <c r="BP67" i="1"/>
  <c r="BC60" i="1"/>
  <c r="AK115" i="1"/>
  <c r="BP59" i="1"/>
  <c r="BF46" i="1"/>
  <c r="AO53" i="1"/>
  <c r="BV89" i="1"/>
  <c r="BK46" i="1"/>
  <c r="AO59" i="1"/>
  <c r="AZ88" i="1"/>
  <c r="BW81" i="1"/>
  <c r="AS48" i="1"/>
  <c r="AY53" i="1"/>
  <c r="AU81" i="1"/>
  <c r="AQ88" i="1"/>
  <c r="BJ116" i="1"/>
  <c r="BV166" i="1"/>
  <c r="BW166" i="1" s="1"/>
  <c r="BM59" i="1"/>
  <c r="AQ81" i="1"/>
  <c r="AX78" i="1"/>
  <c r="BF47" i="1"/>
  <c r="BE78" i="1"/>
  <c r="AZ78" i="1"/>
  <c r="BF88" i="1"/>
  <c r="BS78" i="1"/>
  <c r="BV169" i="1"/>
  <c r="BW169" i="1" s="1"/>
  <c r="BG47" i="1"/>
  <c r="BF78" i="1"/>
  <c r="BC89" i="1"/>
  <c r="BE74" i="1"/>
  <c r="BE245" i="1" s="1"/>
  <c r="BE60" i="1"/>
  <c r="BE41" i="1"/>
  <c r="BT77" i="1"/>
  <c r="BC74" i="1"/>
  <c r="BC245" i="1" s="1"/>
  <c r="BI81" i="1"/>
  <c r="AW53" i="1"/>
  <c r="BH186" i="1"/>
  <c r="AP87" i="1"/>
  <c r="AS46" i="1"/>
  <c r="BS67" i="1"/>
  <c r="AT67" i="1"/>
  <c r="AW77" i="1"/>
  <c r="BG41" i="1"/>
  <c r="BG8" i="1" s="1"/>
  <c r="BP53" i="1"/>
  <c r="AR48" i="1"/>
  <c r="AW87" i="1"/>
  <c r="BF87" i="1"/>
  <c r="BV46" i="1"/>
  <c r="AT88" i="1"/>
  <c r="BH77" i="1"/>
  <c r="BV186" i="1"/>
  <c r="AP53" i="1"/>
  <c r="AS77" i="1"/>
  <c r="BO48" i="1"/>
  <c r="BP77" i="1"/>
  <c r="BC47" i="1"/>
  <c r="BB87" i="1"/>
  <c r="BE48" i="1"/>
  <c r="BV78" i="1"/>
  <c r="AP60" i="1"/>
  <c r="AX88" i="1"/>
  <c r="AU77" i="1"/>
  <c r="BD46" i="1"/>
  <c r="BN48" i="1"/>
  <c r="BM74" i="1"/>
  <c r="BJ74" i="1"/>
  <c r="AM89" i="1"/>
  <c r="AU60" i="1"/>
  <c r="AX59" i="1"/>
  <c r="BS53" i="1"/>
  <c r="BB81" i="1"/>
  <c r="BC59" i="1"/>
  <c r="AT89" i="1"/>
  <c r="AW81" i="1"/>
  <c r="BV77" i="1"/>
  <c r="BH87" i="1"/>
  <c r="AN67" i="1"/>
  <c r="AX60" i="1"/>
  <c r="AP47" i="1"/>
  <c r="AQ77" i="1"/>
  <c r="BV116" i="1"/>
  <c r="AM93" i="1"/>
  <c r="BH48" i="1"/>
  <c r="AU53" i="1"/>
  <c r="BA59" i="1"/>
  <c r="BV203" i="1"/>
  <c r="BW203" i="1" s="1"/>
  <c r="BE87" i="1"/>
  <c r="AS81" i="1"/>
  <c r="AI77" i="1"/>
  <c r="BV173" i="1"/>
  <c r="AY93" i="1"/>
  <c r="BN77" i="1"/>
  <c r="BO46" i="1"/>
  <c r="BG87" i="1"/>
  <c r="BI60" i="1"/>
  <c r="AY48" i="1"/>
  <c r="BU67" i="1"/>
  <c r="BF59" i="1"/>
  <c r="BB53" i="1"/>
  <c r="BV53" i="1"/>
  <c r="BG78" i="1"/>
  <c r="BT78" i="1"/>
  <c r="AN48" i="1"/>
  <c r="BO47" i="1"/>
  <c r="BT47" i="1"/>
  <c r="AZ87" i="1"/>
  <c r="AS88" i="1"/>
  <c r="BH60" i="1"/>
  <c r="BO53" i="1"/>
  <c r="BH177" i="1"/>
  <c r="BI177" i="1" s="1"/>
  <c r="BC87" i="1"/>
  <c r="BH211" i="1"/>
  <c r="BO59" i="1"/>
  <c r="AN74" i="1"/>
  <c r="AN41" i="1"/>
  <c r="BK87" i="1"/>
  <c r="BV47" i="1"/>
  <c r="AS78" i="1"/>
  <c r="AO89" i="1"/>
  <c r="AI115" i="1"/>
  <c r="BB60" i="1"/>
  <c r="BN53" i="1"/>
  <c r="AU59" i="1"/>
  <c r="BH167" i="1"/>
  <c r="BI167" i="1" s="1"/>
  <c r="AU74" i="1"/>
  <c r="AU245" i="1" s="1"/>
  <c r="AI78" i="1"/>
  <c r="BW41" i="1"/>
  <c r="BW8" i="1" s="1"/>
  <c r="BO41" i="1"/>
  <c r="BO8" i="1" s="1"/>
  <c r="BG93" i="1"/>
  <c r="BC81" i="1"/>
  <c r="AR41" i="1"/>
  <c r="AR282" i="1" s="1"/>
  <c r="BN59" i="1"/>
  <c r="BP78" i="1"/>
  <c r="BK48" i="1"/>
  <c r="AS59" i="1"/>
  <c r="AY47" i="1"/>
  <c r="AU93" i="1"/>
  <c r="BB47" i="1"/>
  <c r="AX81" i="1"/>
  <c r="BD88" i="1"/>
  <c r="BQ47" i="1"/>
  <c r="BH206" i="1"/>
  <c r="BI206" i="1" s="1"/>
  <c r="BF48" i="1"/>
  <c r="BJ88" i="1"/>
  <c r="AN87" i="1"/>
  <c r="BN93" i="1"/>
  <c r="AI74" i="1"/>
  <c r="AI245" i="1" s="1"/>
  <c r="BV41" i="1"/>
  <c r="AZ77" i="1"/>
  <c r="AT46" i="1"/>
  <c r="AS87" i="1"/>
  <c r="AU88" i="1"/>
  <c r="CQ245" i="1"/>
  <c r="CQ174" i="1"/>
  <c r="AB166" i="1"/>
  <c r="CM1" i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N71" i="3"/>
  <c r="M48" i="3"/>
  <c r="V79" i="3"/>
  <c r="S87" i="3"/>
  <c r="AG73" i="3"/>
  <c r="Z70" i="3"/>
  <c r="AL93" i="3"/>
  <c r="S73" i="3"/>
  <c r="Y96" i="3"/>
  <c r="AQ72" i="3"/>
  <c r="W75" i="3"/>
  <c r="I80" i="3"/>
  <c r="Z64" i="3"/>
  <c r="K89" i="3"/>
  <c r="AO71" i="3"/>
  <c r="I48" i="3"/>
  <c r="Q86" i="3"/>
  <c r="N50" i="3"/>
  <c r="K62" i="3"/>
  <c r="AA88" i="3"/>
  <c r="AG56" i="3"/>
  <c r="S47" i="3"/>
  <c r="M92" i="3"/>
  <c r="S69" i="3"/>
  <c r="AK93" i="3"/>
  <c r="H69" i="3"/>
  <c r="R74" i="3"/>
  <c r="AI97" i="3"/>
  <c r="AM81" i="3"/>
  <c r="L94" i="3"/>
  <c r="H85" i="3"/>
  <c r="AE68" i="3"/>
  <c r="P50" i="3"/>
  <c r="L63" i="3"/>
  <c r="J81" i="3"/>
  <c r="X89" i="3"/>
  <c r="H84" i="3"/>
  <c r="Y47" i="3"/>
  <c r="Q68" i="3"/>
  <c r="AO82" i="3"/>
  <c r="Z58" i="3"/>
  <c r="AQ94" i="3"/>
  <c r="N56" i="3"/>
  <c r="AM88" i="3"/>
  <c r="AJ47" i="3"/>
  <c r="AG85" i="3"/>
  <c r="U58" i="3"/>
  <c r="AJ59" i="3"/>
  <c r="AO62" i="3"/>
  <c r="K55" i="3"/>
  <c r="AH96" i="3"/>
  <c r="AM67" i="3"/>
  <c r="AK96" i="3"/>
  <c r="H92" i="3"/>
  <c r="H76" i="3"/>
  <c r="L82" i="3"/>
  <c r="O47" i="3"/>
  <c r="J80" i="3"/>
  <c r="J56" i="3"/>
  <c r="AE85" i="3"/>
  <c r="P61" i="3"/>
  <c r="AJ67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O62" i="3"/>
  <c r="AE69" i="3"/>
  <c r="S95" i="3"/>
  <c r="AC71" i="3"/>
  <c r="W81" i="3"/>
  <c r="N97" i="3"/>
  <c r="AM96" i="3"/>
  <c r="Z97" i="3"/>
  <c r="AG90" i="3"/>
  <c r="R78" i="3"/>
  <c r="AJ76" i="3"/>
  <c r="V66" i="3"/>
  <c r="S75" i="3"/>
  <c r="U84" i="3"/>
  <c r="Y61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AA80" i="3"/>
  <c r="Q48" i="3"/>
  <c r="U61" i="3"/>
  <c r="N87" i="3"/>
  <c r="AG75" i="3"/>
  <c r="AC94" i="3"/>
  <c r="Y85" i="3"/>
  <c r="AN69" i="3"/>
  <c r="AQ96" i="3"/>
  <c r="H78" i="3"/>
  <c r="P78" i="3"/>
  <c r="AM50" i="3"/>
  <c r="AK61" i="3"/>
  <c r="H66" i="3"/>
  <c r="H61" i="3"/>
  <c r="L86" i="3"/>
  <c r="L73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K56" i="3"/>
  <c r="T70" i="3"/>
  <c r="R72" i="3"/>
  <c r="Q78" i="3"/>
  <c r="AO47" i="3"/>
  <c r="N72" i="3"/>
  <c r="AG97" i="3"/>
  <c r="AL59" i="3"/>
  <c r="AQ65" i="3"/>
  <c r="Z83" i="3"/>
  <c r="R96" i="3"/>
  <c r="M85" i="3"/>
  <c r="L81" i="3"/>
  <c r="AM82" i="3"/>
  <c r="AK72" i="3"/>
  <c r="L83" i="3"/>
  <c r="AA66" i="3"/>
  <c r="AJ80" i="3"/>
  <c r="L91" i="3"/>
  <c r="J96" i="3"/>
  <c r="J93" i="3"/>
  <c r="AQ83" i="3"/>
  <c r="AC60" i="3"/>
  <c r="W49" i="3"/>
  <c r="AG69" i="3"/>
  <c r="V83" i="3"/>
  <c r="Y57" i="3"/>
  <c r="J58" i="3"/>
  <c r="AQ74" i="3"/>
  <c r="AK63" i="3"/>
  <c r="AA73" i="3"/>
  <c r="O72" i="3"/>
  <c r="AI91" i="3"/>
  <c r="W88" i="3"/>
  <c r="AG77" i="3"/>
  <c r="S77" i="3"/>
  <c r="S68" i="3"/>
  <c r="AQ63" i="3"/>
  <c r="O80" i="3"/>
  <c r="T72" i="3"/>
  <c r="R67" i="3"/>
  <c r="W73" i="3"/>
  <c r="AA49" i="3"/>
  <c r="AO94" i="3"/>
  <c r="AE63" i="3"/>
  <c r="X71" i="3"/>
  <c r="AN47" i="3"/>
  <c r="AC92" i="3"/>
  <c r="AK76" i="3"/>
  <c r="Q77" i="3"/>
  <c r="Y71" i="3"/>
  <c r="V73" i="3"/>
  <c r="M79" i="3"/>
  <c r="I73" i="3"/>
  <c r="AO91" i="3"/>
  <c r="T91" i="3"/>
  <c r="R77" i="3"/>
  <c r="AM85" i="3"/>
  <c r="AI72" i="3"/>
  <c r="P90" i="3"/>
  <c r="M68" i="3"/>
  <c r="AL82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Q67" i="3"/>
  <c r="X79" i="3"/>
  <c r="R89" i="3"/>
  <c r="AM93" i="3"/>
  <c r="AA57" i="3"/>
  <c r="AI93" i="3"/>
  <c r="AK57" i="3"/>
  <c r="AJ91" i="3"/>
  <c r="M50" i="3"/>
  <c r="P75" i="3"/>
  <c r="P57" i="3"/>
  <c r="AN85" i="3"/>
  <c r="M65" i="3"/>
  <c r="AN65" i="3"/>
  <c r="M71" i="3"/>
  <c r="AN79" i="3"/>
  <c r="AO65" i="3"/>
  <c r="X73" i="3"/>
  <c r="AA50" i="3"/>
  <c r="V65" i="3"/>
  <c r="W66" i="3"/>
  <c r="AK71" i="3"/>
  <c r="AA54" i="3"/>
  <c r="AL65" i="3"/>
  <c r="S78" i="3"/>
  <c r="AG87" i="3"/>
  <c r="Z78" i="3"/>
  <c r="AL67" i="3"/>
  <c r="S57" i="3"/>
  <c r="Y49" i="3"/>
  <c r="AQ76" i="3"/>
  <c r="N65" i="3"/>
  <c r="I88" i="3"/>
  <c r="AC59" i="3"/>
  <c r="K50" i="3"/>
  <c r="T97" i="3"/>
  <c r="R58" i="3"/>
  <c r="M58" i="3"/>
  <c r="AA71" i="3"/>
  <c r="AK66" i="3"/>
  <c r="AG63" i="3"/>
  <c r="K67" i="3"/>
  <c r="R92" i="3"/>
  <c r="AC61" i="3"/>
  <c r="R73" i="3"/>
  <c r="O65" i="3"/>
  <c r="Q91" i="3"/>
  <c r="AK55" i="3"/>
  <c r="O49" i="3"/>
  <c r="L89" i="3"/>
  <c r="AE48" i="3"/>
  <c r="M89" i="3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AK74" i="3"/>
  <c r="AK83" i="3"/>
  <c r="AI73" i="3"/>
  <c r="Q56" i="3"/>
  <c r="M86" i="3"/>
  <c r="O67" i="3"/>
  <c r="T86" i="3"/>
  <c r="AA96" i="3"/>
  <c r="Z90" i="3"/>
  <c r="AA90" i="3"/>
  <c r="T64" i="3"/>
  <c r="N58" i="3"/>
  <c r="Z77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M78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AA60" i="3"/>
  <c r="J49" i="3"/>
  <c r="N79" i="3"/>
  <c r="N73" i="3"/>
  <c r="AM66" i="3"/>
  <c r="L75" i="3"/>
  <c r="J89" i="3"/>
  <c r="J88" i="3"/>
  <c r="L50" i="3"/>
  <c r="AO64" i="3"/>
  <c r="M62" i="3"/>
  <c r="AQ54" i="3"/>
  <c r="V70" i="3"/>
  <c r="AA47" i="3"/>
  <c r="AC72" i="3"/>
  <c r="X77" i="3"/>
  <c r="AG65" i="3"/>
  <c r="W71" i="3"/>
  <c r="AM90" i="3"/>
  <c r="J64" i="3"/>
  <c r="K84" i="3"/>
  <c r="U81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Z94" i="3"/>
  <c r="AM49" i="3"/>
  <c r="R68" i="3"/>
  <c r="AH54" i="3"/>
  <c r="W83" i="3"/>
  <c r="AL72" i="3"/>
  <c r="AM65" i="3"/>
  <c r="L55" i="3"/>
  <c r="AJ73" i="3"/>
  <c r="AI48" i="3"/>
  <c r="AK92" i="3"/>
  <c r="V68" i="3"/>
  <c r="AA78" i="3"/>
  <c r="P74" i="3"/>
  <c r="P63" i="3"/>
  <c r="T77" i="3"/>
  <c r="J65" i="3"/>
  <c r="AH78" i="3"/>
  <c r="X66" i="3"/>
  <c r="AM54" i="3"/>
  <c r="U50" i="3"/>
  <c r="S50" i="3"/>
  <c r="R65" i="3"/>
  <c r="V58" i="3"/>
  <c r="Y50" i="3"/>
  <c r="P65" i="3"/>
  <c r="P77" i="3"/>
  <c r="AE60" i="3"/>
  <c r="AN97" i="3"/>
  <c r="AK73" i="3"/>
  <c r="AC89" i="3"/>
  <c r="U89" i="3"/>
  <c r="X75" i="3"/>
  <c r="K57" i="3"/>
  <c r="AA84" i="3"/>
  <c r="W95" i="3"/>
  <c r="V75" i="3"/>
  <c r="AO57" i="3"/>
  <c r="Q49" i="3"/>
  <c r="AK88" i="3"/>
  <c r="AH97" i="3"/>
  <c r="V94" i="3"/>
  <c r="M81" i="3"/>
  <c r="Z91" i="3"/>
  <c r="AC64" i="3"/>
  <c r="AO85" i="3"/>
  <c r="I83" i="3"/>
  <c r="AE76" i="3"/>
  <c r="Q95" i="3"/>
  <c r="AC49" i="3"/>
  <c r="N49" i="3"/>
  <c r="AN64" i="3"/>
  <c r="Z93" i="3"/>
  <c r="AC82" i="3"/>
  <c r="Q75" i="3"/>
  <c r="AA95" i="3"/>
  <c r="W56" i="3"/>
  <c r="AA87" i="3"/>
  <c r="AH56" i="3"/>
  <c r="Z76" i="3"/>
  <c r="AH64" i="3"/>
  <c r="R54" i="3"/>
  <c r="P69" i="3"/>
  <c r="S85" i="3"/>
  <c r="I77" i="3"/>
  <c r="Q74" i="3"/>
  <c r="J92" i="3"/>
  <c r="S71" i="3"/>
  <c r="X80" i="3"/>
  <c r="O63" i="3"/>
  <c r="AI69" i="3"/>
  <c r="P88" i="3"/>
  <c r="X49" i="3"/>
  <c r="P84" i="3"/>
  <c r="AC75" i="3"/>
  <c r="AI88" i="3"/>
  <c r="AO58" i="3"/>
  <c r="K73" i="3"/>
  <c r="N82" i="3"/>
  <c r="AC58" i="3"/>
  <c r="U73" i="3"/>
  <c r="Z79" i="3"/>
  <c r="S82" i="3"/>
  <c r="Y87" i="3"/>
  <c r="I62" i="3"/>
  <c r="O82" i="3"/>
  <c r="V61" i="3"/>
  <c r="AC63" i="3"/>
  <c r="I90" i="3"/>
  <c r="Q97" i="3"/>
  <c r="W97" i="3"/>
  <c r="U75" i="3"/>
  <c r="U94" i="3"/>
  <c r="AJ89" i="3"/>
  <c r="L74" i="3"/>
  <c r="AN88" i="3"/>
  <c r="AI50" i="3"/>
  <c r="AK84" i="3"/>
  <c r="AM56" i="3"/>
  <c r="O94" i="3"/>
  <c r="L71" i="3"/>
  <c r="L58" i="3"/>
  <c r="K47" i="3"/>
  <c r="AA62" i="3"/>
  <c r="M72" i="3"/>
  <c r="AN89" i="3"/>
  <c r="U80" i="3"/>
  <c r="AN81" i="3"/>
  <c r="I61" i="3"/>
  <c r="AM89" i="3"/>
  <c r="H55" i="3"/>
  <c r="AE97" i="3"/>
  <c r="W90" i="3"/>
  <c r="U55" i="3"/>
  <c r="Y83" i="3"/>
  <c r="AH79" i="3"/>
  <c r="P85" i="3"/>
  <c r="U59" i="3"/>
  <c r="X64" i="3"/>
  <c r="X83" i="3"/>
  <c r="Z96" i="3"/>
  <c r="M97" i="3"/>
  <c r="H81" i="3"/>
  <c r="AI70" i="3"/>
  <c r="AE72" i="3"/>
  <c r="N85" i="3"/>
  <c r="J48" i="3"/>
  <c r="W48" i="3"/>
  <c r="J66" i="3"/>
  <c r="U60" i="3"/>
  <c r="AC76" i="3"/>
  <c r="AH76" i="3"/>
  <c r="R84" i="3"/>
  <c r="J69" i="3"/>
  <c r="U66" i="3"/>
  <c r="I81" i="3"/>
  <c r="X81" i="3"/>
  <c r="AO81" i="3"/>
  <c r="AH48" i="3"/>
  <c r="T84" i="3"/>
  <c r="H79" i="3"/>
  <c r="AI47" i="3"/>
  <c r="O74" i="3"/>
  <c r="L56" i="3"/>
  <c r="P79" i="3"/>
  <c r="AE47" i="3"/>
  <c r="O84" i="3"/>
  <c r="U85" i="3"/>
  <c r="Y59" i="3"/>
  <c r="AK82" i="3"/>
  <c r="T69" i="3"/>
  <c r="U69" i="3"/>
  <c r="AC47" i="3"/>
  <c r="S49" i="3"/>
  <c r="Y64" i="3"/>
  <c r="I69" i="3"/>
  <c r="AE57" i="3"/>
  <c r="AL94" i="3"/>
  <c r="T92" i="3"/>
  <c r="I95" i="3"/>
  <c r="J73" i="3"/>
  <c r="N90" i="3"/>
  <c r="T90" i="3"/>
  <c r="Y69" i="3"/>
  <c r="AN73" i="3"/>
  <c r="AI55" i="3"/>
  <c r="P66" i="3"/>
  <c r="L49" i="3"/>
  <c r="AK91" i="3"/>
  <c r="L84" i="3"/>
  <c r="AA94" i="3"/>
  <c r="O68" i="3"/>
  <c r="P56" i="3"/>
  <c r="AJ56" i="3"/>
  <c r="AC88" i="3"/>
  <c r="Q89" i="3"/>
  <c r="H75" i="3"/>
  <c r="AA89" i="3"/>
  <c r="P60" i="3"/>
  <c r="M91" i="3"/>
  <c r="N96" i="3"/>
  <c r="AJ57" i="3"/>
  <c r="W82" i="3"/>
  <c r="AE93" i="3"/>
  <c r="U74" i="3"/>
  <c r="AC73" i="3"/>
  <c r="AH74" i="3"/>
  <c r="R86" i="3"/>
  <c r="AE65" i="3"/>
  <c r="I68" i="3"/>
  <c r="P76" i="3"/>
  <c r="Z55" i="3"/>
  <c r="AL77" i="3"/>
  <c r="U79" i="3"/>
  <c r="V49" i="3"/>
  <c r="AE74" i="3"/>
  <c r="AK49" i="3"/>
  <c r="J83" i="3"/>
  <c r="P96" i="3"/>
  <c r="H73" i="3"/>
  <c r="AN82" i="3"/>
  <c r="M93" i="3"/>
  <c r="AA72" i="3"/>
  <c r="W89" i="3"/>
  <c r="AK87" i="3"/>
  <c r="AO93" i="3"/>
  <c r="R55" i="3"/>
  <c r="T66" i="3"/>
  <c r="AH86" i="3"/>
  <c r="Y89" i="3"/>
  <c r="H95" i="3"/>
  <c r="AJ75" i="3"/>
  <c r="AL50" i="3"/>
  <c r="AO70" i="3"/>
  <c r="AC57" i="3"/>
  <c r="AN58" i="3"/>
  <c r="AK50" i="3"/>
  <c r="S76" i="3"/>
  <c r="Y79" i="3"/>
  <c r="AO75" i="3"/>
  <c r="AI71" i="3"/>
  <c r="AA74" i="3"/>
  <c r="AM94" i="3"/>
  <c r="AK54" i="3"/>
  <c r="L60" i="3"/>
  <c r="AK70" i="3"/>
  <c r="Q88" i="3"/>
  <c r="P80" i="3"/>
  <c r="J62" i="3"/>
  <c r="AO78" i="3"/>
  <c r="AJ82" i="3"/>
  <c r="AC81" i="3"/>
  <c r="Y55" i="3"/>
  <c r="T82" i="3"/>
  <c r="O58" i="3"/>
  <c r="AA81" i="3"/>
  <c r="AE73" i="3"/>
  <c r="M55" i="3"/>
  <c r="N63" i="3"/>
  <c r="AJ58" i="3"/>
  <c r="R79" i="3"/>
  <c r="T76" i="3"/>
  <c r="AN50" i="3"/>
  <c r="K76" i="3"/>
  <c r="S63" i="3"/>
  <c r="AQ95" i="3"/>
  <c r="M54" i="3"/>
  <c r="Z66" i="3"/>
  <c r="Z71" i="3"/>
  <c r="V72" i="3"/>
  <c r="W94" i="3"/>
  <c r="R66" i="3"/>
  <c r="Y66" i="3"/>
  <c r="AQ68" i="3"/>
  <c r="K85" i="3"/>
  <c r="Z63" i="3"/>
  <c r="AL47" i="3"/>
  <c r="AL90" i="3"/>
  <c r="H63" i="3"/>
  <c r="AI58" i="3"/>
  <c r="J86" i="3"/>
  <c r="M96" i="3"/>
  <c r="AA55" i="3"/>
  <c r="M47" i="3"/>
  <c r="X47" i="3"/>
  <c r="W57" i="3"/>
  <c r="AJ97" i="3"/>
  <c r="U65" i="3"/>
  <c r="AO83" i="3"/>
  <c r="AH57" i="3"/>
  <c r="R70" i="3"/>
  <c r="AE92" i="3"/>
  <c r="X70" i="3"/>
  <c r="AM83" i="3"/>
  <c r="AI90" i="3"/>
  <c r="L80" i="3"/>
  <c r="M61" i="3"/>
  <c r="AC78" i="3"/>
  <c r="J87" i="3"/>
  <c r="AC84" i="3"/>
  <c r="N83" i="3"/>
  <c r="T80" i="3"/>
  <c r="R88" i="3"/>
  <c r="V55" i="3"/>
  <c r="U62" i="3"/>
  <c r="I59" i="3"/>
  <c r="X57" i="3"/>
  <c r="T59" i="3"/>
  <c r="T48" i="3"/>
  <c r="Z87" i="3"/>
  <c r="U88" i="3"/>
  <c r="R56" i="3"/>
  <c r="Q62" i="3"/>
  <c r="O97" i="3"/>
  <c r="AK62" i="3"/>
  <c r="AC50" i="3"/>
  <c r="Q69" i="3"/>
  <c r="Q59" i="3"/>
  <c r="AC91" i="3"/>
  <c r="N76" i="3"/>
  <c r="J50" i="3"/>
  <c r="W67" i="3"/>
  <c r="AM91" i="3"/>
  <c r="AL70" i="3"/>
  <c r="T57" i="3"/>
  <c r="V64" i="3"/>
  <c r="AH62" i="3"/>
  <c r="AQ61" i="3"/>
  <c r="AL95" i="3"/>
  <c r="AN48" i="3"/>
  <c r="K82" i="3"/>
  <c r="S67" i="3"/>
  <c r="Z68" i="3"/>
  <c r="AC70" i="3"/>
  <c r="AA69" i="3"/>
  <c r="X86" i="3"/>
  <c r="AQ77" i="3"/>
  <c r="K96" i="3"/>
  <c r="AI54" i="3"/>
  <c r="P97" i="3"/>
  <c r="AK78" i="3"/>
  <c r="N64" i="3"/>
  <c r="O79" i="3"/>
  <c r="M77" i="3"/>
  <c r="H67" i="3"/>
  <c r="O56" i="3"/>
  <c r="P64" i="3"/>
  <c r="Y74" i="3"/>
  <c r="V88" i="3"/>
  <c r="AL81" i="3"/>
  <c r="AQ89" i="3"/>
  <c r="S70" i="3"/>
  <c r="AI68" i="3"/>
  <c r="M82" i="3"/>
  <c r="AJ77" i="3"/>
  <c r="Q83" i="3"/>
  <c r="AM58" i="3"/>
  <c r="AC79" i="3"/>
  <c r="I75" i="3"/>
  <c r="R87" i="3"/>
  <c r="AJ62" i="3"/>
  <c r="AK65" i="3"/>
  <c r="U95" i="3"/>
  <c r="T78" i="3"/>
  <c r="W91" i="3"/>
  <c r="K95" i="3"/>
  <c r="I55" i="3"/>
  <c r="Q66" i="3"/>
  <c r="N68" i="3"/>
  <c r="AJ71" i="3"/>
  <c r="R57" i="3"/>
  <c r="J74" i="3"/>
  <c r="Y90" i="3"/>
  <c r="Q80" i="3"/>
  <c r="AN68" i="3"/>
  <c r="X48" i="3"/>
  <c r="AA86" i="3"/>
  <c r="AO95" i="3"/>
  <c r="I91" i="3"/>
  <c r="U93" i="3"/>
  <c r="Y93" i="3"/>
  <c r="W72" i="3"/>
  <c r="L95" i="3"/>
  <c r="M66" i="3"/>
  <c r="AI64" i="3"/>
  <c r="AM47" i="3"/>
  <c r="P59" i="3"/>
  <c r="AA97" i="3"/>
  <c r="M87" i="3"/>
  <c r="AJ94" i="3"/>
  <c r="AO97" i="3"/>
  <c r="N77" i="3"/>
  <c r="V92" i="3"/>
  <c r="V54" i="3"/>
  <c r="AL83" i="3"/>
  <c r="U86" i="3"/>
  <c r="W78" i="3"/>
  <c r="Z75" i="3"/>
  <c r="T67" i="3"/>
  <c r="AN49" i="3"/>
  <c r="AO69" i="3"/>
  <c r="R62" i="3"/>
  <c r="I92" i="3"/>
  <c r="AM48" i="3"/>
  <c r="T74" i="3"/>
  <c r="N67" i="3"/>
  <c r="L54" i="3"/>
  <c r="AC74" i="3"/>
  <c r="H87" i="3"/>
  <c r="Q67" i="3"/>
  <c r="Q47" i="3"/>
  <c r="J71" i="3"/>
  <c r="W69" i="3"/>
  <c r="AM75" i="3"/>
  <c r="AG96" i="3"/>
  <c r="S61" i="3"/>
  <c r="V86" i="3"/>
  <c r="AH70" i="3"/>
  <c r="R75" i="3"/>
  <c r="K64" i="3"/>
  <c r="AN72" i="3"/>
  <c r="S89" i="3"/>
  <c r="AQ78" i="3"/>
  <c r="AJ79" i="3"/>
  <c r="J61" i="3"/>
  <c r="AA85" i="3"/>
  <c r="Z86" i="3"/>
  <c r="I94" i="3"/>
  <c r="AH55" i="3"/>
  <c r="AK59" i="3"/>
  <c r="P83" i="3"/>
  <c r="AK97" i="3"/>
  <c r="AM62" i="3"/>
  <c r="P95" i="3"/>
  <c r="Q73" i="3"/>
  <c r="H74" i="3"/>
  <c r="X95" i="3"/>
  <c r="M57" i="3"/>
  <c r="W62" i="3"/>
  <c r="AL84" i="3"/>
  <c r="K88" i="3"/>
  <c r="I70" i="3"/>
  <c r="R83" i="3"/>
  <c r="H50" i="3"/>
  <c r="P48" i="3"/>
  <c r="Z69" i="3"/>
  <c r="M73" i="3"/>
  <c r="M90" i="3"/>
  <c r="O93" i="3"/>
  <c r="U49" i="3"/>
  <c r="N75" i="3"/>
  <c r="X74" i="3"/>
  <c r="W79" i="3"/>
  <c r="T73" i="3"/>
  <c r="Y92" i="3"/>
  <c r="U82" i="3"/>
  <c r="AL75" i="3"/>
  <c r="AK60" i="3"/>
  <c r="H88" i="3"/>
  <c r="O95" i="3"/>
  <c r="Q57" i="3"/>
  <c r="J95" i="3"/>
  <c r="X54" i="3"/>
  <c r="V87" i="3"/>
  <c r="AK89" i="3"/>
  <c r="AL89" i="3"/>
  <c r="AG49" i="3"/>
  <c r="AL61" i="3"/>
  <c r="Y84" i="3"/>
  <c r="AC86" i="3"/>
  <c r="AO49" i="3"/>
  <c r="H70" i="3"/>
  <c r="AQ58" i="3"/>
  <c r="Q71" i="3"/>
  <c r="K54" i="3"/>
  <c r="AI87" i="3"/>
  <c r="S58" i="3"/>
  <c r="M60" i="3"/>
  <c r="O83" i="3"/>
  <c r="H96" i="3"/>
  <c r="H49" i="3"/>
  <c r="J91" i="3"/>
  <c r="AA58" i="3"/>
  <c r="J72" i="3"/>
  <c r="T49" i="3"/>
  <c r="Z49" i="3"/>
  <c r="K79" i="3"/>
  <c r="AK48" i="3"/>
  <c r="AL68" i="3"/>
  <c r="Q76" i="3"/>
  <c r="K63" i="3"/>
  <c r="Y80" i="3"/>
  <c r="AG58" i="3"/>
  <c r="T54" i="3"/>
  <c r="V96" i="3"/>
  <c r="H77" i="3"/>
  <c r="W50" i="3"/>
  <c r="AN76" i="3"/>
  <c r="AQ97" i="3"/>
  <c r="AK80" i="3"/>
  <c r="AI63" i="3"/>
  <c r="L88" i="3"/>
  <c r="AJ70" i="3"/>
  <c r="Q55" i="3"/>
  <c r="H80" i="3"/>
  <c r="Q60" i="3"/>
  <c r="AE49" i="3"/>
  <c r="Z48" i="3"/>
  <c r="W93" i="3"/>
  <c r="U77" i="3"/>
  <c r="AG47" i="3"/>
  <c r="J57" i="3"/>
  <c r="K74" i="3"/>
  <c r="U91" i="3"/>
  <c r="R59" i="3"/>
  <c r="AH50" i="3"/>
  <c r="X84" i="3"/>
  <c r="I60" i="3"/>
  <c r="AQ92" i="3"/>
  <c r="AA64" i="3"/>
  <c r="T60" i="3"/>
  <c r="Z82" i="3"/>
  <c r="V48" i="3"/>
  <c r="M75" i="3"/>
  <c r="T47" i="3"/>
  <c r="N57" i="3"/>
  <c r="K66" i="3"/>
  <c r="AI96" i="3"/>
  <c r="P89" i="3"/>
  <c r="M56" i="3"/>
  <c r="AN67" i="3"/>
  <c r="J78" i="3"/>
  <c r="AE78" i="3"/>
  <c r="AO76" i="3"/>
  <c r="W58" i="3"/>
  <c r="AG72" i="3"/>
  <c r="S92" i="3"/>
  <c r="N70" i="3"/>
  <c r="AC48" i="3"/>
  <c r="AK79" i="3"/>
  <c r="Q65" i="3"/>
  <c r="V90" i="3"/>
  <c r="M88" i="3"/>
  <c r="X50" i="3"/>
  <c r="K69" i="3"/>
  <c r="P81" i="3"/>
  <c r="AC80" i="3"/>
  <c r="AG94" i="3"/>
  <c r="AL69" i="3"/>
  <c r="R94" i="3"/>
  <c r="X87" i="3"/>
  <c r="AA75" i="3"/>
  <c r="AQ60" i="3"/>
  <c r="X61" i="3"/>
  <c r="X85" i="3"/>
  <c r="AM70" i="3"/>
  <c r="AL48" i="3"/>
  <c r="AH58" i="3"/>
  <c r="W47" i="3"/>
  <c r="AL74" i="3"/>
  <c r="AO87" i="3"/>
  <c r="AH93" i="3"/>
  <c r="Q50" i="3"/>
  <c r="T88" i="3"/>
  <c r="AG95" i="3"/>
  <c r="S74" i="3"/>
  <c r="V77" i="3"/>
  <c r="L85" i="3"/>
  <c r="Z65" i="3"/>
  <c r="AI61" i="3"/>
  <c r="H59" i="3"/>
  <c r="L57" i="3"/>
  <c r="AE54" i="3"/>
  <c r="N74" i="3"/>
  <c r="AG57" i="3"/>
  <c r="AH94" i="3"/>
  <c r="AM95" i="3"/>
  <c r="AI76" i="3"/>
  <c r="Q58" i="3"/>
  <c r="Q85" i="3"/>
  <c r="H97" i="3"/>
  <c r="AO73" i="3"/>
  <c r="Z47" i="3"/>
  <c r="AG86" i="3"/>
  <c r="AM71" i="3"/>
  <c r="K86" i="3"/>
  <c r="Q81" i="3"/>
  <c r="K75" i="3"/>
  <c r="Y56" i="3"/>
  <c r="AL85" i="3"/>
  <c r="AO63" i="3"/>
  <c r="AQ57" i="3"/>
  <c r="V85" i="3"/>
  <c r="W85" i="3"/>
  <c r="AN63" i="3"/>
  <c r="P94" i="3"/>
  <c r="N93" i="3"/>
  <c r="AM74" i="3"/>
  <c r="H72" i="3"/>
  <c r="AI77" i="3"/>
  <c r="J79" i="3"/>
  <c r="AE96" i="3"/>
  <c r="J94" i="3"/>
  <c r="AJ60" i="3"/>
  <c r="T65" i="3"/>
  <c r="W92" i="3"/>
  <c r="AA61" i="3"/>
  <c r="AG59" i="3"/>
  <c r="AJ66" i="3"/>
  <c r="K87" i="3"/>
  <c r="U76" i="3"/>
  <c r="I49" i="3"/>
  <c r="Y88" i="3"/>
  <c r="AC96" i="3"/>
  <c r="X94" i="3"/>
  <c r="AQ81" i="3"/>
  <c r="AE62" i="3"/>
  <c r="K91" i="3"/>
  <c r="V71" i="3"/>
  <c r="K81" i="3"/>
  <c r="S48" i="3"/>
  <c r="AO89" i="3"/>
  <c r="V82" i="3"/>
  <c r="AH49" i="3"/>
  <c r="AI83" i="3"/>
  <c r="P49" i="3"/>
  <c r="L62" i="3"/>
  <c r="AJ55" i="3"/>
  <c r="AJ86" i="3"/>
  <c r="AJ69" i="3"/>
  <c r="AA48" i="3"/>
  <c r="N81" i="3"/>
  <c r="AH75" i="3"/>
  <c r="AH69" i="3"/>
  <c r="AL66" i="3"/>
  <c r="T93" i="3"/>
  <c r="AK90" i="3"/>
  <c r="AN55" i="3"/>
  <c r="H60" i="3"/>
  <c r="X97" i="3"/>
  <c r="V50" i="3"/>
  <c r="S90" i="3"/>
  <c r="AJ68" i="3"/>
  <c r="AQ91" i="3"/>
  <c r="O92" i="3"/>
  <c r="AG80" i="3"/>
  <c r="Y72" i="3"/>
  <c r="AJ90" i="3"/>
  <c r="AJ88" i="3"/>
  <c r="R50" i="3"/>
  <c r="P73" i="3"/>
  <c r="AL88" i="3"/>
  <c r="J63" i="3"/>
  <c r="K58" i="3"/>
  <c r="Q64" i="3"/>
  <c r="N61" i="3"/>
  <c r="Z50" i="3"/>
  <c r="AJ92" i="3"/>
  <c r="Y77" i="3"/>
  <c r="AK77" i="3"/>
  <c r="AC83" i="3"/>
  <c r="H89" i="3"/>
  <c r="AN96" i="3"/>
  <c r="V57" i="3"/>
  <c r="AC56" i="3"/>
  <c r="AH72" i="3"/>
  <c r="AM76" i="3"/>
  <c r="AG67" i="3"/>
  <c r="AE70" i="3"/>
  <c r="K77" i="3"/>
  <c r="Y70" i="3"/>
  <c r="K61" i="3"/>
  <c r="AO79" i="3"/>
  <c r="AQ80" i="3"/>
  <c r="H86" i="3"/>
  <c r="W64" i="3"/>
  <c r="Z81" i="3"/>
  <c r="AE50" i="3"/>
  <c r="H71" i="3"/>
  <c r="AM69" i="3"/>
  <c r="L97" i="3"/>
  <c r="AI80" i="3"/>
  <c r="AE81" i="3"/>
  <c r="AE66" i="3"/>
  <c r="AE95" i="3"/>
  <c r="AN54" i="3"/>
  <c r="T96" i="3"/>
  <c r="N91" i="3"/>
  <c r="AG60" i="3"/>
  <c r="AN83" i="3"/>
  <c r="K83" i="3"/>
  <c r="Y95" i="3"/>
  <c r="I54" i="3"/>
  <c r="AQ70" i="3"/>
  <c r="X65" i="3"/>
  <c r="R82" i="3"/>
  <c r="AN61" i="3"/>
  <c r="AL57" i="3"/>
  <c r="Y91" i="3"/>
  <c r="L79" i="3"/>
  <c r="AN93" i="3"/>
  <c r="V67" i="3"/>
  <c r="AH61" i="3"/>
  <c r="S86" i="3"/>
  <c r="AC97" i="3"/>
  <c r="X59" i="3"/>
  <c r="X88" i="3"/>
  <c r="AQ84" i="3"/>
  <c r="O59" i="3"/>
  <c r="J60" i="3"/>
  <c r="AG84" i="3"/>
  <c r="AL78" i="3"/>
  <c r="S93" i="3"/>
  <c r="AQ82" i="3"/>
  <c r="AE56" i="3"/>
  <c r="X56" i="3"/>
  <c r="N54" i="3"/>
  <c r="AE83" i="3"/>
  <c r="AA63" i="3"/>
  <c r="AO90" i="3"/>
  <c r="R60" i="3"/>
  <c r="J75" i="3"/>
  <c r="AH63" i="3"/>
  <c r="Y68" i="3"/>
  <c r="L76" i="3"/>
  <c r="AN87" i="3"/>
  <c r="Q90" i="3"/>
  <c r="K49" i="3"/>
  <c r="J76" i="3"/>
  <c r="U92" i="3"/>
  <c r="T71" i="3"/>
  <c r="AL80" i="3"/>
  <c r="U78" i="3"/>
  <c r="S97" i="3"/>
  <c r="Y86" i="3"/>
  <c r="O77" i="3"/>
  <c r="AI66" i="3"/>
  <c r="Z67" i="3"/>
  <c r="AE91" i="3"/>
  <c r="S65" i="3"/>
  <c r="AQ64" i="3"/>
  <c r="AG54" i="3"/>
  <c r="AQ55" i="3"/>
  <c r="P70" i="3"/>
  <c r="AN80" i="3"/>
  <c r="I82" i="3"/>
  <c r="W54" i="3"/>
  <c r="M84" i="3"/>
  <c r="AQ48" i="3"/>
  <c r="AA68" i="3"/>
  <c r="AH95" i="3"/>
  <c r="S62" i="3"/>
  <c r="S96" i="3"/>
  <c r="L48" i="3"/>
  <c r="T95" i="3"/>
  <c r="I85" i="3"/>
  <c r="T56" i="3"/>
  <c r="AQ62" i="3"/>
  <c r="AL92" i="3"/>
  <c r="AJ50" i="3"/>
  <c r="AI49" i="3"/>
  <c r="J97" i="3"/>
  <c r="K94" i="3"/>
  <c r="AM64" i="3"/>
  <c r="AE71" i="3"/>
  <c r="AQ49" i="3"/>
  <c r="AO68" i="3"/>
  <c r="P86" i="3"/>
  <c r="R71" i="3"/>
  <c r="AI79" i="3"/>
  <c r="K71" i="3"/>
  <c r="J77" i="3"/>
  <c r="AQ66" i="3"/>
  <c r="AL97" i="3"/>
  <c r="I72" i="3"/>
  <c r="V93" i="3"/>
  <c r="R81" i="3"/>
  <c r="O50" i="3"/>
  <c r="Q72" i="3"/>
  <c r="L96" i="3"/>
  <c r="AN94" i="3"/>
  <c r="S59" i="3"/>
  <c r="P91" i="3"/>
  <c r="I71" i="3"/>
  <c r="AH81" i="3"/>
  <c r="AK75" i="3"/>
  <c r="O73" i="3"/>
  <c r="AQ90" i="3"/>
  <c r="AH84" i="3"/>
  <c r="M70" i="3"/>
  <c r="AI86" i="3"/>
  <c r="AM55" i="3"/>
  <c r="I84" i="3"/>
  <c r="AJ78" i="3"/>
  <c r="AH87" i="3"/>
  <c r="Z62" i="3"/>
  <c r="AO56" i="3"/>
  <c r="AA67" i="3"/>
  <c r="AC62" i="3"/>
  <c r="R97" i="3"/>
  <c r="AQ93" i="3"/>
  <c r="S72" i="3"/>
  <c r="AO67" i="3"/>
  <c r="L47" i="3"/>
  <c r="J47" i="3"/>
  <c r="Z60" i="3"/>
  <c r="AH91" i="3"/>
  <c r="AE90" i="3"/>
  <c r="AJ48" i="3"/>
  <c r="N89" i="3"/>
  <c r="U83" i="3"/>
  <c r="Q93" i="3"/>
  <c r="AN59" i="3"/>
  <c r="AQ75" i="3"/>
  <c r="N55" i="3"/>
  <c r="S64" i="3"/>
  <c r="T68" i="3"/>
  <c r="S60" i="3"/>
  <c r="X72" i="3"/>
  <c r="P55" i="3"/>
  <c r="I78" i="3"/>
  <c r="R80" i="3"/>
  <c r="AG83" i="3"/>
  <c r="Z80" i="3"/>
  <c r="AQ87" i="3"/>
  <c r="AM97" i="3"/>
  <c r="AK67" i="3"/>
  <c r="J90" i="3"/>
  <c r="X58" i="3"/>
  <c r="AG70" i="3"/>
  <c r="U67" i="3"/>
  <c r="X62" i="3"/>
  <c r="P54" i="3"/>
  <c r="T94" i="3"/>
  <c r="AK94" i="3"/>
  <c r="M74" i="3"/>
  <c r="AA82" i="3"/>
  <c r="W84" i="3"/>
  <c r="Y97" i="3"/>
  <c r="AK86" i="3"/>
  <c r="O70" i="3"/>
  <c r="AL49" i="3"/>
  <c r="T85" i="3"/>
  <c r="AN84" i="3"/>
  <c r="J67" i="3"/>
  <c r="AO80" i="3"/>
  <c r="AQ71" i="3"/>
  <c r="K92" i="3"/>
  <c r="S84" i="3"/>
  <c r="I86" i="3"/>
  <c r="J84" i="3"/>
  <c r="Y48" i="3"/>
  <c r="AK56" i="3"/>
  <c r="H47" i="3"/>
  <c r="AG74" i="3"/>
  <c r="AI82" i="3"/>
  <c r="AC90" i="3"/>
  <c r="AO72" i="3"/>
  <c r="AH67" i="3"/>
  <c r="Y65" i="3"/>
  <c r="O61" i="3"/>
  <c r="AH80" i="3"/>
  <c r="AI59" i="3"/>
  <c r="AI81" i="3"/>
  <c r="H57" i="3"/>
  <c r="V47" i="3"/>
  <c r="AA70" i="3"/>
  <c r="AN56" i="3"/>
  <c r="M64" i="3"/>
  <c r="Y60" i="3"/>
  <c r="AH90" i="3"/>
  <c r="K78" i="3"/>
  <c r="W86" i="3"/>
  <c r="AK81" i="3"/>
  <c r="AH85" i="3"/>
  <c r="AO84" i="3"/>
  <c r="N48" i="3"/>
  <c r="U57" i="3"/>
  <c r="L93" i="3"/>
  <c r="AI94" i="3"/>
  <c r="AM79" i="3"/>
  <c r="I58" i="3"/>
  <c r="AI67" i="3"/>
  <c r="O55" i="3"/>
  <c r="U72" i="3"/>
  <c r="AL79" i="3"/>
  <c r="AE86" i="3"/>
  <c r="H94" i="3"/>
  <c r="W61" i="3"/>
  <c r="AC85" i="3"/>
  <c r="AH88" i="3"/>
  <c r="Z73" i="3"/>
  <c r="K60" i="3"/>
  <c r="AA79" i="3"/>
  <c r="AO55" i="3"/>
  <c r="AI62" i="3"/>
  <c r="T81" i="3"/>
  <c r="O76" i="3"/>
  <c r="V84" i="3"/>
  <c r="O64" i="3"/>
  <c r="W87" i="3"/>
  <c r="AO60" i="3"/>
  <c r="H54" i="3"/>
  <c r="AK47" i="3"/>
  <c r="AQ69" i="3"/>
  <c r="V69" i="3"/>
  <c r="AG78" i="3"/>
  <c r="AG71" i="3"/>
  <c r="AM77" i="3"/>
  <c r="AE58" i="3"/>
  <c r="AK95" i="3"/>
  <c r="AQ59" i="3"/>
  <c r="K59" i="3"/>
  <c r="AE89" i="3"/>
  <c r="K48" i="3"/>
  <c r="Y76" i="3"/>
  <c r="AJ49" i="3"/>
  <c r="S83" i="3"/>
  <c r="V89" i="3"/>
  <c r="Z57" i="3"/>
  <c r="AA92" i="3"/>
  <c r="L78" i="3"/>
  <c r="K70" i="3"/>
  <c r="AG55" i="3"/>
  <c r="AH59" i="3"/>
  <c r="T87" i="3"/>
  <c r="AN66" i="3"/>
  <c r="AM63" i="3"/>
  <c r="AN86" i="3"/>
  <c r="AE59" i="3"/>
  <c r="AM72" i="3"/>
  <c r="AM57" i="3"/>
  <c r="L87" i="3"/>
  <c r="X68" i="3"/>
  <c r="AG50" i="3"/>
  <c r="N66" i="3"/>
  <c r="L92" i="3"/>
  <c r="AM86" i="3"/>
  <c r="R93" i="3"/>
  <c r="AL71" i="3"/>
  <c r="AI92" i="3"/>
  <c r="P93" i="3"/>
  <c r="W74" i="3"/>
  <c r="R90" i="3"/>
  <c r="AQ73" i="3"/>
  <c r="AL86" i="3"/>
  <c r="X60" i="3"/>
  <c r="Y82" i="3"/>
  <c r="AJ64" i="3"/>
  <c r="H90" i="3"/>
  <c r="M78" i="3"/>
  <c r="AC87" i="3"/>
  <c r="AQ85" i="3"/>
  <c r="H93" i="3"/>
  <c r="AO61" i="3"/>
  <c r="S91" i="3"/>
  <c r="Z56" i="3"/>
  <c r="Z95" i="3"/>
  <c r="AO92" i="3"/>
  <c r="AH60" i="3"/>
  <c r="Q92" i="3"/>
  <c r="AM73" i="3"/>
  <c r="U90" i="3"/>
  <c r="AG89" i="3"/>
  <c r="K65" i="3"/>
  <c r="T89" i="3"/>
  <c r="AG88" i="3"/>
  <c r="L65" i="3"/>
  <c r="N84" i="3"/>
  <c r="AN91" i="3"/>
  <c r="I93" i="3"/>
  <c r="Z72" i="3"/>
  <c r="W76" i="3"/>
  <c r="I87" i="3"/>
  <c r="J70" i="3"/>
  <c r="P47" i="3"/>
  <c r="X90" i="3"/>
  <c r="Q94" i="3"/>
  <c r="Z59" i="3"/>
  <c r="AK64" i="3"/>
  <c r="AO88" i="3"/>
  <c r="AL64" i="3"/>
  <c r="R85" i="3"/>
  <c r="AJ81" i="3"/>
  <c r="AE94" i="3"/>
  <c r="V59" i="3"/>
  <c r="H56" i="3"/>
  <c r="K93" i="3"/>
  <c r="AG82" i="3"/>
  <c r="AC66" i="3"/>
  <c r="N86" i="3"/>
  <c r="AN75" i="3"/>
  <c r="AG61" i="3"/>
  <c r="R95" i="3"/>
  <c r="T79" i="3"/>
  <c r="AH89" i="3"/>
  <c r="N92" i="3"/>
  <c r="X82" i="3"/>
  <c r="I66" i="3"/>
  <c r="Z89" i="3"/>
  <c r="W80" i="3"/>
  <c r="AN77" i="3"/>
  <c r="AA56" i="3"/>
  <c r="J59" i="3"/>
  <c r="AL55" i="3"/>
  <c r="O85" i="3"/>
  <c r="AH92" i="3"/>
  <c r="T83" i="3"/>
  <c r="AE87" i="3"/>
  <c r="AG91" i="3"/>
  <c r="M63" i="3"/>
  <c r="Z54" i="3"/>
  <c r="AH47" i="3"/>
  <c r="P72" i="3"/>
  <c r="Z85" i="3"/>
  <c r="O60" i="3"/>
  <c r="U48" i="3"/>
  <c r="AL58" i="3"/>
  <c r="S80" i="3"/>
  <c r="AM87" i="3"/>
  <c r="O86" i="3"/>
  <c r="W60" i="3"/>
  <c r="Q84" i="3"/>
  <c r="R69" i="3"/>
  <c r="AH65" i="3"/>
  <c r="X96" i="3"/>
  <c r="I63" i="3"/>
  <c r="AA77" i="3"/>
  <c r="H83" i="3"/>
  <c r="O89" i="3"/>
  <c r="AG48" i="3"/>
  <c r="I89" i="3"/>
  <c r="P67" i="3"/>
  <c r="N60" i="3"/>
  <c r="X76" i="3"/>
  <c r="V62" i="3"/>
  <c r="N80" i="3"/>
  <c r="I74" i="3"/>
  <c r="AG79" i="3"/>
  <c r="AE77" i="3"/>
  <c r="V76" i="3"/>
  <c r="AQ50" i="3"/>
  <c r="U70" i="3"/>
  <c r="W63" i="3"/>
  <c r="Q87" i="3"/>
  <c r="K90" i="3"/>
  <c r="Y58" i="3"/>
  <c r="V78" i="3"/>
  <c r="Q54" i="3"/>
  <c r="Q61" i="3"/>
  <c r="H65" i="3"/>
  <c r="AC67" i="3"/>
  <c r="R49" i="3"/>
  <c r="Y67" i="3"/>
  <c r="I65" i="3"/>
  <c r="C162" i="1" l="1"/>
  <c r="AW68" i="1"/>
  <c r="W195" i="1"/>
  <c r="F231" i="1"/>
  <c r="F195" i="1"/>
  <c r="E231" i="1"/>
  <c r="E195" i="1"/>
  <c r="N231" i="1"/>
  <c r="N195" i="1"/>
  <c r="H231" i="1"/>
  <c r="H195" i="1"/>
  <c r="C231" i="1"/>
  <c r="C195" i="1"/>
  <c r="D231" i="1"/>
  <c r="D195" i="1"/>
  <c r="L231" i="1"/>
  <c r="L195" i="1"/>
  <c r="G231" i="1"/>
  <c r="G195" i="1"/>
  <c r="G233" i="1" s="1"/>
  <c r="P231" i="1"/>
  <c r="P195" i="1"/>
  <c r="Q231" i="1"/>
  <c r="Q195" i="1"/>
  <c r="T231" i="1"/>
  <c r="T195" i="1"/>
  <c r="S231" i="1"/>
  <c r="S195" i="1"/>
  <c r="J231" i="1"/>
  <c r="J195" i="1"/>
  <c r="BV195" i="1"/>
  <c r="R231" i="1"/>
  <c r="R195" i="1"/>
  <c r="V231" i="1"/>
  <c r="V195" i="1"/>
  <c r="K231" i="1"/>
  <c r="K195" i="1"/>
  <c r="B231" i="1"/>
  <c r="B195" i="1"/>
  <c r="I231" i="1"/>
  <c r="I195" i="1"/>
  <c r="I233" i="1" s="1"/>
  <c r="U195" i="1"/>
  <c r="U233" i="1" s="1"/>
  <c r="O231" i="1"/>
  <c r="O195" i="1"/>
  <c r="M231" i="1"/>
  <c r="M195" i="1"/>
  <c r="M233" i="1" s="1"/>
  <c r="M232" i="1" s="1"/>
  <c r="BH195" i="1"/>
  <c r="E162" i="1"/>
  <c r="E226" i="1" s="1"/>
  <c r="R176" i="1"/>
  <c r="R75" i="1" s="1"/>
  <c r="BN68" i="1"/>
  <c r="BS68" i="1"/>
  <c r="AZ68" i="1"/>
  <c r="AY68" i="1"/>
  <c r="L162" i="1"/>
  <c r="BR68" i="1"/>
  <c r="N162" i="1"/>
  <c r="AR68" i="1"/>
  <c r="BG68" i="1"/>
  <c r="U212" i="1"/>
  <c r="V260" i="1" s="1"/>
  <c r="I212" i="1"/>
  <c r="J260" i="1" s="1"/>
  <c r="AO68" i="1"/>
  <c r="BE68" i="1"/>
  <c r="BI68" i="1"/>
  <c r="BA68" i="1"/>
  <c r="AS68" i="1"/>
  <c r="AX68" i="1"/>
  <c r="BH68" i="1"/>
  <c r="BO68" i="1"/>
  <c r="AN68" i="1"/>
  <c r="BC68" i="1"/>
  <c r="AT68" i="1"/>
  <c r="BT68" i="1"/>
  <c r="AQ68" i="1"/>
  <c r="BF68" i="1"/>
  <c r="BV68" i="1"/>
  <c r="AU68" i="1"/>
  <c r="AP68" i="1"/>
  <c r="BP68" i="1"/>
  <c r="BU68" i="1"/>
  <c r="AV68" i="1"/>
  <c r="BW68" i="1"/>
  <c r="BM68" i="1"/>
  <c r="BK68" i="1"/>
  <c r="BB68" i="1"/>
  <c r="BD68" i="1"/>
  <c r="AI68" i="1"/>
  <c r="BQ68" i="1"/>
  <c r="N212" i="1"/>
  <c r="O260" i="1" s="1"/>
  <c r="P253" i="1"/>
  <c r="D162" i="1"/>
  <c r="D226" i="1" s="1"/>
  <c r="Q253" i="1"/>
  <c r="B212" i="1"/>
  <c r="C260" i="1" s="1"/>
  <c r="BU282" i="1"/>
  <c r="BU8" i="1"/>
  <c r="BE282" i="1"/>
  <c r="BE8" i="1"/>
  <c r="BI282" i="1"/>
  <c r="BI8" i="1"/>
  <c r="BR282" i="1"/>
  <c r="BR8" i="1"/>
  <c r="BS282" i="1"/>
  <c r="BS8" i="1"/>
  <c r="BH282" i="1"/>
  <c r="BH8" i="1"/>
  <c r="D170" i="1"/>
  <c r="D79" i="1" s="1"/>
  <c r="T253" i="1"/>
  <c r="B107" i="1"/>
  <c r="B149" i="1" s="1"/>
  <c r="BV282" i="1"/>
  <c r="BV8" i="1"/>
  <c r="AV282" i="1"/>
  <c r="AV8" i="1"/>
  <c r="BA282" i="1"/>
  <c r="BA8" i="1"/>
  <c r="BC282" i="1"/>
  <c r="BC8" i="1"/>
  <c r="BP282" i="1"/>
  <c r="BP8" i="1"/>
  <c r="C170" i="1"/>
  <c r="C171" i="1" s="1"/>
  <c r="C97" i="1" s="1"/>
  <c r="O212" i="1"/>
  <c r="F176" i="1"/>
  <c r="F180" i="1" s="1"/>
  <c r="C253" i="1"/>
  <c r="S212" i="1"/>
  <c r="T260" i="1" s="1"/>
  <c r="O162" i="1"/>
  <c r="O96" i="1" s="1"/>
  <c r="F170" i="1"/>
  <c r="M162" i="1"/>
  <c r="U231" i="1"/>
  <c r="S253" i="1"/>
  <c r="N176" i="1"/>
  <c r="L176" i="1"/>
  <c r="V212" i="1"/>
  <c r="W260" i="1" s="1"/>
  <c r="V253" i="1"/>
  <c r="M212" i="1"/>
  <c r="S224" i="1"/>
  <c r="T212" i="1"/>
  <c r="B224" i="1"/>
  <c r="C176" i="1"/>
  <c r="Q224" i="1"/>
  <c r="H162" i="1"/>
  <c r="R170" i="1"/>
  <c r="R79" i="1" s="1"/>
  <c r="V170" i="1"/>
  <c r="T162" i="1"/>
  <c r="T96" i="1" s="1"/>
  <c r="H224" i="1"/>
  <c r="C224" i="1"/>
  <c r="I162" i="1"/>
  <c r="J176" i="1"/>
  <c r="U176" i="1"/>
  <c r="B207" i="1"/>
  <c r="B236" i="1" s="1"/>
  <c r="B235" i="1" s="1"/>
  <c r="S176" i="1"/>
  <c r="B176" i="1"/>
  <c r="K253" i="1"/>
  <c r="H212" i="1"/>
  <c r="C107" i="1"/>
  <c r="S170" i="1"/>
  <c r="S207" i="1"/>
  <c r="S236" i="1" s="1"/>
  <c r="S235" i="1" s="1"/>
  <c r="K212" i="1"/>
  <c r="D212" i="1"/>
  <c r="F212" i="1"/>
  <c r="M253" i="1"/>
  <c r="F162" i="1"/>
  <c r="T176" i="1"/>
  <c r="T75" i="1" s="1"/>
  <c r="B162" i="1"/>
  <c r="C258" i="1" s="1"/>
  <c r="G176" i="1"/>
  <c r="T170" i="1"/>
  <c r="M224" i="1"/>
  <c r="O170" i="1"/>
  <c r="L253" i="1"/>
  <c r="B170" i="1"/>
  <c r="N224" i="1"/>
  <c r="D107" i="1"/>
  <c r="D149" i="1" s="1"/>
  <c r="K170" i="1"/>
  <c r="J212" i="1"/>
  <c r="G162" i="1"/>
  <c r="D224" i="1"/>
  <c r="J170" i="1"/>
  <c r="N253" i="1"/>
  <c r="E224" i="1"/>
  <c r="R253" i="1"/>
  <c r="D253" i="1"/>
  <c r="K162" i="1"/>
  <c r="C212" i="1"/>
  <c r="W170" i="1"/>
  <c r="U162" i="1"/>
  <c r="F207" i="1"/>
  <c r="F236" i="1" s="1"/>
  <c r="C207" i="1"/>
  <c r="W224" i="1"/>
  <c r="E253" i="1"/>
  <c r="E176" i="1"/>
  <c r="H207" i="1"/>
  <c r="H236" i="1" s="1"/>
  <c r="H235" i="1" s="1"/>
  <c r="H170" i="1"/>
  <c r="U253" i="1"/>
  <c r="I176" i="1"/>
  <c r="V224" i="1"/>
  <c r="P170" i="1"/>
  <c r="G224" i="1"/>
  <c r="J162" i="1"/>
  <c r="Q212" i="1"/>
  <c r="N207" i="1"/>
  <c r="N236" i="1" s="1"/>
  <c r="N235" i="1" s="1"/>
  <c r="I170" i="1"/>
  <c r="O253" i="1"/>
  <c r="D176" i="1"/>
  <c r="G212" i="1"/>
  <c r="Q176" i="1"/>
  <c r="E170" i="1"/>
  <c r="M176" i="1"/>
  <c r="Q162" i="1"/>
  <c r="P224" i="1"/>
  <c r="L224" i="1"/>
  <c r="K224" i="1"/>
  <c r="K176" i="1"/>
  <c r="N170" i="1"/>
  <c r="O224" i="1"/>
  <c r="L170" i="1"/>
  <c r="P162" i="1"/>
  <c r="T224" i="1"/>
  <c r="J224" i="1"/>
  <c r="P176" i="1"/>
  <c r="G170" i="1"/>
  <c r="U170" i="1"/>
  <c r="D207" i="1"/>
  <c r="H253" i="1"/>
  <c r="S162" i="1"/>
  <c r="W176" i="1"/>
  <c r="F224" i="1"/>
  <c r="O176" i="1"/>
  <c r="L212" i="1"/>
  <c r="R212" i="1"/>
  <c r="I224" i="1"/>
  <c r="R162" i="1"/>
  <c r="R96" i="1" s="1"/>
  <c r="V162" i="1"/>
  <c r="Q170" i="1"/>
  <c r="K207" i="1"/>
  <c r="N230" i="1"/>
  <c r="P207" i="1"/>
  <c r="P236" i="1" s="1"/>
  <c r="P235" i="1" s="1"/>
  <c r="T207" i="1"/>
  <c r="J207" i="1"/>
  <c r="E207" i="1"/>
  <c r="G207" i="1"/>
  <c r="O207" i="1"/>
  <c r="U207" i="1"/>
  <c r="L207" i="1"/>
  <c r="H230" i="1"/>
  <c r="R224" i="1"/>
  <c r="J253" i="1"/>
  <c r="I253" i="1"/>
  <c r="U224" i="1"/>
  <c r="G253" i="1"/>
  <c r="F253" i="1"/>
  <c r="X253" i="1"/>
  <c r="W253" i="1"/>
  <c r="M201" i="1"/>
  <c r="M207" i="1" s="1"/>
  <c r="M170" i="1"/>
  <c r="V176" i="1"/>
  <c r="I207" i="1"/>
  <c r="H176" i="1"/>
  <c r="H180" i="1" s="1"/>
  <c r="Q207" i="1"/>
  <c r="V207" i="1"/>
  <c r="R207" i="1"/>
  <c r="BH176" i="1"/>
  <c r="BH180" i="1" s="1"/>
  <c r="AX182" i="1"/>
  <c r="AY182" i="1" s="1"/>
  <c r="AZ196" i="1"/>
  <c r="AZ234" i="1" s="1"/>
  <c r="BA234" i="1" s="1"/>
  <c r="BR168" i="1"/>
  <c r="BS168" i="1" s="1"/>
  <c r="AZ201" i="1"/>
  <c r="BA201" i="1" s="1"/>
  <c r="BT173" i="1"/>
  <c r="BP203" i="1"/>
  <c r="BQ203" i="1" s="1"/>
  <c r="BP115" i="1"/>
  <c r="BF167" i="1"/>
  <c r="BG167" i="1" s="1"/>
  <c r="AP188" i="1"/>
  <c r="AQ188" i="1" s="1"/>
  <c r="BI115" i="1"/>
  <c r="AX186" i="1"/>
  <c r="AX230" i="1" s="1"/>
  <c r="BR210" i="1"/>
  <c r="BF116" i="1"/>
  <c r="AZ205" i="1"/>
  <c r="BA205" i="1" s="1"/>
  <c r="BD177" i="1"/>
  <c r="BE177" i="1" s="1"/>
  <c r="AZ159" i="1"/>
  <c r="BA159" i="1" s="1"/>
  <c r="BN215" i="1"/>
  <c r="BO215" i="1" s="1"/>
  <c r="BF187" i="1"/>
  <c r="BG187" i="1" s="1"/>
  <c r="BT202" i="1"/>
  <c r="BU202" i="1" s="1"/>
  <c r="BN161" i="1"/>
  <c r="AX160" i="1"/>
  <c r="AY160" i="1" s="1"/>
  <c r="BW116" i="1"/>
  <c r="BN168" i="1"/>
  <c r="BO168" i="1" s="1"/>
  <c r="AX202" i="1"/>
  <c r="AY202" i="1" s="1"/>
  <c r="AP167" i="1"/>
  <c r="AQ167" i="1" s="1"/>
  <c r="AT173" i="1"/>
  <c r="AZ173" i="1"/>
  <c r="BF201" i="1"/>
  <c r="BG201" i="1" s="1"/>
  <c r="BR169" i="1"/>
  <c r="BS169" i="1" s="1"/>
  <c r="BD187" i="1"/>
  <c r="BE187" i="1" s="1"/>
  <c r="AP193" i="1"/>
  <c r="AQ193" i="1" s="1"/>
  <c r="AV177" i="1"/>
  <c r="AW177" i="1" s="1"/>
  <c r="BB177" i="1"/>
  <c r="BC177" i="1" s="1"/>
  <c r="AN159" i="1"/>
  <c r="AR215" i="1"/>
  <c r="AS215" i="1" s="1"/>
  <c r="AQ115" i="1"/>
  <c r="AT202" i="1"/>
  <c r="AU202" i="1" s="1"/>
  <c r="AX116" i="1"/>
  <c r="BA115" i="1"/>
  <c r="BF202" i="1"/>
  <c r="BG202" i="1" s="1"/>
  <c r="BN164" i="1"/>
  <c r="BO164" i="1" s="1"/>
  <c r="BP169" i="1"/>
  <c r="BQ169" i="1" s="1"/>
  <c r="BF166" i="1"/>
  <c r="BG166" i="1" s="1"/>
  <c r="BF214" i="1"/>
  <c r="BG214" i="1" s="1"/>
  <c r="AZ211" i="1"/>
  <c r="AW115" i="1"/>
  <c r="BP168" i="1"/>
  <c r="BQ168" i="1" s="1"/>
  <c r="BD205" i="1"/>
  <c r="BE205" i="1" s="1"/>
  <c r="BG115" i="1"/>
  <c r="AZ189" i="1"/>
  <c r="BA189" i="1" s="1"/>
  <c r="BD211" i="1"/>
  <c r="BT159" i="1"/>
  <c r="BU159" i="1" s="1"/>
  <c r="BN205" i="1"/>
  <c r="BO205" i="1" s="1"/>
  <c r="BD197" i="1"/>
  <c r="BE197" i="1" s="1"/>
  <c r="BT205" i="1"/>
  <c r="BU205" i="1" s="1"/>
  <c r="BM116" i="1"/>
  <c r="BN169" i="1"/>
  <c r="BO169" i="1" s="1"/>
  <c r="BR174" i="1"/>
  <c r="BP186" i="1"/>
  <c r="BP230" i="1" s="1"/>
  <c r="BQ230" i="1" s="1"/>
  <c r="AT210" i="1"/>
  <c r="BF215" i="1"/>
  <c r="BG215" i="1" s="1"/>
  <c r="AZ177" i="1"/>
  <c r="BA177" i="1" s="1"/>
  <c r="BT188" i="1"/>
  <c r="BU188" i="1" s="1"/>
  <c r="BP166" i="1"/>
  <c r="BQ166" i="1" s="1"/>
  <c r="BP189" i="1"/>
  <c r="BQ189" i="1" s="1"/>
  <c r="BT116" i="1"/>
  <c r="AR193" i="1"/>
  <c r="AS193" i="1" s="1"/>
  <c r="BF160" i="1"/>
  <c r="BG160" i="1" s="1"/>
  <c r="AX115" i="1"/>
  <c r="AX187" i="1"/>
  <c r="AY187" i="1" s="1"/>
  <c r="AX205" i="1"/>
  <c r="AY205" i="1" s="1"/>
  <c r="BB166" i="1"/>
  <c r="BF159" i="1"/>
  <c r="BG159" i="1" s="1"/>
  <c r="AZ187" i="1"/>
  <c r="BA187" i="1" s="1"/>
  <c r="BP173" i="1"/>
  <c r="AV186" i="1"/>
  <c r="AV230" i="1" s="1"/>
  <c r="AW230" i="1" s="1"/>
  <c r="BW115" i="1"/>
  <c r="BN203" i="1"/>
  <c r="BO203" i="1" s="1"/>
  <c r="BR197" i="1"/>
  <c r="BS197" i="1" s="1"/>
  <c r="BP161" i="1"/>
  <c r="BR115" i="1"/>
  <c r="BB116" i="1"/>
  <c r="BD116" i="1"/>
  <c r="AT167" i="1"/>
  <c r="AU167" i="1" s="1"/>
  <c r="BN167" i="1"/>
  <c r="BO167" i="1" s="1"/>
  <c r="BB188" i="1"/>
  <c r="BC188" i="1" s="1"/>
  <c r="BF174" i="1"/>
  <c r="AT164" i="1"/>
  <c r="AU164" i="1" s="1"/>
  <c r="BB174" i="1"/>
  <c r="AN164" i="1"/>
  <c r="AO164" i="1" s="1"/>
  <c r="BB168" i="1"/>
  <c r="BC168" i="1" s="1"/>
  <c r="BP182" i="1"/>
  <c r="BQ182" i="1" s="1"/>
  <c r="AP182" i="1"/>
  <c r="AV182" i="1"/>
  <c r="AV206" i="1"/>
  <c r="AW206" i="1" s="1"/>
  <c r="AN160" i="1"/>
  <c r="AO160" i="1" s="1"/>
  <c r="AN116" i="1"/>
  <c r="BE116" i="1"/>
  <c r="AX164" i="1"/>
  <c r="AY164" i="1" s="1"/>
  <c r="AX211" i="1"/>
  <c r="BB161" i="1"/>
  <c r="AZ185" i="1"/>
  <c r="BT186" i="1"/>
  <c r="BT230" i="1" s="1"/>
  <c r="BU230" i="1" s="1"/>
  <c r="AP161" i="1"/>
  <c r="BR202" i="1"/>
  <c r="BS202" i="1" s="1"/>
  <c r="AT175" i="1"/>
  <c r="AX206" i="1"/>
  <c r="AY206" i="1" s="1"/>
  <c r="BN188" i="1"/>
  <c r="BO188" i="1" s="1"/>
  <c r="BN174" i="1"/>
  <c r="AY116" i="1"/>
  <c r="BR186" i="1"/>
  <c r="BR230" i="1" s="1"/>
  <c r="BS230" i="1" s="1"/>
  <c r="BB211" i="1"/>
  <c r="BD173" i="1"/>
  <c r="BT196" i="1"/>
  <c r="BT234" i="1" s="1"/>
  <c r="BU234" i="1" s="1"/>
  <c r="BA116" i="1"/>
  <c r="BR188" i="1"/>
  <c r="BS188" i="1" s="1"/>
  <c r="BB169" i="1"/>
  <c r="BC169" i="1" s="1"/>
  <c r="BP185" i="1"/>
  <c r="AT186" i="1"/>
  <c r="AT230" i="1" s="1"/>
  <c r="AU230" i="1" s="1"/>
  <c r="BC115" i="1"/>
  <c r="BD202" i="1"/>
  <c r="BE202" i="1" s="1"/>
  <c r="BR185" i="1"/>
  <c r="BT210" i="1"/>
  <c r="AV197" i="1"/>
  <c r="AW197" i="1" s="1"/>
  <c r="BN189" i="1"/>
  <c r="BO189" i="1" s="1"/>
  <c r="AZ186" i="1"/>
  <c r="AZ230" i="1" s="1"/>
  <c r="BA230" i="1" s="1"/>
  <c r="AP166" i="1"/>
  <c r="AQ166" i="1" s="1"/>
  <c r="BP159" i="1"/>
  <c r="BQ159" i="1" s="1"/>
  <c r="BD168" i="1"/>
  <c r="BE168" i="1" s="1"/>
  <c r="BP174" i="1"/>
  <c r="AP206" i="1"/>
  <c r="AQ206" i="1" s="1"/>
  <c r="BD215" i="1"/>
  <c r="BE215" i="1" s="1"/>
  <c r="AV210" i="1"/>
  <c r="AV159" i="1"/>
  <c r="AW159" i="1" s="1"/>
  <c r="AR161" i="1"/>
  <c r="AR189" i="1"/>
  <c r="AS189" i="1" s="1"/>
  <c r="AZ182" i="1"/>
  <c r="BA182" i="1" s="1"/>
  <c r="AP214" i="1"/>
  <c r="AQ214" i="1" s="1"/>
  <c r="AP189" i="1"/>
  <c r="AN179" i="1"/>
  <c r="AO179" i="1" s="1"/>
  <c r="AV167" i="1"/>
  <c r="AW167" i="1" s="1"/>
  <c r="AV168" i="1"/>
  <c r="AW168" i="1" s="1"/>
  <c r="AR201" i="1"/>
  <c r="AS201" i="1" s="1"/>
  <c r="AV175" i="1"/>
  <c r="AR160" i="1"/>
  <c r="AS160" i="1" s="1"/>
  <c r="AR205" i="1"/>
  <c r="AS205" i="1" s="1"/>
  <c r="BP210" i="1"/>
  <c r="AN206" i="1"/>
  <c r="AO206" i="1" s="1"/>
  <c r="AR166" i="1"/>
  <c r="AN211" i="1"/>
  <c r="AV215" i="1"/>
  <c r="AW215" i="1" s="1"/>
  <c r="AR196" i="1"/>
  <c r="AR234" i="1" s="1"/>
  <c r="AN168" i="1"/>
  <c r="AO168" i="1" s="1"/>
  <c r="AR164" i="1"/>
  <c r="AS164" i="1" s="1"/>
  <c r="AR188" i="1"/>
  <c r="AS188" i="1" s="1"/>
  <c r="BB173" i="1"/>
  <c r="AV115" i="1"/>
  <c r="AU115" i="1"/>
  <c r="AR211" i="1"/>
  <c r="AV196" i="1"/>
  <c r="AV234" i="1" s="1"/>
  <c r="AT197" i="1"/>
  <c r="AU197" i="1" s="1"/>
  <c r="AT196" i="1"/>
  <c r="AT234" i="1" s="1"/>
  <c r="AU234" i="1" s="1"/>
  <c r="AR115" i="1"/>
  <c r="BO116" i="1"/>
  <c r="BT182" i="1"/>
  <c r="AP175" i="1"/>
  <c r="BF206" i="1"/>
  <c r="BG206" i="1" s="1"/>
  <c r="BN115" i="1"/>
  <c r="AV211" i="1"/>
  <c r="AR186" i="1"/>
  <c r="AR230" i="1" s="1"/>
  <c r="AS230" i="1" s="1"/>
  <c r="BP197" i="1"/>
  <c r="BQ197" i="1" s="1"/>
  <c r="AV202" i="1"/>
  <c r="AW202" i="1" s="1"/>
  <c r="BT169" i="1"/>
  <c r="BU169" i="1" s="1"/>
  <c r="AR187" i="1"/>
  <c r="AS187" i="1" s="1"/>
  <c r="BB185" i="1"/>
  <c r="AT160" i="1"/>
  <c r="AU160" i="1" s="1"/>
  <c r="BO115" i="1"/>
  <c r="AX214" i="1"/>
  <c r="AY214" i="1" s="1"/>
  <c r="BB182" i="1"/>
  <c r="BC182" i="1" s="1"/>
  <c r="BD159" i="1"/>
  <c r="BR177" i="1"/>
  <c r="BS177" i="1" s="1"/>
  <c r="BB196" i="1"/>
  <c r="BB234" i="1" s="1"/>
  <c r="BF211" i="1"/>
  <c r="BP196" i="1"/>
  <c r="BP234" i="1" s="1"/>
  <c r="BQ234" i="1" s="1"/>
  <c r="AX203" i="1"/>
  <c r="AY203" i="1" s="1"/>
  <c r="BN210" i="1"/>
  <c r="AZ168" i="1"/>
  <c r="BA168" i="1" s="1"/>
  <c r="AX173" i="1"/>
  <c r="BN186" i="1"/>
  <c r="BN230" i="1" s="1"/>
  <c r="BO230" i="1" s="1"/>
  <c r="BR160" i="1"/>
  <c r="BS160" i="1" s="1"/>
  <c r="BF185" i="1"/>
  <c r="BS115" i="1"/>
  <c r="BQ116" i="1"/>
  <c r="AT177" i="1"/>
  <c r="AU177" i="1" s="1"/>
  <c r="AT168" i="1"/>
  <c r="AU168" i="1" s="1"/>
  <c r="AZ164" i="1"/>
  <c r="BA164" i="1" s="1"/>
  <c r="BD214" i="1"/>
  <c r="BE214" i="1" s="1"/>
  <c r="BD164" i="1"/>
  <c r="BE164" i="1" s="1"/>
  <c r="BT161" i="1"/>
  <c r="BB201" i="1"/>
  <c r="BC201" i="1" s="1"/>
  <c r="BF173" i="1"/>
  <c r="AX161" i="1"/>
  <c r="AX177" i="1"/>
  <c r="AY177" i="1" s="1"/>
  <c r="AX185" i="1"/>
  <c r="AZ175" i="1"/>
  <c r="AZ203" i="1"/>
  <c r="BA203" i="1" s="1"/>
  <c r="BF196" i="1"/>
  <c r="BF234" i="1" s="1"/>
  <c r="BG234" i="1" s="1"/>
  <c r="BF177" i="1"/>
  <c r="BG177" i="1" s="1"/>
  <c r="BD206" i="1"/>
  <c r="BE206" i="1" s="1"/>
  <c r="BN206" i="1"/>
  <c r="BO206" i="1" s="1"/>
  <c r="AQ116" i="1"/>
  <c r="BR116" i="1"/>
  <c r="AZ169" i="1"/>
  <c r="BA169" i="1" s="1"/>
  <c r="BD188" i="1"/>
  <c r="BE188" i="1" s="1"/>
  <c r="BD166" i="1"/>
  <c r="BE166" i="1" s="1"/>
  <c r="BT177" i="1"/>
  <c r="BU177" i="1" s="1"/>
  <c r="BP116" i="1"/>
  <c r="AV201" i="1"/>
  <c r="AW201" i="1" s="1"/>
  <c r="BN116" i="1"/>
  <c r="BR215" i="1"/>
  <c r="BS215" i="1" s="1"/>
  <c r="AN215" i="1"/>
  <c r="AO215" i="1" s="1"/>
  <c r="AT206" i="1"/>
  <c r="AO115" i="1"/>
  <c r="AX197" i="1"/>
  <c r="AX174" i="1"/>
  <c r="AX179" i="1"/>
  <c r="AY179" i="1" s="1"/>
  <c r="BE115" i="1"/>
  <c r="BN175" i="1"/>
  <c r="BN214" i="1"/>
  <c r="BO214" i="1" s="1"/>
  <c r="BN166" i="1"/>
  <c r="BN185" i="1"/>
  <c r="BN201" i="1"/>
  <c r="BO201" i="1" s="1"/>
  <c r="AY115" i="1"/>
  <c r="BR189" i="1"/>
  <c r="BS189" i="1" s="1"/>
  <c r="BB197" i="1"/>
  <c r="BC197" i="1" s="1"/>
  <c r="BB202" i="1"/>
  <c r="BC202" i="1" s="1"/>
  <c r="AZ202" i="1"/>
  <c r="BA202" i="1" s="1"/>
  <c r="BF189" i="1"/>
  <c r="BG189" i="1" s="1"/>
  <c r="BD185" i="1"/>
  <c r="BT201" i="1"/>
  <c r="BU201" i="1" s="1"/>
  <c r="BT211" i="1"/>
  <c r="BP193" i="1"/>
  <c r="BQ193" i="1" s="1"/>
  <c r="BP202" i="1"/>
  <c r="BQ202" i="1" s="1"/>
  <c r="AP160" i="1"/>
  <c r="AQ160" i="1" s="1"/>
  <c r="AZ160" i="1"/>
  <c r="BA160" i="1" s="1"/>
  <c r="AX168" i="1"/>
  <c r="AY168" i="1" s="1"/>
  <c r="AX189" i="1"/>
  <c r="AY189" i="1" s="1"/>
  <c r="BN187" i="1"/>
  <c r="BO187" i="1" s="1"/>
  <c r="BR175" i="1"/>
  <c r="BR203" i="1"/>
  <c r="BS203" i="1" s="1"/>
  <c r="BR206" i="1"/>
  <c r="BS206" i="1" s="1"/>
  <c r="BB164" i="1"/>
  <c r="BC164" i="1" s="1"/>
  <c r="AZ174" i="1"/>
  <c r="AP197" i="1"/>
  <c r="AQ197" i="1" s="1"/>
  <c r="AW116" i="1"/>
  <c r="AS115" i="1"/>
  <c r="AT169" i="1"/>
  <c r="AU169" i="1" s="1"/>
  <c r="AT185" i="1"/>
  <c r="AT203" i="1"/>
  <c r="AU203" i="1" s="1"/>
  <c r="AT188" i="1"/>
  <c r="AU188" i="1" s="1"/>
  <c r="AT201" i="1"/>
  <c r="AU201" i="1" s="1"/>
  <c r="AT159" i="1"/>
  <c r="BB206" i="1"/>
  <c r="BC206" i="1" s="1"/>
  <c r="AZ214" i="1"/>
  <c r="BA214" i="1" s="1"/>
  <c r="AZ206" i="1"/>
  <c r="BA206" i="1" s="1"/>
  <c r="BF161" i="1"/>
  <c r="BD161" i="1"/>
  <c r="BD182" i="1"/>
  <c r="BE182" i="1" s="1"/>
  <c r="AP116" i="1"/>
  <c r="BG116" i="1"/>
  <c r="BF164" i="1"/>
  <c r="BG164" i="1" s="1"/>
  <c r="AZ215" i="1"/>
  <c r="BA215" i="1" s="1"/>
  <c r="BF182" i="1"/>
  <c r="BG182" i="1" s="1"/>
  <c r="BH253" i="1" s="1"/>
  <c r="BD189" i="1"/>
  <c r="BE189" i="1" s="1"/>
  <c r="BP164" i="1"/>
  <c r="BQ164" i="1" s="1"/>
  <c r="BK115" i="1"/>
  <c r="AP164" i="1"/>
  <c r="AQ164" i="1" s="1"/>
  <c r="AT193" i="1"/>
  <c r="AU193" i="1" s="1"/>
  <c r="AT161" i="1"/>
  <c r="BN196" i="1"/>
  <c r="BN234" i="1" s="1"/>
  <c r="BO234" i="1" s="1"/>
  <c r="BB175" i="1"/>
  <c r="BB189" i="1"/>
  <c r="BC189" i="1" s="1"/>
  <c r="AZ197" i="1"/>
  <c r="BA197" i="1" s="1"/>
  <c r="BP188" i="1"/>
  <c r="BQ188" i="1" s="1"/>
  <c r="AN188" i="1"/>
  <c r="AO188" i="1" s="1"/>
  <c r="BT185" i="1"/>
  <c r="BD196" i="1"/>
  <c r="BD234" i="1" s="1"/>
  <c r="BE234" i="1" s="1"/>
  <c r="BF168" i="1"/>
  <c r="BG168" i="1" s="1"/>
  <c r="BT206" i="1"/>
  <c r="BU206" i="1" s="1"/>
  <c r="AN210" i="1"/>
  <c r="AZ179" i="1"/>
  <c r="BA179" i="1" s="1"/>
  <c r="AP168" i="1"/>
  <c r="AQ168" i="1" s="1"/>
  <c r="AP186" i="1"/>
  <c r="AP230" i="1" s="1"/>
  <c r="AQ230" i="1" s="1"/>
  <c r="AN205" i="1"/>
  <c r="AO205" i="1" s="1"/>
  <c r="BP167" i="1"/>
  <c r="BQ167" i="1" s="1"/>
  <c r="AV188" i="1"/>
  <c r="AW188" i="1" s="1"/>
  <c r="AR167" i="1"/>
  <c r="AS167" i="1" s="1"/>
  <c r="AR116" i="1"/>
  <c r="BT187" i="1"/>
  <c r="BU187" i="1" s="1"/>
  <c r="BP205" i="1"/>
  <c r="BQ205" i="1" s="1"/>
  <c r="AN214" i="1"/>
  <c r="AO214" i="1" s="1"/>
  <c r="AV116" i="1"/>
  <c r="AP169" i="1"/>
  <c r="AQ169" i="1" s="1"/>
  <c r="AV160" i="1"/>
  <c r="AW160" i="1" s="1"/>
  <c r="AV214" i="1"/>
  <c r="AW214" i="1" s="1"/>
  <c r="AR159" i="1"/>
  <c r="AV166" i="1"/>
  <c r="BD115" i="1"/>
  <c r="AP196" i="1"/>
  <c r="AP234" i="1" s="1"/>
  <c r="AQ234" i="1" s="1"/>
  <c r="BP175" i="1"/>
  <c r="AN187" i="1"/>
  <c r="AO187" i="1" s="1"/>
  <c r="AR179" i="1"/>
  <c r="AS179" i="1" s="1"/>
  <c r="BI116" i="1"/>
  <c r="AS116" i="1"/>
  <c r="AR206" i="1"/>
  <c r="AS206" i="1" s="1"/>
  <c r="AP211" i="1"/>
  <c r="AN201" i="1"/>
  <c r="AO201" i="1" s="1"/>
  <c r="AV169" i="1"/>
  <c r="AW169" i="1" s="1"/>
  <c r="BP201" i="1"/>
  <c r="BQ201" i="1" s="1"/>
  <c r="AN202" i="1"/>
  <c r="AO202" i="1" s="1"/>
  <c r="AN177" i="1"/>
  <c r="AO177" i="1" s="1"/>
  <c r="AR169" i="1"/>
  <c r="AS169" i="1" s="1"/>
  <c r="AV205" i="1"/>
  <c r="AW205" i="1" s="1"/>
  <c r="BQ115" i="1"/>
  <c r="BS116" i="1"/>
  <c r="AR197" i="1"/>
  <c r="AS197" i="1" s="1"/>
  <c r="AP115" i="1"/>
  <c r="BR166" i="1"/>
  <c r="BS166" i="1" s="1"/>
  <c r="AV189" i="1"/>
  <c r="AW189" i="1" s="1"/>
  <c r="AN193" i="1"/>
  <c r="AO193" i="1" s="1"/>
  <c r="AN174" i="1"/>
  <c r="AR214" i="1"/>
  <c r="AS214" i="1" s="1"/>
  <c r="AV185" i="1"/>
  <c r="AN189" i="1"/>
  <c r="AR168" i="1"/>
  <c r="AS168" i="1" s="1"/>
  <c r="AX196" i="1"/>
  <c r="AX234" i="1" s="1"/>
  <c r="AY234" i="1" s="1"/>
  <c r="BB115" i="1"/>
  <c r="AZ188" i="1"/>
  <c r="BA188" i="1" s="1"/>
  <c r="BD210" i="1"/>
  <c r="BR201" i="1"/>
  <c r="BS201" i="1" s="1"/>
  <c r="BT174" i="1"/>
  <c r="BK116" i="1"/>
  <c r="AX159" i="1"/>
  <c r="AX201" i="1"/>
  <c r="AY201" i="1" s="1"/>
  <c r="BB167" i="1"/>
  <c r="BC167" i="1" s="1"/>
  <c r="BF186" i="1"/>
  <c r="BF230" i="1" s="1"/>
  <c r="BG230" i="1" s="1"/>
  <c r="BT167" i="1"/>
  <c r="BU167" i="1" s="1"/>
  <c r="AX166" i="1"/>
  <c r="BR182" i="1"/>
  <c r="BT166" i="1"/>
  <c r="AP203" i="1"/>
  <c r="AQ203" i="1" s="1"/>
  <c r="AT215" i="1"/>
  <c r="AU215" i="1" s="1"/>
  <c r="AT205" i="1"/>
  <c r="AU205" i="1" s="1"/>
  <c r="BC116" i="1"/>
  <c r="AZ166" i="1"/>
  <c r="BA166" i="1" s="1"/>
  <c r="BF205" i="1"/>
  <c r="BG205" i="1" s="1"/>
  <c r="BD186" i="1"/>
  <c r="BD230" i="1" s="1"/>
  <c r="BE230" i="1" s="1"/>
  <c r="AT116" i="1"/>
  <c r="BB186" i="1"/>
  <c r="BB230" i="1" s="1"/>
  <c r="BC230" i="1" s="1"/>
  <c r="BT203" i="1"/>
  <c r="BU203" i="1" s="1"/>
  <c r="BB187" i="1"/>
  <c r="BC187" i="1" s="1"/>
  <c r="AN182" i="1"/>
  <c r="BP206" i="1"/>
  <c r="BQ206" i="1" s="1"/>
  <c r="AN175" i="1"/>
  <c r="BT115" i="1"/>
  <c r="AP185" i="1"/>
  <c r="AV173" i="1"/>
  <c r="BD169" i="1"/>
  <c r="BE169" i="1" s="1"/>
  <c r="AX210" i="1"/>
  <c r="AX215" i="1"/>
  <c r="AY215" i="1" s="1"/>
  <c r="AX167" i="1"/>
  <c r="AY167" i="1" s="1"/>
  <c r="BB214" i="1"/>
  <c r="BC214" i="1" s="1"/>
  <c r="BU115" i="1"/>
  <c r="AZ116" i="1"/>
  <c r="BF188" i="1"/>
  <c r="BG188" i="1" s="1"/>
  <c r="BF169" i="1"/>
  <c r="BG169" i="1" s="1"/>
  <c r="BD175" i="1"/>
  <c r="BN182" i="1"/>
  <c r="BR205" i="1"/>
  <c r="BS205" i="1" s="1"/>
  <c r="BR161" i="1"/>
  <c r="BR167" i="1"/>
  <c r="BS167" i="1" s="1"/>
  <c r="BR159" i="1"/>
  <c r="BB215" i="1"/>
  <c r="BC215" i="1" s="1"/>
  <c r="AZ161" i="1"/>
  <c r="BF197" i="1"/>
  <c r="BG197" i="1" s="1"/>
  <c r="BD160" i="1"/>
  <c r="BE160" i="1" s="1"/>
  <c r="BT215" i="1"/>
  <c r="BU215" i="1" s="1"/>
  <c r="BP211" i="1"/>
  <c r="AP174" i="1"/>
  <c r="AV174" i="1"/>
  <c r="BN173" i="1"/>
  <c r="BR187" i="1"/>
  <c r="BS187" i="1" s="1"/>
  <c r="AX175" i="1"/>
  <c r="AX188" i="1"/>
  <c r="AY188" i="1" s="1"/>
  <c r="BN211" i="1"/>
  <c r="BN160" i="1"/>
  <c r="BO160" i="1" s="1"/>
  <c r="BN197" i="1"/>
  <c r="BO197" i="1" s="1"/>
  <c r="BR211" i="1"/>
  <c r="BR164" i="1"/>
  <c r="BS164" i="1" s="1"/>
  <c r="BB210" i="1"/>
  <c r="BF175" i="1"/>
  <c r="BT160" i="1"/>
  <c r="BU160" i="1" s="1"/>
  <c r="BP214" i="1"/>
  <c r="BQ214" i="1" s="1"/>
  <c r="BP187" i="1"/>
  <c r="BQ187" i="1" s="1"/>
  <c r="BM115" i="1"/>
  <c r="AX169" i="1"/>
  <c r="AY169" i="1" s="1"/>
  <c r="BN202" i="1"/>
  <c r="BO202" i="1" s="1"/>
  <c r="BN159" i="1"/>
  <c r="BO159" i="1" s="1"/>
  <c r="BR173" i="1"/>
  <c r="BR214" i="1"/>
  <c r="BS214" i="1" s="1"/>
  <c r="BR196" i="1"/>
  <c r="BR234" i="1" s="1"/>
  <c r="BS234" i="1" s="1"/>
  <c r="BB203" i="1"/>
  <c r="BC203" i="1" s="1"/>
  <c r="AZ210" i="1"/>
  <c r="BD203" i="1"/>
  <c r="BE203" i="1" s="1"/>
  <c r="BT175" i="1"/>
  <c r="AP202" i="1"/>
  <c r="AQ202" i="1" s="1"/>
  <c r="AT182" i="1"/>
  <c r="AU182" i="1" s="1"/>
  <c r="AT211" i="1"/>
  <c r="AT166" i="1"/>
  <c r="AU166" i="1" s="1"/>
  <c r="AT189" i="1"/>
  <c r="BN177" i="1"/>
  <c r="BO177" i="1" s="1"/>
  <c r="BB205" i="1"/>
  <c r="BC205" i="1" s="1"/>
  <c r="BU116" i="1"/>
  <c r="AZ167" i="1"/>
  <c r="BA167" i="1" s="1"/>
  <c r="BF203" i="1"/>
  <c r="BG203" i="1" s="1"/>
  <c r="BP160" i="1"/>
  <c r="BQ160" i="1" s="1"/>
  <c r="BF210" i="1"/>
  <c r="BF115" i="1"/>
  <c r="BD167" i="1"/>
  <c r="BE167" i="1" s="1"/>
  <c r="BT164" i="1"/>
  <c r="BU164" i="1" s="1"/>
  <c r="AP205" i="1"/>
  <c r="AQ205" i="1" s="1"/>
  <c r="AT214" i="1"/>
  <c r="AU214" i="1" s="1"/>
  <c r="AT187" i="1"/>
  <c r="AU187" i="1" s="1"/>
  <c r="BT168" i="1"/>
  <c r="BU168" i="1" s="1"/>
  <c r="AU116" i="1"/>
  <c r="BB160" i="1"/>
  <c r="BC160" i="1" s="1"/>
  <c r="AZ115" i="1"/>
  <c r="BT189" i="1"/>
  <c r="BU189" i="1" s="1"/>
  <c r="AP215" i="1"/>
  <c r="AQ215" i="1" s="1"/>
  <c r="BB159" i="1"/>
  <c r="AN185" i="1"/>
  <c r="BD201" i="1"/>
  <c r="BE201" i="1" s="1"/>
  <c r="BT214" i="1"/>
  <c r="BU214" i="1" s="1"/>
  <c r="BP177" i="1"/>
  <c r="BQ177" i="1" s="1"/>
  <c r="AP177" i="1"/>
  <c r="AQ177" i="1" s="1"/>
  <c r="AN166" i="1"/>
  <c r="BP215" i="1"/>
  <c r="BQ215" i="1" s="1"/>
  <c r="AP159" i="1"/>
  <c r="AQ159" i="1" s="1"/>
  <c r="AN161" i="1"/>
  <c r="AV164" i="1"/>
  <c r="AW164" i="1" s="1"/>
  <c r="AR177" i="1"/>
  <c r="AS177" i="1" s="1"/>
  <c r="AR182" i="1"/>
  <c r="AS182" i="1" s="1"/>
  <c r="AR175" i="1"/>
  <c r="AP210" i="1"/>
  <c r="AP187" i="1"/>
  <c r="AQ187" i="1" s="1"/>
  <c r="AN196" i="1"/>
  <c r="AN234" i="1" s="1"/>
  <c r="AO234" i="1" s="1"/>
  <c r="AV203" i="1"/>
  <c r="AW203" i="1" s="1"/>
  <c r="AP173" i="1"/>
  <c r="AR174" i="1"/>
  <c r="AR173" i="1"/>
  <c r="AR210" i="1"/>
  <c r="BD174" i="1"/>
  <c r="AN186" i="1"/>
  <c r="AN230" i="1" s="1"/>
  <c r="AO230" i="1" s="1"/>
  <c r="AV161" i="1"/>
  <c r="AR185" i="1"/>
  <c r="BT197" i="1"/>
  <c r="BU197" i="1" s="1"/>
  <c r="AN197" i="1"/>
  <c r="AO197" i="1" s="1"/>
  <c r="AR203" i="1"/>
  <c r="AS203" i="1" s="1"/>
  <c r="AP201" i="1"/>
  <c r="AQ201" i="1" s="1"/>
  <c r="AN169" i="1"/>
  <c r="AO169" i="1" s="1"/>
  <c r="AN203" i="1"/>
  <c r="AO203" i="1" s="1"/>
  <c r="AR202" i="1"/>
  <c r="AS202" i="1" s="1"/>
  <c r="AN173" i="1"/>
  <c r="AT174" i="1"/>
  <c r="AT115" i="1"/>
  <c r="AN115" i="1"/>
  <c r="AN167" i="1"/>
  <c r="AO167" i="1" s="1"/>
  <c r="AO116" i="1"/>
  <c r="AV187" i="1"/>
  <c r="AW187" i="1" s="1"/>
  <c r="BH212" i="1"/>
  <c r="BI189" i="1"/>
  <c r="BI197" i="1"/>
  <c r="BH207" i="1"/>
  <c r="BH236" i="1" s="1"/>
  <c r="BI166" i="1"/>
  <c r="BI170" i="1" s="1"/>
  <c r="BH170" i="1"/>
  <c r="AV179" i="1"/>
  <c r="AW179" i="1" s="1"/>
  <c r="AV193" i="1"/>
  <c r="AZ43" i="1"/>
  <c r="AZ49" i="1" s="1"/>
  <c r="AP179" i="1"/>
  <c r="AQ179" i="1" s="1"/>
  <c r="BF179" i="1"/>
  <c r="BG179" i="1" s="1"/>
  <c r="AT179" i="1"/>
  <c r="AU179" i="1" s="1"/>
  <c r="BP179" i="1"/>
  <c r="BQ179" i="1" s="1"/>
  <c r="BD179" i="1"/>
  <c r="BE179" i="1" s="1"/>
  <c r="BN179" i="1"/>
  <c r="BO179" i="1" s="1"/>
  <c r="BR179" i="1"/>
  <c r="BS179" i="1" s="1"/>
  <c r="BT179" i="1"/>
  <c r="BU179" i="1" s="1"/>
  <c r="BB179" i="1"/>
  <c r="BC179" i="1" s="1"/>
  <c r="BT193" i="1"/>
  <c r="BB193" i="1"/>
  <c r="BF193" i="1"/>
  <c r="AX193" i="1"/>
  <c r="BD193" i="1"/>
  <c r="AZ193" i="1"/>
  <c r="BR193" i="1"/>
  <c r="BN193" i="1"/>
  <c r="AN303" i="1"/>
  <c r="AI79" i="1"/>
  <c r="BV212" i="1"/>
  <c r="BW260" i="1" s="1"/>
  <c r="AP303" i="1"/>
  <c r="BK303" i="1"/>
  <c r="AU140" i="1"/>
  <c r="BH303" i="1"/>
  <c r="BI303" i="1"/>
  <c r="BK43" i="1"/>
  <c r="AT282" i="1"/>
  <c r="AP245" i="1"/>
  <c r="AP304" i="1"/>
  <c r="AY43" i="1"/>
  <c r="AM90" i="1"/>
  <c r="BO303" i="1"/>
  <c r="BF303" i="1"/>
  <c r="BI159" i="1"/>
  <c r="BH162" i="1"/>
  <c r="AZ282" i="1"/>
  <c r="BC140" i="1"/>
  <c r="AY303" i="1"/>
  <c r="AW43" i="1"/>
  <c r="AW49" i="1" s="1"/>
  <c r="BN304" i="1"/>
  <c r="AP43" i="1"/>
  <c r="BJ140" i="1"/>
  <c r="AI234" i="1"/>
  <c r="AI236" i="1"/>
  <c r="AI233" i="1"/>
  <c r="AN245" i="1"/>
  <c r="AN75" i="1"/>
  <c r="C226" i="1"/>
  <c r="C96" i="1"/>
  <c r="BQ303" i="1"/>
  <c r="BN140" i="1"/>
  <c r="BM43" i="1"/>
  <c r="AO304" i="1"/>
  <c r="BA43" i="1"/>
  <c r="BA49" i="1" s="1"/>
  <c r="BW304" i="1"/>
  <c r="BR140" i="1"/>
  <c r="BP303" i="1"/>
  <c r="BQ43" i="1"/>
  <c r="BQ282" i="1"/>
  <c r="BS140" i="1"/>
  <c r="BB245" i="1"/>
  <c r="BB304" i="1"/>
  <c r="BN303" i="1"/>
  <c r="BO140" i="1"/>
  <c r="BN282" i="1"/>
  <c r="BM282" i="1"/>
  <c r="BP140" i="1"/>
  <c r="BU303" i="1"/>
  <c r="BU43" i="1"/>
  <c r="BD43" i="1"/>
  <c r="BD304" i="1"/>
  <c r="BD282" i="1"/>
  <c r="BG140" i="1"/>
  <c r="AI254" i="1"/>
  <c r="AI252" i="1" s="1"/>
  <c r="BV304" i="1"/>
  <c r="BJ69" i="1"/>
  <c r="BV43" i="1"/>
  <c r="BV49" i="1" s="1"/>
  <c r="BO43" i="1"/>
  <c r="BK79" i="1"/>
  <c r="AR304" i="1"/>
  <c r="BU140" i="1"/>
  <c r="BW170" i="1"/>
  <c r="BW140" i="1"/>
  <c r="AZ140" i="1"/>
  <c r="BA303" i="1"/>
  <c r="AY304" i="1"/>
  <c r="AT43" i="1"/>
  <c r="AT49" i="1" s="1"/>
  <c r="BO282" i="1"/>
  <c r="AS303" i="1"/>
  <c r="AZ303" i="1"/>
  <c r="BR43" i="1"/>
  <c r="BD303" i="1"/>
  <c r="BM79" i="1"/>
  <c r="AR43" i="1"/>
  <c r="AS43" i="1"/>
  <c r="BT304" i="1"/>
  <c r="AI43" i="1"/>
  <c r="BV230" i="1"/>
  <c r="BW230" i="1" s="1"/>
  <c r="BX140" i="1"/>
  <c r="BG304" i="1"/>
  <c r="BV140" i="1"/>
  <c r="AL140" i="1"/>
  <c r="AT303" i="1"/>
  <c r="AT140" i="1"/>
  <c r="BT140" i="1"/>
  <c r="AW304" i="1"/>
  <c r="BS303" i="1"/>
  <c r="AX303" i="1"/>
  <c r="AO303" i="1"/>
  <c r="BI43" i="1"/>
  <c r="BP43" i="1"/>
  <c r="AU43" i="1"/>
  <c r="AY282" i="1"/>
  <c r="BV303" i="1"/>
  <c r="AI231" i="1"/>
  <c r="BV170" i="1"/>
  <c r="BS43" i="1"/>
  <c r="BQ140" i="1"/>
  <c r="BV234" i="1"/>
  <c r="BE43" i="1"/>
  <c r="BY140" i="1"/>
  <c r="BE303" i="1"/>
  <c r="BL140" i="1"/>
  <c r="AT304" i="1"/>
  <c r="BT303" i="1"/>
  <c r="BM304" i="1"/>
  <c r="BM254" i="1"/>
  <c r="BM252" i="1" s="1"/>
  <c r="BM75" i="1"/>
  <c r="BM245" i="1"/>
  <c r="BP304" i="1"/>
  <c r="BP245" i="1"/>
  <c r="BR304" i="1"/>
  <c r="BR245" i="1"/>
  <c r="BC43" i="1"/>
  <c r="AU304" i="1"/>
  <c r="BV231" i="1"/>
  <c r="BW231" i="1" s="1"/>
  <c r="BH140" i="1"/>
  <c r="BF304" i="1"/>
  <c r="BD140" i="1"/>
  <c r="AI75" i="1"/>
  <c r="BH43" i="1"/>
  <c r="BH231" i="1"/>
  <c r="BI231" i="1" s="1"/>
  <c r="AX140" i="1"/>
  <c r="BQ304" i="1"/>
  <c r="BK140" i="1"/>
  <c r="AX304" i="1"/>
  <c r="AR140" i="1"/>
  <c r="AQ303" i="1"/>
  <c r="AS140" i="1"/>
  <c r="AQ43" i="1"/>
  <c r="BT245" i="1"/>
  <c r="BH230" i="1"/>
  <c r="BI230" i="1" s="1"/>
  <c r="AR303" i="1"/>
  <c r="BU245" i="1"/>
  <c r="BU304" i="1"/>
  <c r="BW159" i="1"/>
  <c r="BV162" i="1"/>
  <c r="BK304" i="1"/>
  <c r="BK245" i="1"/>
  <c r="BK75" i="1"/>
  <c r="BK254" i="1"/>
  <c r="BK252" i="1" s="1"/>
  <c r="BK282" i="1"/>
  <c r="BM140" i="1"/>
  <c r="BM303" i="1"/>
  <c r="AN43" i="1"/>
  <c r="AN282" i="1"/>
  <c r="AN140" i="1"/>
  <c r="AO140" i="1"/>
  <c r="AU282" i="1"/>
  <c r="BO304" i="1"/>
  <c r="BF140" i="1"/>
  <c r="BF43" i="1"/>
  <c r="AV43" i="1"/>
  <c r="AY140" i="1"/>
  <c r="AW140" i="1"/>
  <c r="AV303" i="1"/>
  <c r="AP140" i="1"/>
  <c r="AV140" i="1"/>
  <c r="BW43" i="1"/>
  <c r="BW282" i="1"/>
  <c r="BZ140" i="1"/>
  <c r="BV176" i="1"/>
  <c r="BR303" i="1"/>
  <c r="BN75" i="1"/>
  <c r="BN245" i="1"/>
  <c r="AQ304" i="1"/>
  <c r="AQ245" i="1"/>
  <c r="BN43" i="1"/>
  <c r="BW303" i="1"/>
  <c r="BI304" i="1"/>
  <c r="BI245" i="1"/>
  <c r="BB282" i="1"/>
  <c r="BB43" i="1"/>
  <c r="BI140" i="1"/>
  <c r="BF282" i="1"/>
  <c r="BE140" i="1"/>
  <c r="AN304" i="1"/>
  <c r="BC303" i="1"/>
  <c r="AV304" i="1"/>
  <c r="BC304" i="1"/>
  <c r="BE304" i="1"/>
  <c r="AQ140" i="1"/>
  <c r="BH304" i="1"/>
  <c r="BV207" i="1"/>
  <c r="BV236" i="1" s="1"/>
  <c r="BB303" i="1"/>
  <c r="BJ304" i="1"/>
  <c r="BJ245" i="1"/>
  <c r="BG303" i="1"/>
  <c r="BG282" i="1"/>
  <c r="AX282" i="1"/>
  <c r="AX43" i="1"/>
  <c r="AZ304" i="1"/>
  <c r="AZ245" i="1"/>
  <c r="BT282" i="1"/>
  <c r="BT43" i="1"/>
  <c r="BH234" i="1"/>
  <c r="BI234" i="1" s="1"/>
  <c r="BG43" i="1"/>
  <c r="AU303" i="1"/>
  <c r="BA304" i="1"/>
  <c r="BA245" i="1"/>
  <c r="AO282" i="1"/>
  <c r="AO43" i="1"/>
  <c r="AW303" i="1"/>
  <c r="AW282" i="1"/>
  <c r="AI230" i="1"/>
  <c r="AI282" i="1"/>
  <c r="BA140" i="1"/>
  <c r="BB140" i="1"/>
  <c r="AS304" i="1"/>
  <c r="AS245" i="1"/>
  <c r="BS304" i="1"/>
  <c r="BI253" i="1"/>
  <c r="BW253" i="1"/>
  <c r="BJ70" i="1"/>
  <c r="BJ50" i="1"/>
  <c r="CQ176" i="1"/>
  <c r="R180" i="1" l="1"/>
  <c r="G232" i="1"/>
  <c r="AP231" i="1"/>
  <c r="AQ231" i="1" s="1"/>
  <c r="AP195" i="1"/>
  <c r="AZ231" i="1"/>
  <c r="BA231" i="1" s="1"/>
  <c r="AZ195" i="1"/>
  <c r="E96" i="1"/>
  <c r="AX231" i="1"/>
  <c r="AY231" i="1" s="1"/>
  <c r="AX195" i="1"/>
  <c r="BT231" i="1"/>
  <c r="BU231" i="1" s="1"/>
  <c r="BT195" i="1"/>
  <c r="AT231" i="1"/>
  <c r="AU231" i="1" s="1"/>
  <c r="AT195" i="1"/>
  <c r="BR231" i="1"/>
  <c r="BS231" i="1" s="1"/>
  <c r="BR195" i="1"/>
  <c r="BP231" i="1"/>
  <c r="BQ231" i="1" s="1"/>
  <c r="BP195" i="1"/>
  <c r="AR195" i="1"/>
  <c r="AN231" i="1"/>
  <c r="AO231" i="1" s="1"/>
  <c r="AN195" i="1"/>
  <c r="AV231" i="1"/>
  <c r="AW231" i="1" s="1"/>
  <c r="AV195" i="1"/>
  <c r="I232" i="1"/>
  <c r="BD231" i="1"/>
  <c r="BE231" i="1" s="1"/>
  <c r="BD195" i="1"/>
  <c r="BN231" i="1"/>
  <c r="BO231" i="1" s="1"/>
  <c r="BN195" i="1"/>
  <c r="BF231" i="1"/>
  <c r="BG231" i="1" s="1"/>
  <c r="BF195" i="1"/>
  <c r="BB231" i="1"/>
  <c r="BC231" i="1" s="1"/>
  <c r="BB195" i="1"/>
  <c r="L96" i="1"/>
  <c r="E257" i="1"/>
  <c r="D96" i="1"/>
  <c r="E258" i="1"/>
  <c r="D171" i="1"/>
  <c r="D97" i="1" s="1"/>
  <c r="N258" i="1"/>
  <c r="D257" i="1"/>
  <c r="L226" i="1"/>
  <c r="D258" i="1"/>
  <c r="N96" i="1"/>
  <c r="N226" i="1"/>
  <c r="N299" i="1"/>
  <c r="I219" i="1"/>
  <c r="I151" i="1" s="1"/>
  <c r="U232" i="1"/>
  <c r="B108" i="1"/>
  <c r="B111" i="1" s="1"/>
  <c r="B129" i="1" s="1"/>
  <c r="R226" i="1"/>
  <c r="O226" i="1"/>
  <c r="B150" i="1"/>
  <c r="O258" i="1"/>
  <c r="R171" i="1"/>
  <c r="R97" i="1" s="1"/>
  <c r="U247" i="1"/>
  <c r="F75" i="1"/>
  <c r="H226" i="1"/>
  <c r="O299" i="1"/>
  <c r="R219" i="1"/>
  <c r="R151" i="1" s="1"/>
  <c r="D248" i="1"/>
  <c r="E247" i="1"/>
  <c r="H75" i="1"/>
  <c r="C79" i="1"/>
  <c r="C300" i="1"/>
  <c r="C302" i="1" s="1"/>
  <c r="P260" i="1"/>
  <c r="D300" i="1"/>
  <c r="D302" i="1" s="1"/>
  <c r="AR176" i="1"/>
  <c r="AS75" i="1" s="1"/>
  <c r="P248" i="1"/>
  <c r="T180" i="1"/>
  <c r="T295" i="1" s="1"/>
  <c r="F79" i="1"/>
  <c r="F219" i="1"/>
  <c r="F151" i="1" s="1"/>
  <c r="F171" i="1"/>
  <c r="F97" i="1" s="1"/>
  <c r="M258" i="1"/>
  <c r="M96" i="1"/>
  <c r="M226" i="1"/>
  <c r="U260" i="1"/>
  <c r="T299" i="1"/>
  <c r="V79" i="1"/>
  <c r="V219" i="1"/>
  <c r="V151" i="1" s="1"/>
  <c r="S233" i="1"/>
  <c r="S208" i="1"/>
  <c r="I258" i="1"/>
  <c r="I299" i="1"/>
  <c r="I96" i="1"/>
  <c r="I226" i="1"/>
  <c r="S75" i="1"/>
  <c r="S180" i="1"/>
  <c r="S300" i="1"/>
  <c r="S302" i="1" s="1"/>
  <c r="S257" i="1"/>
  <c r="S219" i="1"/>
  <c r="S151" i="1" s="1"/>
  <c r="S79" i="1"/>
  <c r="T219" i="1"/>
  <c r="T151" i="1" s="1"/>
  <c r="T257" i="1"/>
  <c r="C208" i="1"/>
  <c r="P247" i="1"/>
  <c r="U258" i="1"/>
  <c r="U96" i="1"/>
  <c r="J247" i="1"/>
  <c r="K247" i="1"/>
  <c r="J233" i="1"/>
  <c r="J232" i="1" s="1"/>
  <c r="R258" i="1"/>
  <c r="S248" i="1"/>
  <c r="N180" i="1"/>
  <c r="N75" i="1"/>
  <c r="L75" i="1"/>
  <c r="L180" i="1"/>
  <c r="N260" i="1"/>
  <c r="M299" i="1"/>
  <c r="C180" i="1"/>
  <c r="C75" i="1"/>
  <c r="H258" i="1"/>
  <c r="H96" i="1"/>
  <c r="T226" i="1"/>
  <c r="T258" i="1"/>
  <c r="J75" i="1"/>
  <c r="J180" i="1"/>
  <c r="U75" i="1"/>
  <c r="U180" i="1"/>
  <c r="B180" i="1"/>
  <c r="B75" i="1"/>
  <c r="I260" i="1"/>
  <c r="H299" i="1"/>
  <c r="C150" i="1"/>
  <c r="C149" i="1"/>
  <c r="C108" i="1"/>
  <c r="E260" i="1"/>
  <c r="D299" i="1"/>
  <c r="D219" i="1"/>
  <c r="D151" i="1" s="1"/>
  <c r="D152" i="1" s="1"/>
  <c r="D155" i="1" s="1"/>
  <c r="G260" i="1"/>
  <c r="F299" i="1"/>
  <c r="F96" i="1"/>
  <c r="F226" i="1"/>
  <c r="F258" i="1"/>
  <c r="O171" i="1"/>
  <c r="O97" i="1" s="1"/>
  <c r="O257" i="1"/>
  <c r="F233" i="1"/>
  <c r="F232" i="1" s="1"/>
  <c r="F208" i="1"/>
  <c r="F216" i="1" s="1"/>
  <c r="G247" i="1"/>
  <c r="K260" i="1"/>
  <c r="J299" i="1"/>
  <c r="G226" i="1"/>
  <c r="G258" i="1"/>
  <c r="G96" i="1"/>
  <c r="J79" i="1"/>
  <c r="J300" i="1"/>
  <c r="J302" i="1" s="1"/>
  <c r="J219" i="1"/>
  <c r="J151" i="1" s="1"/>
  <c r="J171" i="1"/>
  <c r="J97" i="1" s="1"/>
  <c r="H171" i="1"/>
  <c r="H97" i="1" s="1"/>
  <c r="H257" i="1"/>
  <c r="H79" i="1"/>
  <c r="H219" i="1"/>
  <c r="H151" i="1" s="1"/>
  <c r="R260" i="1"/>
  <c r="Q299" i="1"/>
  <c r="E233" i="1"/>
  <c r="E232" i="1" s="1"/>
  <c r="F247" i="1"/>
  <c r="P180" i="1"/>
  <c r="P75" i="1"/>
  <c r="V300" i="1"/>
  <c r="V302" i="1" s="1"/>
  <c r="U300" i="1"/>
  <c r="U302" i="1" s="1"/>
  <c r="T236" i="1"/>
  <c r="T235" i="1" s="1"/>
  <c r="T248" i="1"/>
  <c r="U248" i="1"/>
  <c r="Q219" i="1"/>
  <c r="Q151" i="1" s="1"/>
  <c r="H248" i="1"/>
  <c r="K258" i="1"/>
  <c r="G180" i="1"/>
  <c r="G75" i="1"/>
  <c r="I75" i="1"/>
  <c r="I180" i="1"/>
  <c r="V247" i="1"/>
  <c r="V233" i="1"/>
  <c r="V232" i="1" s="1"/>
  <c r="T247" i="1"/>
  <c r="E171" i="1"/>
  <c r="E97" i="1" s="1"/>
  <c r="F300" i="1"/>
  <c r="F302" i="1" s="1"/>
  <c r="H300" i="1"/>
  <c r="H302" i="1" s="1"/>
  <c r="G257" i="1"/>
  <c r="G300" i="1"/>
  <c r="G302" i="1" s="1"/>
  <c r="BD212" i="1"/>
  <c r="BE260" i="1" s="1"/>
  <c r="Q247" i="1"/>
  <c r="E75" i="1"/>
  <c r="E180" i="1"/>
  <c r="J226" i="1"/>
  <c r="J96" i="1"/>
  <c r="J258" i="1"/>
  <c r="D75" i="1"/>
  <c r="D180" i="1"/>
  <c r="L236" i="1"/>
  <c r="L235" i="1" s="1"/>
  <c r="L208" i="1"/>
  <c r="C233" i="1"/>
  <c r="C232" i="1" s="1"/>
  <c r="D247" i="1"/>
  <c r="L260" i="1"/>
  <c r="K299" i="1"/>
  <c r="B226" i="1"/>
  <c r="B96" i="1"/>
  <c r="B299" i="1"/>
  <c r="T79" i="1"/>
  <c r="T171" i="1"/>
  <c r="T97" i="1" s="1"/>
  <c r="T300" i="1"/>
  <c r="T302" i="1" s="1"/>
  <c r="O79" i="1"/>
  <c r="O219" i="1"/>
  <c r="O151" i="1" s="1"/>
  <c r="B79" i="1"/>
  <c r="C257" i="1"/>
  <c r="C256" i="1" s="1"/>
  <c r="B219" i="1"/>
  <c r="B151" i="1" s="1"/>
  <c r="B171" i="1"/>
  <c r="B97" i="1" s="1"/>
  <c r="K300" i="1"/>
  <c r="K302" i="1" s="1"/>
  <c r="K257" i="1"/>
  <c r="K171" i="1"/>
  <c r="K97" i="1" s="1"/>
  <c r="K79" i="1"/>
  <c r="K219" i="1"/>
  <c r="K151" i="1" s="1"/>
  <c r="K96" i="1"/>
  <c r="L258" i="1"/>
  <c r="K226" i="1"/>
  <c r="C219" i="1"/>
  <c r="C151" i="1" s="1"/>
  <c r="D260" i="1"/>
  <c r="C299" i="1"/>
  <c r="W300" i="1"/>
  <c r="W302" i="1" s="1"/>
  <c r="W257" i="1"/>
  <c r="W79" i="1"/>
  <c r="X300" i="1"/>
  <c r="X302" i="1" s="1"/>
  <c r="X257" i="1"/>
  <c r="U299" i="1"/>
  <c r="U226" i="1"/>
  <c r="M180" i="1"/>
  <c r="M75" i="1"/>
  <c r="S171" i="1"/>
  <c r="S97" i="1" s="1"/>
  <c r="S258" i="1"/>
  <c r="S96" i="1"/>
  <c r="Q233" i="1"/>
  <c r="Q232" i="1" s="1"/>
  <c r="R247" i="1"/>
  <c r="H233" i="1"/>
  <c r="I247" i="1"/>
  <c r="J208" i="1"/>
  <c r="D108" i="1"/>
  <c r="D150" i="1"/>
  <c r="K233" i="1"/>
  <c r="K232" i="1" s="1"/>
  <c r="K208" i="1"/>
  <c r="D233" i="1"/>
  <c r="D232" i="1" s="1"/>
  <c r="D208" i="1"/>
  <c r="I79" i="1"/>
  <c r="I257" i="1"/>
  <c r="J257" i="1"/>
  <c r="Q96" i="1"/>
  <c r="Q226" i="1"/>
  <c r="K75" i="1"/>
  <c r="K180" i="1"/>
  <c r="M257" i="1"/>
  <c r="L171" i="1"/>
  <c r="L97" i="1" s="1"/>
  <c r="D236" i="1"/>
  <c r="E248" i="1"/>
  <c r="W180" i="1"/>
  <c r="W75" i="1"/>
  <c r="S260" i="1"/>
  <c r="R299" i="1"/>
  <c r="V258" i="1"/>
  <c r="V299" i="1"/>
  <c r="N247" i="1"/>
  <c r="O247" i="1"/>
  <c r="K248" i="1"/>
  <c r="J236" i="1"/>
  <c r="AN212" i="1"/>
  <c r="AO260" i="1" s="1"/>
  <c r="Q258" i="1"/>
  <c r="L233" i="1"/>
  <c r="L247" i="1"/>
  <c r="M247" i="1"/>
  <c r="P233" i="1"/>
  <c r="P208" i="1"/>
  <c r="R233" i="1"/>
  <c r="R232" i="1" s="1"/>
  <c r="S247" i="1"/>
  <c r="C236" i="1"/>
  <c r="C248" i="1"/>
  <c r="O233" i="1"/>
  <c r="O232" i="1" s="1"/>
  <c r="O208" i="1"/>
  <c r="I300" i="1"/>
  <c r="I302" i="1" s="1"/>
  <c r="I171" i="1"/>
  <c r="I97" i="1" s="1"/>
  <c r="Q75" i="1"/>
  <c r="Q180" i="1"/>
  <c r="P226" i="1"/>
  <c r="G171" i="1"/>
  <c r="G97" i="1" s="1"/>
  <c r="G79" i="1"/>
  <c r="G219" i="1"/>
  <c r="G151" i="1" s="1"/>
  <c r="U257" i="1"/>
  <c r="U219" i="1"/>
  <c r="U151" i="1" s="1"/>
  <c r="U79" i="1"/>
  <c r="U171" i="1"/>
  <c r="U97" i="1" s="1"/>
  <c r="V257" i="1"/>
  <c r="S299" i="1"/>
  <c r="S226" i="1"/>
  <c r="Q300" i="1"/>
  <c r="Q302" i="1" s="1"/>
  <c r="R300" i="1"/>
  <c r="R302" i="1" s="1"/>
  <c r="Q257" i="1"/>
  <c r="H247" i="1"/>
  <c r="H208" i="1"/>
  <c r="H216" i="1" s="1"/>
  <c r="AV212" i="1"/>
  <c r="AW260" i="1" s="1"/>
  <c r="BN212" i="1"/>
  <c r="BO260" i="1" s="1"/>
  <c r="I208" i="1"/>
  <c r="I248" i="1"/>
  <c r="I236" i="1"/>
  <c r="J248" i="1"/>
  <c r="Q236" i="1"/>
  <c r="Q208" i="1"/>
  <c r="Q248" i="1"/>
  <c r="R248" i="1"/>
  <c r="BR176" i="1"/>
  <c r="AX212" i="1"/>
  <c r="AY260" i="1" s="1"/>
  <c r="BS170" i="1"/>
  <c r="P171" i="1"/>
  <c r="P97" i="1" s="1"/>
  <c r="P257" i="1"/>
  <c r="P219" i="1"/>
  <c r="P151" i="1" s="1"/>
  <c r="P300" i="1"/>
  <c r="P302" i="1" s="1"/>
  <c r="P79" i="1"/>
  <c r="H260" i="1"/>
  <c r="G299" i="1"/>
  <c r="T233" i="1"/>
  <c r="T208" i="1"/>
  <c r="F257" i="1"/>
  <c r="E219" i="1"/>
  <c r="E151" i="1" s="1"/>
  <c r="E79" i="1"/>
  <c r="O300" i="1"/>
  <c r="O302" i="1" s="1"/>
  <c r="N171" i="1"/>
  <c r="N97" i="1" s="1"/>
  <c r="N300" i="1"/>
  <c r="N302" i="1" s="1"/>
  <c r="N79" i="1"/>
  <c r="N257" i="1"/>
  <c r="N219" i="1"/>
  <c r="N151" i="1" s="1"/>
  <c r="L219" i="1"/>
  <c r="L151" i="1" s="1"/>
  <c r="L79" i="1"/>
  <c r="L300" i="1"/>
  <c r="L302" i="1" s="1"/>
  <c r="L257" i="1"/>
  <c r="P258" i="1"/>
  <c r="P96" i="1"/>
  <c r="P299" i="1"/>
  <c r="B208" i="1"/>
  <c r="B233" i="1"/>
  <c r="C247" i="1"/>
  <c r="O180" i="1"/>
  <c r="O75" i="1"/>
  <c r="M260" i="1"/>
  <c r="L299" i="1"/>
  <c r="V96" i="1"/>
  <c r="V171" i="1"/>
  <c r="V97" i="1" s="1"/>
  <c r="V226" i="1"/>
  <c r="Q171" i="1"/>
  <c r="Q97" i="1" s="1"/>
  <c r="R257" i="1"/>
  <c r="Q79" i="1"/>
  <c r="K236" i="1"/>
  <c r="L248" i="1"/>
  <c r="N233" i="1"/>
  <c r="N208" i="1"/>
  <c r="E236" i="1"/>
  <c r="F248" i="1"/>
  <c r="E208" i="1"/>
  <c r="G236" i="1"/>
  <c r="G208" i="1"/>
  <c r="G248" i="1"/>
  <c r="O236" i="1"/>
  <c r="O248" i="1"/>
  <c r="U236" i="1"/>
  <c r="U208" i="1"/>
  <c r="M300" i="1"/>
  <c r="M302" i="1" s="1"/>
  <c r="M79" i="1"/>
  <c r="M171" i="1"/>
  <c r="M97" i="1" s="1"/>
  <c r="M219" i="1"/>
  <c r="M151" i="1" s="1"/>
  <c r="V180" i="1"/>
  <c r="V75" i="1"/>
  <c r="V236" i="1"/>
  <c r="V208" i="1"/>
  <c r="V248" i="1"/>
  <c r="AZ176" i="1"/>
  <c r="BP176" i="1"/>
  <c r="BT212" i="1"/>
  <c r="BU260" i="1" s="1"/>
  <c r="BP212" i="1"/>
  <c r="BQ260" i="1" s="1"/>
  <c r="BB212" i="1"/>
  <c r="AZ212" i="1"/>
  <c r="BA260" i="1" s="1"/>
  <c r="BE170" i="1"/>
  <c r="AR212" i="1"/>
  <c r="AS260" i="1" s="1"/>
  <c r="AQ182" i="1"/>
  <c r="AW182" i="1"/>
  <c r="AX253" i="1" s="1"/>
  <c r="AQ189" i="1"/>
  <c r="AS166" i="1"/>
  <c r="AS170" i="1" s="1"/>
  <c r="AR170" i="1"/>
  <c r="AU159" i="1"/>
  <c r="AT162" i="1"/>
  <c r="AS159" i="1"/>
  <c r="AR162" i="1"/>
  <c r="AX162" i="1"/>
  <c r="AY159" i="1"/>
  <c r="AY166" i="1"/>
  <c r="AY170" i="1" s="1"/>
  <c r="AX170" i="1"/>
  <c r="BO182" i="1"/>
  <c r="BN253" i="1"/>
  <c r="BT176" i="1"/>
  <c r="AT176" i="1"/>
  <c r="BF212" i="1"/>
  <c r="BG260" i="1" s="1"/>
  <c r="BF176" i="1"/>
  <c r="AV176" i="1"/>
  <c r="BD176" i="1"/>
  <c r="AP176" i="1"/>
  <c r="M248" i="1"/>
  <c r="N248" i="1"/>
  <c r="M208" i="1"/>
  <c r="M236" i="1"/>
  <c r="R236" i="1"/>
  <c r="R208" i="1"/>
  <c r="AU189" i="1"/>
  <c r="BC159" i="1"/>
  <c r="BB162" i="1"/>
  <c r="AO166" i="1"/>
  <c r="AO170" i="1" s="1"/>
  <c r="AN170" i="1"/>
  <c r="AR231" i="1"/>
  <c r="AS231" i="1" s="1"/>
  <c r="AO159" i="1"/>
  <c r="AN162" i="1"/>
  <c r="BC166" i="1"/>
  <c r="BC170" i="1" s="1"/>
  <c r="BB170" i="1"/>
  <c r="BU182" i="1"/>
  <c r="BV253" i="1" s="1"/>
  <c r="BE159" i="1"/>
  <c r="BD162" i="1"/>
  <c r="AU206" i="1"/>
  <c r="AT207" i="1"/>
  <c r="AT236" i="1" s="1"/>
  <c r="AT235" i="1" s="1"/>
  <c r="AY197" i="1"/>
  <c r="AX207" i="1"/>
  <c r="AX236" i="1" s="1"/>
  <c r="AX235" i="1" s="1"/>
  <c r="BO166" i="1"/>
  <c r="BO170" i="1" s="1"/>
  <c r="BN170" i="1"/>
  <c r="AW166" i="1"/>
  <c r="AW170" i="1" s="1"/>
  <c r="AV170" i="1"/>
  <c r="AO189" i="1"/>
  <c r="BS182" i="1"/>
  <c r="BR253" i="1"/>
  <c r="BU166" i="1"/>
  <c r="BU170" i="1" s="1"/>
  <c r="BT170" i="1"/>
  <c r="AO182" i="1"/>
  <c r="AN253" i="1"/>
  <c r="BS159" i="1"/>
  <c r="BR162" i="1"/>
  <c r="BF253" i="1"/>
  <c r="AQ170" i="1"/>
  <c r="AT253" i="1"/>
  <c r="AI237" i="1"/>
  <c r="AN176" i="1"/>
  <c r="AP212" i="1"/>
  <c r="BT207" i="1"/>
  <c r="BT236" i="1" s="1"/>
  <c r="BT235" i="1" s="1"/>
  <c r="BN176" i="1"/>
  <c r="AX176" i="1"/>
  <c r="BB176" i="1"/>
  <c r="AT212" i="1"/>
  <c r="AU260" i="1" s="1"/>
  <c r="AZ162" i="1"/>
  <c r="BR212" i="1"/>
  <c r="AR207" i="1"/>
  <c r="BN162" i="1"/>
  <c r="AS253" i="1"/>
  <c r="BP207" i="1"/>
  <c r="BP236" i="1" s="1"/>
  <c r="BP235" i="1" s="1"/>
  <c r="BT162" i="1"/>
  <c r="BF170" i="1"/>
  <c r="BE253" i="1"/>
  <c r="BR207" i="1"/>
  <c r="BR236" i="1" s="1"/>
  <c r="BR235" i="1" s="1"/>
  <c r="AZ170" i="1"/>
  <c r="BQ253" i="1"/>
  <c r="BB207" i="1"/>
  <c r="BB236" i="1" s="1"/>
  <c r="BB235" i="1" s="1"/>
  <c r="AP170" i="1"/>
  <c r="AP162" i="1"/>
  <c r="BD207" i="1"/>
  <c r="BD236" i="1" s="1"/>
  <c r="BD235" i="1" s="1"/>
  <c r="BP162" i="1"/>
  <c r="BN207" i="1"/>
  <c r="BN236" i="1" s="1"/>
  <c r="AN207" i="1"/>
  <c r="AN236" i="1" s="1"/>
  <c r="BP170" i="1"/>
  <c r="BG170" i="1"/>
  <c r="BH257" i="1" s="1"/>
  <c r="BA170" i="1"/>
  <c r="AT170" i="1"/>
  <c r="AP207" i="1"/>
  <c r="BF207" i="1"/>
  <c r="BF236" i="1" s="1"/>
  <c r="BF235" i="1" s="1"/>
  <c r="AV207" i="1"/>
  <c r="AV236" i="1" s="1"/>
  <c r="AV235" i="1" s="1"/>
  <c r="BF162" i="1"/>
  <c r="BQ170" i="1"/>
  <c r="BR170" i="1"/>
  <c r="BD170" i="1"/>
  <c r="AZ207" i="1"/>
  <c r="AZ236" i="1" s="1"/>
  <c r="AZ235" i="1" s="1"/>
  <c r="AV162" i="1"/>
  <c r="AU170" i="1"/>
  <c r="AI235" i="1"/>
  <c r="AW193" i="1"/>
  <c r="BH171" i="1"/>
  <c r="AZ69" i="1"/>
  <c r="BK44" i="1"/>
  <c r="BC193" i="1"/>
  <c r="BG193" i="1"/>
  <c r="BE193" i="1"/>
  <c r="BO193" i="1"/>
  <c r="BU193" i="1"/>
  <c r="AY193" i="1"/>
  <c r="BS193" i="1"/>
  <c r="BA193" i="1"/>
  <c r="AU253" i="1"/>
  <c r="AV253" i="1"/>
  <c r="O100" i="1"/>
  <c r="BB253" i="1"/>
  <c r="BA253" i="1"/>
  <c r="BK69" i="1"/>
  <c r="AW69" i="1"/>
  <c r="AY253" i="1"/>
  <c r="AZ253" i="1"/>
  <c r="BE69" i="1"/>
  <c r="BK45" i="1"/>
  <c r="BL45" i="1"/>
  <c r="BK49" i="1"/>
  <c r="AM94" i="1"/>
  <c r="AM161" i="1"/>
  <c r="AM162" i="1" s="1"/>
  <c r="AM171" i="1" s="1"/>
  <c r="AM244" i="1"/>
  <c r="AM246" i="1" s="1"/>
  <c r="AS45" i="1"/>
  <c r="AT45" i="1"/>
  <c r="AT69" i="1"/>
  <c r="AY69" i="1"/>
  <c r="AP276" i="1"/>
  <c r="AQ45" i="1"/>
  <c r="AZ45" i="1"/>
  <c r="AY49" i="1"/>
  <c r="AP49" i="1"/>
  <c r="AP44" i="1"/>
  <c r="BA69" i="1"/>
  <c r="BQ69" i="1"/>
  <c r="AP69" i="1"/>
  <c r="AQ239" i="1"/>
  <c r="BM69" i="1"/>
  <c r="BQ44" i="1"/>
  <c r="BM276" i="1"/>
  <c r="BM44" i="1"/>
  <c r="BU44" i="1"/>
  <c r="BQ49" i="1"/>
  <c r="BQ70" i="1" s="1"/>
  <c r="BQ15" i="1" s="1"/>
  <c r="BQ45" i="1"/>
  <c r="BC253" i="1"/>
  <c r="BD253" i="1"/>
  <c r="BU69" i="1"/>
  <c r="BU49" i="1"/>
  <c r="BV299" i="1"/>
  <c r="BM49" i="1"/>
  <c r="BM45" i="1"/>
  <c r="BA44" i="1"/>
  <c r="BA45" i="1"/>
  <c r="AI69" i="1"/>
  <c r="BA52" i="1"/>
  <c r="BH69" i="1"/>
  <c r="AS49" i="1"/>
  <c r="AW44" i="1"/>
  <c r="BJ44" i="1"/>
  <c r="BF49" i="1"/>
  <c r="BF70" i="1" s="1"/>
  <c r="BJ72" i="1" s="1"/>
  <c r="BV69" i="1"/>
  <c r="BC69" i="1"/>
  <c r="AY239" i="1"/>
  <c r="BT276" i="1"/>
  <c r="AY230" i="1"/>
  <c r="AS234" i="1"/>
  <c r="BY44" i="1"/>
  <c r="BU239" i="1"/>
  <c r="F297" i="1"/>
  <c r="F295" i="1"/>
  <c r="BD44" i="1"/>
  <c r="BE45" i="1"/>
  <c r="BG276" i="1"/>
  <c r="BH44" i="1"/>
  <c r="BD49" i="1"/>
  <c r="BD69" i="1"/>
  <c r="BD239" i="1"/>
  <c r="BV45" i="1"/>
  <c r="BV239" i="1"/>
  <c r="BJ300" i="1"/>
  <c r="BJ257" i="1"/>
  <c r="BI300" i="1"/>
  <c r="BO44" i="1"/>
  <c r="BP45" i="1"/>
  <c r="BO69" i="1"/>
  <c r="BO49" i="1"/>
  <c r="BR276" i="1"/>
  <c r="V100" i="1"/>
  <c r="BX257" i="1"/>
  <c r="BX300" i="1"/>
  <c r="BW257" i="1"/>
  <c r="AT44" i="1"/>
  <c r="AW276" i="1"/>
  <c r="AU45" i="1"/>
  <c r="AT239" i="1"/>
  <c r="BR69" i="1"/>
  <c r="BV44" i="1"/>
  <c r="BS45" i="1"/>
  <c r="BU276" i="1"/>
  <c r="AR49" i="1"/>
  <c r="AR70" i="1" s="1"/>
  <c r="AR71" i="1" s="1"/>
  <c r="AU276" i="1"/>
  <c r="AS276" i="1"/>
  <c r="AT50" i="1"/>
  <c r="AT70" i="1"/>
  <c r="BV50" i="1"/>
  <c r="BZ51" i="1"/>
  <c r="N100" i="1"/>
  <c r="AJ45" i="1"/>
  <c r="AM44" i="1"/>
  <c r="AL276" i="1"/>
  <c r="AI49" i="1"/>
  <c r="BA70" i="1"/>
  <c r="BA50" i="1"/>
  <c r="BI49" i="1"/>
  <c r="BI239" i="1"/>
  <c r="BJ239" i="1"/>
  <c r="BL276" i="1"/>
  <c r="AW50" i="1"/>
  <c r="AW70" i="1"/>
  <c r="BA51" i="1"/>
  <c r="BP49" i="1"/>
  <c r="BP239" i="1"/>
  <c r="BS276" i="1"/>
  <c r="BQ239" i="1"/>
  <c r="BC234" i="1"/>
  <c r="AY44" i="1"/>
  <c r="AU49" i="1"/>
  <c r="AU69" i="1"/>
  <c r="BV219" i="1"/>
  <c r="BV171" i="1"/>
  <c r="BS69" i="1"/>
  <c r="BW44" i="1"/>
  <c r="BS49" i="1"/>
  <c r="BT45" i="1"/>
  <c r="BS239" i="1"/>
  <c r="BX239" i="1"/>
  <c r="BW234" i="1"/>
  <c r="BV235" i="1"/>
  <c r="BE49" i="1"/>
  <c r="BE51" i="1" s="1"/>
  <c r="BE239" i="1"/>
  <c r="BI44" i="1"/>
  <c r="BF45" i="1"/>
  <c r="BE44" i="1"/>
  <c r="BC49" i="1"/>
  <c r="BC44" i="1"/>
  <c r="AW234" i="1"/>
  <c r="BK276" i="1"/>
  <c r="T100" i="1"/>
  <c r="BL239" i="1"/>
  <c r="BH239" i="1"/>
  <c r="AZ70" i="1"/>
  <c r="BF69" i="1"/>
  <c r="BR49" i="1"/>
  <c r="BV51" i="1" s="1"/>
  <c r="BG253" i="1"/>
  <c r="AX276" i="1"/>
  <c r="BF276" i="1"/>
  <c r="AV239" i="1"/>
  <c r="BF239" i="1"/>
  <c r="BS44" i="1"/>
  <c r="BR45" i="1"/>
  <c r="BT239" i="1"/>
  <c r="AY45" i="1"/>
  <c r="BI276" i="1"/>
  <c r="BG45" i="1"/>
  <c r="AZ50" i="1"/>
  <c r="BW300" i="1"/>
  <c r="BH219" i="1"/>
  <c r="BP69" i="1"/>
  <c r="AR69" i="1"/>
  <c r="BI257" i="1"/>
  <c r="AI232" i="1"/>
  <c r="BZ44" i="1"/>
  <c r="BZ239" i="1"/>
  <c r="BK239" i="1"/>
  <c r="BH276" i="1"/>
  <c r="AR276" i="1"/>
  <c r="S100" i="1"/>
  <c r="W100" i="1"/>
  <c r="AV276" i="1"/>
  <c r="AS69" i="1"/>
  <c r="AS239" i="1"/>
  <c r="AN69" i="1"/>
  <c r="Q100" i="1"/>
  <c r="BV276" i="1"/>
  <c r="AP45" i="1"/>
  <c r="BA276" i="1"/>
  <c r="AZ239" i="1"/>
  <c r="AU44" i="1"/>
  <c r="AY276" i="1"/>
  <c r="AU239" i="1"/>
  <c r="BP44" i="1"/>
  <c r="BJ45" i="1"/>
  <c r="BT69" i="1"/>
  <c r="BI69" i="1"/>
  <c r="AX69" i="1"/>
  <c r="AQ276" i="1"/>
  <c r="BM239" i="1"/>
  <c r="BB45" i="1"/>
  <c r="BB239" i="1"/>
  <c r="R100" i="1"/>
  <c r="BD276" i="1"/>
  <c r="BB49" i="1"/>
  <c r="BN44" i="1"/>
  <c r="BN239" i="1"/>
  <c r="BN49" i="1"/>
  <c r="BN45" i="1"/>
  <c r="BR44" i="1"/>
  <c r="BR239" i="1"/>
  <c r="U100" i="1"/>
  <c r="BE276" i="1"/>
  <c r="BQ276" i="1"/>
  <c r="BO45" i="1"/>
  <c r="AP239" i="1"/>
  <c r="BB69" i="1"/>
  <c r="BX44" i="1"/>
  <c r="BU45" i="1"/>
  <c r="BT49" i="1"/>
  <c r="BY239" i="1"/>
  <c r="BW276" i="1"/>
  <c r="AX239" i="1"/>
  <c r="AX45" i="1"/>
  <c r="AX49" i="1"/>
  <c r="BB44" i="1"/>
  <c r="AZ276" i="1"/>
  <c r="BI176" i="1"/>
  <c r="AT276" i="1"/>
  <c r="P100" i="1"/>
  <c r="AQ49" i="1"/>
  <c r="AQ44" i="1"/>
  <c r="AR45" i="1"/>
  <c r="AX44" i="1"/>
  <c r="AR239" i="1"/>
  <c r="BC45" i="1"/>
  <c r="BP276" i="1"/>
  <c r="BC276" i="1"/>
  <c r="BO276" i="1"/>
  <c r="AO44" i="1"/>
  <c r="AS44" i="1"/>
  <c r="AO239" i="1"/>
  <c r="AO49" i="1"/>
  <c r="BH235" i="1"/>
  <c r="BI260" i="1"/>
  <c r="BH299" i="1"/>
  <c r="AO69" i="1"/>
  <c r="CA239" i="1"/>
  <c r="CB239" i="1"/>
  <c r="X100" i="1"/>
  <c r="BW49" i="1"/>
  <c r="CA44" i="1"/>
  <c r="BW45" i="1"/>
  <c r="BY276" i="1"/>
  <c r="BZ276" i="1"/>
  <c r="BX45" i="1"/>
  <c r="BX276" i="1"/>
  <c r="AV69" i="1"/>
  <c r="AW239" i="1"/>
  <c r="AV49" i="1"/>
  <c r="AW45" i="1"/>
  <c r="BA239" i="1"/>
  <c r="AZ44" i="1"/>
  <c r="AN44" i="1"/>
  <c r="AO276" i="1"/>
  <c r="AN49" i="1"/>
  <c r="AN45" i="1"/>
  <c r="AN276" i="1"/>
  <c r="AO45" i="1"/>
  <c r="AR44" i="1"/>
  <c r="BH49" i="1"/>
  <c r="BL44" i="1"/>
  <c r="BI45" i="1"/>
  <c r="BT44" i="1"/>
  <c r="AV45" i="1"/>
  <c r="BN69" i="1"/>
  <c r="BI75" i="1"/>
  <c r="BC239" i="1"/>
  <c r="BB276" i="1"/>
  <c r="BO239" i="1"/>
  <c r="BN276" i="1"/>
  <c r="BG239" i="1"/>
  <c r="BG69" i="1"/>
  <c r="BJ276" i="1"/>
  <c r="BH45" i="1"/>
  <c r="BG49" i="1"/>
  <c r="BW239" i="1"/>
  <c r="BV180" i="1"/>
  <c r="BW75" i="1"/>
  <c r="BW176" i="1"/>
  <c r="BF44" i="1"/>
  <c r="BV70" i="1"/>
  <c r="BV15" i="1" s="1"/>
  <c r="BW69" i="1"/>
  <c r="BD45" i="1"/>
  <c r="BG44" i="1"/>
  <c r="AN239" i="1"/>
  <c r="AV44" i="1"/>
  <c r="AQ69" i="1"/>
  <c r="H297" i="1"/>
  <c r="H295" i="1"/>
  <c r="BJ71" i="1"/>
  <c r="BJ76" i="1"/>
  <c r="BJ80" i="1" s="1"/>
  <c r="BJ283" i="1"/>
  <c r="BJ284" i="1" s="1"/>
  <c r="F235" i="1"/>
  <c r="CQ180" i="1"/>
  <c r="CR74" i="1"/>
  <c r="AB167" i="1"/>
  <c r="AB170" i="1" s="1"/>
  <c r="AB300" i="1" s="1"/>
  <c r="R295" i="1" l="1"/>
  <c r="R297" i="1"/>
  <c r="R254" i="1"/>
  <c r="R252" i="1" s="1"/>
  <c r="N256" i="1"/>
  <c r="R216" i="1"/>
  <c r="R217" i="1" s="1"/>
  <c r="E256" i="1"/>
  <c r="AS176" i="1"/>
  <c r="AT75" i="1" s="1"/>
  <c r="D256" i="1"/>
  <c r="B110" i="1"/>
  <c r="AR180" i="1"/>
  <c r="S256" i="1"/>
  <c r="I256" i="1"/>
  <c r="T256" i="1"/>
  <c r="BU253" i="1"/>
  <c r="U249" i="1"/>
  <c r="U250" i="1" s="1"/>
  <c r="O256" i="1"/>
  <c r="D249" i="1"/>
  <c r="D250" i="1" s="1"/>
  <c r="P249" i="1"/>
  <c r="P250" i="1" s="1"/>
  <c r="BR300" i="1"/>
  <c r="S216" i="1"/>
  <c r="S217" i="1" s="1"/>
  <c r="S295" i="1"/>
  <c r="T254" i="1"/>
  <c r="T252" i="1" s="1"/>
  <c r="E249" i="1"/>
  <c r="E250" i="1" s="1"/>
  <c r="L216" i="1"/>
  <c r="L217" i="1" s="1"/>
  <c r="S254" i="1"/>
  <c r="S252" i="1" s="1"/>
  <c r="T297" i="1"/>
  <c r="S297" i="1"/>
  <c r="T216" i="1"/>
  <c r="T217" i="1" s="1"/>
  <c r="J249" i="1"/>
  <c r="J250" i="1" s="1"/>
  <c r="D254" i="1"/>
  <c r="D252" i="1" s="1"/>
  <c r="C254" i="1"/>
  <c r="C252" i="1" s="1"/>
  <c r="F237" i="1"/>
  <c r="AW253" i="1"/>
  <c r="V216" i="1"/>
  <c r="V217" i="1" s="1"/>
  <c r="M256" i="1"/>
  <c r="F217" i="1"/>
  <c r="S237" i="1"/>
  <c r="S232" i="1"/>
  <c r="C216" i="1"/>
  <c r="C217" i="1" s="1"/>
  <c r="H256" i="1"/>
  <c r="K256" i="1"/>
  <c r="U256" i="1"/>
  <c r="V256" i="1"/>
  <c r="T249" i="1"/>
  <c r="T250" i="1" s="1"/>
  <c r="G256" i="1"/>
  <c r="J216" i="1"/>
  <c r="J217" i="1" s="1"/>
  <c r="D153" i="1"/>
  <c r="D156" i="1" s="1"/>
  <c r="K249" i="1"/>
  <c r="K250" i="1" s="1"/>
  <c r="P216" i="1"/>
  <c r="P217" i="1" s="1"/>
  <c r="S249" i="1"/>
  <c r="S250" i="1" s="1"/>
  <c r="H217" i="1"/>
  <c r="R256" i="1"/>
  <c r="N216" i="1"/>
  <c r="N217" i="1" s="1"/>
  <c r="N297" i="1"/>
  <c r="N295" i="1"/>
  <c r="J297" i="1"/>
  <c r="J295" i="1"/>
  <c r="U295" i="1"/>
  <c r="U297" i="1"/>
  <c r="U254" i="1"/>
  <c r="U252" i="1" s="1"/>
  <c r="P295" i="1"/>
  <c r="P297" i="1"/>
  <c r="F256" i="1"/>
  <c r="B216" i="1"/>
  <c r="F249" i="1"/>
  <c r="F250" i="1" s="1"/>
  <c r="G249" i="1"/>
  <c r="G250" i="1" s="1"/>
  <c r="U216" i="1"/>
  <c r="U217" i="1" s="1"/>
  <c r="L295" i="1"/>
  <c r="L297" i="1"/>
  <c r="C110" i="1"/>
  <c r="C111" i="1"/>
  <c r="L254" i="1"/>
  <c r="L252" i="1" s="1"/>
  <c r="K254" i="1"/>
  <c r="K252" i="1" s="1"/>
  <c r="X254" i="1"/>
  <c r="X252" i="1" s="1"/>
  <c r="W254" i="1"/>
  <c r="W252" i="1" s="1"/>
  <c r="D216" i="1"/>
  <c r="J256" i="1"/>
  <c r="H249" i="1"/>
  <c r="H250" i="1" s="1"/>
  <c r="I216" i="1"/>
  <c r="I217" i="1" s="1"/>
  <c r="Q249" i="1"/>
  <c r="Q250" i="1" s="1"/>
  <c r="L256" i="1"/>
  <c r="E216" i="1"/>
  <c r="E217" i="1" s="1"/>
  <c r="G216" i="1"/>
  <c r="G217" i="1" s="1"/>
  <c r="V249" i="1"/>
  <c r="V250" i="1" s="1"/>
  <c r="G254" i="1"/>
  <c r="G252" i="1" s="1"/>
  <c r="G295" i="1"/>
  <c r="G297" i="1"/>
  <c r="H254" i="1"/>
  <c r="H252" i="1" s="1"/>
  <c r="I254" i="1"/>
  <c r="I252" i="1" s="1"/>
  <c r="I295" i="1"/>
  <c r="I297" i="1"/>
  <c r="J254" i="1"/>
  <c r="J252" i="1" s="1"/>
  <c r="E295" i="1"/>
  <c r="E297" i="1"/>
  <c r="F254" i="1"/>
  <c r="F252" i="1" s="1"/>
  <c r="B152" i="1"/>
  <c r="B155" i="1" s="1"/>
  <c r="B153" i="1"/>
  <c r="B156" i="1" s="1"/>
  <c r="C152" i="1"/>
  <c r="C155" i="1" s="1"/>
  <c r="C153" i="1"/>
  <c r="C156" i="1" s="1"/>
  <c r="N254" i="1"/>
  <c r="N252" i="1" s="1"/>
  <c r="M254" i="1"/>
  <c r="M252" i="1" s="1"/>
  <c r="M295" i="1"/>
  <c r="M297" i="1"/>
  <c r="K216" i="1"/>
  <c r="K217" i="1" s="1"/>
  <c r="E254" i="1"/>
  <c r="E252" i="1" s="1"/>
  <c r="L232" i="1"/>
  <c r="L237" i="1"/>
  <c r="C249" i="1"/>
  <c r="C250" i="1" s="1"/>
  <c r="H232" i="1"/>
  <c r="H237" i="1"/>
  <c r="D235" i="1"/>
  <c r="D237" i="1"/>
  <c r="Q256" i="1"/>
  <c r="I249" i="1"/>
  <c r="I250" i="1" s="1"/>
  <c r="Q216" i="1"/>
  <c r="Q217" i="1" s="1"/>
  <c r="R249" i="1"/>
  <c r="R250" i="1" s="1"/>
  <c r="M249" i="1"/>
  <c r="M250" i="1" s="1"/>
  <c r="N249" i="1"/>
  <c r="N250" i="1" s="1"/>
  <c r="M216" i="1"/>
  <c r="M217" i="1" s="1"/>
  <c r="D111" i="1"/>
  <c r="D110" i="1"/>
  <c r="B237" i="1"/>
  <c r="B232" i="1"/>
  <c r="AR253" i="1"/>
  <c r="AQ253" i="1"/>
  <c r="O249" i="1"/>
  <c r="O250" i="1" s="1"/>
  <c r="BB219" i="1"/>
  <c r="J235" i="1"/>
  <c r="J237" i="1"/>
  <c r="L249" i="1"/>
  <c r="L250" i="1" s="1"/>
  <c r="AV219" i="1"/>
  <c r="P256" i="1"/>
  <c r="K295" i="1"/>
  <c r="K297" i="1"/>
  <c r="C235" i="1"/>
  <c r="C237" i="1"/>
  <c r="BS75" i="1"/>
  <c r="BS176" i="1"/>
  <c r="BR180" i="1"/>
  <c r="V254" i="1"/>
  <c r="V252" i="1" s="1"/>
  <c r="V295" i="1"/>
  <c r="V297" i="1"/>
  <c r="AQ300" i="1"/>
  <c r="AN299" i="1"/>
  <c r="P237" i="1"/>
  <c r="P232" i="1"/>
  <c r="O216" i="1"/>
  <c r="O217" i="1" s="1"/>
  <c r="AV300" i="1"/>
  <c r="Q297" i="1"/>
  <c r="Q295" i="1"/>
  <c r="Q254" i="1"/>
  <c r="Q252" i="1" s="1"/>
  <c r="O297" i="1"/>
  <c r="P254" i="1"/>
  <c r="P252" i="1" s="1"/>
  <c r="AR257" i="1"/>
  <c r="AR300" i="1"/>
  <c r="AO176" i="1"/>
  <c r="AO75" i="1"/>
  <c r="AN180" i="1"/>
  <c r="BC75" i="1"/>
  <c r="BB180" i="1"/>
  <c r="BC176" i="1"/>
  <c r="Q237" i="1"/>
  <c r="Q235" i="1"/>
  <c r="AV257" i="1"/>
  <c r="BT171" i="1"/>
  <c r="I235" i="1"/>
  <c r="I237" i="1"/>
  <c r="K235" i="1"/>
  <c r="K237" i="1"/>
  <c r="E235" i="1"/>
  <c r="E237" i="1"/>
  <c r="U235" i="1"/>
  <c r="U237" i="1"/>
  <c r="V235" i="1"/>
  <c r="V237" i="1"/>
  <c r="BN219" i="1"/>
  <c r="BN171" i="1"/>
  <c r="BC257" i="1"/>
  <c r="BC300" i="1"/>
  <c r="T237" i="1"/>
  <c r="T232" i="1"/>
  <c r="O254" i="1"/>
  <c r="O252" i="1" s="1"/>
  <c r="O295" i="1"/>
  <c r="N237" i="1"/>
  <c r="N232" i="1"/>
  <c r="G237" i="1"/>
  <c r="G235" i="1"/>
  <c r="O237" i="1"/>
  <c r="O235" i="1"/>
  <c r="BB171" i="1"/>
  <c r="AT299" i="1"/>
  <c r="AS257" i="1"/>
  <c r="AS300" i="1"/>
  <c r="AR219" i="1"/>
  <c r="AS79" i="1" s="1"/>
  <c r="AR171" i="1"/>
  <c r="AX299" i="1"/>
  <c r="BU75" i="1"/>
  <c r="BT180" i="1"/>
  <c r="BU176" i="1"/>
  <c r="BG176" i="1"/>
  <c r="BG75" i="1"/>
  <c r="BF180" i="1"/>
  <c r="AW75" i="1"/>
  <c r="AV180" i="1"/>
  <c r="AW176" i="1"/>
  <c r="BE75" i="1"/>
  <c r="BE176" i="1"/>
  <c r="BD180" i="1"/>
  <c r="AQ176" i="1"/>
  <c r="AP180" i="1"/>
  <c r="AQ75" i="1"/>
  <c r="R237" i="1"/>
  <c r="R235" i="1"/>
  <c r="AO300" i="1"/>
  <c r="AO257" i="1"/>
  <c r="AN300" i="1"/>
  <c r="AN257" i="1"/>
  <c r="AN171" i="1"/>
  <c r="AN219" i="1"/>
  <c r="BN180" i="1"/>
  <c r="BO176" i="1"/>
  <c r="BO75" i="1"/>
  <c r="AY176" i="1"/>
  <c r="AX180" i="1"/>
  <c r="AY75" i="1"/>
  <c r="AR236" i="1"/>
  <c r="BN299" i="1"/>
  <c r="BF257" i="1"/>
  <c r="BF219" i="1"/>
  <c r="BP300" i="1"/>
  <c r="BP257" i="1"/>
  <c r="BP219" i="1"/>
  <c r="BR171" i="1"/>
  <c r="BS300" i="1"/>
  <c r="BS257" i="1"/>
  <c r="BR219" i="1"/>
  <c r="BA176" i="1"/>
  <c r="BA75" i="1"/>
  <c r="AZ180" i="1"/>
  <c r="BQ75" i="1"/>
  <c r="BP180" i="1"/>
  <c r="BQ176" i="1"/>
  <c r="BC260" i="1"/>
  <c r="BB299" i="1"/>
  <c r="AR299" i="1"/>
  <c r="AX257" i="1"/>
  <c r="AX219" i="1"/>
  <c r="AX171" i="1"/>
  <c r="AX300" i="1"/>
  <c r="BO253" i="1"/>
  <c r="BP253" i="1"/>
  <c r="AT180" i="1"/>
  <c r="AU75" i="1"/>
  <c r="AU176" i="1"/>
  <c r="BD299" i="1"/>
  <c r="BO257" i="1"/>
  <c r="BO300" i="1"/>
  <c r="BN300" i="1"/>
  <c r="BN257" i="1"/>
  <c r="AW300" i="1"/>
  <c r="AW257" i="1"/>
  <c r="BT253" i="1"/>
  <c r="BS253" i="1"/>
  <c r="BV300" i="1"/>
  <c r="BU300" i="1"/>
  <c r="BU257" i="1"/>
  <c r="BV257" i="1"/>
  <c r="BT219" i="1"/>
  <c r="BT300" i="1"/>
  <c r="BT257" i="1"/>
  <c r="AP253" i="1"/>
  <c r="AO253" i="1"/>
  <c r="M237" i="1"/>
  <c r="M235" i="1"/>
  <c r="AZ219" i="1"/>
  <c r="AZ300" i="1"/>
  <c r="AZ171" i="1"/>
  <c r="AZ257" i="1"/>
  <c r="AN235" i="1"/>
  <c r="AT171" i="1"/>
  <c r="AT300" i="1"/>
  <c r="AT257" i="1"/>
  <c r="AT219" i="1"/>
  <c r="BD257" i="1"/>
  <c r="BD171" i="1"/>
  <c r="BE300" i="1"/>
  <c r="BE257" i="1"/>
  <c r="BD219" i="1"/>
  <c r="BD300" i="1"/>
  <c r="AV299" i="1"/>
  <c r="AQ257" i="1"/>
  <c r="AP257" i="1"/>
  <c r="AP300" i="1"/>
  <c r="BG300" i="1"/>
  <c r="BH300" i="1"/>
  <c r="BB257" i="1"/>
  <c r="BA300" i="1"/>
  <c r="BB300" i="1"/>
  <c r="BA257" i="1"/>
  <c r="AU257" i="1"/>
  <c r="AU300" i="1"/>
  <c r="BR257" i="1"/>
  <c r="AY257" i="1"/>
  <c r="AY300" i="1"/>
  <c r="AQ260" i="1"/>
  <c r="AP299" i="1"/>
  <c r="AZ299" i="1"/>
  <c r="BS260" i="1"/>
  <c r="BR299" i="1"/>
  <c r="BT299" i="1"/>
  <c r="BF300" i="1"/>
  <c r="BF171" i="1"/>
  <c r="AP219" i="1"/>
  <c r="AP171" i="1"/>
  <c r="AP236" i="1"/>
  <c r="BF299" i="1"/>
  <c r="AV171" i="1"/>
  <c r="BQ300" i="1"/>
  <c r="BP299" i="1"/>
  <c r="BP171" i="1"/>
  <c r="BG257" i="1"/>
  <c r="BQ257" i="1"/>
  <c r="B127" i="1"/>
  <c r="B128" i="1"/>
  <c r="BA301" i="1"/>
  <c r="AP52" i="1"/>
  <c r="BL52" i="1"/>
  <c r="BK50" i="1"/>
  <c r="BK70" i="1"/>
  <c r="BK15" i="1" s="1"/>
  <c r="BK52" i="1"/>
  <c r="AM96" i="1"/>
  <c r="AM258" i="1"/>
  <c r="AM256" i="1" s="1"/>
  <c r="AM97" i="1"/>
  <c r="AY70" i="1"/>
  <c r="AY50" i="1"/>
  <c r="AZ52" i="1"/>
  <c r="AT51" i="1"/>
  <c r="AP70" i="1"/>
  <c r="AP51" i="1"/>
  <c r="AP50" i="1"/>
  <c r="BQ50" i="1"/>
  <c r="BU51" i="1"/>
  <c r="BU70" i="1"/>
  <c r="BU15" i="1" s="1"/>
  <c r="BV52" i="1"/>
  <c r="BY51" i="1"/>
  <c r="BU50" i="1"/>
  <c r="BQ76" i="1"/>
  <c r="BQ80" i="1" s="1"/>
  <c r="BQ71" i="1"/>
  <c r="BQ283" i="1"/>
  <c r="BQ284" i="1" s="1"/>
  <c r="AS50" i="1"/>
  <c r="AS70" i="1"/>
  <c r="AS73" i="1" s="1"/>
  <c r="AT52" i="1"/>
  <c r="AW51" i="1"/>
  <c r="AR50" i="1"/>
  <c r="AS52" i="1"/>
  <c r="BI51" i="1"/>
  <c r="BI50" i="1"/>
  <c r="BM51" i="1"/>
  <c r="BI70" i="1"/>
  <c r="BJ52" i="1"/>
  <c r="BP70" i="1"/>
  <c r="BP15" i="1" s="1"/>
  <c r="BP51" i="1"/>
  <c r="BP50" i="1"/>
  <c r="BQ52" i="1"/>
  <c r="BN235" i="1"/>
  <c r="BM50" i="1"/>
  <c r="BQ51" i="1"/>
  <c r="BM70" i="1"/>
  <c r="BM15" i="1" s="1"/>
  <c r="BM52" i="1"/>
  <c r="BF50" i="1"/>
  <c r="BJ51" i="1"/>
  <c r="BE52" i="1"/>
  <c r="BS52" i="1"/>
  <c r="BD50" i="1"/>
  <c r="BD70" i="1"/>
  <c r="BD72" i="1" s="1"/>
  <c r="BD51" i="1"/>
  <c r="BE70" i="1"/>
  <c r="BE50" i="1"/>
  <c r="BF52" i="1"/>
  <c r="BC52" i="1"/>
  <c r="BT52" i="1"/>
  <c r="AU51" i="1"/>
  <c r="BW51" i="1"/>
  <c r="Q101" i="1"/>
  <c r="BF71" i="1"/>
  <c r="BF76" i="1"/>
  <c r="BF80" i="1" s="1"/>
  <c r="BF283" i="1"/>
  <c r="BF284" i="1" s="1"/>
  <c r="BO70" i="1"/>
  <c r="BO15" i="1" s="1"/>
  <c r="V101" i="1"/>
  <c r="BP52" i="1"/>
  <c r="BS51" i="1"/>
  <c r="BO51" i="1"/>
  <c r="BO50" i="1"/>
  <c r="AT76" i="1"/>
  <c r="AT80" i="1" s="1"/>
  <c r="AT71" i="1"/>
  <c r="AT283" i="1"/>
  <c r="AT284" i="1" s="1"/>
  <c r="AJ52" i="1"/>
  <c r="AI50" i="1"/>
  <c r="AM51" i="1"/>
  <c r="AI70" i="1"/>
  <c r="N101" i="1"/>
  <c r="BA71" i="1"/>
  <c r="BA283" i="1"/>
  <c r="BA284" i="1" s="1"/>
  <c r="BA76" i="1"/>
  <c r="BA80" i="1" s="1"/>
  <c r="BA72" i="1"/>
  <c r="AW283" i="1"/>
  <c r="AW284" i="1" s="1"/>
  <c r="AW71" i="1"/>
  <c r="AW76" i="1"/>
  <c r="AW80" i="1" s="1"/>
  <c r="AU52" i="1"/>
  <c r="AV52" i="1"/>
  <c r="AU70" i="1"/>
  <c r="AY51" i="1"/>
  <c r="AU50" i="1"/>
  <c r="BV151" i="1"/>
  <c r="BW79" i="1"/>
  <c r="BS70" i="1"/>
  <c r="BS15" i="1" s="1"/>
  <c r="BS50" i="1"/>
  <c r="BD52" i="1"/>
  <c r="S101" i="1"/>
  <c r="BC70" i="1"/>
  <c r="BC50" i="1"/>
  <c r="BC51" i="1"/>
  <c r="BA73" i="1"/>
  <c r="BH151" i="1"/>
  <c r="BI79" i="1"/>
  <c r="BR70" i="1"/>
  <c r="BR15" i="1" s="1"/>
  <c r="BR52" i="1"/>
  <c r="BR50" i="1"/>
  <c r="AZ71" i="1"/>
  <c r="AZ283" i="1"/>
  <c r="AZ284" i="1" s="1"/>
  <c r="AZ76" i="1"/>
  <c r="AZ80" i="1" s="1"/>
  <c r="AQ52" i="1"/>
  <c r="BH70" i="1"/>
  <c r="BH50" i="1"/>
  <c r="BL51" i="1"/>
  <c r="BH51" i="1"/>
  <c r="BB51" i="1"/>
  <c r="AX52" i="1"/>
  <c r="AX50" i="1"/>
  <c r="AX51" i="1"/>
  <c r="AX70" i="1"/>
  <c r="BN51" i="1"/>
  <c r="BR51" i="1"/>
  <c r="BN70" i="1"/>
  <c r="BN15" i="1" s="1"/>
  <c r="U101" i="1"/>
  <c r="BN50" i="1"/>
  <c r="BN52" i="1"/>
  <c r="AR283" i="1"/>
  <c r="AR284" i="1" s="1"/>
  <c r="BO52" i="1"/>
  <c r="BG52" i="1"/>
  <c r="BG51" i="1"/>
  <c r="BG50" i="1"/>
  <c r="BH52" i="1"/>
  <c r="BK51" i="1"/>
  <c r="T101" i="1"/>
  <c r="BG70" i="1"/>
  <c r="AN70" i="1"/>
  <c r="AO52" i="1"/>
  <c r="AN51" i="1"/>
  <c r="AR51" i="1"/>
  <c r="AN52" i="1"/>
  <c r="AN50" i="1"/>
  <c r="AV70" i="1"/>
  <c r="AV50" i="1"/>
  <c r="AW52" i="1"/>
  <c r="AV51" i="1"/>
  <c r="AZ51" i="1"/>
  <c r="BW52" i="1"/>
  <c r="BW50" i="1"/>
  <c r="X101" i="1"/>
  <c r="CA51" i="1"/>
  <c r="BX52" i="1"/>
  <c r="BW70" i="1"/>
  <c r="BW15" i="1" s="1"/>
  <c r="BU52" i="1"/>
  <c r="BT70" i="1"/>
  <c r="BT15" i="1" s="1"/>
  <c r="BX51" i="1"/>
  <c r="BT50" i="1"/>
  <c r="BT51" i="1"/>
  <c r="BV76" i="1"/>
  <c r="BV80" i="1" s="1"/>
  <c r="BZ72" i="1"/>
  <c r="BV71" i="1"/>
  <c r="BV283" i="1"/>
  <c r="BV284" i="1" s="1"/>
  <c r="BW180" i="1"/>
  <c r="BX75" i="1"/>
  <c r="AR76" i="1"/>
  <c r="AR80" i="1" s="1"/>
  <c r="AY52" i="1"/>
  <c r="BI52" i="1"/>
  <c r="AO51" i="1"/>
  <c r="AO70" i="1"/>
  <c r="AO50" i="1"/>
  <c r="AS51" i="1"/>
  <c r="O101" i="1"/>
  <c r="AQ70" i="1"/>
  <c r="P101" i="1"/>
  <c r="AQ51" i="1"/>
  <c r="AQ50" i="1"/>
  <c r="AR52" i="1"/>
  <c r="BJ75" i="1"/>
  <c r="BI180" i="1"/>
  <c r="BJ254" i="1" s="1"/>
  <c r="BJ252" i="1" s="1"/>
  <c r="BB50" i="1"/>
  <c r="R101" i="1"/>
  <c r="BB70" i="1"/>
  <c r="BF51" i="1"/>
  <c r="BB52" i="1"/>
  <c r="BJ83" i="1"/>
  <c r="BJ82" i="1"/>
  <c r="CR245" i="1"/>
  <c r="CR174" i="1"/>
  <c r="CQ254" i="1"/>
  <c r="CQ252" i="1" s="1"/>
  <c r="AB257" i="1"/>
  <c r="C295" i="1" l="1"/>
  <c r="AS180" i="1"/>
  <c r="P264" i="1"/>
  <c r="K261" i="1"/>
  <c r="K262" i="1" s="1"/>
  <c r="D261" i="1"/>
  <c r="D262" i="1" s="1"/>
  <c r="D264" i="1"/>
  <c r="J264" i="1"/>
  <c r="V240" i="1"/>
  <c r="V241" i="1" s="1"/>
  <c r="H261" i="1"/>
  <c r="H262" i="1" s="1"/>
  <c r="K264" i="1"/>
  <c r="M264" i="1"/>
  <c r="N264" i="1"/>
  <c r="D112" i="1"/>
  <c r="T264" i="1"/>
  <c r="T261" i="1"/>
  <c r="T262" i="1" s="1"/>
  <c r="S264" i="1"/>
  <c r="S261" i="1"/>
  <c r="S262" i="1" s="1"/>
  <c r="U264" i="1"/>
  <c r="U261" i="1"/>
  <c r="U262" i="1" s="1"/>
  <c r="B217" i="1"/>
  <c r="B295" i="1"/>
  <c r="C128" i="1"/>
  <c r="C129" i="1"/>
  <c r="C127" i="1"/>
  <c r="C112" i="1"/>
  <c r="B131" i="1"/>
  <c r="D217" i="1"/>
  <c r="D295" i="1"/>
  <c r="J261" i="1"/>
  <c r="J262" i="1" s="1"/>
  <c r="H264" i="1"/>
  <c r="Q264" i="1"/>
  <c r="Q261" i="1"/>
  <c r="Q262" i="1" s="1"/>
  <c r="P261" i="1"/>
  <c r="P262" i="1" s="1"/>
  <c r="I261" i="1"/>
  <c r="I262" i="1" s="1"/>
  <c r="I264" i="1"/>
  <c r="N261" i="1"/>
  <c r="N262" i="1" s="1"/>
  <c r="M261" i="1"/>
  <c r="M262" i="1" s="1"/>
  <c r="I240" i="1"/>
  <c r="I241" i="1" s="1"/>
  <c r="G261" i="1"/>
  <c r="G262" i="1" s="1"/>
  <c r="G264" i="1"/>
  <c r="F264" i="1"/>
  <c r="F261" i="1"/>
  <c r="F262" i="1" s="1"/>
  <c r="E261" i="1"/>
  <c r="E262" i="1" s="1"/>
  <c r="E264" i="1"/>
  <c r="C261" i="1"/>
  <c r="C262" i="1" s="1"/>
  <c r="C264" i="1"/>
  <c r="AW79" i="1"/>
  <c r="AV151" i="1"/>
  <c r="BS180" i="1"/>
  <c r="BT75" i="1"/>
  <c r="V261" i="1"/>
  <c r="V262" i="1" s="1"/>
  <c r="V264" i="1"/>
  <c r="AP75" i="1"/>
  <c r="AO180" i="1"/>
  <c r="O264" i="1"/>
  <c r="J240" i="1"/>
  <c r="J241" i="1" s="1"/>
  <c r="Q240" i="1"/>
  <c r="Q241" i="1" s="1"/>
  <c r="O261" i="1"/>
  <c r="O262" i="1" s="1"/>
  <c r="R261" i="1"/>
  <c r="R262" i="1" s="1"/>
  <c r="R264" i="1"/>
  <c r="BB151" i="1"/>
  <c r="BC79" i="1"/>
  <c r="L264" i="1"/>
  <c r="L261" i="1"/>
  <c r="L262" i="1" s="1"/>
  <c r="D127" i="1"/>
  <c r="D128" i="1"/>
  <c r="D129" i="1"/>
  <c r="C131" i="1"/>
  <c r="BA302" i="1"/>
  <c r="BN151" i="1"/>
  <c r="BO79" i="1"/>
  <c r="AZ75" i="1"/>
  <c r="AY180" i="1"/>
  <c r="L240" i="1"/>
  <c r="L241" i="1" s="1"/>
  <c r="K240" i="1"/>
  <c r="K241" i="1" s="1"/>
  <c r="E240" i="1"/>
  <c r="E241" i="1" s="1"/>
  <c r="F240" i="1"/>
  <c r="F241" i="1" s="1"/>
  <c r="H240" i="1"/>
  <c r="H241" i="1" s="1"/>
  <c r="G240" i="1"/>
  <c r="G241" i="1" s="1"/>
  <c r="BN254" i="1"/>
  <c r="BN252" i="1" s="1"/>
  <c r="BP151" i="1"/>
  <c r="BQ79" i="1"/>
  <c r="C240" i="1"/>
  <c r="C241" i="1" s="1"/>
  <c r="D240" i="1"/>
  <c r="D241" i="1" s="1"/>
  <c r="BG79" i="1"/>
  <c r="BF151" i="1"/>
  <c r="BD75" i="1"/>
  <c r="BC180" i="1"/>
  <c r="AN254" i="1"/>
  <c r="AN252" i="1" s="1"/>
  <c r="AW180" i="1"/>
  <c r="AX75" i="1"/>
  <c r="BS79" i="1"/>
  <c r="BR151" i="1"/>
  <c r="BA180" i="1"/>
  <c r="BB75" i="1"/>
  <c r="BR75" i="1"/>
  <c r="BQ180" i="1"/>
  <c r="BG180" i="1"/>
  <c r="BH75" i="1"/>
  <c r="BE180" i="1"/>
  <c r="BF75" i="1"/>
  <c r="S240" i="1"/>
  <c r="S241" i="1" s="1"/>
  <c r="R240" i="1"/>
  <c r="R241" i="1" s="1"/>
  <c r="AU79" i="1"/>
  <c r="AT151" i="1"/>
  <c r="BV75" i="1"/>
  <c r="BU180" i="1"/>
  <c r="AQ180" i="1"/>
  <c r="AR75" i="1"/>
  <c r="AO79" i="1"/>
  <c r="AN151" i="1"/>
  <c r="AR235" i="1"/>
  <c r="AV75" i="1"/>
  <c r="AU180" i="1"/>
  <c r="BU79" i="1"/>
  <c r="BT151" i="1"/>
  <c r="BE79" i="1"/>
  <c r="BD151" i="1"/>
  <c r="T240" i="1"/>
  <c r="T241" i="1" s="1"/>
  <c r="U240" i="1"/>
  <c r="U241" i="1" s="1"/>
  <c r="P240" i="1"/>
  <c r="P241" i="1" s="1"/>
  <c r="O240" i="1"/>
  <c r="O241" i="1" s="1"/>
  <c r="BP75" i="1"/>
  <c r="BO180" i="1"/>
  <c r="AY79" i="1"/>
  <c r="AX151" i="1"/>
  <c r="AP151" i="1"/>
  <c r="AQ79" i="1"/>
  <c r="AZ151" i="1"/>
  <c r="BA79" i="1"/>
  <c r="M240" i="1"/>
  <c r="M241" i="1" s="1"/>
  <c r="N240" i="1"/>
  <c r="N241" i="1" s="1"/>
  <c r="AP235" i="1"/>
  <c r="BX254" i="1"/>
  <c r="BX252" i="1" s="1"/>
  <c r="BW254" i="1"/>
  <c r="BW252" i="1" s="1"/>
  <c r="BA277" i="1"/>
  <c r="BL154" i="1"/>
  <c r="AQ301" i="1"/>
  <c r="AQ302" i="1" s="1"/>
  <c r="AT72" i="1"/>
  <c r="AQ73" i="1"/>
  <c r="BS277" i="1"/>
  <c r="BO72" i="1"/>
  <c r="BK72" i="1"/>
  <c r="BX277" i="1"/>
  <c r="BK73" i="1"/>
  <c r="BK71" i="1"/>
  <c r="BL73" i="1"/>
  <c r="BK283" i="1"/>
  <c r="BK284" i="1" s="1"/>
  <c r="BK76" i="1"/>
  <c r="BK80" i="1" s="1"/>
  <c r="BK301" i="1"/>
  <c r="BK302" i="1" s="1"/>
  <c r="BL301" i="1"/>
  <c r="BL302" i="1" s="1"/>
  <c r="AY71" i="1"/>
  <c r="AY283" i="1"/>
  <c r="AY284" i="1" s="1"/>
  <c r="AY76" i="1"/>
  <c r="AY80" i="1" s="1"/>
  <c r="AZ301" i="1"/>
  <c r="AZ302" i="1" s="1"/>
  <c r="AZ73" i="1"/>
  <c r="AP71" i="1"/>
  <c r="AP72" i="1"/>
  <c r="AP283" i="1"/>
  <c r="AP284" i="1" s="1"/>
  <c r="AP76" i="1"/>
  <c r="AP80" i="1" s="1"/>
  <c r="BV301" i="1"/>
  <c r="BV302" i="1" s="1"/>
  <c r="BV73" i="1"/>
  <c r="BM154" i="1"/>
  <c r="BM277" i="1"/>
  <c r="BU72" i="1"/>
  <c r="BU71" i="1"/>
  <c r="BU283" i="1"/>
  <c r="BU284" i="1" s="1"/>
  <c r="BY72" i="1"/>
  <c r="BU76" i="1"/>
  <c r="BU80" i="1" s="1"/>
  <c r="S102" i="1"/>
  <c r="BK154" i="1"/>
  <c r="U102" i="1"/>
  <c r="AS283" i="1"/>
  <c r="AS284" i="1" s="1"/>
  <c r="AS76" i="1"/>
  <c r="AS80" i="1" s="1"/>
  <c r="AW72" i="1"/>
  <c r="AT73" i="1"/>
  <c r="AS301" i="1"/>
  <c r="AS302" i="1" s="1"/>
  <c r="AS71" i="1"/>
  <c r="AT301" i="1"/>
  <c r="AT302" i="1" s="1"/>
  <c r="AS277" i="1"/>
  <c r="AS154" i="1"/>
  <c r="BF301" i="1"/>
  <c r="BF302" i="1" s="1"/>
  <c r="BE72" i="1"/>
  <c r="BI283" i="1"/>
  <c r="BI284" i="1" s="1"/>
  <c r="BI76" i="1"/>
  <c r="BI71" i="1"/>
  <c r="BL277" i="1"/>
  <c r="BJ73" i="1"/>
  <c r="BJ301" i="1"/>
  <c r="BJ302" i="1" s="1"/>
  <c r="BQ73" i="1"/>
  <c r="BP71" i="1"/>
  <c r="BP72" i="1"/>
  <c r="BP283" i="1"/>
  <c r="BP284" i="1" s="1"/>
  <c r="BP76" i="1"/>
  <c r="BP80" i="1" s="1"/>
  <c r="BQ301" i="1"/>
  <c r="BQ302" i="1" s="1"/>
  <c r="BM76" i="1"/>
  <c r="BM80" i="1" s="1"/>
  <c r="BM71" i="1"/>
  <c r="BQ72" i="1"/>
  <c r="BM73" i="1"/>
  <c r="BM72" i="1"/>
  <c r="BM283" i="1"/>
  <c r="BM284" i="1" s="1"/>
  <c r="BM301" i="1"/>
  <c r="BM302" i="1" s="1"/>
  <c r="BD301" i="1"/>
  <c r="BD302" i="1" s="1"/>
  <c r="O102" i="1"/>
  <c r="AP73" i="1"/>
  <c r="BE73" i="1"/>
  <c r="BD76" i="1"/>
  <c r="BD80" i="1" s="1"/>
  <c r="BD71" i="1"/>
  <c r="BD283" i="1"/>
  <c r="BD284" i="1" s="1"/>
  <c r="BE301" i="1"/>
  <c r="BE302" i="1" s="1"/>
  <c r="BI72" i="1"/>
  <c r="BE283" i="1"/>
  <c r="BE284" i="1" s="1"/>
  <c r="BE71" i="1"/>
  <c r="BE76" i="1"/>
  <c r="BE80" i="1" s="1"/>
  <c r="BF73" i="1"/>
  <c r="BF83" i="1"/>
  <c r="BF82" i="1"/>
  <c r="BO71" i="1"/>
  <c r="BO76" i="1"/>
  <c r="BO80" i="1" s="1"/>
  <c r="BO283" i="1"/>
  <c r="BO284" i="1" s="1"/>
  <c r="BP73" i="1"/>
  <c r="BP301" i="1"/>
  <c r="BP302" i="1" s="1"/>
  <c r="AX277" i="1"/>
  <c r="BT301" i="1"/>
  <c r="BT302" i="1" s="1"/>
  <c r="BC73" i="1"/>
  <c r="AJ73" i="1"/>
  <c r="AL154" i="1"/>
  <c r="AI71" i="1"/>
  <c r="AM72" i="1"/>
  <c r="AI76" i="1"/>
  <c r="N102" i="1"/>
  <c r="AL277" i="1"/>
  <c r="AI283" i="1"/>
  <c r="AI284" i="1" s="1"/>
  <c r="AW277" i="1"/>
  <c r="AU277" i="1"/>
  <c r="AW154" i="1"/>
  <c r="AU73" i="1"/>
  <c r="AU301" i="1"/>
  <c r="AU302" i="1" s="1"/>
  <c r="AU154" i="1"/>
  <c r="AV277" i="1"/>
  <c r="AU283" i="1"/>
  <c r="AU284" i="1" s="1"/>
  <c r="AU71" i="1"/>
  <c r="AU76" i="1"/>
  <c r="AU80" i="1" s="1"/>
  <c r="AY72" i="1"/>
  <c r="AV73" i="1"/>
  <c r="AV301" i="1"/>
  <c r="AV302" i="1" s="1"/>
  <c r="AU72" i="1"/>
  <c r="BS72" i="1"/>
  <c r="BS76" i="1"/>
  <c r="BS80" i="1" s="1"/>
  <c r="BS71" i="1"/>
  <c r="BS283" i="1"/>
  <c r="BS284" i="1" s="1"/>
  <c r="BS301" i="1"/>
  <c r="BS302" i="1" s="1"/>
  <c r="BD73" i="1"/>
  <c r="BG72" i="1"/>
  <c r="BF154" i="1"/>
  <c r="BC76" i="1"/>
  <c r="BC71" i="1"/>
  <c r="BC283" i="1"/>
  <c r="BC284" i="1" s="1"/>
  <c r="BF277" i="1"/>
  <c r="BC72" i="1"/>
  <c r="BV72" i="1"/>
  <c r="BS154" i="1"/>
  <c r="BT277" i="1"/>
  <c r="AQ277" i="1"/>
  <c r="AZ83" i="1"/>
  <c r="AZ82" i="1"/>
  <c r="BV277" i="1"/>
  <c r="BR301" i="1"/>
  <c r="BR302" i="1" s="1"/>
  <c r="BR71" i="1"/>
  <c r="BR73" i="1"/>
  <c r="BS73" i="1"/>
  <c r="V102" i="1"/>
  <c r="BR277" i="1"/>
  <c r="BR283" i="1"/>
  <c r="BR284" i="1" s="1"/>
  <c r="BR154" i="1"/>
  <c r="BR76" i="1"/>
  <c r="BN154" i="1"/>
  <c r="BN277" i="1"/>
  <c r="BA154" i="1"/>
  <c r="AX154" i="1"/>
  <c r="AY154" i="1"/>
  <c r="AY277" i="1"/>
  <c r="AY73" i="1"/>
  <c r="AY301" i="1"/>
  <c r="AY302" i="1" s="1"/>
  <c r="AZ154" i="1"/>
  <c r="BV154" i="1"/>
  <c r="AQ154" i="1"/>
  <c r="BT154" i="1"/>
  <c r="BT73" i="1"/>
  <c r="AR277" i="1"/>
  <c r="AP277" i="1"/>
  <c r="AP301" i="1"/>
  <c r="AP302" i="1" s="1"/>
  <c r="AP154" i="1"/>
  <c r="BK277" i="1"/>
  <c r="BX154" i="1"/>
  <c r="AV154" i="1"/>
  <c r="Q102" i="1"/>
  <c r="BI254" i="1"/>
  <c r="BI252" i="1" s="1"/>
  <c r="BV82" i="1"/>
  <c r="BV83" i="1"/>
  <c r="BD277" i="1"/>
  <c r="BC154" i="1"/>
  <c r="BC277" i="1"/>
  <c r="BB277" i="1"/>
  <c r="R102" i="1"/>
  <c r="AV76" i="1"/>
  <c r="AZ72" i="1"/>
  <c r="AV71" i="1"/>
  <c r="AV283" i="1"/>
  <c r="AV284" i="1" s="1"/>
  <c r="AW301" i="1"/>
  <c r="AW302" i="1" s="1"/>
  <c r="AW73" i="1"/>
  <c r="BG71" i="1"/>
  <c r="BH277" i="1"/>
  <c r="T102" i="1"/>
  <c r="BG154" i="1"/>
  <c r="BJ154" i="1"/>
  <c r="BG301" i="1"/>
  <c r="BG302" i="1" s="1"/>
  <c r="BI277" i="1"/>
  <c r="BG76" i="1"/>
  <c r="BI154" i="1"/>
  <c r="BG283" i="1"/>
  <c r="BG284" i="1" s="1"/>
  <c r="BH154" i="1"/>
  <c r="BJ277" i="1"/>
  <c r="BH73" i="1"/>
  <c r="BG277" i="1"/>
  <c r="BG73" i="1"/>
  <c r="BL72" i="1"/>
  <c r="BH71" i="1"/>
  <c r="BH76" i="1"/>
  <c r="BH80" i="1" s="1"/>
  <c r="BH283" i="1"/>
  <c r="BH284" i="1" s="1"/>
  <c r="BH301" i="1"/>
  <c r="BH302" i="1" s="1"/>
  <c r="BH72" i="1"/>
  <c r="BI301" i="1"/>
  <c r="BI302" i="1" s="1"/>
  <c r="BI73" i="1"/>
  <c r="BW72" i="1"/>
  <c r="AN301" i="1"/>
  <c r="AN302" i="1" s="1"/>
  <c r="AN76" i="1"/>
  <c r="AO277" i="1"/>
  <c r="AN73" i="1"/>
  <c r="AN71" i="1"/>
  <c r="AN283" i="1"/>
  <c r="AN284" i="1" s="1"/>
  <c r="AN277" i="1"/>
  <c r="AR72" i="1"/>
  <c r="AO154" i="1"/>
  <c r="AN154" i="1"/>
  <c r="AO73" i="1"/>
  <c r="AN72" i="1"/>
  <c r="BW73" i="1"/>
  <c r="BN76" i="1"/>
  <c r="BP277" i="1"/>
  <c r="BO277" i="1"/>
  <c r="BR72" i="1"/>
  <c r="BQ154" i="1"/>
  <c r="BN71" i="1"/>
  <c r="BO73" i="1"/>
  <c r="BN73" i="1"/>
  <c r="BN283" i="1"/>
  <c r="BN284" i="1" s="1"/>
  <c r="BO301" i="1"/>
  <c r="BO302" i="1" s="1"/>
  <c r="BN301" i="1"/>
  <c r="BN302" i="1" s="1"/>
  <c r="BN72" i="1"/>
  <c r="BP154" i="1"/>
  <c r="BQ277" i="1"/>
  <c r="BO154" i="1"/>
  <c r="AX301" i="1"/>
  <c r="AX302" i="1" s="1"/>
  <c r="AX283" i="1"/>
  <c r="AX284" i="1" s="1"/>
  <c r="AX72" i="1"/>
  <c r="BB72" i="1"/>
  <c r="AZ277" i="1"/>
  <c r="AX76" i="1"/>
  <c r="AX73" i="1"/>
  <c r="AX71" i="1"/>
  <c r="BB76" i="1"/>
  <c r="BF72" i="1"/>
  <c r="BB283" i="1"/>
  <c r="BB284" i="1" s="1"/>
  <c r="BB154" i="1"/>
  <c r="BD154" i="1"/>
  <c r="BB71" i="1"/>
  <c r="BB301" i="1"/>
  <c r="BB302" i="1" s="1"/>
  <c r="BB73" i="1"/>
  <c r="BW277" i="1"/>
  <c r="BW283" i="1"/>
  <c r="BW284" i="1" s="1"/>
  <c r="BX73" i="1"/>
  <c r="X102" i="1"/>
  <c r="BW71" i="1"/>
  <c r="BZ154" i="1"/>
  <c r="BZ277" i="1"/>
  <c r="BW301" i="1"/>
  <c r="BW302" i="1" s="1"/>
  <c r="BW76" i="1"/>
  <c r="BY154" i="1"/>
  <c r="CA72" i="1"/>
  <c r="BX301" i="1"/>
  <c r="BX302" i="1" s="1"/>
  <c r="BY277" i="1"/>
  <c r="BC301" i="1"/>
  <c r="BC302" i="1" s="1"/>
  <c r="BE277" i="1"/>
  <c r="BE154" i="1"/>
  <c r="AQ71" i="1"/>
  <c r="AT277" i="1"/>
  <c r="AQ283" i="1"/>
  <c r="AQ284" i="1" s="1"/>
  <c r="P102" i="1"/>
  <c r="AQ76" i="1"/>
  <c r="AQ72" i="1"/>
  <c r="AR73" i="1"/>
  <c r="AR301" i="1"/>
  <c r="AR302" i="1" s="1"/>
  <c r="AT154" i="1"/>
  <c r="AO283" i="1"/>
  <c r="AO284" i="1" s="1"/>
  <c r="AO76" i="1"/>
  <c r="AO80" i="1" s="1"/>
  <c r="AO82" i="1" s="1"/>
  <c r="AR154" i="1"/>
  <c r="AO301" i="1"/>
  <c r="AO302" i="1" s="1"/>
  <c r="AO72" i="1"/>
  <c r="AS72" i="1"/>
  <c r="AO71" i="1"/>
  <c r="AR83" i="1"/>
  <c r="AR82" i="1"/>
  <c r="BT76" i="1"/>
  <c r="BU301" i="1"/>
  <c r="BU302" i="1" s="1"/>
  <c r="BT71" i="1"/>
  <c r="BX72" i="1"/>
  <c r="BU73" i="1"/>
  <c r="BT283" i="1"/>
  <c r="BT284" i="1" s="1"/>
  <c r="BT72" i="1"/>
  <c r="BW154" i="1"/>
  <c r="BU154" i="1"/>
  <c r="AV72" i="1"/>
  <c r="BJ285" i="1"/>
  <c r="BJ84" i="1"/>
  <c r="BJ296" i="1" s="1"/>
  <c r="BJ90" i="1"/>
  <c r="BQ82" i="1"/>
  <c r="BQ83" i="1"/>
  <c r="BA83" i="1"/>
  <c r="BA82" i="1"/>
  <c r="AW82" i="1"/>
  <c r="AW83" i="1"/>
  <c r="AT83" i="1"/>
  <c r="AT82" i="1"/>
  <c r="CR176" i="1"/>
  <c r="AC166" i="1"/>
  <c r="AS254" i="1" l="1"/>
  <c r="AS252" i="1" s="1"/>
  <c r="AT254" i="1"/>
  <c r="AT252" i="1" s="1"/>
  <c r="BT254" i="1"/>
  <c r="BT252" i="1" s="1"/>
  <c r="BS254" i="1"/>
  <c r="BS252" i="1" s="1"/>
  <c r="AP254" i="1"/>
  <c r="AP252" i="1" s="1"/>
  <c r="AO254" i="1"/>
  <c r="AO252" i="1" s="1"/>
  <c r="AY254" i="1"/>
  <c r="AY252" i="1" s="1"/>
  <c r="AZ254" i="1"/>
  <c r="AZ252" i="1" s="1"/>
  <c r="BC254" i="1"/>
  <c r="BC252" i="1" s="1"/>
  <c r="BD254" i="1"/>
  <c r="BD252" i="1" s="1"/>
  <c r="AX254" i="1"/>
  <c r="AX252" i="1" s="1"/>
  <c r="AW254" i="1"/>
  <c r="AW252" i="1" s="1"/>
  <c r="BB254" i="1"/>
  <c r="BB252" i="1" s="1"/>
  <c r="BA254" i="1"/>
  <c r="BA252" i="1" s="1"/>
  <c r="BR254" i="1"/>
  <c r="BR252" i="1" s="1"/>
  <c r="BQ254" i="1"/>
  <c r="BQ252" i="1" s="1"/>
  <c r="BH254" i="1"/>
  <c r="BH252" i="1" s="1"/>
  <c r="BG254" i="1"/>
  <c r="BG252" i="1" s="1"/>
  <c r="AR254" i="1"/>
  <c r="AR252" i="1" s="1"/>
  <c r="AQ254" i="1"/>
  <c r="AQ252" i="1" s="1"/>
  <c r="BE254" i="1"/>
  <c r="BE252" i="1" s="1"/>
  <c r="BF254" i="1"/>
  <c r="BF252" i="1" s="1"/>
  <c r="BV254" i="1"/>
  <c r="BV252" i="1" s="1"/>
  <c r="BU254" i="1"/>
  <c r="BU252" i="1" s="1"/>
  <c r="AV254" i="1"/>
  <c r="AV252" i="1" s="1"/>
  <c r="AU254" i="1"/>
  <c r="AU252" i="1" s="1"/>
  <c r="BO254" i="1"/>
  <c r="BO252" i="1" s="1"/>
  <c r="BP254" i="1"/>
  <c r="BP252" i="1" s="1"/>
  <c r="BK83" i="1"/>
  <c r="BK82" i="1"/>
  <c r="AY82" i="1"/>
  <c r="AY83" i="1"/>
  <c r="AP82" i="1"/>
  <c r="AP83" i="1"/>
  <c r="AP85" i="1" s="1"/>
  <c r="BU83" i="1"/>
  <c r="BY85" i="1" s="1"/>
  <c r="BU82" i="1"/>
  <c r="AS82" i="1"/>
  <c r="AS83" i="1"/>
  <c r="AS86" i="1" s="1"/>
  <c r="BP82" i="1"/>
  <c r="BP83" i="1"/>
  <c r="BQ86" i="1" s="1"/>
  <c r="BI80" i="1"/>
  <c r="BL97" i="1"/>
  <c r="BM82" i="1"/>
  <c r="BM83" i="1"/>
  <c r="BE82" i="1"/>
  <c r="BE83" i="1"/>
  <c r="BF285" i="1"/>
  <c r="BF84" i="1"/>
  <c r="BF296" i="1" s="1"/>
  <c r="BF90" i="1"/>
  <c r="BJ85" i="1"/>
  <c r="BD97" i="1"/>
  <c r="BV97" i="1"/>
  <c r="BD82" i="1"/>
  <c r="BD83" i="1"/>
  <c r="BO83" i="1"/>
  <c r="BO82" i="1"/>
  <c r="AI80" i="1"/>
  <c r="AL97" i="1"/>
  <c r="AU83" i="1"/>
  <c r="AU82" i="1"/>
  <c r="BC80" i="1"/>
  <c r="BF97" i="1"/>
  <c r="AZ285" i="1"/>
  <c r="AZ90" i="1"/>
  <c r="AZ84" i="1"/>
  <c r="AZ296" i="1" s="1"/>
  <c r="BR80" i="1"/>
  <c r="BR97" i="1"/>
  <c r="AR97" i="1"/>
  <c r="AP97" i="1"/>
  <c r="AO83" i="1"/>
  <c r="AR84" i="1"/>
  <c r="AR296" i="1" s="1"/>
  <c r="AR90" i="1"/>
  <c r="AR285" i="1"/>
  <c r="AX80" i="1"/>
  <c r="AZ97" i="1"/>
  <c r="BN80" i="1"/>
  <c r="BP97" i="1"/>
  <c r="BV84" i="1"/>
  <c r="BV296" i="1" s="1"/>
  <c r="BV90" i="1"/>
  <c r="BV285" i="1"/>
  <c r="BZ85" i="1"/>
  <c r="BH83" i="1"/>
  <c r="BH82" i="1"/>
  <c r="AQ80" i="1"/>
  <c r="AT97" i="1"/>
  <c r="BX97" i="1"/>
  <c r="BZ97" i="1"/>
  <c r="BW80" i="1"/>
  <c r="BB80" i="1"/>
  <c r="BB97" i="1"/>
  <c r="AN97" i="1"/>
  <c r="AN80" i="1"/>
  <c r="AV80" i="1"/>
  <c r="AV97" i="1"/>
  <c r="AX97" i="1"/>
  <c r="BT80" i="1"/>
  <c r="BT97" i="1"/>
  <c r="BN97" i="1"/>
  <c r="BY97" i="1"/>
  <c r="BJ97" i="1"/>
  <c r="BG80" i="1"/>
  <c r="BH97" i="1"/>
  <c r="BS82" i="1"/>
  <c r="BS83" i="1"/>
  <c r="BJ94" i="1"/>
  <c r="BJ244" i="1"/>
  <c r="BJ246" i="1" s="1"/>
  <c r="BQ84" i="1"/>
  <c r="BQ296" i="1" s="1"/>
  <c r="BQ90" i="1"/>
  <c r="BQ285" i="1"/>
  <c r="AT90" i="1"/>
  <c r="AT285" i="1"/>
  <c r="AT84" i="1"/>
  <c r="AT296" i="1" s="1"/>
  <c r="BA285" i="1"/>
  <c r="BA84" i="1"/>
  <c r="BA296" i="1" s="1"/>
  <c r="BA86" i="1"/>
  <c r="BA90" i="1"/>
  <c r="AW90" i="1"/>
  <c r="AW285" i="1"/>
  <c r="AW84" i="1"/>
  <c r="AW296" i="1" s="1"/>
  <c r="BA85" i="1"/>
  <c r="CR180" i="1"/>
  <c r="CS74" i="1"/>
  <c r="BL86" i="1" l="1"/>
  <c r="BK90" i="1"/>
  <c r="BK84" i="1"/>
  <c r="BK296" i="1" s="1"/>
  <c r="AY285" i="1"/>
  <c r="AY84" i="1"/>
  <c r="AY296" i="1" s="1"/>
  <c r="AT85" i="1"/>
  <c r="AP285" i="1"/>
  <c r="AP90" i="1"/>
  <c r="AP84" i="1"/>
  <c r="AP296" i="1" s="1"/>
  <c r="AZ86" i="1"/>
  <c r="AY90" i="1"/>
  <c r="BU84" i="1"/>
  <c r="BU296" i="1" s="1"/>
  <c r="BU285" i="1"/>
  <c r="BU90" i="1"/>
  <c r="BK86" i="1"/>
  <c r="BK285" i="1"/>
  <c r="AS90" i="1"/>
  <c r="AS84" i="1"/>
  <c r="AS296" i="1" s="1"/>
  <c r="BV86" i="1"/>
  <c r="BU85" i="1"/>
  <c r="AS285" i="1"/>
  <c r="AT86" i="1"/>
  <c r="AW85" i="1"/>
  <c r="BP90" i="1"/>
  <c r="BP85" i="1"/>
  <c r="BP285" i="1"/>
  <c r="BP84" i="1"/>
  <c r="BP296" i="1" s="1"/>
  <c r="BI83" i="1"/>
  <c r="BI86" i="1" s="1"/>
  <c r="BI82" i="1"/>
  <c r="BM90" i="1"/>
  <c r="BM86" i="1"/>
  <c r="BM285" i="1"/>
  <c r="BM278" i="1"/>
  <c r="BQ85" i="1"/>
  <c r="BM84" i="1"/>
  <c r="BM296" i="1" s="1"/>
  <c r="BE84" i="1"/>
  <c r="BE296" i="1" s="1"/>
  <c r="BE90" i="1"/>
  <c r="BE285" i="1"/>
  <c r="BF86" i="1"/>
  <c r="BF94" i="1"/>
  <c r="BF244" i="1"/>
  <c r="BF246" i="1" s="1"/>
  <c r="BC83" i="1"/>
  <c r="BC82" i="1"/>
  <c r="BS85" i="1"/>
  <c r="BE85" i="1"/>
  <c r="BD90" i="1"/>
  <c r="BD285" i="1"/>
  <c r="BD84" i="1"/>
  <c r="BD296" i="1" s="1"/>
  <c r="BD85" i="1"/>
  <c r="BE86" i="1"/>
  <c r="BO285" i="1"/>
  <c r="BO84" i="1"/>
  <c r="BO296" i="1" s="1"/>
  <c r="BO90" i="1"/>
  <c r="BP86" i="1"/>
  <c r="BO85" i="1"/>
  <c r="AI83" i="1"/>
  <c r="AI82" i="1"/>
  <c r="AU84" i="1"/>
  <c r="AU296" i="1" s="1"/>
  <c r="AU285" i="1"/>
  <c r="AY85" i="1"/>
  <c r="AU90" i="1"/>
  <c r="AU278" i="1"/>
  <c r="AU86" i="1"/>
  <c r="AP86" i="1"/>
  <c r="AO90" i="1"/>
  <c r="AZ94" i="1"/>
  <c r="AZ244" i="1"/>
  <c r="AZ246" i="1" s="1"/>
  <c r="BR83" i="1"/>
  <c r="BR82" i="1"/>
  <c r="AO85" i="1"/>
  <c r="BH85" i="1"/>
  <c r="AO285" i="1"/>
  <c r="AS85" i="1"/>
  <c r="AO84" i="1"/>
  <c r="AO296" i="1" s="1"/>
  <c r="BW83" i="1"/>
  <c r="BW85" i="1" s="1"/>
  <c r="BW82" i="1"/>
  <c r="BN83" i="1"/>
  <c r="BN82" i="1"/>
  <c r="AQ83" i="1"/>
  <c r="AQ82" i="1"/>
  <c r="AR94" i="1"/>
  <c r="AR244" i="1"/>
  <c r="AR246" i="1" s="1"/>
  <c r="BT83" i="1"/>
  <c r="BT82" i="1"/>
  <c r="AV82" i="1"/>
  <c r="AV83" i="1"/>
  <c r="AN83" i="1"/>
  <c r="AN82" i="1"/>
  <c r="BH90" i="1"/>
  <c r="BL85" i="1"/>
  <c r="BH285" i="1"/>
  <c r="BH84" i="1"/>
  <c r="BH296" i="1" s="1"/>
  <c r="AX83" i="1"/>
  <c r="AX82" i="1"/>
  <c r="BV244" i="1"/>
  <c r="BV246" i="1" s="1"/>
  <c r="BV94" i="1"/>
  <c r="BG82" i="1"/>
  <c r="BG83" i="1"/>
  <c r="BB83" i="1"/>
  <c r="BB82" i="1"/>
  <c r="BS285" i="1"/>
  <c r="BS84" i="1"/>
  <c r="BS296" i="1" s="1"/>
  <c r="BS90" i="1"/>
  <c r="BQ244" i="1"/>
  <c r="BQ246" i="1" s="1"/>
  <c r="BQ161" i="1"/>
  <c r="BQ162" i="1" s="1"/>
  <c r="BQ94" i="1"/>
  <c r="AT244" i="1"/>
  <c r="AT246" i="1" s="1"/>
  <c r="AT94" i="1"/>
  <c r="AW244" i="1"/>
  <c r="AW246" i="1" s="1"/>
  <c r="AW161" i="1"/>
  <c r="AW162" i="1" s="1"/>
  <c r="AW94" i="1"/>
  <c r="BA94" i="1"/>
  <c r="BA244" i="1"/>
  <c r="BA246" i="1" s="1"/>
  <c r="BA161" i="1"/>
  <c r="BA162" i="1" s="1"/>
  <c r="CS245" i="1"/>
  <c r="CS174" i="1"/>
  <c r="CR254" i="1"/>
  <c r="CR252" i="1" s="1"/>
  <c r="AC167" i="1"/>
  <c r="AC170" i="1" s="1"/>
  <c r="AC300" i="1" s="1"/>
  <c r="BK94" i="1" l="1"/>
  <c r="BK244" i="1"/>
  <c r="BK246" i="1" s="1"/>
  <c r="BK161" i="1"/>
  <c r="BK162" i="1" s="1"/>
  <c r="AP244" i="1"/>
  <c r="AP246" i="1" s="1"/>
  <c r="AP94" i="1"/>
  <c r="BU161" i="1"/>
  <c r="BU162" i="1" s="1"/>
  <c r="BU94" i="1"/>
  <c r="BU244" i="1"/>
  <c r="BU246" i="1" s="1"/>
  <c r="BS86" i="1"/>
  <c r="BS278" i="1"/>
  <c r="AY244" i="1"/>
  <c r="AY246" i="1" s="1"/>
  <c r="AY161" i="1"/>
  <c r="AY162" i="1" s="1"/>
  <c r="AY94" i="1"/>
  <c r="AS94" i="1"/>
  <c r="AS161" i="1"/>
  <c r="AS162" i="1" s="1"/>
  <c r="AS244" i="1"/>
  <c r="AS246" i="1" s="1"/>
  <c r="BI85" i="1"/>
  <c r="BK278" i="1"/>
  <c r="BM94" i="1"/>
  <c r="BP94" i="1"/>
  <c r="BP244" i="1"/>
  <c r="BP246" i="1" s="1"/>
  <c r="BM85" i="1"/>
  <c r="BL278" i="1"/>
  <c r="BI90" i="1"/>
  <c r="BI285" i="1"/>
  <c r="BJ86" i="1"/>
  <c r="BI84" i="1"/>
  <c r="BI296" i="1" s="1"/>
  <c r="BM161" i="1"/>
  <c r="BM162" i="1" s="1"/>
  <c r="BM244" i="1"/>
  <c r="BM246" i="1" s="1"/>
  <c r="BE244" i="1"/>
  <c r="BE246" i="1" s="1"/>
  <c r="BE94" i="1"/>
  <c r="BE161" i="1"/>
  <c r="BE162" i="1" s="1"/>
  <c r="BF278" i="1"/>
  <c r="BD86" i="1"/>
  <c r="BC85" i="1"/>
  <c r="BC90" i="1"/>
  <c r="BC285" i="1"/>
  <c r="BC84" i="1"/>
  <c r="BC296" i="1" s="1"/>
  <c r="BD94" i="1"/>
  <c r="BD244" i="1"/>
  <c r="BD246" i="1" s="1"/>
  <c r="BO94" i="1"/>
  <c r="BO244" i="1"/>
  <c r="BO246" i="1" s="1"/>
  <c r="BO161" i="1"/>
  <c r="BO162" i="1" s="1"/>
  <c r="AI84" i="1"/>
  <c r="AI285" i="1"/>
  <c r="AJ86" i="1"/>
  <c r="AM85" i="1"/>
  <c r="AI90" i="1"/>
  <c r="AL278" i="1"/>
  <c r="AU94" i="1"/>
  <c r="AU244" i="1"/>
  <c r="AU246" i="1" s="1"/>
  <c r="AU161" i="1"/>
  <c r="AU162" i="1" s="1"/>
  <c r="AO244" i="1"/>
  <c r="AO246" i="1" s="1"/>
  <c r="AO161" i="1"/>
  <c r="AO162" i="1" s="1"/>
  <c r="AO94" i="1"/>
  <c r="BR84" i="1"/>
  <c r="BR296" i="1" s="1"/>
  <c r="BR285" i="1"/>
  <c r="BR90" i="1"/>
  <c r="BR258" i="1" s="1"/>
  <c r="BR256" i="1" s="1"/>
  <c r="BV85" i="1"/>
  <c r="BR86" i="1"/>
  <c r="BR278" i="1"/>
  <c r="AN84" i="1"/>
  <c r="AN296" i="1" s="1"/>
  <c r="AQ278" i="1"/>
  <c r="AO86" i="1"/>
  <c r="AN278" i="1"/>
  <c r="AN85" i="1"/>
  <c r="AP278" i="1"/>
  <c r="AR85" i="1"/>
  <c r="AO278" i="1"/>
  <c r="AN90" i="1"/>
  <c r="AN86" i="1"/>
  <c r="AN285" i="1"/>
  <c r="BX85" i="1"/>
  <c r="BT84" i="1"/>
  <c r="BT296" i="1" s="1"/>
  <c r="BT285" i="1"/>
  <c r="BT90" i="1"/>
  <c r="BU86" i="1"/>
  <c r="BT85" i="1"/>
  <c r="BW278" i="1"/>
  <c r="BV278" i="1"/>
  <c r="AZ85" i="1"/>
  <c r="AV84" i="1"/>
  <c r="AV296" i="1" s="1"/>
  <c r="AV285" i="1"/>
  <c r="AV90" i="1"/>
  <c r="AY278" i="1"/>
  <c r="AW278" i="1"/>
  <c r="AW86" i="1"/>
  <c r="AV85" i="1"/>
  <c r="AV86" i="1"/>
  <c r="AX278" i="1"/>
  <c r="AV278" i="1"/>
  <c r="AR86" i="1"/>
  <c r="AQ85" i="1"/>
  <c r="AQ285" i="1"/>
  <c r="AQ90" i="1"/>
  <c r="AQ84" i="1"/>
  <c r="AQ296" i="1" s="1"/>
  <c r="AQ86" i="1"/>
  <c r="AU85" i="1"/>
  <c r="AT278" i="1"/>
  <c r="AS278" i="1"/>
  <c r="AR278" i="1"/>
  <c r="BN285" i="1"/>
  <c r="BR85" i="1"/>
  <c r="BN90" i="1"/>
  <c r="BQ96" i="1" s="1"/>
  <c r="BN85" i="1"/>
  <c r="BN84" i="1"/>
  <c r="BN296" i="1" s="1"/>
  <c r="BO86" i="1"/>
  <c r="BN278" i="1"/>
  <c r="BQ278" i="1"/>
  <c r="BN86" i="1"/>
  <c r="BO278" i="1"/>
  <c r="BP278" i="1"/>
  <c r="BB84" i="1"/>
  <c r="BB296" i="1" s="1"/>
  <c r="BF85" i="1"/>
  <c r="BB285" i="1"/>
  <c r="BB90" i="1"/>
  <c r="BB258" i="1" s="1"/>
  <c r="BB256" i="1" s="1"/>
  <c r="BC86" i="1"/>
  <c r="BD278" i="1"/>
  <c r="BB278" i="1"/>
  <c r="BB86" i="1"/>
  <c r="BC278" i="1"/>
  <c r="BE278" i="1"/>
  <c r="BB85" i="1"/>
  <c r="AX90" i="1"/>
  <c r="AX285" i="1"/>
  <c r="AX84" i="1"/>
  <c r="AX296" i="1" s="1"/>
  <c r="AZ278" i="1"/>
  <c r="AX86" i="1"/>
  <c r="AY86" i="1"/>
  <c r="AX85" i="1"/>
  <c r="BA278" i="1"/>
  <c r="BH94" i="1"/>
  <c r="BH244" i="1"/>
  <c r="BH246" i="1" s="1"/>
  <c r="BT278" i="1"/>
  <c r="BT86" i="1"/>
  <c r="BK85" i="1"/>
  <c r="BG90" i="1"/>
  <c r="BH278" i="1"/>
  <c r="BG85" i="1"/>
  <c r="BG84" i="1"/>
  <c r="BG296" i="1" s="1"/>
  <c r="BH86" i="1"/>
  <c r="BG278" i="1"/>
  <c r="BG285" i="1"/>
  <c r="BJ278" i="1"/>
  <c r="BG86" i="1"/>
  <c r="BI278" i="1"/>
  <c r="BX278" i="1"/>
  <c r="BW285" i="1"/>
  <c r="BW86" i="1"/>
  <c r="BX86" i="1"/>
  <c r="BW90" i="1"/>
  <c r="X103" i="1"/>
  <c r="BY278" i="1"/>
  <c r="CA85" i="1"/>
  <c r="BW84" i="1"/>
  <c r="BW296" i="1" s="1"/>
  <c r="BZ278" i="1"/>
  <c r="BS244" i="1"/>
  <c r="BS246" i="1" s="1"/>
  <c r="BS94" i="1"/>
  <c r="BS161" i="1"/>
  <c r="BS162" i="1" s="1"/>
  <c r="BQ258" i="1"/>
  <c r="BQ256" i="1" s="1"/>
  <c r="BQ171" i="1"/>
  <c r="BQ97" i="1" s="1"/>
  <c r="AW171" i="1"/>
  <c r="AW97" i="1" s="1"/>
  <c r="AW258" i="1"/>
  <c r="AW256" i="1" s="1"/>
  <c r="BA258" i="1"/>
  <c r="BA256" i="1" s="1"/>
  <c r="BA171" i="1"/>
  <c r="BA97" i="1" s="1"/>
  <c r="CS176" i="1"/>
  <c r="AC257" i="1"/>
  <c r="CA277" i="1"/>
  <c r="CB277" i="1"/>
  <c r="BU277" i="1"/>
  <c r="BK96" i="1" l="1"/>
  <c r="BL258" i="1"/>
  <c r="BL256" i="1" s="1"/>
  <c r="BK258" i="1"/>
  <c r="BK256" i="1" s="1"/>
  <c r="BK171" i="1"/>
  <c r="BK97" i="1" s="1"/>
  <c r="BV258" i="1"/>
  <c r="BV256" i="1" s="1"/>
  <c r="BU258" i="1"/>
  <c r="BU256" i="1" s="1"/>
  <c r="BU171" i="1"/>
  <c r="BU97" i="1" s="1"/>
  <c r="AY258" i="1"/>
  <c r="AY256" i="1" s="1"/>
  <c r="AY171" i="1"/>
  <c r="AY97" i="1" s="1"/>
  <c r="AZ258" i="1"/>
  <c r="AZ256" i="1" s="1"/>
  <c r="AS258" i="1"/>
  <c r="AS256" i="1" s="1"/>
  <c r="AS171" i="1"/>
  <c r="AS97" i="1" s="1"/>
  <c r="AT258" i="1"/>
  <c r="AT256" i="1" s="1"/>
  <c r="AO96" i="1"/>
  <c r="BL96" i="1"/>
  <c r="BI94" i="1"/>
  <c r="BI244" i="1"/>
  <c r="BI246" i="1" s="1"/>
  <c r="BI161" i="1"/>
  <c r="BI162" i="1" s="1"/>
  <c r="BM96" i="1"/>
  <c r="BM258" i="1"/>
  <c r="BM256" i="1" s="1"/>
  <c r="BM171" i="1"/>
  <c r="BM97" i="1" s="1"/>
  <c r="AX258" i="1"/>
  <c r="AX256" i="1" s="1"/>
  <c r="BA96" i="1"/>
  <c r="BF258" i="1"/>
  <c r="BF256" i="1" s="1"/>
  <c r="BE171" i="1"/>
  <c r="BE97" i="1" s="1"/>
  <c r="BE258" i="1"/>
  <c r="BE256" i="1" s="1"/>
  <c r="S103" i="1"/>
  <c r="BF96" i="1"/>
  <c r="BC161" i="1"/>
  <c r="BC162" i="1" s="1"/>
  <c r="BC244" i="1"/>
  <c r="BC246" i="1" s="1"/>
  <c r="BC94" i="1"/>
  <c r="BO258" i="1"/>
  <c r="BO256" i="1" s="1"/>
  <c r="BO171" i="1"/>
  <c r="BO97" i="1" s="1"/>
  <c r="BP258" i="1"/>
  <c r="BP256" i="1" s="1"/>
  <c r="AI94" i="1"/>
  <c r="AL96" i="1"/>
  <c r="N103" i="1"/>
  <c r="AI258" i="1"/>
  <c r="AI256" i="1" s="1"/>
  <c r="AI244" i="1"/>
  <c r="AI246" i="1" s="1"/>
  <c r="AI250" i="1" s="1"/>
  <c r="AI264" i="1" s="1"/>
  <c r="AU258" i="1"/>
  <c r="AU256" i="1" s="1"/>
  <c r="AU171" i="1"/>
  <c r="AU97" i="1" s="1"/>
  <c r="AU96" i="1"/>
  <c r="AP258" i="1"/>
  <c r="AP256" i="1" s="1"/>
  <c r="AO171" i="1"/>
  <c r="AO97" i="1" s="1"/>
  <c r="AO258" i="1"/>
  <c r="AO256" i="1" s="1"/>
  <c r="AV258" i="1"/>
  <c r="AV256" i="1" s="1"/>
  <c r="AY96" i="1"/>
  <c r="BT96" i="1"/>
  <c r="BR94" i="1"/>
  <c r="BR244" i="1"/>
  <c r="BR246" i="1" s="1"/>
  <c r="BR96" i="1"/>
  <c r="V103" i="1"/>
  <c r="AW96" i="1"/>
  <c r="BV96" i="1"/>
  <c r="BO96" i="1"/>
  <c r="BN258" i="1"/>
  <c r="BN256" i="1" s="1"/>
  <c r="BU96" i="1"/>
  <c r="BX96" i="1"/>
  <c r="BW161" i="1"/>
  <c r="BW162" i="1" s="1"/>
  <c r="BY96" i="1"/>
  <c r="BW244" i="1"/>
  <c r="BW246" i="1" s="1"/>
  <c r="BW94" i="1"/>
  <c r="BZ96" i="1"/>
  <c r="BN94" i="1"/>
  <c r="BN244" i="1"/>
  <c r="BN246" i="1" s="1"/>
  <c r="BN96" i="1"/>
  <c r="U103" i="1"/>
  <c r="BP96" i="1"/>
  <c r="AV244" i="1"/>
  <c r="AV246" i="1" s="1"/>
  <c r="AV94" i="1"/>
  <c r="AV96" i="1"/>
  <c r="Q103" i="1"/>
  <c r="AX96" i="1"/>
  <c r="BT244" i="1"/>
  <c r="BT246" i="1" s="1"/>
  <c r="BT94" i="1"/>
  <c r="AX94" i="1"/>
  <c r="AX244" i="1"/>
  <c r="AX246" i="1" s="1"/>
  <c r="AZ96" i="1"/>
  <c r="BB94" i="1"/>
  <c r="BB244" i="1"/>
  <c r="BB246" i="1" s="1"/>
  <c r="BB96" i="1"/>
  <c r="R103" i="1"/>
  <c r="BD96" i="1"/>
  <c r="BE96" i="1"/>
  <c r="AQ161" i="1"/>
  <c r="AQ162" i="1" s="1"/>
  <c r="AQ244" i="1"/>
  <c r="AQ246" i="1" s="1"/>
  <c r="AQ94" i="1"/>
  <c r="AS96" i="1"/>
  <c r="AR96" i="1"/>
  <c r="AT96" i="1"/>
  <c r="P103" i="1"/>
  <c r="BG94" i="1"/>
  <c r="BG161" i="1"/>
  <c r="BG162" i="1" s="1"/>
  <c r="BJ96" i="1"/>
  <c r="BH96" i="1"/>
  <c r="BG244" i="1"/>
  <c r="BG246" i="1" s="1"/>
  <c r="T103" i="1"/>
  <c r="AN94" i="1"/>
  <c r="AP96" i="1"/>
  <c r="AN244" i="1"/>
  <c r="AN246" i="1" s="1"/>
  <c r="AN96" i="1"/>
  <c r="O103" i="1"/>
  <c r="AN258" i="1"/>
  <c r="AN256" i="1" s="1"/>
  <c r="BT258" i="1"/>
  <c r="BT256" i="1" s="1"/>
  <c r="BS171" i="1"/>
  <c r="BS97" i="1" s="1"/>
  <c r="BS258" i="1"/>
  <c r="BS256" i="1" s="1"/>
  <c r="BS96" i="1"/>
  <c r="CS180" i="1"/>
  <c r="CT74" i="1"/>
  <c r="AD166" i="1"/>
  <c r="W101" i="1"/>
  <c r="BI171" i="1" l="1"/>
  <c r="BI97" i="1" s="1"/>
  <c r="BI258" i="1"/>
  <c r="BI256" i="1" s="1"/>
  <c r="BI96" i="1"/>
  <c r="BJ258" i="1"/>
  <c r="BJ256" i="1" s="1"/>
  <c r="AI261" i="1"/>
  <c r="AI262" i="1" s="1"/>
  <c r="BC258" i="1"/>
  <c r="BC256" i="1" s="1"/>
  <c r="BC171" i="1"/>
  <c r="BC97" i="1" s="1"/>
  <c r="BC96" i="1"/>
  <c r="BD258" i="1"/>
  <c r="BD256" i="1" s="1"/>
  <c r="BG258" i="1"/>
  <c r="BG256" i="1" s="1"/>
  <c r="BG171" i="1"/>
  <c r="BG97" i="1" s="1"/>
  <c r="BG96" i="1"/>
  <c r="BH258" i="1"/>
  <c r="BH256" i="1" s="1"/>
  <c r="AQ171" i="1"/>
  <c r="AQ97" i="1" s="1"/>
  <c r="AQ258" i="1"/>
  <c r="AQ256" i="1" s="1"/>
  <c r="AR258" i="1"/>
  <c r="AR256" i="1" s="1"/>
  <c r="AQ96" i="1"/>
  <c r="BW258" i="1"/>
  <c r="BW256" i="1" s="1"/>
  <c r="BX258" i="1"/>
  <c r="BX256" i="1" s="1"/>
  <c r="BW171" i="1"/>
  <c r="BW97" i="1" s="1"/>
  <c r="BW96" i="1"/>
  <c r="AC74" i="1"/>
  <c r="CT245" i="1"/>
  <c r="CT174" i="1"/>
  <c r="CS254" i="1"/>
  <c r="CS252" i="1" s="1"/>
  <c r="W102" i="1"/>
  <c r="AC245" i="1" l="1"/>
  <c r="AC174" i="1"/>
  <c r="AC176" i="1" s="1"/>
  <c r="AC75" i="1" s="1"/>
  <c r="CT176" i="1"/>
  <c r="AD167" i="1"/>
  <c r="AD170" i="1" s="1"/>
  <c r="AD300" i="1" s="1"/>
  <c r="AR151" i="1"/>
  <c r="W103" i="1"/>
  <c r="CU74" i="1" l="1"/>
  <c r="CT180" i="1"/>
  <c r="AD257" i="1"/>
  <c r="AB180" i="1"/>
  <c r="CA278" i="1"/>
  <c r="CB278" i="1"/>
  <c r="W244" i="1"/>
  <c r="W246" i="1" s="1"/>
  <c r="BU278" i="1"/>
  <c r="CT254" i="1" l="1"/>
  <c r="CT252" i="1" s="1"/>
  <c r="CU245" i="1"/>
  <c r="CU174" i="1"/>
  <c r="AB254" i="1"/>
  <c r="AB252" i="1" s="1"/>
  <c r="AE166" i="1"/>
  <c r="CU176" i="1" l="1"/>
  <c r="CU180" i="1" l="1"/>
  <c r="CV74" i="1"/>
  <c r="AE167" i="1"/>
  <c r="AE170" i="1" s="1"/>
  <c r="AE300" i="1" s="1"/>
  <c r="CV245" i="1" l="1"/>
  <c r="CV174" i="1"/>
  <c r="CU254" i="1"/>
  <c r="CU252" i="1" s="1"/>
  <c r="AE257" i="1"/>
  <c r="AC180" i="1"/>
  <c r="W162" i="1"/>
  <c r="CV176" i="1" l="1"/>
  <c r="W96" i="1"/>
  <c r="AC254" i="1"/>
  <c r="AC252" i="1" s="1"/>
  <c r="X258" i="1"/>
  <c r="X256" i="1" s="1"/>
  <c r="W258" i="1"/>
  <c r="W256" i="1" s="1"/>
  <c r="W171" i="1"/>
  <c r="W97" i="1" s="1"/>
  <c r="W226" i="1"/>
  <c r="CW74" i="1" l="1"/>
  <c r="CV180" i="1"/>
  <c r="CV254" i="1" l="1"/>
  <c r="CV252" i="1" s="1"/>
  <c r="CW245" i="1"/>
  <c r="CW174" i="1"/>
  <c r="CW176" i="1" l="1"/>
  <c r="CW180" i="1" l="1"/>
  <c r="CX74" i="1"/>
  <c r="AD74" i="1" l="1"/>
  <c r="CX245" i="1"/>
  <c r="CX174" i="1"/>
  <c r="CW254" i="1"/>
  <c r="CW252" i="1" s="1"/>
  <c r="AD245" i="1" l="1"/>
  <c r="AD174" i="1"/>
  <c r="AD176" i="1" s="1"/>
  <c r="CX176" i="1"/>
  <c r="AD180" i="1" l="1"/>
  <c r="AD254" i="1" s="1"/>
  <c r="AD252" i="1" s="1"/>
  <c r="AD75" i="1"/>
  <c r="CX180" i="1"/>
  <c r="CY74" i="1"/>
  <c r="CY245" i="1" l="1"/>
  <c r="CY174" i="1"/>
  <c r="CX254" i="1"/>
  <c r="CX252" i="1" s="1"/>
  <c r="CY176" i="1" l="1"/>
  <c r="W231" i="1"/>
  <c r="CY180" i="1" l="1"/>
  <c r="CZ74" i="1"/>
  <c r="W234" i="1"/>
  <c r="W207" i="1"/>
  <c r="X248" i="1" s="1"/>
  <c r="CZ245" i="1" l="1"/>
  <c r="CZ174" i="1"/>
  <c r="CY254" i="1"/>
  <c r="CY252" i="1" s="1"/>
  <c r="W236" i="1"/>
  <c r="W235" i="1" s="1"/>
  <c r="W248" i="1"/>
  <c r="X247" i="1"/>
  <c r="X249" i="1" s="1"/>
  <c r="X250" i="1" s="1"/>
  <c r="X264" i="1" s="1"/>
  <c r="W230" i="1"/>
  <c r="CZ176" i="1" l="1"/>
  <c r="W233" i="1"/>
  <c r="W208" i="1"/>
  <c r="W247" i="1"/>
  <c r="W249" i="1" s="1"/>
  <c r="W250" i="1" s="1"/>
  <c r="CZ180" i="1" l="1"/>
  <c r="CZ254" i="1" s="1"/>
  <c r="CZ252" i="1" s="1"/>
  <c r="DA74" i="1"/>
  <c r="W232" i="1"/>
  <c r="W237" i="1"/>
  <c r="W261" i="1"/>
  <c r="W264" i="1"/>
  <c r="DA245" i="1" l="1"/>
  <c r="DA174" i="1"/>
  <c r="W240" i="1"/>
  <c r="W241" i="1" s="1"/>
  <c r="X240" i="1"/>
  <c r="X241" i="1" s="1"/>
  <c r="DA176" i="1" l="1"/>
  <c r="W212" i="1"/>
  <c r="X260" i="1" l="1"/>
  <c r="X261" i="1" s="1"/>
  <c r="X262" i="1" s="1"/>
  <c r="W297" i="1"/>
  <c r="W299" i="1"/>
  <c r="W295" i="1"/>
  <c r="DA180" i="1"/>
  <c r="DA254" i="1" s="1"/>
  <c r="DA252" i="1" s="1"/>
  <c r="DB74" i="1"/>
  <c r="W219" i="1"/>
  <c r="W151" i="1" s="1"/>
  <c r="W216" i="1"/>
  <c r="W262" i="1"/>
  <c r="AE74" i="1" l="1"/>
  <c r="AE245" i="1" s="1"/>
  <c r="DB245" i="1"/>
  <c r="DB174" i="1"/>
  <c r="W217" i="1"/>
  <c r="DB176" i="1" l="1"/>
  <c r="DB180" i="1" s="1"/>
  <c r="DB254" i="1" s="1"/>
  <c r="DB252" i="1" s="1"/>
  <c r="AE174" i="1"/>
  <c r="AE176" i="1" s="1"/>
  <c r="C111" i="2"/>
  <c r="C113" i="2"/>
  <c r="C112" i="2"/>
  <c r="AE180" i="1" l="1"/>
  <c r="AE254" i="1" s="1"/>
  <c r="AE252" i="1" s="1"/>
  <c r="AE75" i="1"/>
  <c r="B115" i="1"/>
  <c r="B116" i="1"/>
  <c r="AK230" i="1" l="1"/>
  <c r="AK186" i="1" s="1"/>
  <c r="AM186" i="1" l="1"/>
  <c r="AO186" i="1" l="1"/>
  <c r="AQ186" i="1" l="1"/>
  <c r="AS186" i="1" l="1"/>
  <c r="AU186" i="1" l="1"/>
  <c r="AW186" i="1" l="1"/>
  <c r="AY186" i="1" l="1"/>
  <c r="BA186" i="1" l="1"/>
  <c r="BC186" i="1" l="1"/>
  <c r="BE186" i="1" l="1"/>
  <c r="BG186" i="1" l="1"/>
  <c r="BI186" i="1" l="1"/>
  <c r="BK186" i="1" l="1"/>
  <c r="BM186" i="1" l="1"/>
  <c r="BO186" i="1" l="1"/>
  <c r="BQ186" i="1" l="1"/>
  <c r="BS186" i="1" l="1"/>
  <c r="BU186" i="1" l="1"/>
  <c r="BW186" i="1" l="1"/>
  <c r="BY186" i="1" l="1"/>
  <c r="AK185" i="1" l="1"/>
  <c r="AK195" i="1" s="1"/>
  <c r="AM185" i="1" l="1"/>
  <c r="AM195" i="1" s="1"/>
  <c r="AO185" i="1" l="1"/>
  <c r="AO195" i="1" s="1"/>
  <c r="AQ185" i="1" l="1"/>
  <c r="AQ195" i="1" s="1"/>
  <c r="AS185" i="1" l="1"/>
  <c r="AS195" i="1" s="1"/>
  <c r="AU185" i="1" l="1"/>
  <c r="AU195" i="1" s="1"/>
  <c r="AW185" i="1" l="1"/>
  <c r="AW195" i="1" s="1"/>
  <c r="AY185" i="1" l="1"/>
  <c r="AY195" i="1" s="1"/>
  <c r="BA185" i="1" l="1"/>
  <c r="BA195" i="1" s="1"/>
  <c r="BC185" i="1" l="1"/>
  <c r="BC195" i="1" s="1"/>
  <c r="BE185" i="1" l="1"/>
  <c r="BE195" i="1" s="1"/>
  <c r="BG185" i="1" l="1"/>
  <c r="BG195" i="1" s="1"/>
  <c r="BI185" i="1" l="1"/>
  <c r="BI195" i="1" s="1"/>
  <c r="BK185" i="1" l="1"/>
  <c r="BK195" i="1" s="1"/>
  <c r="BM185" i="1" l="1"/>
  <c r="BM195" i="1" s="1"/>
  <c r="BO185" i="1" l="1"/>
  <c r="BO195" i="1" s="1"/>
  <c r="BQ185" i="1" l="1"/>
  <c r="BQ195" i="1" s="1"/>
  <c r="BS185" i="1" l="1"/>
  <c r="BS195" i="1" s="1"/>
  <c r="BU185" i="1" l="1"/>
  <c r="BU195" i="1" s="1"/>
  <c r="BW185" i="1" l="1"/>
  <c r="BW195" i="1" s="1"/>
  <c r="BY185" i="1" l="1"/>
  <c r="BY195" i="1" s="1"/>
  <c r="AK234" i="1" l="1"/>
  <c r="AK196" i="1" s="1"/>
  <c r="AK207" i="1" s="1"/>
  <c r="AK236" i="1" l="1"/>
  <c r="AL248" i="1"/>
  <c r="AK248" i="1"/>
  <c r="AM196" i="1"/>
  <c r="AM207" i="1" s="1"/>
  <c r="AN248" i="1" l="1"/>
  <c r="AM236" i="1"/>
  <c r="AM235" i="1" s="1"/>
  <c r="AM248" i="1"/>
  <c r="AJ235" i="1"/>
  <c r="AK235" i="1"/>
  <c r="AO196" i="1"/>
  <c r="AO207" i="1" s="1"/>
  <c r="AO236" i="1" l="1"/>
  <c r="AO235" i="1" s="1"/>
  <c r="AP248" i="1"/>
  <c r="AO248" i="1"/>
  <c r="AQ196" i="1" l="1"/>
  <c r="AQ207" i="1" s="1"/>
  <c r="AQ236" i="1" l="1"/>
  <c r="AQ235" i="1" s="1"/>
  <c r="AR248" i="1"/>
  <c r="AQ248" i="1"/>
  <c r="AS196" i="1" l="1"/>
  <c r="AS207" i="1" s="1"/>
  <c r="AS236" i="1" l="1"/>
  <c r="AS235" i="1" s="1"/>
  <c r="AT248" i="1"/>
  <c r="AS248" i="1"/>
  <c r="AU196" i="1" l="1"/>
  <c r="AU207" i="1" s="1"/>
  <c r="AU236" i="1" l="1"/>
  <c r="AU235" i="1" s="1"/>
  <c r="AV248" i="1"/>
  <c r="AU248" i="1"/>
  <c r="AW196" i="1" l="1"/>
  <c r="AW207" i="1" s="1"/>
  <c r="AW236" i="1" l="1"/>
  <c r="AX248" i="1"/>
  <c r="AW248" i="1"/>
  <c r="AW235" i="1" l="1"/>
  <c r="AY196" i="1"/>
  <c r="AY207" i="1" s="1"/>
  <c r="AY236" i="1" l="1"/>
  <c r="AY235" i="1" s="1"/>
  <c r="AZ248" i="1"/>
  <c r="AY248" i="1"/>
  <c r="BA196" i="1" l="1"/>
  <c r="BA207" i="1" s="1"/>
  <c r="BB248" i="1" l="1"/>
  <c r="BA236" i="1"/>
  <c r="BA235" i="1" s="1"/>
  <c r="BA248" i="1"/>
  <c r="BC196" i="1" l="1"/>
  <c r="BC207" i="1" s="1"/>
  <c r="BC236" i="1" l="1"/>
  <c r="BC235" i="1" s="1"/>
  <c r="BD248" i="1"/>
  <c r="BC248" i="1"/>
  <c r="BE196" i="1" l="1"/>
  <c r="BE207" i="1" s="1"/>
  <c r="BE236" i="1" l="1"/>
  <c r="BE235" i="1" s="1"/>
  <c r="BF248" i="1"/>
  <c r="BE248" i="1"/>
  <c r="BG196" i="1" l="1"/>
  <c r="BG207" i="1" s="1"/>
  <c r="BG236" i="1" l="1"/>
  <c r="BH248" i="1"/>
  <c r="BG248" i="1"/>
  <c r="BG235" i="1" l="1"/>
  <c r="BI196" i="1"/>
  <c r="BI207" i="1" s="1"/>
  <c r="BI236" i="1" l="1"/>
  <c r="BI235" i="1" s="1"/>
  <c r="BJ248" i="1"/>
  <c r="BI248" i="1"/>
  <c r="BK196" i="1" l="1"/>
  <c r="BK207" i="1" s="1"/>
  <c r="BL248" i="1" l="1"/>
  <c r="BK236" i="1"/>
  <c r="BK235" i="1" s="1"/>
  <c r="BK248" i="1"/>
  <c r="BM196" i="1" l="1"/>
  <c r="BM207" i="1" s="1"/>
  <c r="BM236" i="1" l="1"/>
  <c r="BM235" i="1" s="1"/>
  <c r="BN248" i="1"/>
  <c r="BM248" i="1"/>
  <c r="BO196" i="1" l="1"/>
  <c r="BO207" i="1" s="1"/>
  <c r="BO236" i="1" l="1"/>
  <c r="BO235" i="1" s="1"/>
  <c r="BP248" i="1"/>
  <c r="BO248" i="1"/>
  <c r="BQ196" i="1" l="1"/>
  <c r="BQ207" i="1" s="1"/>
  <c r="BQ236" i="1" l="1"/>
  <c r="BQ235" i="1" s="1"/>
  <c r="BR248" i="1"/>
  <c r="BQ248" i="1"/>
  <c r="BS196" i="1" l="1"/>
  <c r="BS207" i="1" s="1"/>
  <c r="BS236" i="1" l="1"/>
  <c r="BS235" i="1" s="1"/>
  <c r="BT248" i="1"/>
  <c r="BS248" i="1"/>
  <c r="BU196" i="1" l="1"/>
  <c r="BU207" i="1" s="1"/>
  <c r="BU236" i="1" l="1"/>
  <c r="BU235" i="1" s="1"/>
  <c r="BV248" i="1"/>
  <c r="BU248" i="1"/>
  <c r="BW196" i="1" l="1"/>
  <c r="BW207" i="1" s="1"/>
  <c r="BW236" i="1" l="1"/>
  <c r="BW235" i="1" s="1"/>
  <c r="BX248" i="1"/>
  <c r="BW248" i="1"/>
  <c r="BY196" i="1" l="1"/>
  <c r="BY207" i="1" s="1"/>
  <c r="BZ248" i="1" l="1"/>
  <c r="BY236" i="1"/>
  <c r="BY235" i="1" s="1"/>
  <c r="BY248" i="1"/>
  <c r="CC185" i="1" l="1"/>
  <c r="CC186" i="1"/>
  <c r="CA186" i="1"/>
  <c r="CA196" i="1"/>
  <c r="CA207" i="1" s="1"/>
  <c r="CA185" i="1"/>
  <c r="CA195" i="1" l="1"/>
  <c r="CC195" i="1"/>
  <c r="CB248" i="1"/>
  <c r="CA236" i="1"/>
  <c r="CA235" i="1" s="1"/>
  <c r="CA248" i="1"/>
  <c r="CC196" i="1"/>
  <c r="CC207" i="1" s="1"/>
  <c r="CC236" i="1" l="1"/>
  <c r="CC235" i="1" s="1"/>
  <c r="CD248" i="1"/>
  <c r="CC248" i="1"/>
  <c r="CI185" i="1" l="1"/>
  <c r="CI196" i="1"/>
  <c r="CI207" i="1" s="1"/>
  <c r="CI186" i="1"/>
  <c r="CJ248" i="1" l="1"/>
  <c r="CI248" i="1"/>
  <c r="CJ219" i="1" l="1"/>
  <c r="CJ151" i="1" l="1"/>
  <c r="CK79" i="1"/>
  <c r="CK282" i="1" l="1"/>
  <c r="CK304" i="1"/>
  <c r="CN43" i="1"/>
  <c r="CN304" i="1"/>
  <c r="CM43" i="1"/>
  <c r="CM304" i="1"/>
  <c r="CN282" i="1"/>
  <c r="CM282" i="1"/>
  <c r="CM140" i="1"/>
  <c r="CN140" i="1"/>
  <c r="CN44" i="1" l="1"/>
  <c r="CN45" i="1"/>
  <c r="CM44" i="1"/>
  <c r="CM45" i="1"/>
  <c r="CQ304" i="1"/>
  <c r="CN68" i="1"/>
  <c r="CN67" i="1" s="1"/>
  <c r="CR304" i="1"/>
  <c r="CN185" i="1"/>
  <c r="CN49" i="1"/>
  <c r="CN186" i="1"/>
  <c r="CN196" i="1"/>
  <c r="CM68" i="1"/>
  <c r="CM67" i="1" s="1"/>
  <c r="CM196" i="1"/>
  <c r="CN205" i="1"/>
  <c r="CM185" i="1"/>
  <c r="CM49" i="1"/>
  <c r="CM48" i="1" s="1"/>
  <c r="CM205" i="1"/>
  <c r="CM186" i="1"/>
  <c r="CK186" i="1"/>
  <c r="CK196" i="1"/>
  <c r="CK185" i="1"/>
  <c r="CM276" i="1"/>
  <c r="CK205" i="1"/>
  <c r="CK276" i="1"/>
  <c r="CN276" i="1"/>
  <c r="CO43" i="1" l="1"/>
  <c r="CO276" i="1" s="1"/>
  <c r="CO8" i="1"/>
  <c r="CS8" i="1"/>
  <c r="CM207" i="1"/>
  <c r="CK207" i="1"/>
  <c r="CN48" i="1"/>
  <c r="CN51" i="1"/>
  <c r="CN70" i="1"/>
  <c r="CN207" i="1"/>
  <c r="CR43" i="1"/>
  <c r="CM51" i="1"/>
  <c r="CR282" i="1"/>
  <c r="CQ43" i="1"/>
  <c r="CQ282" i="1"/>
  <c r="CM70" i="1"/>
  <c r="CR140" i="1"/>
  <c r="CP304" i="1"/>
  <c r="CN52" i="1"/>
  <c r="CO140" i="1"/>
  <c r="CO304" i="1"/>
  <c r="CO282" i="1"/>
  <c r="CM52" i="1"/>
  <c r="CP282" i="1"/>
  <c r="CP43" i="1"/>
  <c r="CQ140" i="1"/>
  <c r="AB41" i="1"/>
  <c r="AB304" i="1" s="1"/>
  <c r="CP140" i="1"/>
  <c r="CK248" i="1" l="1"/>
  <c r="CL248" i="1"/>
  <c r="CO186" i="1"/>
  <c r="CO49" i="1"/>
  <c r="CO205" i="1"/>
  <c r="CO196" i="1"/>
  <c r="CO68" i="1"/>
  <c r="CO185" i="1"/>
  <c r="CP45" i="1"/>
  <c r="CO44" i="1"/>
  <c r="CO45" i="1"/>
  <c r="CR44" i="1"/>
  <c r="CR45" i="1"/>
  <c r="CQ44" i="1"/>
  <c r="CQ45" i="1"/>
  <c r="CP44" i="1"/>
  <c r="CN301" i="1"/>
  <c r="CN302" i="1" s="1"/>
  <c r="CN248" i="1"/>
  <c r="CN71" i="1"/>
  <c r="CN283" i="1"/>
  <c r="CN284" i="1" s="1"/>
  <c r="CN72" i="1"/>
  <c r="CN76" i="1"/>
  <c r="CR205" i="1"/>
  <c r="CR49" i="1"/>
  <c r="CR186" i="1"/>
  <c r="CR185" i="1"/>
  <c r="CR68" i="1"/>
  <c r="CR67" i="1" s="1"/>
  <c r="CR196" i="1"/>
  <c r="CQ68" i="1"/>
  <c r="CQ67" i="1" s="1"/>
  <c r="CQ185" i="1"/>
  <c r="CQ205" i="1"/>
  <c r="CQ196" i="1"/>
  <c r="CQ186" i="1"/>
  <c r="CN73" i="1"/>
  <c r="CM72" i="1"/>
  <c r="CM283" i="1"/>
  <c r="CM284" i="1" s="1"/>
  <c r="CM71" i="1"/>
  <c r="CM76" i="1"/>
  <c r="CQ49" i="1"/>
  <c r="CK301" i="1"/>
  <c r="CK302" i="1" s="1"/>
  <c r="CS140" i="1"/>
  <c r="CS304" i="1"/>
  <c r="CM301" i="1"/>
  <c r="CM302" i="1" s="1"/>
  <c r="CK283" i="1"/>
  <c r="CK284" i="1" s="1"/>
  <c r="CK277" i="1"/>
  <c r="CN277" i="1"/>
  <c r="CR276" i="1"/>
  <c r="CP276" i="1"/>
  <c r="AB43" i="1"/>
  <c r="CS43" i="1"/>
  <c r="CS282" i="1"/>
  <c r="CM154" i="1"/>
  <c r="CN154" i="1"/>
  <c r="CM248" i="1"/>
  <c r="CP185" i="1"/>
  <c r="AB185" i="1" s="1"/>
  <c r="AB231" i="1" s="1"/>
  <c r="CP186" i="1"/>
  <c r="CP205" i="1"/>
  <c r="AB205" i="1" s="1"/>
  <c r="CP49" i="1"/>
  <c r="CP48" i="1" s="1"/>
  <c r="CP196" i="1"/>
  <c r="AB196" i="1" s="1"/>
  <c r="AB234" i="1" s="1"/>
  <c r="CP68" i="1"/>
  <c r="CP67" i="1" s="1"/>
  <c r="CT304" i="1"/>
  <c r="CQ276" i="1"/>
  <c r="CM277" i="1"/>
  <c r="CM73" i="1"/>
  <c r="CO207" i="1" l="1"/>
  <c r="CS45" i="1"/>
  <c r="CS44" i="1"/>
  <c r="CO52" i="1"/>
  <c r="CO51" i="1"/>
  <c r="CO48" i="1"/>
  <c r="AB48" i="1" s="1"/>
  <c r="AB49" i="1" s="1"/>
  <c r="CO67" i="1"/>
  <c r="CO70" i="1"/>
  <c r="CU304" i="1"/>
  <c r="CU43" i="1"/>
  <c r="CU282" i="1"/>
  <c r="CS276" i="1"/>
  <c r="CQ207" i="1"/>
  <c r="CR207" i="1"/>
  <c r="CR51" i="1"/>
  <c r="CR52" i="1"/>
  <c r="CR70" i="1"/>
  <c r="CR48" i="1"/>
  <c r="CV304" i="1"/>
  <c r="CV282" i="1"/>
  <c r="CV43" i="1"/>
  <c r="CQ48" i="1"/>
  <c r="CQ51" i="1"/>
  <c r="CQ70" i="1"/>
  <c r="AB140" i="1"/>
  <c r="AB239" i="1"/>
  <c r="CQ52" i="1"/>
  <c r="AC41" i="1"/>
  <c r="AC304" i="1" s="1"/>
  <c r="CV140" i="1"/>
  <c r="AB44" i="1"/>
  <c r="AB100" i="1"/>
  <c r="AB186" i="1"/>
  <c r="CS186" i="1"/>
  <c r="CS49" i="1"/>
  <c r="CS48" i="1" s="1"/>
  <c r="CS205" i="1"/>
  <c r="CS185" i="1"/>
  <c r="CS196" i="1"/>
  <c r="CS68" i="1"/>
  <c r="CS67" i="1" s="1"/>
  <c r="CT140" i="1"/>
  <c r="CP51" i="1"/>
  <c r="CP70" i="1"/>
  <c r="CP52" i="1"/>
  <c r="CT282" i="1"/>
  <c r="CT43" i="1"/>
  <c r="CT45" i="1" s="1"/>
  <c r="AB207" i="1"/>
  <c r="CP207" i="1"/>
  <c r="CU140" i="1"/>
  <c r="CO248" i="1" l="1"/>
  <c r="CO301" i="1"/>
  <c r="CO302" i="1" s="1"/>
  <c r="CO154" i="1"/>
  <c r="CO277" i="1"/>
  <c r="CO72" i="1"/>
  <c r="CO283" i="1"/>
  <c r="CO284" i="1" s="1"/>
  <c r="CO76" i="1"/>
  <c r="CO73" i="1"/>
  <c r="CO71" i="1"/>
  <c r="CU49" i="1"/>
  <c r="CV45" i="1"/>
  <c r="CU44" i="1"/>
  <c r="CV44" i="1"/>
  <c r="CU45" i="1"/>
  <c r="CT44" i="1"/>
  <c r="CW304" i="1"/>
  <c r="CW8" i="1"/>
  <c r="CU186" i="1"/>
  <c r="CU68" i="1"/>
  <c r="CU67" i="1" s="1"/>
  <c r="CY304" i="1"/>
  <c r="CU205" i="1"/>
  <c r="CU185" i="1"/>
  <c r="CU196" i="1"/>
  <c r="CQ248" i="1"/>
  <c r="CV186" i="1"/>
  <c r="CV49" i="1"/>
  <c r="CV51" i="1" s="1"/>
  <c r="CV205" i="1"/>
  <c r="CR248" i="1"/>
  <c r="CR283" i="1"/>
  <c r="CR284" i="1" s="1"/>
  <c r="CR71" i="1"/>
  <c r="CR76" i="1"/>
  <c r="CR72" i="1"/>
  <c r="CV185" i="1"/>
  <c r="CV68" i="1"/>
  <c r="CV67" i="1" s="1"/>
  <c r="CV196" i="1"/>
  <c r="CQ76" i="1"/>
  <c r="CQ71" i="1"/>
  <c r="CQ72" i="1"/>
  <c r="CR73" i="1"/>
  <c r="CR301" i="1"/>
  <c r="CR302" i="1" s="1"/>
  <c r="CQ283" i="1"/>
  <c r="CQ284" i="1" s="1"/>
  <c r="AB51" i="1"/>
  <c r="CP154" i="1"/>
  <c r="CP301" i="1"/>
  <c r="CP302" i="1" s="1"/>
  <c r="CQ301" i="1"/>
  <c r="CQ302" i="1" s="1"/>
  <c r="CS207" i="1"/>
  <c r="CS248" i="1" s="1"/>
  <c r="CV276" i="1"/>
  <c r="CP248" i="1"/>
  <c r="CP283" i="1"/>
  <c r="CP284" i="1" s="1"/>
  <c r="CP72" i="1"/>
  <c r="CP73" i="1"/>
  <c r="CP71" i="1"/>
  <c r="CP76" i="1"/>
  <c r="CT276" i="1"/>
  <c r="CP277" i="1"/>
  <c r="CU276" i="1"/>
  <c r="CR277" i="1"/>
  <c r="CQ277" i="1"/>
  <c r="CS70" i="1"/>
  <c r="CS301" i="1" s="1"/>
  <c r="CS302" i="1" s="1"/>
  <c r="CS51" i="1"/>
  <c r="CS52" i="1"/>
  <c r="AC43" i="1"/>
  <c r="CW282" i="1"/>
  <c r="CW43" i="1"/>
  <c r="CW45" i="1" s="1"/>
  <c r="CQ154" i="1"/>
  <c r="CW140" i="1"/>
  <c r="CT186" i="1"/>
  <c r="CT196" i="1"/>
  <c r="AC196" i="1" s="1"/>
  <c r="AC234" i="1" s="1"/>
  <c r="CT49" i="1"/>
  <c r="CT48" i="1" s="1"/>
  <c r="AC48" i="1" s="1"/>
  <c r="CT185" i="1"/>
  <c r="AC185" i="1" s="1"/>
  <c r="AC231" i="1" s="1"/>
  <c r="CT205" i="1"/>
  <c r="AC205" i="1" s="1"/>
  <c r="CT68" i="1"/>
  <c r="CT67" i="1" s="1"/>
  <c r="AB101" i="1"/>
  <c r="AB50" i="1"/>
  <c r="CQ73" i="1"/>
  <c r="AB236" i="1"/>
  <c r="AB235" i="1" s="1"/>
  <c r="AB248" i="1"/>
  <c r="CR154" i="1"/>
  <c r="AB230" i="1"/>
  <c r="CU48" i="1" l="1"/>
  <c r="CU51" i="1"/>
  <c r="CW44" i="1"/>
  <c r="CU70" i="1"/>
  <c r="CU283" i="1" s="1"/>
  <c r="CU284" i="1" s="1"/>
  <c r="CY282" i="1"/>
  <c r="CY43" i="1"/>
  <c r="CU207" i="1"/>
  <c r="CW276" i="1"/>
  <c r="CV48" i="1"/>
  <c r="CV52" i="1"/>
  <c r="CV207" i="1"/>
  <c r="CV70" i="1"/>
  <c r="CZ304" i="1"/>
  <c r="CZ282" i="1"/>
  <c r="CZ43" i="1"/>
  <c r="CX140" i="1"/>
  <c r="CX304" i="1"/>
  <c r="AC140" i="1"/>
  <c r="AC239" i="1"/>
  <c r="AC186" i="1"/>
  <c r="CY140" i="1"/>
  <c r="CS73" i="1"/>
  <c r="CS71" i="1"/>
  <c r="CS76" i="1"/>
  <c r="CS283" i="1"/>
  <c r="CS284" i="1" s="1"/>
  <c r="CS72" i="1"/>
  <c r="CW49" i="1"/>
  <c r="CW48" i="1" s="1"/>
  <c r="CW205" i="1"/>
  <c r="CW186" i="1"/>
  <c r="CW185" i="1"/>
  <c r="CW196" i="1"/>
  <c r="CW68" i="1"/>
  <c r="CW67" i="1" s="1"/>
  <c r="CT207" i="1"/>
  <c r="AC207" i="1"/>
  <c r="CS154" i="1"/>
  <c r="CS277" i="1"/>
  <c r="CT52" i="1"/>
  <c r="CT51" i="1"/>
  <c r="CT70" i="1"/>
  <c r="AC44" i="1"/>
  <c r="AC49" i="1"/>
  <c r="AC100" i="1"/>
  <c r="CX282" i="1"/>
  <c r="CX43" i="1"/>
  <c r="CX45" i="1" s="1"/>
  <c r="CZ140" i="1"/>
  <c r="CU52" i="1"/>
  <c r="AD41" i="1"/>
  <c r="AD304" i="1" s="1"/>
  <c r="CU76" i="1" l="1"/>
  <c r="CU72" i="1"/>
  <c r="CY185" i="1"/>
  <c r="CY196" i="1"/>
  <c r="CY186" i="1"/>
  <c r="CZ45" i="1"/>
  <c r="CY44" i="1"/>
  <c r="CZ196" i="1"/>
  <c r="CZ44" i="1"/>
  <c r="CY45" i="1"/>
  <c r="CX44" i="1"/>
  <c r="DA304" i="1"/>
  <c r="DA8" i="1"/>
  <c r="CU71" i="1"/>
  <c r="CY68" i="1"/>
  <c r="CY67" i="1" s="1"/>
  <c r="CY49" i="1"/>
  <c r="CY48" i="1" s="1"/>
  <c r="CY205" i="1"/>
  <c r="CZ276" i="1"/>
  <c r="CV301" i="1"/>
  <c r="CV302" i="1" s="1"/>
  <c r="CV76" i="1"/>
  <c r="CV283" i="1"/>
  <c r="CV284" i="1" s="1"/>
  <c r="CV71" i="1"/>
  <c r="CV73" i="1"/>
  <c r="CV72" i="1"/>
  <c r="CZ68" i="1"/>
  <c r="CZ67" i="1" s="1"/>
  <c r="CZ186" i="1"/>
  <c r="CZ205" i="1"/>
  <c r="CZ185" i="1"/>
  <c r="CZ49" i="1"/>
  <c r="CV248" i="1"/>
  <c r="AC51" i="1"/>
  <c r="CU154" i="1"/>
  <c r="CT301" i="1"/>
  <c r="CT302" i="1" s="1"/>
  <c r="CU301" i="1"/>
  <c r="CU302" i="1" s="1"/>
  <c r="CW207" i="1"/>
  <c r="CW248" i="1" s="1"/>
  <c r="CX276" i="1"/>
  <c r="CY276" i="1"/>
  <c r="CU248" i="1"/>
  <c r="CT248" i="1"/>
  <c r="CV277" i="1"/>
  <c r="AC101" i="1"/>
  <c r="AC50" i="1"/>
  <c r="CT277" i="1"/>
  <c r="AC230" i="1"/>
  <c r="DA282" i="1"/>
  <c r="DA43" i="1"/>
  <c r="CX186" i="1"/>
  <c r="CX185" i="1"/>
  <c r="AD185" i="1" s="1"/>
  <c r="AD231" i="1" s="1"/>
  <c r="CX49" i="1"/>
  <c r="CX196" i="1"/>
  <c r="AD196" i="1" s="1"/>
  <c r="AD234" i="1" s="1"/>
  <c r="CX205" i="1"/>
  <c r="AD205" i="1" s="1"/>
  <c r="CX68" i="1"/>
  <c r="CX67" i="1" s="1"/>
  <c r="CT76" i="1"/>
  <c r="CT72" i="1"/>
  <c r="CT71" i="1"/>
  <c r="CT283" i="1"/>
  <c r="CT284" i="1" s="1"/>
  <c r="CT73" i="1"/>
  <c r="CW52" i="1"/>
  <c r="CW51" i="1"/>
  <c r="CW70" i="1"/>
  <c r="CU277" i="1"/>
  <c r="CU73" i="1"/>
  <c r="AD43" i="1"/>
  <c r="DA140" i="1"/>
  <c r="AC236" i="1"/>
  <c r="AC235" i="1" s="1"/>
  <c r="AC248" i="1"/>
  <c r="CT154" i="1"/>
  <c r="CV154" i="1"/>
  <c r="CZ207" i="1" l="1"/>
  <c r="CY207" i="1"/>
  <c r="DA276" i="1"/>
  <c r="DA45" i="1"/>
  <c r="DA44" i="1"/>
  <c r="CY51" i="1"/>
  <c r="CY52" i="1"/>
  <c r="CY70" i="1"/>
  <c r="CY71" i="1" s="1"/>
  <c r="CZ48" i="1"/>
  <c r="CZ51" i="1"/>
  <c r="CZ70" i="1"/>
  <c r="CZ52" i="1"/>
  <c r="CW277" i="1"/>
  <c r="CW301" i="1"/>
  <c r="CW302" i="1" s="1"/>
  <c r="DB140" i="1"/>
  <c r="DB304" i="1"/>
  <c r="AD140" i="1"/>
  <c r="AD239" i="1"/>
  <c r="AD207" i="1"/>
  <c r="CX207" i="1"/>
  <c r="DA205" i="1"/>
  <c r="DA196" i="1"/>
  <c r="DA185" i="1"/>
  <c r="DA49" i="1"/>
  <c r="DA186" i="1"/>
  <c r="DA68" i="1"/>
  <c r="DA67" i="1" s="1"/>
  <c r="CX52" i="1"/>
  <c r="CX70" i="1"/>
  <c r="CX51" i="1"/>
  <c r="DB43" i="1"/>
  <c r="DB282" i="1"/>
  <c r="AD186" i="1"/>
  <c r="AD100" i="1"/>
  <c r="AD44" i="1"/>
  <c r="CW76" i="1"/>
  <c r="CW72" i="1"/>
  <c r="CW283" i="1"/>
  <c r="CW284" i="1" s="1"/>
  <c r="CW73" i="1"/>
  <c r="CW71" i="1"/>
  <c r="CW154" i="1"/>
  <c r="CX48" i="1"/>
  <c r="AD48" i="1" s="1"/>
  <c r="AD49" i="1" s="1"/>
  <c r="AE41" i="1"/>
  <c r="AE304" i="1" s="1"/>
  <c r="CZ248" i="1" l="1"/>
  <c r="DB276" i="1"/>
  <c r="DB45" i="1"/>
  <c r="DB44" i="1"/>
  <c r="CY72" i="1"/>
  <c r="CY76" i="1"/>
  <c r="CY301" i="1"/>
  <c r="CY302" i="1" s="1"/>
  <c r="CY283" i="1"/>
  <c r="CY284" i="1" s="1"/>
  <c r="CZ301" i="1"/>
  <c r="CZ302" i="1" s="1"/>
  <c r="CZ71" i="1"/>
  <c r="CZ283" i="1"/>
  <c r="CZ284" i="1" s="1"/>
  <c r="CZ73" i="1"/>
  <c r="CZ76" i="1"/>
  <c r="CZ72" i="1"/>
  <c r="AD51" i="1"/>
  <c r="CZ154" i="1"/>
  <c r="CX301" i="1"/>
  <c r="CX302" i="1" s="1"/>
  <c r="CY277" i="1"/>
  <c r="CY73" i="1"/>
  <c r="CZ277" i="1"/>
  <c r="CX277" i="1"/>
  <c r="CY154" i="1"/>
  <c r="CX154" i="1"/>
  <c r="AD50" i="1"/>
  <c r="AD101" i="1"/>
  <c r="CY248" i="1"/>
  <c r="CX248" i="1"/>
  <c r="AD236" i="1"/>
  <c r="AD235" i="1" s="1"/>
  <c r="AD248" i="1"/>
  <c r="DA52" i="1"/>
  <c r="DA51" i="1"/>
  <c r="DA70" i="1"/>
  <c r="DA301" i="1" s="1"/>
  <c r="DA302" i="1" s="1"/>
  <c r="CX76" i="1"/>
  <c r="CX72" i="1"/>
  <c r="CX71" i="1"/>
  <c r="CX283" i="1"/>
  <c r="CX284" i="1" s="1"/>
  <c r="CX73" i="1"/>
  <c r="AD230" i="1"/>
  <c r="DA48" i="1"/>
  <c r="DB185" i="1"/>
  <c r="AE185" i="1" s="1"/>
  <c r="AE231" i="1" s="1"/>
  <c r="DB49" i="1"/>
  <c r="DB48" i="1" s="1"/>
  <c r="DB186" i="1"/>
  <c r="DB68" i="1"/>
  <c r="DB67" i="1" s="1"/>
  <c r="DB196" i="1"/>
  <c r="AE196" i="1" s="1"/>
  <c r="AE234" i="1" s="1"/>
  <c r="DB205" i="1"/>
  <c r="AE205" i="1" s="1"/>
  <c r="AE43" i="1"/>
  <c r="DA207" i="1"/>
  <c r="AE140" i="1" l="1"/>
  <c r="AE239" i="1"/>
  <c r="DB52" i="1"/>
  <c r="DB70" i="1"/>
  <c r="DB301" i="1" s="1"/>
  <c r="DB302" i="1" s="1"/>
  <c r="DB51" i="1"/>
  <c r="AE186" i="1"/>
  <c r="DA76" i="1"/>
  <c r="DA71" i="1"/>
  <c r="DA72" i="1"/>
  <c r="DA73" i="1"/>
  <c r="DA283" i="1"/>
  <c r="DA284" i="1" s="1"/>
  <c r="AE44" i="1"/>
  <c r="AE100" i="1"/>
  <c r="AE48" i="1"/>
  <c r="AE49" i="1" s="1"/>
  <c r="AE51" i="1" s="1"/>
  <c r="DA154" i="1"/>
  <c r="DA277" i="1"/>
  <c r="AE207" i="1"/>
  <c r="DB207" i="1"/>
  <c r="DB248" i="1" s="1"/>
  <c r="DA248" i="1"/>
  <c r="AE50" i="1" l="1"/>
  <c r="AE101" i="1"/>
  <c r="DB76" i="1"/>
  <c r="DB73" i="1"/>
  <c r="DB283" i="1"/>
  <c r="DB284" i="1" s="1"/>
  <c r="DB71" i="1"/>
  <c r="DB72" i="1"/>
  <c r="DB154" i="1"/>
  <c r="AE230" i="1"/>
  <c r="AE236" i="1"/>
  <c r="AE235" i="1" s="1"/>
  <c r="AE248" i="1"/>
  <c r="DB277" i="1"/>
  <c r="AE67" i="1" l="1"/>
  <c r="AE68" i="1" s="1"/>
  <c r="AD67" i="1"/>
  <c r="AD68" i="1" s="1"/>
  <c r="AC67" i="1"/>
  <c r="AC68" i="1" s="1"/>
  <c r="AB67" i="1"/>
  <c r="AB68" i="1" s="1"/>
  <c r="CC247" i="1"/>
  <c r="CC249" i="1" s="1"/>
  <c r="CC250" i="1" s="1"/>
  <c r="CD247" i="1"/>
  <c r="CD249" i="1" s="1"/>
  <c r="CD250" i="1" s="1"/>
  <c r="CD264" i="1" s="1"/>
  <c r="CC233" i="1"/>
  <c r="CC232" i="1" s="1"/>
  <c r="CA247" i="1"/>
  <c r="CA249" i="1" s="1"/>
  <c r="CA250" i="1" s="1"/>
  <c r="CA233" i="1"/>
  <c r="CA232" i="1" s="1"/>
  <c r="BY233" i="1"/>
  <c r="BY237" i="1" s="1"/>
  <c r="BY247" i="1"/>
  <c r="BY249" i="1" s="1"/>
  <c r="BY250" i="1" s="1"/>
  <c r="BZ247" i="1"/>
  <c r="BZ249" i="1" s="1"/>
  <c r="BZ250" i="1" s="1"/>
  <c r="BZ264" i="1" s="1"/>
  <c r="BW233" i="1"/>
  <c r="BW237" i="1" s="1"/>
  <c r="BW247" i="1"/>
  <c r="BW249" i="1" s="1"/>
  <c r="BW250" i="1" s="1"/>
  <c r="BX247" i="1"/>
  <c r="BX249" i="1" s="1"/>
  <c r="BX250" i="1" s="1"/>
  <c r="BX264" i="1" s="1"/>
  <c r="BU233" i="1"/>
  <c r="BU232" i="1" s="1"/>
  <c r="BU247" i="1"/>
  <c r="BU249" i="1" s="1"/>
  <c r="BU250" i="1" s="1"/>
  <c r="BV247" i="1"/>
  <c r="BV249" i="1" s="1"/>
  <c r="BV250" i="1" s="1"/>
  <c r="BV264" i="1" s="1"/>
  <c r="BS233" i="1"/>
  <c r="BS237" i="1" s="1"/>
  <c r="BS247" i="1"/>
  <c r="BS249" i="1" s="1"/>
  <c r="BS250" i="1" s="1"/>
  <c r="BT247" i="1"/>
  <c r="BT249" i="1" s="1"/>
  <c r="BT250" i="1" s="1"/>
  <c r="BT264" i="1" s="1"/>
  <c r="BQ233" i="1"/>
  <c r="BQ237" i="1" s="1"/>
  <c r="BQ247" i="1"/>
  <c r="BQ249" i="1" s="1"/>
  <c r="BQ250" i="1" s="1"/>
  <c r="BR247" i="1"/>
  <c r="BR249" i="1" s="1"/>
  <c r="BR250" i="1" s="1"/>
  <c r="BR264" i="1" s="1"/>
  <c r="BO233" i="1"/>
  <c r="BO232" i="1" s="1"/>
  <c r="BO247" i="1"/>
  <c r="BO249" i="1" s="1"/>
  <c r="BO250" i="1" s="1"/>
  <c r="BO264" i="1" s="1"/>
  <c r="BP247" i="1"/>
  <c r="BP249" i="1" s="1"/>
  <c r="BP250" i="1" s="1"/>
  <c r="BP264" i="1" s="1"/>
  <c r="BM233" i="1"/>
  <c r="BM232" i="1" s="1"/>
  <c r="BM247" i="1"/>
  <c r="BM249" i="1" s="1"/>
  <c r="BM250" i="1" s="1"/>
  <c r="BN247" i="1"/>
  <c r="BN249" i="1" s="1"/>
  <c r="BN250" i="1" s="1"/>
  <c r="BN264" i="1" s="1"/>
  <c r="BK233" i="1"/>
  <c r="BK247" i="1"/>
  <c r="BK249" i="1" s="1"/>
  <c r="BK250" i="1" s="1"/>
  <c r="BK264" i="1" s="1"/>
  <c r="BL247" i="1"/>
  <c r="BL249" i="1" s="1"/>
  <c r="BL250" i="1" s="1"/>
  <c r="BL264" i="1" s="1"/>
  <c r="BI233" i="1"/>
  <c r="BI237" i="1" s="1"/>
  <c r="BI247" i="1"/>
  <c r="BI249" i="1" s="1"/>
  <c r="BI250" i="1" s="1"/>
  <c r="BJ247" i="1"/>
  <c r="BJ249" i="1" s="1"/>
  <c r="BJ250" i="1" s="1"/>
  <c r="BJ264" i="1" s="1"/>
  <c r="BG233" i="1"/>
  <c r="BG232" i="1" s="1"/>
  <c r="BG247" i="1"/>
  <c r="BG249" i="1" s="1"/>
  <c r="BG250" i="1" s="1"/>
  <c r="BH247" i="1"/>
  <c r="BH249" i="1" s="1"/>
  <c r="BH250" i="1" s="1"/>
  <c r="BH264" i="1" s="1"/>
  <c r="BE233" i="1"/>
  <c r="BE237" i="1" s="1"/>
  <c r="BE247" i="1"/>
  <c r="BE249" i="1" s="1"/>
  <c r="BE250" i="1" s="1"/>
  <c r="BF247" i="1"/>
  <c r="BF249" i="1" s="1"/>
  <c r="BF250" i="1" s="1"/>
  <c r="BF264" i="1" s="1"/>
  <c r="BC233" i="1"/>
  <c r="BC237" i="1" s="1"/>
  <c r="BC247" i="1"/>
  <c r="BC249" i="1" s="1"/>
  <c r="BC250" i="1" s="1"/>
  <c r="BD247" i="1"/>
  <c r="BD249" i="1" s="1"/>
  <c r="BD250" i="1" s="1"/>
  <c r="BD264" i="1" s="1"/>
  <c r="BA233" i="1"/>
  <c r="BA232" i="1" s="1"/>
  <c r="BA247" i="1"/>
  <c r="BA249" i="1" s="1"/>
  <c r="BA250" i="1" s="1"/>
  <c r="BB247" i="1"/>
  <c r="BB249" i="1" s="1"/>
  <c r="BB250" i="1" s="1"/>
  <c r="BB264" i="1" s="1"/>
  <c r="AY233" i="1"/>
  <c r="AY232" i="1" s="1"/>
  <c r="AY247" i="1"/>
  <c r="AY249" i="1" s="1"/>
  <c r="AY250" i="1" s="1"/>
  <c r="AZ247" i="1"/>
  <c r="AZ249" i="1" s="1"/>
  <c r="AZ250" i="1" s="1"/>
  <c r="AZ264" i="1" s="1"/>
  <c r="AW233" i="1"/>
  <c r="AW232" i="1" s="1"/>
  <c r="AW247" i="1"/>
  <c r="AW249" i="1" s="1"/>
  <c r="AW250" i="1" s="1"/>
  <c r="AX247" i="1"/>
  <c r="AX249" i="1" s="1"/>
  <c r="AX250" i="1" s="1"/>
  <c r="AX264" i="1" s="1"/>
  <c r="AU233" i="1"/>
  <c r="AU232" i="1" s="1"/>
  <c r="AU247" i="1"/>
  <c r="AU249" i="1" s="1"/>
  <c r="AU250" i="1" s="1"/>
  <c r="AV247" i="1"/>
  <c r="AV249" i="1" s="1"/>
  <c r="AV250" i="1" s="1"/>
  <c r="AV264" i="1" s="1"/>
  <c r="AT247" i="1"/>
  <c r="AT249" i="1" s="1"/>
  <c r="AT250" i="1" s="1"/>
  <c r="AT264" i="1" s="1"/>
  <c r="AS233" i="1"/>
  <c r="AS237" i="1" s="1"/>
  <c r="AS247" i="1"/>
  <c r="AS249" i="1" s="1"/>
  <c r="AS250" i="1" s="1"/>
  <c r="AQ233" i="1"/>
  <c r="AQ232" i="1" s="1"/>
  <c r="AR247" i="1"/>
  <c r="AR249" i="1" s="1"/>
  <c r="AR250" i="1" s="1"/>
  <c r="AR264" i="1" s="1"/>
  <c r="AQ247" i="1"/>
  <c r="AQ249" i="1" s="1"/>
  <c r="AQ250" i="1" s="1"/>
  <c r="AP247" i="1"/>
  <c r="AP249" i="1" s="1"/>
  <c r="AP250" i="1" s="1"/>
  <c r="AP264" i="1" s="1"/>
  <c r="AO247" i="1"/>
  <c r="AO249" i="1" s="1"/>
  <c r="AO250" i="1" s="1"/>
  <c r="AO233" i="1"/>
  <c r="AO237" i="1" s="1"/>
  <c r="AM247" i="1"/>
  <c r="AM249" i="1" s="1"/>
  <c r="AM250" i="1" s="1"/>
  <c r="AM233" i="1"/>
  <c r="AM237" i="1" s="1"/>
  <c r="AN247" i="1"/>
  <c r="AN249" i="1" s="1"/>
  <c r="AN250" i="1" s="1"/>
  <c r="AN264" i="1" s="1"/>
  <c r="AK247" i="1"/>
  <c r="AK249" i="1" s="1"/>
  <c r="AK250" i="1" s="1"/>
  <c r="AL247" i="1"/>
  <c r="AL249" i="1" s="1"/>
  <c r="AL250" i="1" s="1"/>
  <c r="AL264" i="1" s="1"/>
  <c r="AJ233" i="1"/>
  <c r="AJ237" i="1" s="1"/>
  <c r="AK233" i="1"/>
  <c r="AK237" i="1" s="1"/>
  <c r="AZ208" i="1"/>
  <c r="AZ216" i="1" s="1"/>
  <c r="AZ217" i="1" s="1"/>
  <c r="BB208" i="1"/>
  <c r="BB216" i="1" s="1"/>
  <c r="BB217" i="1" s="1"/>
  <c r="AR208" i="1"/>
  <c r="AR216" i="1" s="1"/>
  <c r="AR217" i="1" s="1"/>
  <c r="BB233" i="1"/>
  <c r="BB237" i="1" s="1"/>
  <c r="BF233" i="1"/>
  <c r="BF237" i="1" s="1"/>
  <c r="AT208" i="1"/>
  <c r="AT216" i="1" s="1"/>
  <c r="AT217" i="1" s="1"/>
  <c r="BD208" i="1"/>
  <c r="BD216" i="1" s="1"/>
  <c r="BD217" i="1" s="1"/>
  <c r="BT208" i="1"/>
  <c r="BT216" i="1" s="1"/>
  <c r="BT217" i="1" s="1"/>
  <c r="BP208" i="1"/>
  <c r="BP216" i="1" s="1"/>
  <c r="BP217" i="1" s="1"/>
  <c r="AZ233" i="1"/>
  <c r="AZ237" i="1" s="1"/>
  <c r="BR233" i="1"/>
  <c r="BR237" i="1" s="1"/>
  <c r="AX208" i="1"/>
  <c r="AX216" i="1" s="1"/>
  <c r="AX217" i="1" s="1"/>
  <c r="BR208" i="1"/>
  <c r="BR216" i="1" s="1"/>
  <c r="BR217" i="1" s="1"/>
  <c r="BT233" i="1"/>
  <c r="BT237" i="1" s="1"/>
  <c r="AV233" i="1"/>
  <c r="AV237" i="1" s="1"/>
  <c r="AP233" i="1"/>
  <c r="AP237" i="1" s="1"/>
  <c r="AV208" i="1"/>
  <c r="AV216" i="1" s="1"/>
  <c r="AV217" i="1" s="1"/>
  <c r="AN233" i="1"/>
  <c r="AN237" i="1" s="1"/>
  <c r="BN208" i="1"/>
  <c r="BN216" i="1" s="1"/>
  <c r="BN217" i="1" s="1"/>
  <c r="BD233" i="1"/>
  <c r="BD237" i="1" s="1"/>
  <c r="BN233" i="1"/>
  <c r="BN237" i="1" s="1"/>
  <c r="AX233" i="1"/>
  <c r="AX237" i="1" s="1"/>
  <c r="AT233" i="1"/>
  <c r="AT237" i="1" s="1"/>
  <c r="AP208" i="1"/>
  <c r="AP216" i="1" s="1"/>
  <c r="AP217" i="1" s="1"/>
  <c r="BF208" i="1"/>
  <c r="BF216" i="1" s="1"/>
  <c r="BF217" i="1" s="1"/>
  <c r="AN208" i="1"/>
  <c r="AN216" i="1" s="1"/>
  <c r="AN217" i="1" s="1"/>
  <c r="BP233" i="1"/>
  <c r="BP232" i="1" s="1"/>
  <c r="AR233" i="1"/>
  <c r="AR237" i="1" s="1"/>
  <c r="BV208" i="1"/>
  <c r="BV216" i="1" s="1"/>
  <c r="BV217" i="1" s="1"/>
  <c r="BH208" i="1"/>
  <c r="BH216" i="1" s="1"/>
  <c r="BH217" i="1" s="1"/>
  <c r="BV233" i="1"/>
  <c r="BV232" i="1" s="1"/>
  <c r="BH233" i="1"/>
  <c r="BH237" i="1" s="1"/>
  <c r="BL208" i="1"/>
  <c r="BL216" i="1" s="1"/>
  <c r="BL217" i="1" s="1"/>
  <c r="BJ208" i="1"/>
  <c r="BJ216" i="1" s="1"/>
  <c r="BJ217" i="1" s="1"/>
  <c r="AJ247" i="1"/>
  <c r="AJ249" i="1" s="1"/>
  <c r="AJ250" i="1" s="1"/>
  <c r="AL208" i="1"/>
  <c r="AL216" i="1" s="1"/>
  <c r="AL217" i="1" s="1"/>
  <c r="BJ233" i="1"/>
  <c r="BJ237" i="1" s="1"/>
  <c r="AJ208" i="1"/>
  <c r="AJ216" i="1" s="1"/>
  <c r="AJ217" i="1" s="1"/>
  <c r="AL233" i="1"/>
  <c r="AL232" i="1" s="1"/>
  <c r="BX208" i="1"/>
  <c r="BX216" i="1" s="1"/>
  <c r="BX217" i="1" s="1"/>
  <c r="BX233" i="1"/>
  <c r="BX237" i="1" s="1"/>
  <c r="CE247" i="1"/>
  <c r="CE249" i="1" s="1"/>
  <c r="CE250" i="1" s="1"/>
  <c r="CF247" i="1"/>
  <c r="CF249" i="1" s="1"/>
  <c r="CF250" i="1" s="1"/>
  <c r="CF264" i="1" s="1"/>
  <c r="CG247" i="1"/>
  <c r="CG249" i="1" s="1"/>
  <c r="CG250" i="1" s="1"/>
  <c r="CH247" i="1"/>
  <c r="CH249" i="1" s="1"/>
  <c r="CH250" i="1" s="1"/>
  <c r="CH264" i="1" s="1"/>
  <c r="CE233" i="1"/>
  <c r="CE237" i="1" s="1"/>
  <c r="BZ208" i="1"/>
  <c r="BZ216" i="1" s="1"/>
  <c r="BZ217" i="1" s="1"/>
  <c r="CG233" i="1"/>
  <c r="CG237" i="1" s="1"/>
  <c r="CB233" i="1"/>
  <c r="CB237" i="1" s="1"/>
  <c r="CD208" i="1"/>
  <c r="CD216" i="1" s="1"/>
  <c r="CD217" i="1" s="1"/>
  <c r="CF208" i="1"/>
  <c r="CF216" i="1" s="1"/>
  <c r="CF217" i="1" s="1"/>
  <c r="BL233" i="1"/>
  <c r="BL237" i="1" s="1"/>
  <c r="BZ233" i="1"/>
  <c r="BZ232" i="1" s="1"/>
  <c r="CD233" i="1"/>
  <c r="CD237" i="1" s="1"/>
  <c r="CF233" i="1"/>
  <c r="CF237" i="1" s="1"/>
  <c r="CB208" i="1"/>
  <c r="CB216" i="1" s="1"/>
  <c r="CB217" i="1" s="1"/>
  <c r="CH208" i="1"/>
  <c r="CH216" i="1" s="1"/>
  <c r="CH217" i="1" s="1"/>
  <c r="CH233" i="1"/>
  <c r="CH237" i="1" s="1"/>
  <c r="CL240" i="1" s="1"/>
  <c r="CJ208" i="1"/>
  <c r="CJ216" i="1" s="1"/>
  <c r="CJ217" i="1" s="1"/>
  <c r="AO208" i="1"/>
  <c r="AW208" i="1"/>
  <c r="BE208" i="1"/>
  <c r="BM208" i="1"/>
  <c r="BU208" i="1"/>
  <c r="CC208" i="1"/>
  <c r="AP295" i="1"/>
  <c r="AP297" i="1"/>
  <c r="AX295" i="1"/>
  <c r="AX297" i="1"/>
  <c r="BF295" i="1"/>
  <c r="BF297" i="1"/>
  <c r="BN297" i="1"/>
  <c r="BN295" i="1"/>
  <c r="BV295" i="1"/>
  <c r="BV297" i="1"/>
  <c r="CD297" i="1"/>
  <c r="CD295" i="1"/>
  <c r="CH295" i="1"/>
  <c r="CH297" i="1"/>
  <c r="AM208" i="1"/>
  <c r="AQ208" i="1"/>
  <c r="AU208" i="1"/>
  <c r="AY208" i="1"/>
  <c r="BC208" i="1"/>
  <c r="BG208" i="1"/>
  <c r="BK208" i="1"/>
  <c r="BO208" i="1"/>
  <c r="BS208" i="1"/>
  <c r="BW208" i="1"/>
  <c r="CB247" i="1"/>
  <c r="CB249" i="1" s="1"/>
  <c r="CB250" i="1" s="1"/>
  <c r="CB264" i="1" s="1"/>
  <c r="CA208" i="1"/>
  <c r="CE208" i="1"/>
  <c r="AK208" i="1"/>
  <c r="AS208" i="1"/>
  <c r="BA208" i="1"/>
  <c r="BI208" i="1"/>
  <c r="BQ208" i="1"/>
  <c r="BY208" i="1"/>
  <c r="CG208" i="1"/>
  <c r="AL295" i="1"/>
  <c r="AL297" i="1"/>
  <c r="AT297" i="1"/>
  <c r="AT295" i="1"/>
  <c r="BB295" i="1"/>
  <c r="BB297" i="1"/>
  <c r="BJ295" i="1"/>
  <c r="BJ297" i="1"/>
  <c r="BR297" i="1"/>
  <c r="BR295" i="1"/>
  <c r="BZ295" i="1"/>
  <c r="BZ297" i="1"/>
  <c r="AN297" i="1"/>
  <c r="AN295" i="1"/>
  <c r="AR297" i="1"/>
  <c r="AR295" i="1"/>
  <c r="AV297" i="1"/>
  <c r="AV295" i="1"/>
  <c r="AZ295" i="1"/>
  <c r="AZ297" i="1"/>
  <c r="BD297" i="1"/>
  <c r="BD295" i="1"/>
  <c r="BH295" i="1"/>
  <c r="BH297" i="1"/>
  <c r="BL295" i="1"/>
  <c r="BL297" i="1"/>
  <c r="BP295" i="1"/>
  <c r="BP297" i="1"/>
  <c r="BT295" i="1"/>
  <c r="BT297" i="1"/>
  <c r="BX295" i="1"/>
  <c r="BX297" i="1"/>
  <c r="CB295" i="1"/>
  <c r="CB297" i="1"/>
  <c r="CF295" i="1"/>
  <c r="CF297" i="1"/>
  <c r="CJ295" i="1"/>
  <c r="CJ297" i="1"/>
  <c r="CJ233" i="1"/>
  <c r="CJ237" i="1" s="1"/>
  <c r="CB240" i="1" l="1"/>
  <c r="BL240" i="1"/>
  <c r="CH240" i="1"/>
  <c r="BE232" i="1"/>
  <c r="CJ232" i="1"/>
  <c r="CK232" i="1" s="1"/>
  <c r="AR240" i="1"/>
  <c r="BJ240" i="1"/>
  <c r="AZ232" i="1"/>
  <c r="CJ240" i="1"/>
  <c r="BA237" i="1"/>
  <c r="BE240" i="1" s="1"/>
  <c r="BX240" i="1"/>
  <c r="BH240" i="1"/>
  <c r="BN232" i="1"/>
  <c r="CA237" i="1"/>
  <c r="CE240" i="1" s="1"/>
  <c r="AD69" i="1"/>
  <c r="AD70" i="1"/>
  <c r="AE69" i="1"/>
  <c r="AE70" i="1"/>
  <c r="AL237" i="1"/>
  <c r="AP240" i="1" s="1"/>
  <c r="AT232" i="1"/>
  <c r="AV232" i="1"/>
  <c r="AB69" i="1"/>
  <c r="AB70" i="1"/>
  <c r="AW237" i="1"/>
  <c r="AW240" i="1" s="1"/>
  <c r="BM237" i="1"/>
  <c r="BY232" i="1"/>
  <c r="AX240" i="1"/>
  <c r="AP232" i="1"/>
  <c r="BT232" i="1"/>
  <c r="BF232" i="1"/>
  <c r="AC69" i="1"/>
  <c r="AC70" i="1"/>
  <c r="BJ232" i="1"/>
  <c r="AS240" i="1"/>
  <c r="BW264" i="1"/>
  <c r="BW261" i="1"/>
  <c r="BW211" i="1" s="1"/>
  <c r="BW212" i="1" s="1"/>
  <c r="BW216" i="1" s="1"/>
  <c r="BW217" i="1" s="1"/>
  <c r="AX232" i="1"/>
  <c r="BD232" i="1"/>
  <c r="BR232" i="1"/>
  <c r="AJ232" i="1"/>
  <c r="AS232" i="1"/>
  <c r="CC237" i="1"/>
  <c r="CC240" i="1" s="1"/>
  <c r="BD240" i="1"/>
  <c r="BR240" i="1"/>
  <c r="BB232" i="1"/>
  <c r="AO232" i="1"/>
  <c r="AU237" i="1"/>
  <c r="BC232" i="1"/>
  <c r="BI232" i="1"/>
  <c r="BK261" i="1"/>
  <c r="BK211" i="1" s="1"/>
  <c r="BK212" i="1" s="1"/>
  <c r="BO261" i="1"/>
  <c r="BO211" i="1" s="1"/>
  <c r="BO212" i="1" s="1"/>
  <c r="BO262" i="1" s="1"/>
  <c r="BU237" i="1"/>
  <c r="BU240" i="1" s="1"/>
  <c r="AV240" i="1"/>
  <c r="AT240" i="1"/>
  <c r="AN240" i="1"/>
  <c r="BW232" i="1"/>
  <c r="CF240" i="1"/>
  <c r="AJ261" i="1"/>
  <c r="AJ262" i="1" s="1"/>
  <c r="AJ264" i="1"/>
  <c r="CG261" i="1"/>
  <c r="CG264" i="1"/>
  <c r="AZ240" i="1"/>
  <c r="BF240" i="1"/>
  <c r="AK261" i="1"/>
  <c r="AK264" i="1"/>
  <c r="AO261" i="1"/>
  <c r="AO264" i="1"/>
  <c r="AW261" i="1"/>
  <c r="AW264" i="1"/>
  <c r="BC261" i="1"/>
  <c r="BC264" i="1"/>
  <c r="BG264" i="1"/>
  <c r="BG261" i="1"/>
  <c r="BI261" i="1"/>
  <c r="BI264" i="1"/>
  <c r="BB240" i="1"/>
  <c r="AS261" i="1"/>
  <c r="AS264" i="1"/>
  <c r="AU261" i="1"/>
  <c r="AU264" i="1"/>
  <c r="AY261" i="1"/>
  <c r="AY264" i="1"/>
  <c r="BA261" i="1"/>
  <c r="BA264" i="1"/>
  <c r="BE261" i="1"/>
  <c r="BE264" i="1"/>
  <c r="CE264" i="1"/>
  <c r="CE261" i="1"/>
  <c r="BN240" i="1"/>
  <c r="AM261" i="1"/>
  <c r="AM264" i="1"/>
  <c r="AO240" i="1"/>
  <c r="AQ264" i="1"/>
  <c r="AQ261" i="1"/>
  <c r="BQ261" i="1"/>
  <c r="BQ264" i="1"/>
  <c r="CH232" i="1"/>
  <c r="CI232" i="1" s="1"/>
  <c r="CD232" i="1"/>
  <c r="BL232" i="1"/>
  <c r="CB232" i="1"/>
  <c r="CE232" i="1"/>
  <c r="BX232" i="1"/>
  <c r="BH232" i="1"/>
  <c r="BZ237" i="1"/>
  <c r="AR232" i="1"/>
  <c r="BP237" i="1"/>
  <c r="BP240" i="1" s="1"/>
  <c r="BV237" i="1"/>
  <c r="BV240" i="1" s="1"/>
  <c r="AK232" i="1"/>
  <c r="AM232" i="1"/>
  <c r="AQ237" i="1"/>
  <c r="AQ240" i="1" s="1"/>
  <c r="AY237" i="1"/>
  <c r="BG237" i="1"/>
  <c r="BG240" i="1" s="1"/>
  <c r="BW240" i="1"/>
  <c r="BK237" i="1"/>
  <c r="BK232" i="1"/>
  <c r="CA264" i="1"/>
  <c r="CA261" i="1"/>
  <c r="CF232" i="1"/>
  <c r="CG232" i="1"/>
  <c r="AN232" i="1"/>
  <c r="BI240" i="1"/>
  <c r="BM264" i="1"/>
  <c r="BM261" i="1"/>
  <c r="BS261" i="1"/>
  <c r="BS264" i="1"/>
  <c r="BU264" i="1"/>
  <c r="BU261" i="1"/>
  <c r="BY261" i="1"/>
  <c r="BY264" i="1"/>
  <c r="CC261" i="1"/>
  <c r="CC264" i="1"/>
  <c r="BO237" i="1"/>
  <c r="BQ232" i="1"/>
  <c r="BS232" i="1"/>
  <c r="CK233" i="1" l="1"/>
  <c r="CK237" i="1" s="1"/>
  <c r="CK188" i="1"/>
  <c r="CK195" i="1" s="1"/>
  <c r="CL247" i="1" s="1"/>
  <c r="CL249" i="1" s="1"/>
  <c r="CL250" i="1" s="1"/>
  <c r="CL264" i="1" s="1"/>
  <c r="BQ240" i="1"/>
  <c r="BM240" i="1"/>
  <c r="BA240" i="1"/>
  <c r="BW297" i="1"/>
  <c r="CA240" i="1"/>
  <c r="AY240" i="1"/>
  <c r="BC240" i="1"/>
  <c r="BW295" i="1"/>
  <c r="CG240" i="1"/>
  <c r="BW262" i="1"/>
  <c r="BW219" i="1"/>
  <c r="BW299" i="1"/>
  <c r="BX260" i="1"/>
  <c r="BX261" i="1" s="1"/>
  <c r="BX262" i="1" s="1"/>
  <c r="AC301" i="1"/>
  <c r="AC302" i="1" s="1"/>
  <c r="AC154" i="1"/>
  <c r="AC76" i="1"/>
  <c r="AC102" i="1"/>
  <c r="AC71" i="1"/>
  <c r="AD72" i="1"/>
  <c r="AE76" i="1"/>
  <c r="AE71" i="1"/>
  <c r="AE154" i="1"/>
  <c r="AE301" i="1"/>
  <c r="AE302" i="1" s="1"/>
  <c r="AE102" i="1"/>
  <c r="BO240" i="1"/>
  <c r="BZ240" i="1"/>
  <c r="AB72" i="1"/>
  <c r="AD301" i="1"/>
  <c r="AD302" i="1" s="1"/>
  <c r="AD71" i="1"/>
  <c r="AD154" i="1"/>
  <c r="AD102" i="1"/>
  <c r="AD76" i="1"/>
  <c r="AE72" i="1"/>
  <c r="AB301" i="1"/>
  <c r="AB302" i="1" s="1"/>
  <c r="AB76" i="1"/>
  <c r="AB154" i="1"/>
  <c r="AB102" i="1"/>
  <c r="AB71" i="1"/>
  <c r="AC72" i="1"/>
  <c r="BY240" i="1"/>
  <c r="BS211" i="1"/>
  <c r="BS212" i="1" s="1"/>
  <c r="BL260" i="1"/>
  <c r="BL261" i="1" s="1"/>
  <c r="BL262" i="1" s="1"/>
  <c r="BK295" i="1"/>
  <c r="BK219" i="1"/>
  <c r="BK297" i="1"/>
  <c r="BK299" i="1"/>
  <c r="BK216" i="1"/>
  <c r="BK217" i="1" s="1"/>
  <c r="BU211" i="1"/>
  <c r="BU212" i="1" s="1"/>
  <c r="BU262" i="1" s="1"/>
  <c r="BM211" i="1"/>
  <c r="BM212" i="1" s="1"/>
  <c r="BM262" i="1" s="1"/>
  <c r="CA211" i="1"/>
  <c r="CA212" i="1" s="1"/>
  <c r="CA262" i="1" s="1"/>
  <c r="BS240" i="1"/>
  <c r="BK240" i="1"/>
  <c r="CI233" i="1"/>
  <c r="CI237" i="1" s="1"/>
  <c r="CI240" i="1" s="1"/>
  <c r="CI188" i="1"/>
  <c r="CI195" i="1" s="1"/>
  <c r="AQ211" i="1"/>
  <c r="AQ212" i="1" s="1"/>
  <c r="AQ262" i="1" s="1"/>
  <c r="AM211" i="1"/>
  <c r="AM212" i="1" s="1"/>
  <c r="CG211" i="1"/>
  <c r="CG212" i="1" s="1"/>
  <c r="CG262" i="1" s="1"/>
  <c r="BE211" i="1"/>
  <c r="BE212" i="1" s="1"/>
  <c r="AY211" i="1"/>
  <c r="AY212" i="1" s="1"/>
  <c r="AY262" i="1" s="1"/>
  <c r="BI211" i="1"/>
  <c r="BI212" i="1" s="1"/>
  <c r="BC211" i="1"/>
  <c r="BC212" i="1" s="1"/>
  <c r="AO211" i="1"/>
  <c r="AO212" i="1" s="1"/>
  <c r="AO262" i="1"/>
  <c r="AS211" i="1"/>
  <c r="AS212" i="1" s="1"/>
  <c r="BK262" i="1"/>
  <c r="BO216" i="1"/>
  <c r="BO217" i="1" s="1"/>
  <c r="BO297" i="1"/>
  <c r="BO219" i="1"/>
  <c r="BO299" i="1"/>
  <c r="BO295" i="1"/>
  <c r="BP260" i="1"/>
  <c r="BP261" i="1" s="1"/>
  <c r="BP262" i="1" s="1"/>
  <c r="BQ211" i="1"/>
  <c r="BQ212" i="1" s="1"/>
  <c r="BQ262" i="1" s="1"/>
  <c r="CD240" i="1"/>
  <c r="BG211" i="1"/>
  <c r="BG212" i="1" s="1"/>
  <c r="BG262" i="1" s="1"/>
  <c r="BT240" i="1"/>
  <c r="CC211" i="1"/>
  <c r="CC212" i="1" s="1"/>
  <c r="CC262" i="1" s="1"/>
  <c r="BY211" i="1"/>
  <c r="BY212" i="1" s="1"/>
  <c r="CE211" i="1"/>
  <c r="CE212" i="1" s="1"/>
  <c r="BA211" i="1"/>
  <c r="BA212" i="1" s="1"/>
  <c r="AU211" i="1"/>
  <c r="AU212" i="1" s="1"/>
  <c r="AU240" i="1"/>
  <c r="AW211" i="1"/>
  <c r="AW212" i="1" s="1"/>
  <c r="AK211" i="1"/>
  <c r="AK212" i="1" s="1"/>
  <c r="CM232" i="1" l="1"/>
  <c r="CK247" i="1"/>
  <c r="CK249" i="1" s="1"/>
  <c r="CK208" i="1"/>
  <c r="BX79" i="1"/>
  <c r="BW151" i="1"/>
  <c r="BY299" i="1"/>
  <c r="BY216" i="1"/>
  <c r="BY217" i="1" s="1"/>
  <c r="BY295" i="1"/>
  <c r="BY219" i="1"/>
  <c r="BY297" i="1"/>
  <c r="BZ260" i="1"/>
  <c r="BZ261" i="1" s="1"/>
  <c r="BZ262" i="1" s="1"/>
  <c r="CM233" i="1"/>
  <c r="CM237" i="1" s="1"/>
  <c r="AS297" i="1"/>
  <c r="AS219" i="1"/>
  <c r="AS299" i="1"/>
  <c r="AS216" i="1"/>
  <c r="AS217" i="1" s="1"/>
  <c r="AT260" i="1"/>
  <c r="AT261" i="1" s="1"/>
  <c r="AT262" i="1" s="1"/>
  <c r="AS295" i="1"/>
  <c r="BC295" i="1"/>
  <c r="BC299" i="1"/>
  <c r="BC219" i="1"/>
  <c r="BC297" i="1"/>
  <c r="BC216" i="1"/>
  <c r="BC217" i="1" s="1"/>
  <c r="BD260" i="1"/>
  <c r="BD261" i="1" s="1"/>
  <c r="BD262" i="1" s="1"/>
  <c r="CE216" i="1"/>
  <c r="CE217" i="1" s="1"/>
  <c r="CE299" i="1"/>
  <c r="CE219" i="1"/>
  <c r="CF260" i="1"/>
  <c r="CF261" i="1" s="1"/>
  <c r="CF262" i="1" s="1"/>
  <c r="CE297" i="1"/>
  <c r="CE295" i="1"/>
  <c r="BC262" i="1"/>
  <c r="AY219" i="1"/>
  <c r="AZ260" i="1"/>
  <c r="AZ261" i="1" s="1"/>
  <c r="AZ262" i="1" s="1"/>
  <c r="AY295" i="1"/>
  <c r="AY216" i="1"/>
  <c r="AY217" i="1" s="1"/>
  <c r="AY299" i="1"/>
  <c r="AY297" i="1"/>
  <c r="CG216" i="1"/>
  <c r="CG217" i="1" s="1"/>
  <c r="CG299" i="1"/>
  <c r="CH260" i="1"/>
  <c r="CH261" i="1" s="1"/>
  <c r="CH262" i="1" s="1"/>
  <c r="CG219" i="1"/>
  <c r="CG295" i="1"/>
  <c r="CG297" i="1"/>
  <c r="AQ219" i="1"/>
  <c r="AQ297" i="1"/>
  <c r="AQ216" i="1"/>
  <c r="AQ217" i="1" s="1"/>
  <c r="AR260" i="1"/>
  <c r="AR261" i="1" s="1"/>
  <c r="AR262" i="1" s="1"/>
  <c r="AQ295" i="1"/>
  <c r="AQ299" i="1"/>
  <c r="BM219" i="1"/>
  <c r="BN260" i="1"/>
  <c r="BN261" i="1" s="1"/>
  <c r="BN262" i="1" s="1"/>
  <c r="BM216" i="1"/>
  <c r="BM217" i="1" s="1"/>
  <c r="BM297" i="1"/>
  <c r="BM299" i="1"/>
  <c r="BM295" i="1"/>
  <c r="AK216" i="1"/>
  <c r="AK217" i="1" s="1"/>
  <c r="AL260" i="1"/>
  <c r="AL261" i="1" s="1"/>
  <c r="AL262" i="1" s="1"/>
  <c r="AK219" i="1"/>
  <c r="AL79" i="1" s="1"/>
  <c r="AU297" i="1"/>
  <c r="AU299" i="1"/>
  <c r="AU295" i="1"/>
  <c r="AU219" i="1"/>
  <c r="AV260" i="1"/>
  <c r="AV261" i="1" s="1"/>
  <c r="AV262" i="1" s="1"/>
  <c r="AU216" i="1"/>
  <c r="AU217" i="1" s="1"/>
  <c r="BG216" i="1"/>
  <c r="BG217" i="1" s="1"/>
  <c r="BG219" i="1"/>
  <c r="BG297" i="1"/>
  <c r="BG299" i="1"/>
  <c r="BG295" i="1"/>
  <c r="BH260" i="1"/>
  <c r="BH261" i="1" s="1"/>
  <c r="BH262" i="1" s="1"/>
  <c r="AU262" i="1"/>
  <c r="CE262" i="1"/>
  <c r="CC219" i="1"/>
  <c r="CC295" i="1"/>
  <c r="CC299" i="1"/>
  <c r="CC297" i="1"/>
  <c r="CD260" i="1"/>
  <c r="CD261" i="1" s="1"/>
  <c r="CD262" i="1" s="1"/>
  <c r="CC216" i="1"/>
  <c r="CC217" i="1" s="1"/>
  <c r="BI295" i="1"/>
  <c r="BI216" i="1"/>
  <c r="BI217" i="1" s="1"/>
  <c r="BI297" i="1"/>
  <c r="BJ260" i="1"/>
  <c r="BJ261" i="1" s="1"/>
  <c r="BJ262" i="1" s="1"/>
  <c r="BI219" i="1"/>
  <c r="BI299" i="1"/>
  <c r="BE299" i="1"/>
  <c r="BE216" i="1"/>
  <c r="BE217" i="1" s="1"/>
  <c r="BE297" i="1"/>
  <c r="BE295" i="1"/>
  <c r="BE219" i="1"/>
  <c r="BF260" i="1"/>
  <c r="BF261" i="1" s="1"/>
  <c r="BF262" i="1" s="1"/>
  <c r="AM219" i="1"/>
  <c r="AM295" i="1"/>
  <c r="AM297" i="1"/>
  <c r="AN260" i="1"/>
  <c r="AN261" i="1" s="1"/>
  <c r="AN262" i="1" s="1"/>
  <c r="AM299" i="1"/>
  <c r="AM216" i="1"/>
  <c r="AM217" i="1" s="1"/>
  <c r="CI247" i="1"/>
  <c r="CI249" i="1" s="1"/>
  <c r="CI250" i="1" s="1"/>
  <c r="CI208" i="1"/>
  <c r="CJ247" i="1"/>
  <c r="CJ249" i="1" s="1"/>
  <c r="CJ250" i="1" s="1"/>
  <c r="CJ264" i="1" s="1"/>
  <c r="BT260" i="1"/>
  <c r="BT261" i="1" s="1"/>
  <c r="BT262" i="1" s="1"/>
  <c r="BS295" i="1"/>
  <c r="BS216" i="1"/>
  <c r="BS217" i="1" s="1"/>
  <c r="BS297" i="1"/>
  <c r="BS219" i="1"/>
  <c r="BS299" i="1"/>
  <c r="BA299" i="1"/>
  <c r="BA219" i="1"/>
  <c r="BA297" i="1"/>
  <c r="BA216" i="1"/>
  <c r="BA217" i="1" s="1"/>
  <c r="BB260" i="1"/>
  <c r="BB261" i="1" s="1"/>
  <c r="BB262" i="1" s="1"/>
  <c r="BA295" i="1"/>
  <c r="AK262" i="1"/>
  <c r="AW216" i="1"/>
  <c r="AW217" i="1" s="1"/>
  <c r="AW295" i="1"/>
  <c r="AW297" i="1"/>
  <c r="AW299" i="1"/>
  <c r="AW219" i="1"/>
  <c r="AX260" i="1"/>
  <c r="AX261" i="1" s="1"/>
  <c r="AX262" i="1" s="1"/>
  <c r="AW262" i="1"/>
  <c r="BA262" i="1"/>
  <c r="BY262" i="1"/>
  <c r="BQ295" i="1"/>
  <c r="BQ299" i="1"/>
  <c r="BQ219" i="1"/>
  <c r="BQ297" i="1"/>
  <c r="BQ216" i="1"/>
  <c r="BQ217" i="1" s="1"/>
  <c r="BR260" i="1"/>
  <c r="BR261" i="1" s="1"/>
  <c r="BR262" i="1" s="1"/>
  <c r="BP79" i="1"/>
  <c r="BO151" i="1"/>
  <c r="AS262" i="1"/>
  <c r="AO216" i="1"/>
  <c r="AO217" i="1" s="1"/>
  <c r="AO219" i="1"/>
  <c r="AO299" i="1"/>
  <c r="AO295" i="1"/>
  <c r="AP260" i="1"/>
  <c r="AP261" i="1" s="1"/>
  <c r="AP262" i="1" s="1"/>
  <c r="AO297" i="1"/>
  <c r="BI262" i="1"/>
  <c r="BE262" i="1"/>
  <c r="AM262" i="1"/>
  <c r="CA216" i="1"/>
  <c r="CA217" i="1" s="1"/>
  <c r="CA297" i="1"/>
  <c r="CA219" i="1"/>
  <c r="CB260" i="1"/>
  <c r="CB261" i="1" s="1"/>
  <c r="CB262" i="1" s="1"/>
  <c r="CA295" i="1"/>
  <c r="CA299" i="1"/>
  <c r="BU219" i="1"/>
  <c r="BU299" i="1"/>
  <c r="BU216" i="1"/>
  <c r="BU217" i="1" s="1"/>
  <c r="BV260" i="1"/>
  <c r="BV261" i="1" s="1"/>
  <c r="BV262" i="1" s="1"/>
  <c r="BU295" i="1"/>
  <c r="BU297" i="1"/>
  <c r="BL79" i="1"/>
  <c r="BK151" i="1"/>
  <c r="BS262" i="1"/>
  <c r="CN232" i="1" l="1"/>
  <c r="CN188" i="1" s="1"/>
  <c r="CN195" i="1" s="1"/>
  <c r="CM188" i="1"/>
  <c r="CM195" i="1" s="1"/>
  <c r="CM208" i="1" s="1"/>
  <c r="BB79" i="1"/>
  <c r="BA151" i="1"/>
  <c r="AM151" i="1"/>
  <c r="AN79" i="1"/>
  <c r="BI151" i="1"/>
  <c r="BJ79" i="1"/>
  <c r="CC151" i="1"/>
  <c r="CD79" i="1"/>
  <c r="CG151" i="1"/>
  <c r="CH79" i="1"/>
  <c r="BC151" i="1"/>
  <c r="BD79" i="1"/>
  <c r="BY151" i="1"/>
  <c r="BZ79" i="1"/>
  <c r="BV79" i="1"/>
  <c r="BU151" i="1"/>
  <c r="AR79" i="1"/>
  <c r="AQ151" i="1"/>
  <c r="AZ79" i="1"/>
  <c r="AY151" i="1"/>
  <c r="AT79" i="1"/>
  <c r="AS151" i="1"/>
  <c r="AX79" i="1"/>
  <c r="AW151" i="1"/>
  <c r="CI264" i="1"/>
  <c r="CI261" i="1"/>
  <c r="BF79" i="1"/>
  <c r="BE151" i="1"/>
  <c r="CF79" i="1"/>
  <c r="CE151" i="1"/>
  <c r="CA151" i="1"/>
  <c r="CB79" i="1"/>
  <c r="AO151" i="1"/>
  <c r="AP79" i="1"/>
  <c r="BQ151" i="1"/>
  <c r="BR79" i="1"/>
  <c r="BT79" i="1"/>
  <c r="BS151" i="1"/>
  <c r="BG151" i="1"/>
  <c r="BH79" i="1"/>
  <c r="AU151" i="1"/>
  <c r="AV79" i="1"/>
  <c r="BN79" i="1"/>
  <c r="BM151" i="1"/>
  <c r="CN247" i="1" l="1"/>
  <c r="CN249" i="1" s="1"/>
  <c r="CO232" i="1"/>
  <c r="CN233" i="1"/>
  <c r="CN237" i="1" s="1"/>
  <c r="CM247" i="1"/>
  <c r="CM249" i="1" s="1"/>
  <c r="CI211" i="1"/>
  <c r="CI212" i="1" s="1"/>
  <c r="CI262" i="1" s="1"/>
  <c r="CN208" i="1"/>
  <c r="CO188" i="1" l="1"/>
  <c r="CO195" i="1" s="1"/>
  <c r="CO247" i="1" s="1"/>
  <c r="CO249" i="1" s="1"/>
  <c r="CO233" i="1"/>
  <c r="CO237" i="1" s="1"/>
  <c r="CP232" i="1"/>
  <c r="CI295" i="1"/>
  <c r="CI297" i="1"/>
  <c r="CI299" i="1"/>
  <c r="CJ260" i="1"/>
  <c r="CJ261" i="1" s="1"/>
  <c r="CJ262" i="1" s="1"/>
  <c r="CI219" i="1"/>
  <c r="CI216" i="1"/>
  <c r="CI217" i="1" s="1"/>
  <c r="CP233" i="1" l="1"/>
  <c r="CP237" i="1" s="1"/>
  <c r="CQ232" i="1"/>
  <c r="CP188" i="1"/>
  <c r="CO208" i="1"/>
  <c r="CJ79" i="1"/>
  <c r="CI151" i="1"/>
  <c r="CR232" i="1" l="1"/>
  <c r="CQ233" i="1"/>
  <c r="CQ237" i="1" s="1"/>
  <c r="CQ188" i="1"/>
  <c r="CQ195" i="1" s="1"/>
  <c r="CQ208" i="1" s="1"/>
  <c r="CP195" i="1"/>
  <c r="AB188" i="1"/>
  <c r="AB195" i="1" s="1"/>
  <c r="CR188" i="1" l="1"/>
  <c r="CR195" i="1" s="1"/>
  <c r="CR233" i="1"/>
  <c r="CR237" i="1" s="1"/>
  <c r="CS232" i="1"/>
  <c r="CQ247" i="1"/>
  <c r="CQ249" i="1" s="1"/>
  <c r="CP208" i="1"/>
  <c r="CP247" i="1"/>
  <c r="CP249" i="1" s="1"/>
  <c r="AB233" i="1"/>
  <c r="AB208" i="1"/>
  <c r="AB247" i="1"/>
  <c r="AB249" i="1" s="1"/>
  <c r="CK303" i="1"/>
  <c r="CR208" i="1" l="1"/>
  <c r="CR247" i="1"/>
  <c r="CR249" i="1" s="1"/>
  <c r="CS188" i="1"/>
  <c r="CS195" i="1" s="1"/>
  <c r="CT232" i="1"/>
  <c r="CS233" i="1"/>
  <c r="CS237" i="1" s="1"/>
  <c r="AB232" i="1"/>
  <c r="AB237" i="1"/>
  <c r="AB240" i="1" s="1"/>
  <c r="AB241" i="1" s="1"/>
  <c r="CT233" i="1" l="1"/>
  <c r="CT237" i="1" s="1"/>
  <c r="CS208" i="1"/>
  <c r="CS247" i="1"/>
  <c r="CS249" i="1" s="1"/>
  <c r="CT188" i="1"/>
  <c r="CT195" i="1" s="1"/>
  <c r="CU232" i="1"/>
  <c r="CK278" i="1"/>
  <c r="CK296" i="1"/>
  <c r="CK285" i="1"/>
  <c r="CU233" i="1" l="1"/>
  <c r="CU237" i="1" s="1"/>
  <c r="CV232" i="1"/>
  <c r="CU188" i="1"/>
  <c r="CU195" i="1" s="1"/>
  <c r="AC188" i="1"/>
  <c r="AC195" i="1" s="1"/>
  <c r="CK161" i="1"/>
  <c r="CK244" i="1"/>
  <c r="CK246" i="1" s="1"/>
  <c r="CK250" i="1" s="1"/>
  <c r="CK264" i="1" s="1"/>
  <c r="CT208" i="1"/>
  <c r="CT247" i="1"/>
  <c r="CT249" i="1" s="1"/>
  <c r="CV188" i="1" l="1"/>
  <c r="CV195" i="1" s="1"/>
  <c r="CV233" i="1"/>
  <c r="CV237" i="1" s="1"/>
  <c r="CW232" i="1"/>
  <c r="AC233" i="1"/>
  <c r="AC208" i="1"/>
  <c r="AC247" i="1"/>
  <c r="AC249" i="1" s="1"/>
  <c r="CU208" i="1"/>
  <c r="CU247" i="1"/>
  <c r="CU249" i="1" s="1"/>
  <c r="CK162" i="1"/>
  <c r="CL258" i="1" s="1"/>
  <c r="CL256" i="1" s="1"/>
  <c r="CW233" i="1" l="1"/>
  <c r="CW237" i="1" s="1"/>
  <c r="CV208" i="1"/>
  <c r="CV247" i="1"/>
  <c r="CV249" i="1" s="1"/>
  <c r="CW188" i="1"/>
  <c r="CW195" i="1" s="1"/>
  <c r="CX232" i="1"/>
  <c r="AC237" i="1"/>
  <c r="AC240" i="1" s="1"/>
  <c r="AC241" i="1" s="1"/>
  <c r="AC232" i="1"/>
  <c r="CK96" i="1"/>
  <c r="CK258" i="1"/>
  <c r="CK256" i="1" s="1"/>
  <c r="CK261" i="1" s="1"/>
  <c r="CK171" i="1"/>
  <c r="CK97" i="1" s="1"/>
  <c r="CR79" i="1"/>
  <c r="CW208" i="1" l="1"/>
  <c r="CW247" i="1"/>
  <c r="CW249" i="1" s="1"/>
  <c r="CX188" i="1"/>
  <c r="CX195" i="1" s="1"/>
  <c r="CY232" i="1"/>
  <c r="CX233" i="1"/>
  <c r="CX237" i="1" s="1"/>
  <c r="CK211" i="1"/>
  <c r="CK212" i="1" s="1"/>
  <c r="CS79" i="1"/>
  <c r="AD188" i="1" l="1"/>
  <c r="AD195" i="1" s="1"/>
  <c r="CY233" i="1"/>
  <c r="CY237" i="1" s="1"/>
  <c r="CY188" i="1"/>
  <c r="CY195" i="1" s="1"/>
  <c r="CZ232" i="1"/>
  <c r="CK262" i="1"/>
  <c r="CL260" i="1"/>
  <c r="CL261" i="1" s="1"/>
  <c r="CL262" i="1" s="1"/>
  <c r="CT79" i="1"/>
  <c r="CX208" i="1"/>
  <c r="CX247" i="1"/>
  <c r="CX249" i="1" s="1"/>
  <c r="CK295" i="1"/>
  <c r="CK297" i="1"/>
  <c r="CK219" i="1"/>
  <c r="CK216" i="1"/>
  <c r="CK217" i="1" s="1"/>
  <c r="CK299" i="1"/>
  <c r="DA232" i="1" l="1"/>
  <c r="CZ233" i="1"/>
  <c r="CZ237" i="1" s="1"/>
  <c r="CZ188" i="1"/>
  <c r="CZ195" i="1" s="1"/>
  <c r="AD233" i="1"/>
  <c r="AD208" i="1"/>
  <c r="AD247" i="1"/>
  <c r="AD249" i="1" s="1"/>
  <c r="CY208" i="1"/>
  <c r="CY247" i="1"/>
  <c r="CY249" i="1" s="1"/>
  <c r="CK151" i="1"/>
  <c r="CL79" i="1"/>
  <c r="CM79" i="1" s="1"/>
  <c r="CN79" i="1" s="1"/>
  <c r="CO79" i="1" s="1"/>
  <c r="CP79" i="1" s="1"/>
  <c r="CU79" i="1"/>
  <c r="DA188" i="1" l="1"/>
  <c r="DA195" i="1" s="1"/>
  <c r="DB232" i="1"/>
  <c r="DA233" i="1"/>
  <c r="DA237" i="1" s="1"/>
  <c r="CZ208" i="1"/>
  <c r="CZ247" i="1"/>
  <c r="CZ249" i="1" s="1"/>
  <c r="AD237" i="1"/>
  <c r="AD240" i="1" s="1"/>
  <c r="AD241" i="1" s="1"/>
  <c r="AD232" i="1"/>
  <c r="CV79" i="1"/>
  <c r="DA208" i="1" l="1"/>
  <c r="DB233" i="1"/>
  <c r="DB237" i="1" s="1"/>
  <c r="DA247" i="1"/>
  <c r="DA249" i="1" s="1"/>
  <c r="DB188" i="1"/>
  <c r="DB195" i="1" s="1"/>
  <c r="CW79" i="1"/>
  <c r="AE188" i="1" l="1"/>
  <c r="AE195" i="1" s="1"/>
  <c r="CX79" i="1"/>
  <c r="DB208" i="1"/>
  <c r="DB247" i="1"/>
  <c r="DB249" i="1" s="1"/>
  <c r="AE233" i="1" l="1"/>
  <c r="AE208" i="1"/>
  <c r="AE247" i="1"/>
  <c r="AE249" i="1" s="1"/>
  <c r="CY79" i="1"/>
  <c r="AE237" i="1" l="1"/>
  <c r="AE240" i="1" s="1"/>
  <c r="AE241" i="1" s="1"/>
  <c r="AE232" i="1"/>
  <c r="CZ79" i="1"/>
  <c r="DA79" i="1" l="1"/>
  <c r="DB79" i="1" l="1"/>
  <c r="AB260" i="1" l="1"/>
  <c r="CM260" i="1"/>
  <c r="CM78" i="1" l="1"/>
  <c r="CM80" i="1" l="1"/>
  <c r="CM303" i="1"/>
  <c r="CM81" i="1" l="1"/>
  <c r="CM83" i="1" s="1"/>
  <c r="CM84" i="1" l="1"/>
  <c r="CM296" i="1" s="1"/>
  <c r="CM285" i="1"/>
  <c r="CM86" i="1"/>
  <c r="CM90" i="1"/>
  <c r="CM85" i="1"/>
  <c r="CM278" i="1"/>
  <c r="CM244" i="1" l="1"/>
  <c r="CM246" i="1" s="1"/>
  <c r="CM250" i="1" s="1"/>
  <c r="CM264" i="1" s="1"/>
  <c r="CM161" i="1"/>
  <c r="CM162" i="1" l="1"/>
  <c r="CM171" i="1" l="1"/>
  <c r="CM97" i="1" s="1"/>
  <c r="CM258" i="1"/>
  <c r="CM256" i="1" s="1"/>
  <c r="CM261" i="1" s="1"/>
  <c r="CM96" i="1"/>
  <c r="CM211" i="1" l="1"/>
  <c r="CM212" i="1" s="1"/>
  <c r="CN260" i="1" l="1"/>
  <c r="CM216" i="1"/>
  <c r="CM217" i="1" s="1"/>
  <c r="CM295" i="1"/>
  <c r="CM299" i="1"/>
  <c r="CM219" i="1"/>
  <c r="CM297" i="1"/>
  <c r="CM262" i="1"/>
  <c r="CM151" i="1" l="1"/>
  <c r="CN78" i="1"/>
  <c r="CN80" i="1" l="1"/>
  <c r="CN303" i="1"/>
  <c r="CN81" i="1" l="1"/>
  <c r="CN83" i="1" l="1"/>
  <c r="CN285" i="1" l="1"/>
  <c r="CN86" i="1"/>
  <c r="CN85" i="1"/>
  <c r="CN90" i="1"/>
  <c r="CN84" i="1"/>
  <c r="CN296" i="1" s="1"/>
  <c r="CN278" i="1"/>
  <c r="CN244" i="1" l="1"/>
  <c r="CN246" i="1" s="1"/>
  <c r="CN250" i="1" s="1"/>
  <c r="CN264" i="1" s="1"/>
  <c r="CN161" i="1"/>
  <c r="CN162" i="1" l="1"/>
  <c r="CN258" i="1" l="1"/>
  <c r="CN256" i="1" s="1"/>
  <c r="CN261" i="1" s="1"/>
  <c r="CN171" i="1"/>
  <c r="CN97" i="1" s="1"/>
  <c r="CN96" i="1"/>
  <c r="CN211" i="1" l="1"/>
  <c r="CN212" i="1" s="1"/>
  <c r="CN295" i="1" l="1"/>
  <c r="CN299" i="1"/>
  <c r="CO260" i="1"/>
  <c r="CN219" i="1"/>
  <c r="CN297" i="1"/>
  <c r="CN216" i="1"/>
  <c r="CN217" i="1" s="1"/>
  <c r="CN262" i="1"/>
  <c r="CN151" i="1" l="1"/>
  <c r="CO78" i="1"/>
  <c r="CO80" i="1" l="1"/>
  <c r="CO303" i="1"/>
  <c r="CO81" i="1" l="1"/>
  <c r="CO83" i="1" s="1"/>
  <c r="CO285" i="1" l="1"/>
  <c r="CO85" i="1"/>
  <c r="CO84" i="1"/>
  <c r="CO296" i="1" s="1"/>
  <c r="CO90" i="1"/>
  <c r="CO86" i="1"/>
  <c r="CO278" i="1"/>
  <c r="CO244" i="1" l="1"/>
  <c r="CO246" i="1" s="1"/>
  <c r="CO250" i="1" s="1"/>
  <c r="CO264" i="1" s="1"/>
  <c r="CO161" i="1"/>
  <c r="CO162" i="1" l="1"/>
  <c r="CO258" i="1" l="1"/>
  <c r="CO256" i="1" s="1"/>
  <c r="CO261" i="1" s="1"/>
  <c r="CO171" i="1"/>
  <c r="CO97" i="1" s="1"/>
  <c r="CO96" i="1"/>
  <c r="CO211" i="1" l="1"/>
  <c r="CO212" i="1" s="1"/>
  <c r="CO262" i="1" s="1"/>
  <c r="CP260" i="1" l="1"/>
  <c r="CO219" i="1"/>
  <c r="CO295" i="1"/>
  <c r="CO299" i="1"/>
  <c r="CO216" i="1"/>
  <c r="CO217" i="1" s="1"/>
  <c r="CO297" i="1"/>
  <c r="CO151" i="1" l="1"/>
  <c r="CP78" i="1"/>
  <c r="CP80" i="1" l="1"/>
  <c r="CP303" i="1"/>
  <c r="AB78" i="1"/>
  <c r="AB79" i="1" l="1"/>
  <c r="AB80" i="1"/>
  <c r="AB303" i="1"/>
  <c r="CP81" i="1"/>
  <c r="AB81" i="1" s="1"/>
  <c r="AB82" i="1" l="1"/>
  <c r="AB83" i="1"/>
  <c r="CP83" i="1"/>
  <c r="CP285" i="1" l="1"/>
  <c r="CP85" i="1"/>
  <c r="CP90" i="1"/>
  <c r="CP86" i="1"/>
  <c r="CP84" i="1"/>
  <c r="CP296" i="1" s="1"/>
  <c r="CP278" i="1"/>
  <c r="AB90" i="1"/>
  <c r="AB103" i="1"/>
  <c r="AB84" i="1"/>
  <c r="AB296" i="1" s="1"/>
  <c r="AB85" i="1"/>
  <c r="CP244" i="1" l="1"/>
  <c r="CP246" i="1" s="1"/>
  <c r="CP250" i="1" s="1"/>
  <c r="CP264" i="1" s="1"/>
  <c r="CP161" i="1"/>
  <c r="AB93" i="1"/>
  <c r="AB94" i="1" s="1"/>
  <c r="AB244" i="1"/>
  <c r="AB246" i="1" s="1"/>
  <c r="AB250" i="1" s="1"/>
  <c r="AB264" i="1" s="1"/>
  <c r="CP162" i="1" l="1"/>
  <c r="AB161" i="1"/>
  <c r="AB162" i="1" s="1"/>
  <c r="AB171" i="1" l="1"/>
  <c r="AB97" i="1" s="1"/>
  <c r="AB258" i="1"/>
  <c r="AB256" i="1" s="1"/>
  <c r="AB261" i="1" s="1"/>
  <c r="AB226" i="1"/>
  <c r="AB96" i="1"/>
  <c r="CP258" i="1"/>
  <c r="CP256" i="1" s="1"/>
  <c r="CP261" i="1" s="1"/>
  <c r="CP171" i="1"/>
  <c r="CP97" i="1" s="1"/>
  <c r="CP96" i="1"/>
  <c r="CP211" i="1" l="1"/>
  <c r="CP212" i="1" l="1"/>
  <c r="AB211" i="1"/>
  <c r="AB212" i="1" s="1"/>
  <c r="AC260" i="1" l="1"/>
  <c r="AB219" i="1"/>
  <c r="AB151" i="1" s="1"/>
  <c r="AB295" i="1"/>
  <c r="AB297" i="1"/>
  <c r="AB299" i="1"/>
  <c r="AB216" i="1"/>
  <c r="AB217" i="1" s="1"/>
  <c r="AB262" i="1"/>
  <c r="CP219" i="1"/>
  <c r="CP216" i="1"/>
  <c r="CP217" i="1" s="1"/>
  <c r="CP299" i="1"/>
  <c r="CQ260" i="1"/>
  <c r="CP295" i="1"/>
  <c r="CP297" i="1"/>
  <c r="CP262" i="1"/>
  <c r="CP151" i="1" l="1"/>
  <c r="CQ78" i="1"/>
  <c r="CQ303" i="1" l="1"/>
  <c r="CQ80" i="1"/>
  <c r="CQ81" i="1" l="1"/>
  <c r="CQ83" i="1" s="1"/>
  <c r="CQ86" i="1" l="1"/>
  <c r="CQ90" i="1"/>
  <c r="CQ285" i="1"/>
  <c r="CQ84" i="1"/>
  <c r="CQ296" i="1" s="1"/>
  <c r="CQ85" i="1"/>
  <c r="CQ278" i="1"/>
  <c r="CQ244" i="1" l="1"/>
  <c r="CQ246" i="1" s="1"/>
  <c r="CQ250" i="1" s="1"/>
  <c r="CQ264" i="1" s="1"/>
  <c r="CQ161" i="1"/>
  <c r="CQ162" i="1" l="1"/>
  <c r="CQ258" i="1" l="1"/>
  <c r="CQ256" i="1" s="1"/>
  <c r="CQ261" i="1" s="1"/>
  <c r="CQ171" i="1"/>
  <c r="CQ97" i="1" s="1"/>
  <c r="CQ96" i="1"/>
  <c r="CQ211" i="1" l="1"/>
  <c r="CQ212" i="1" s="1"/>
  <c r="CQ262" i="1" s="1"/>
  <c r="CQ295" i="1" l="1"/>
  <c r="CQ299" i="1"/>
  <c r="CR260" i="1"/>
  <c r="CQ219" i="1"/>
  <c r="CQ297" i="1"/>
  <c r="CQ216" i="1"/>
  <c r="CQ217" i="1" s="1"/>
  <c r="CQ151" i="1" l="1"/>
  <c r="CR78" i="1"/>
  <c r="CR80" i="1" l="1"/>
  <c r="CR303" i="1"/>
  <c r="CR81" i="1" l="1"/>
  <c r="CR83" i="1" s="1"/>
  <c r="CR285" i="1" l="1"/>
  <c r="CR90" i="1"/>
  <c r="CR84" i="1"/>
  <c r="CR296" i="1" s="1"/>
  <c r="CR86" i="1"/>
  <c r="CR85" i="1"/>
  <c r="CR278" i="1"/>
  <c r="CR244" i="1" l="1"/>
  <c r="CR246" i="1" s="1"/>
  <c r="CR250" i="1" s="1"/>
  <c r="CR264" i="1" s="1"/>
  <c r="CR161" i="1"/>
  <c r="CR162" i="1" l="1"/>
  <c r="CR258" i="1" l="1"/>
  <c r="CR256" i="1" s="1"/>
  <c r="CR261" i="1" s="1"/>
  <c r="CR171" i="1"/>
  <c r="CR97" i="1" s="1"/>
  <c r="CR96" i="1"/>
  <c r="CR211" i="1" l="1"/>
  <c r="CR212" i="1" s="1"/>
  <c r="CR297" i="1" l="1"/>
  <c r="CR299" i="1"/>
  <c r="CS260" i="1"/>
  <c r="CR219" i="1"/>
  <c r="CR295" i="1"/>
  <c r="CR216" i="1"/>
  <c r="CR217" i="1" s="1"/>
  <c r="CR262" i="1"/>
  <c r="CR151" i="1" l="1"/>
  <c r="CS78" i="1"/>
  <c r="CS80" i="1" l="1"/>
  <c r="CS303" i="1"/>
  <c r="CS81" i="1" l="1"/>
  <c r="CS83" i="1" s="1"/>
  <c r="CS85" i="1" l="1"/>
  <c r="CS84" i="1"/>
  <c r="CS296" i="1" s="1"/>
  <c r="CS90" i="1"/>
  <c r="CS86" i="1"/>
  <c r="CS285" i="1"/>
  <c r="CS278" i="1"/>
  <c r="CS244" i="1" l="1"/>
  <c r="CS246" i="1" s="1"/>
  <c r="CS250" i="1" s="1"/>
  <c r="CS264" i="1" s="1"/>
  <c r="CS161" i="1"/>
  <c r="CS162" i="1" l="1"/>
  <c r="CS258" i="1" l="1"/>
  <c r="CS256" i="1" s="1"/>
  <c r="CS261" i="1" s="1"/>
  <c r="CS171" i="1"/>
  <c r="CS97" i="1" s="1"/>
  <c r="CS96" i="1"/>
  <c r="CS211" i="1" l="1"/>
  <c r="CS212" i="1" s="1"/>
  <c r="CS262" i="1" s="1"/>
  <c r="CT260" i="1" l="1"/>
  <c r="CS295" i="1"/>
  <c r="CS297" i="1"/>
  <c r="CS216" i="1"/>
  <c r="CS217" i="1" s="1"/>
  <c r="CS299" i="1"/>
  <c r="CS219" i="1"/>
  <c r="CS151" i="1" l="1"/>
  <c r="CT78" i="1"/>
  <c r="CT80" i="1" l="1"/>
  <c r="CT303" i="1"/>
  <c r="AC78" i="1"/>
  <c r="AC80" i="1" l="1"/>
  <c r="AC79" i="1"/>
  <c r="AC303" i="1"/>
  <c r="CT81" i="1"/>
  <c r="AC81" i="1" s="1"/>
  <c r="AC82" i="1" l="1"/>
  <c r="CT83" i="1"/>
  <c r="CT278" i="1" s="1"/>
  <c r="AC83" i="1"/>
  <c r="CT84" i="1" l="1"/>
  <c r="CT296" i="1" s="1"/>
  <c r="CT86" i="1"/>
  <c r="CT85" i="1"/>
  <c r="CT90" i="1"/>
  <c r="CT161" i="1" s="1"/>
  <c r="CT285" i="1"/>
  <c r="AC84" i="1"/>
  <c r="AC296" i="1" s="1"/>
  <c r="AC90" i="1"/>
  <c r="AC103" i="1"/>
  <c r="AC85" i="1"/>
  <c r="CT244" i="1" l="1"/>
  <c r="CT246" i="1" s="1"/>
  <c r="CT250" i="1" s="1"/>
  <c r="CT264" i="1" s="1"/>
  <c r="CT162" i="1"/>
  <c r="AC161" i="1"/>
  <c r="AC162" i="1" s="1"/>
  <c r="AC96" i="1" s="1"/>
  <c r="AC244" i="1"/>
  <c r="AC246" i="1" s="1"/>
  <c r="AC250" i="1" s="1"/>
  <c r="AC264" i="1" s="1"/>
  <c r="AC93" i="1"/>
  <c r="AC94" i="1" s="1"/>
  <c r="CT258" i="1" l="1"/>
  <c r="CT256" i="1" s="1"/>
  <c r="CT261" i="1" s="1"/>
  <c r="CT171" i="1"/>
  <c r="CT97" i="1" s="1"/>
  <c r="CT96" i="1"/>
  <c r="AC226" i="1"/>
  <c r="AC258" i="1"/>
  <c r="AC256" i="1" s="1"/>
  <c r="AC261" i="1" s="1"/>
  <c r="AC171" i="1"/>
  <c r="AC97" i="1" s="1"/>
  <c r="CT211" i="1" l="1"/>
  <c r="AC211" i="1" l="1"/>
  <c r="AC212" i="1" s="1"/>
  <c r="CT212" i="1"/>
  <c r="CT216" i="1" l="1"/>
  <c r="CT217" i="1" s="1"/>
  <c r="CT295" i="1"/>
  <c r="CU260" i="1"/>
  <c r="CT299" i="1"/>
  <c r="CT219" i="1"/>
  <c r="CT297" i="1"/>
  <c r="CT262" i="1"/>
  <c r="AD260" i="1"/>
  <c r="AC219" i="1"/>
  <c r="AC151" i="1" s="1"/>
  <c r="AC299" i="1"/>
  <c r="AC297" i="1"/>
  <c r="AC295" i="1"/>
  <c r="AC216" i="1"/>
  <c r="AC217" i="1" s="1"/>
  <c r="AC262" i="1"/>
  <c r="CT151" i="1" l="1"/>
  <c r="CU78" i="1"/>
  <c r="CU303" i="1" l="1"/>
  <c r="CU80" i="1"/>
  <c r="CU81" i="1" l="1"/>
  <c r="CU83" i="1" s="1"/>
  <c r="CU86" i="1" l="1"/>
  <c r="CU85" i="1"/>
  <c r="CU90" i="1"/>
  <c r="CU285" i="1"/>
  <c r="CU84" i="1"/>
  <c r="CU296" i="1" s="1"/>
  <c r="CU278" i="1"/>
  <c r="CU244" i="1" l="1"/>
  <c r="CU246" i="1" s="1"/>
  <c r="CU250" i="1" s="1"/>
  <c r="CU264" i="1" s="1"/>
  <c r="CU161" i="1"/>
  <c r="CU162" i="1" l="1"/>
  <c r="CU258" i="1" l="1"/>
  <c r="CU256" i="1" s="1"/>
  <c r="CU261" i="1" s="1"/>
  <c r="CU171" i="1"/>
  <c r="CU97" i="1" s="1"/>
  <c r="CU96" i="1"/>
  <c r="CU211" i="1" l="1"/>
  <c r="CU212" i="1" s="1"/>
  <c r="CU216" i="1" l="1"/>
  <c r="CU217" i="1" s="1"/>
  <c r="CU297" i="1"/>
  <c r="CU299" i="1"/>
  <c r="CU219" i="1"/>
  <c r="CU295" i="1"/>
  <c r="CV260" i="1"/>
  <c r="CU262" i="1"/>
  <c r="CU151" i="1" l="1"/>
  <c r="CV78" i="1"/>
  <c r="CV80" i="1" l="1"/>
  <c r="CV303" i="1"/>
  <c r="CV81" i="1" l="1"/>
  <c r="CV83" i="1" l="1"/>
  <c r="CV84" i="1" l="1"/>
  <c r="CV296" i="1" s="1"/>
  <c r="CV85" i="1"/>
  <c r="CV90" i="1"/>
  <c r="CV86" i="1"/>
  <c r="CV285" i="1"/>
  <c r="CV278" i="1"/>
  <c r="CV244" i="1" l="1"/>
  <c r="CV246" i="1" s="1"/>
  <c r="CV250" i="1" s="1"/>
  <c r="CV264" i="1" s="1"/>
  <c r="CV161" i="1"/>
  <c r="CV162" i="1" l="1"/>
  <c r="CV171" i="1" l="1"/>
  <c r="CV97" i="1" s="1"/>
  <c r="CV258" i="1"/>
  <c r="CV256" i="1" s="1"/>
  <c r="CV261" i="1" s="1"/>
  <c r="CV96" i="1"/>
  <c r="CV211" i="1" l="1"/>
  <c r="CV212" i="1" s="1"/>
  <c r="CV262" i="1" s="1"/>
  <c r="CW260" i="1" l="1"/>
  <c r="CV216" i="1"/>
  <c r="CV217" i="1" s="1"/>
  <c r="CV295" i="1"/>
  <c r="CV297" i="1"/>
  <c r="CV219" i="1"/>
  <c r="CV299" i="1"/>
  <c r="CV151" i="1" l="1"/>
  <c r="CW78" i="1"/>
  <c r="CW303" i="1" l="1"/>
  <c r="CW80" i="1"/>
  <c r="CW81" i="1" l="1"/>
  <c r="CW83" i="1" s="1"/>
  <c r="CW85" i="1" l="1"/>
  <c r="CW86" i="1"/>
  <c r="CW84" i="1"/>
  <c r="CW296" i="1" s="1"/>
  <c r="CW90" i="1"/>
  <c r="CW285" i="1"/>
  <c r="CW278" i="1"/>
  <c r="CW244" i="1" l="1"/>
  <c r="CW246" i="1" s="1"/>
  <c r="CW250" i="1" s="1"/>
  <c r="CW264" i="1" s="1"/>
  <c r="CW161" i="1"/>
  <c r="CW162" i="1" l="1"/>
  <c r="CW171" i="1" l="1"/>
  <c r="CW97" i="1" s="1"/>
  <c r="CW258" i="1"/>
  <c r="CW256" i="1" s="1"/>
  <c r="CW261" i="1" s="1"/>
  <c r="CW96" i="1"/>
  <c r="CW211" i="1" l="1"/>
  <c r="CW212" i="1" s="1"/>
  <c r="CW262" i="1" s="1"/>
  <c r="CX260" i="1" l="1"/>
  <c r="CW216" i="1"/>
  <c r="CW217" i="1" s="1"/>
  <c r="CW295" i="1"/>
  <c r="CW219" i="1"/>
  <c r="CW299" i="1"/>
  <c r="CW297" i="1"/>
  <c r="CW151" i="1" l="1"/>
  <c r="CX78" i="1"/>
  <c r="CX80" i="1" l="1"/>
  <c r="CX303" i="1"/>
  <c r="AD78" i="1"/>
  <c r="AD303" i="1" l="1"/>
  <c r="AD80" i="1"/>
  <c r="AD79" i="1"/>
  <c r="CX81" i="1"/>
  <c r="AD81" i="1" s="1"/>
  <c r="AD82" i="1" l="1"/>
  <c r="AD83" i="1"/>
  <c r="CX83" i="1"/>
  <c r="CX90" i="1" l="1"/>
  <c r="CX85" i="1"/>
  <c r="CX285" i="1"/>
  <c r="CX86" i="1"/>
  <c r="CX84" i="1"/>
  <c r="CX296" i="1" s="1"/>
  <c r="CX278" i="1"/>
  <c r="AD103" i="1"/>
  <c r="AD90" i="1"/>
  <c r="AD84" i="1"/>
  <c r="AD296" i="1" s="1"/>
  <c r="AD85" i="1"/>
  <c r="AD244" i="1" l="1"/>
  <c r="AD246" i="1" s="1"/>
  <c r="AD250" i="1" s="1"/>
  <c r="AD264" i="1" s="1"/>
  <c r="AD93" i="1"/>
  <c r="AD94" i="1" s="1"/>
  <c r="CX244" i="1"/>
  <c r="CX246" i="1" s="1"/>
  <c r="CX250" i="1" s="1"/>
  <c r="CX264" i="1" s="1"/>
  <c r="CX161" i="1"/>
  <c r="AD161" i="1" l="1"/>
  <c r="AD162" i="1" s="1"/>
  <c r="CX162" i="1"/>
  <c r="AD171" i="1" l="1"/>
  <c r="AD97" i="1" s="1"/>
  <c r="AD258" i="1"/>
  <c r="AD256" i="1" s="1"/>
  <c r="AD261" i="1" s="1"/>
  <c r="AD226" i="1"/>
  <c r="AD96" i="1"/>
  <c r="CX258" i="1"/>
  <c r="CX256" i="1" s="1"/>
  <c r="CX261" i="1" s="1"/>
  <c r="CX171" i="1"/>
  <c r="CX97" i="1" s="1"/>
  <c r="CX96" i="1"/>
  <c r="CX211" i="1" l="1"/>
  <c r="CX212" i="1" l="1"/>
  <c r="AD211" i="1"/>
  <c r="AD212" i="1" s="1"/>
  <c r="CX219" i="1" l="1"/>
  <c r="CY260" i="1"/>
  <c r="CX295" i="1"/>
  <c r="CX216" i="1"/>
  <c r="CX217" i="1" s="1"/>
  <c r="CX299" i="1"/>
  <c r="CX297" i="1"/>
  <c r="CX262" i="1"/>
  <c r="AE260" i="1"/>
  <c r="AD299" i="1"/>
  <c r="AD295" i="1"/>
  <c r="AD216" i="1"/>
  <c r="AD217" i="1" s="1"/>
  <c r="AD219" i="1"/>
  <c r="AD151" i="1" s="1"/>
  <c r="AD297" i="1"/>
  <c r="AD262" i="1"/>
  <c r="CX151" i="1" l="1"/>
  <c r="CY78" i="1"/>
  <c r="CY80" i="1" l="1"/>
  <c r="CY303" i="1"/>
  <c r="CY81" i="1" l="1"/>
  <c r="CY83" i="1" l="1"/>
  <c r="CY86" i="1" l="1"/>
  <c r="CY90" i="1"/>
  <c r="CY285" i="1"/>
  <c r="CY84" i="1"/>
  <c r="CY296" i="1" s="1"/>
  <c r="CY85" i="1"/>
  <c r="CY278" i="1"/>
  <c r="CY244" i="1" l="1"/>
  <c r="CY246" i="1" s="1"/>
  <c r="CY250" i="1" s="1"/>
  <c r="CY264" i="1" s="1"/>
  <c r="CY161" i="1"/>
  <c r="CY162" i="1" l="1"/>
  <c r="CY258" i="1" l="1"/>
  <c r="CY256" i="1" s="1"/>
  <c r="CY261" i="1" s="1"/>
  <c r="CY171" i="1"/>
  <c r="CY97" i="1" s="1"/>
  <c r="CY96" i="1"/>
  <c r="CY211" i="1" l="1"/>
  <c r="CY212" i="1" s="1"/>
  <c r="CY295" i="1" l="1"/>
  <c r="CY299" i="1"/>
  <c r="CY219" i="1"/>
  <c r="CY297" i="1"/>
  <c r="CZ260" i="1"/>
  <c r="CY216" i="1"/>
  <c r="CY217" i="1" s="1"/>
  <c r="CY262" i="1"/>
  <c r="CY151" i="1" l="1"/>
  <c r="CZ78" i="1"/>
  <c r="CZ80" i="1" l="1"/>
  <c r="CZ303" i="1"/>
  <c r="CZ81" i="1" l="1"/>
  <c r="CZ83" i="1" s="1"/>
  <c r="CZ86" i="1" l="1"/>
  <c r="CZ285" i="1"/>
  <c r="CZ90" i="1"/>
  <c r="CZ84" i="1"/>
  <c r="CZ296" i="1" s="1"/>
  <c r="CZ85" i="1"/>
  <c r="CZ278" i="1"/>
  <c r="CZ244" i="1" l="1"/>
  <c r="CZ246" i="1" s="1"/>
  <c r="CZ250" i="1" s="1"/>
  <c r="CZ264" i="1" s="1"/>
  <c r="CZ161" i="1"/>
  <c r="CZ162" i="1" l="1"/>
  <c r="CZ258" i="1" l="1"/>
  <c r="CZ256" i="1" s="1"/>
  <c r="CZ261" i="1" s="1"/>
  <c r="CZ171" i="1"/>
  <c r="CZ97" i="1" s="1"/>
  <c r="CZ96" i="1"/>
  <c r="CZ211" i="1" l="1"/>
  <c r="CZ212" i="1" s="1"/>
  <c r="CZ219" i="1" l="1"/>
  <c r="CZ299" i="1"/>
  <c r="CZ297" i="1"/>
  <c r="CZ216" i="1"/>
  <c r="CZ217" i="1" s="1"/>
  <c r="CZ295" i="1"/>
  <c r="DA260" i="1"/>
  <c r="CZ262" i="1"/>
  <c r="CZ151" i="1" l="1"/>
  <c r="DA78" i="1"/>
  <c r="DA303" i="1" l="1"/>
  <c r="DA80" i="1"/>
  <c r="DA81" i="1" l="1"/>
  <c r="DA83" i="1" l="1"/>
  <c r="DA86" i="1" l="1"/>
  <c r="DA85" i="1"/>
  <c r="DA285" i="1"/>
  <c r="DA90" i="1"/>
  <c r="DA84" i="1"/>
  <c r="DA296" i="1" s="1"/>
  <c r="DA278" i="1"/>
  <c r="DA244" i="1" l="1"/>
  <c r="DA246" i="1" s="1"/>
  <c r="DA250" i="1" s="1"/>
  <c r="DA264" i="1" s="1"/>
  <c r="DA161" i="1"/>
  <c r="DA162" i="1" l="1"/>
  <c r="DA258" i="1" l="1"/>
  <c r="DA256" i="1" s="1"/>
  <c r="DA261" i="1" s="1"/>
  <c r="DA171" i="1"/>
  <c r="DA97" i="1" s="1"/>
  <c r="DA96" i="1"/>
  <c r="DA211" i="1" l="1"/>
  <c r="DA212" i="1" s="1"/>
  <c r="DA262" i="1" s="1"/>
  <c r="DB260" i="1" l="1"/>
  <c r="DA216" i="1"/>
  <c r="DA217" i="1" s="1"/>
  <c r="DA297" i="1"/>
  <c r="DA295" i="1"/>
  <c r="DA219" i="1"/>
  <c r="DA299" i="1"/>
  <c r="DA151" i="1" l="1"/>
  <c r="DB78" i="1"/>
  <c r="DB80" i="1" l="1"/>
  <c r="DB303" i="1"/>
  <c r="AE78" i="1"/>
  <c r="AE303" i="1" l="1"/>
  <c r="AE79" i="1"/>
  <c r="AE80" i="1"/>
  <c r="DB81" i="1"/>
  <c r="AE81" i="1" s="1"/>
  <c r="AE82" i="1" l="1"/>
  <c r="AE83" i="1"/>
  <c r="DB83" i="1"/>
  <c r="DB85" i="1" l="1"/>
  <c r="DB84" i="1"/>
  <c r="DB296" i="1" s="1"/>
  <c r="DB285" i="1"/>
  <c r="DB90" i="1"/>
  <c r="DB86" i="1"/>
  <c r="DB278" i="1"/>
  <c r="AE103" i="1"/>
  <c r="AE84" i="1"/>
  <c r="AE296" i="1" s="1"/>
  <c r="AE90" i="1"/>
  <c r="AE85" i="1"/>
  <c r="DB244" i="1" l="1"/>
  <c r="DB246" i="1" s="1"/>
  <c r="DB250" i="1" s="1"/>
  <c r="DB264" i="1" s="1"/>
  <c r="DB161" i="1"/>
  <c r="AE93" i="1"/>
  <c r="AE94" i="1" s="1"/>
  <c r="AE244" i="1"/>
  <c r="AE246" i="1" s="1"/>
  <c r="AE250" i="1" s="1"/>
  <c r="AE264" i="1" s="1"/>
  <c r="AE161" i="1" l="1"/>
  <c r="AE162" i="1" s="1"/>
  <c r="DB162" i="1"/>
  <c r="DB171" i="1" l="1"/>
  <c r="DB97" i="1" s="1"/>
  <c r="DB258" i="1"/>
  <c r="DB256" i="1" s="1"/>
  <c r="DB261" i="1" s="1"/>
  <c r="DB96" i="1"/>
  <c r="AE226" i="1"/>
  <c r="AE171" i="1"/>
  <c r="AE97" i="1" s="1"/>
  <c r="AE258" i="1"/>
  <c r="AE256" i="1" s="1"/>
  <c r="AE261" i="1" s="1"/>
  <c r="AE96" i="1"/>
  <c r="DB211" i="1" l="1"/>
  <c r="AE211" i="1" l="1"/>
  <c r="AE212" i="1" s="1"/>
  <c r="DB212" i="1"/>
  <c r="AE219" i="1" l="1"/>
  <c r="AE151" i="1" s="1"/>
  <c r="AE295" i="1"/>
  <c r="AE299" i="1"/>
  <c r="AE216" i="1"/>
  <c r="AE217" i="1" s="1"/>
  <c r="AE297" i="1"/>
  <c r="AE262" i="1"/>
  <c r="DB297" i="1"/>
  <c r="DB216" i="1"/>
  <c r="DB217" i="1" s="1"/>
  <c r="DB299" i="1"/>
  <c r="DB219" i="1"/>
  <c r="DB151" i="1" s="1"/>
  <c r="DB295" i="1"/>
  <c r="DB262" i="1"/>
  <c r="CK107" i="1" l="1"/>
  <c r="CK150" i="1" s="1"/>
  <c r="CK153" i="1" s="1"/>
  <c r="CK156" i="1" s="1"/>
  <c r="CI107" i="1" l="1"/>
  <c r="CI150" i="1" s="1"/>
  <c r="CI153" i="1" s="1"/>
  <c r="CI156" i="1" s="1"/>
  <c r="CJ107" i="1"/>
  <c r="CJ141" i="1" s="1"/>
  <c r="CK141" i="1"/>
  <c r="CK146" i="1" s="1"/>
  <c r="CK108" i="1"/>
  <c r="CK134" i="1"/>
  <c r="CK149" i="1"/>
  <c r="CK152" i="1" s="1"/>
  <c r="CK155" i="1" s="1"/>
  <c r="CI141" i="1" l="1"/>
  <c r="CI134" i="1"/>
  <c r="CI108" i="1"/>
  <c r="CI149" i="1"/>
  <c r="CI152" i="1" s="1"/>
  <c r="CI155" i="1" s="1"/>
  <c r="CJ149" i="1"/>
  <c r="CJ152" i="1" s="1"/>
  <c r="CJ155" i="1" s="1"/>
  <c r="CJ134" i="1"/>
  <c r="CJ150" i="1"/>
  <c r="CJ153" i="1" s="1"/>
  <c r="CJ156" i="1" s="1"/>
  <c r="CJ108" i="1"/>
  <c r="CK144" i="1"/>
  <c r="CK145" i="1"/>
  <c r="CH107" i="1"/>
  <c r="CJ145" i="1"/>
  <c r="CJ144" i="1"/>
  <c r="CJ146" i="1"/>
  <c r="CK137" i="1"/>
  <c r="CK138" i="1"/>
  <c r="CK136" i="1"/>
  <c r="CJ137" i="1"/>
  <c r="CJ136" i="1"/>
  <c r="CI144" i="1" l="1"/>
  <c r="CI136" i="1"/>
  <c r="CI145" i="1"/>
  <c r="CI146" i="1"/>
  <c r="CJ138" i="1"/>
  <c r="CI137" i="1"/>
  <c r="CI138" i="1"/>
  <c r="CH149" i="1"/>
  <c r="CH152" i="1" s="1"/>
  <c r="CH155" i="1" s="1"/>
  <c r="CH108" i="1"/>
  <c r="CK111" i="1" s="1"/>
  <c r="CK127" i="1" s="1"/>
  <c r="CH150" i="1"/>
  <c r="CH153" i="1" s="1"/>
  <c r="CH156" i="1" s="1"/>
  <c r="CH141" i="1"/>
  <c r="CH134" i="1"/>
  <c r="CG107" i="1"/>
  <c r="CK129" i="1" l="1"/>
  <c r="CG131" i="1"/>
  <c r="CK128" i="1"/>
  <c r="CG141" i="1"/>
  <c r="CG150" i="1"/>
  <c r="CG153" i="1" s="1"/>
  <c r="CG156" i="1" s="1"/>
  <c r="CG149" i="1"/>
  <c r="CG152" i="1" s="1"/>
  <c r="CG155" i="1" s="1"/>
  <c r="CG134" i="1"/>
  <c r="CG108" i="1"/>
  <c r="CJ111" i="1" s="1"/>
  <c r="CH145" i="1"/>
  <c r="CH144" i="1"/>
  <c r="CH146" i="1"/>
  <c r="CF107" i="1"/>
  <c r="CH136" i="1"/>
  <c r="CH138" i="1"/>
  <c r="CH137" i="1"/>
  <c r="CG137" i="1" l="1"/>
  <c r="CG138" i="1"/>
  <c r="CG136" i="1"/>
  <c r="CE107" i="1"/>
  <c r="CF134" i="1"/>
  <c r="CF149" i="1"/>
  <c r="CF152" i="1" s="1"/>
  <c r="CF155" i="1" s="1"/>
  <c r="CF150" i="1"/>
  <c r="CF153" i="1" s="1"/>
  <c r="CF156" i="1" s="1"/>
  <c r="CF141" i="1"/>
  <c r="CF108" i="1"/>
  <c r="CI111" i="1" s="1"/>
  <c r="CJ129" i="1"/>
  <c r="CJ128" i="1"/>
  <c r="CJ127" i="1"/>
  <c r="CF131" i="1"/>
  <c r="CG146" i="1"/>
  <c r="CG145" i="1"/>
  <c r="CG144" i="1"/>
  <c r="CE149" i="1" l="1"/>
  <c r="CE152" i="1" s="1"/>
  <c r="CE155" i="1" s="1"/>
  <c r="CE150" i="1"/>
  <c r="CE153" i="1" s="1"/>
  <c r="CE156" i="1" s="1"/>
  <c r="CE134" i="1"/>
  <c r="CE108" i="1"/>
  <c r="CH111" i="1" s="1"/>
  <c r="CE141" i="1"/>
  <c r="CI127" i="1"/>
  <c r="CI128" i="1"/>
  <c r="CI129" i="1"/>
  <c r="CE131" i="1"/>
  <c r="CF138" i="1"/>
  <c r="CF137" i="1"/>
  <c r="CF136" i="1"/>
  <c r="CF144" i="1"/>
  <c r="CF145" i="1"/>
  <c r="CF146" i="1"/>
  <c r="CD107" i="1"/>
  <c r="CE138" i="1" l="1"/>
  <c r="CE136" i="1"/>
  <c r="CE137" i="1"/>
  <c r="CD131" i="1"/>
  <c r="CH127" i="1"/>
  <c r="CH128" i="1"/>
  <c r="CK132" i="1" s="1"/>
  <c r="CH129" i="1"/>
  <c r="CC107" i="1"/>
  <c r="CD141" i="1"/>
  <c r="CD108" i="1"/>
  <c r="CG111" i="1" s="1"/>
  <c r="CD150" i="1"/>
  <c r="CD153" i="1" s="1"/>
  <c r="CD156" i="1" s="1"/>
  <c r="CD149" i="1"/>
  <c r="CD152" i="1" s="1"/>
  <c r="CD155" i="1" s="1"/>
  <c r="CD134" i="1"/>
  <c r="CE146" i="1"/>
  <c r="CE144" i="1"/>
  <c r="CE145" i="1"/>
  <c r="CB107" i="1" l="1"/>
  <c r="CD136" i="1"/>
  <c r="CD138" i="1"/>
  <c r="CD137" i="1"/>
  <c r="CD144" i="1"/>
  <c r="CD145" i="1"/>
  <c r="CD146" i="1"/>
  <c r="CC149" i="1"/>
  <c r="CC152" i="1" s="1"/>
  <c r="CC155" i="1" s="1"/>
  <c r="CC150" i="1"/>
  <c r="CC153" i="1" s="1"/>
  <c r="CC156" i="1" s="1"/>
  <c r="CC134" i="1"/>
  <c r="CC141" i="1"/>
  <c r="CC108" i="1"/>
  <c r="CF111" i="1" s="1"/>
  <c r="CG127" i="1"/>
  <c r="CK112" i="1"/>
  <c r="CC131" i="1"/>
  <c r="CG129" i="1"/>
  <c r="CG128" i="1"/>
  <c r="CJ132" i="1" s="1"/>
  <c r="CC146" i="1" l="1"/>
  <c r="CC144" i="1"/>
  <c r="CC145" i="1"/>
  <c r="CC137" i="1"/>
  <c r="CC138" i="1"/>
  <c r="CC136" i="1"/>
  <c r="CA107" i="1"/>
  <c r="CF129" i="1"/>
  <c r="CF127" i="1"/>
  <c r="CB131" i="1"/>
  <c r="CJ112" i="1"/>
  <c r="CF128" i="1"/>
  <c r="CI132" i="1" s="1"/>
  <c r="CB141" i="1"/>
  <c r="CB108" i="1"/>
  <c r="CE111" i="1" s="1"/>
  <c r="CB134" i="1"/>
  <c r="CB150" i="1"/>
  <c r="CB153" i="1" s="1"/>
  <c r="CB156" i="1" s="1"/>
  <c r="CB149" i="1"/>
  <c r="CB152" i="1" s="1"/>
  <c r="CB155" i="1" s="1"/>
  <c r="CI112" i="1" l="1"/>
  <c r="CE129" i="1"/>
  <c r="CE128" i="1"/>
  <c r="CH132" i="1" s="1"/>
  <c r="CE127" i="1"/>
  <c r="CA131" i="1"/>
  <c r="BZ107" i="1"/>
  <c r="CB136" i="1"/>
  <c r="CB138" i="1"/>
  <c r="CB137" i="1"/>
  <c r="CB144" i="1"/>
  <c r="CB146" i="1"/>
  <c r="CB145" i="1"/>
  <c r="CA134" i="1"/>
  <c r="CA108" i="1"/>
  <c r="CD111" i="1" s="1"/>
  <c r="CA150" i="1"/>
  <c r="CA153" i="1" s="1"/>
  <c r="CA156" i="1" s="1"/>
  <c r="CA149" i="1"/>
  <c r="CA152" i="1" s="1"/>
  <c r="CA155" i="1" s="1"/>
  <c r="CA141" i="1"/>
  <c r="BZ131" i="1" l="1"/>
  <c r="CH112" i="1"/>
  <c r="CD127" i="1"/>
  <c r="CD128" i="1"/>
  <c r="CG132" i="1" s="1"/>
  <c r="CD129" i="1"/>
  <c r="CA145" i="1"/>
  <c r="CA146" i="1"/>
  <c r="CA144" i="1"/>
  <c r="CA136" i="1"/>
  <c r="CA138" i="1"/>
  <c r="CA137" i="1"/>
  <c r="BY107" i="1"/>
  <c r="BZ149" i="1"/>
  <c r="BZ152" i="1" s="1"/>
  <c r="BZ155" i="1" s="1"/>
  <c r="BZ150" i="1"/>
  <c r="BZ153" i="1" s="1"/>
  <c r="BZ156" i="1" s="1"/>
  <c r="BZ141" i="1"/>
  <c r="BZ108" i="1"/>
  <c r="CC111" i="1" s="1"/>
  <c r="BZ134" i="1"/>
  <c r="BZ138" i="1" l="1"/>
  <c r="BZ136" i="1"/>
  <c r="BZ137" i="1"/>
  <c r="CC129" i="1"/>
  <c r="CG112" i="1"/>
  <c r="CC127" i="1"/>
  <c r="BY131" i="1"/>
  <c r="CC128" i="1"/>
  <c r="CF132" i="1" s="1"/>
  <c r="BX107" i="1"/>
  <c r="BZ146" i="1"/>
  <c r="BZ144" i="1"/>
  <c r="BZ145" i="1"/>
  <c r="BY108" i="1"/>
  <c r="CB111" i="1" s="1"/>
  <c r="BY149" i="1"/>
  <c r="BY152" i="1" s="1"/>
  <c r="BY155" i="1" s="1"/>
  <c r="BY141" i="1"/>
  <c r="BY134" i="1"/>
  <c r="BY150" i="1"/>
  <c r="BY153" i="1" s="1"/>
  <c r="BY156" i="1" s="1"/>
  <c r="BY145" i="1" l="1"/>
  <c r="BY146" i="1"/>
  <c r="BY144" i="1"/>
  <c r="CB129" i="1"/>
  <c r="CB127" i="1"/>
  <c r="CB128" i="1"/>
  <c r="CE132" i="1" s="1"/>
  <c r="BX131" i="1"/>
  <c r="CF112" i="1"/>
  <c r="BX150" i="1"/>
  <c r="BX153" i="1" s="1"/>
  <c r="BX156" i="1" s="1"/>
  <c r="BX108" i="1"/>
  <c r="CA111" i="1" s="1"/>
  <c r="BX134" i="1"/>
  <c r="BX141" i="1"/>
  <c r="BX149" i="1"/>
  <c r="BX152" i="1" s="1"/>
  <c r="BX155" i="1" s="1"/>
  <c r="BY138" i="1"/>
  <c r="BY137" i="1"/>
  <c r="BY136" i="1"/>
  <c r="BW107" i="1"/>
  <c r="BX138" i="1" l="1"/>
  <c r="BX137" i="1"/>
  <c r="BX136" i="1"/>
  <c r="BV107" i="1"/>
  <c r="CA129" i="1"/>
  <c r="BW131" i="1"/>
  <c r="CA128" i="1"/>
  <c r="CD132" i="1" s="1"/>
  <c r="CA127" i="1"/>
  <c r="CE112" i="1"/>
  <c r="BW150" i="1"/>
  <c r="BW153" i="1" s="1"/>
  <c r="BW156" i="1" s="1"/>
  <c r="BW134" i="1"/>
  <c r="BW141" i="1"/>
  <c r="BW149" i="1"/>
  <c r="BW152" i="1" s="1"/>
  <c r="BW155" i="1" s="1"/>
  <c r="BW108" i="1"/>
  <c r="BZ111" i="1" s="1"/>
  <c r="BX144" i="1"/>
  <c r="BX145" i="1"/>
  <c r="BX146" i="1"/>
  <c r="BZ128" i="1" l="1"/>
  <c r="CC132" i="1" s="1"/>
  <c r="BV131" i="1"/>
  <c r="BZ127" i="1"/>
  <c r="BZ129" i="1"/>
  <c r="CD112" i="1"/>
  <c r="BU107" i="1"/>
  <c r="BW146" i="1"/>
  <c r="BW144" i="1"/>
  <c r="BW145" i="1"/>
  <c r="BW138" i="1"/>
  <c r="BW136" i="1"/>
  <c r="BW137" i="1"/>
  <c r="BV141" i="1"/>
  <c r="BV149" i="1"/>
  <c r="BV152" i="1" s="1"/>
  <c r="BV155" i="1" s="1"/>
  <c r="BV108" i="1"/>
  <c r="BY111" i="1" s="1"/>
  <c r="BV134" i="1"/>
  <c r="BV150" i="1"/>
  <c r="BV153" i="1" s="1"/>
  <c r="BV156" i="1" s="1"/>
  <c r="BT107" i="1" l="1"/>
  <c r="CC112" i="1"/>
  <c r="BU131" i="1"/>
  <c r="BY129" i="1"/>
  <c r="BY128" i="1"/>
  <c r="CB132" i="1" s="1"/>
  <c r="BY127" i="1"/>
  <c r="BV146" i="1"/>
  <c r="BV145" i="1"/>
  <c r="BV144" i="1"/>
  <c r="BU141" i="1"/>
  <c r="BU149" i="1"/>
  <c r="BU152" i="1" s="1"/>
  <c r="BU155" i="1" s="1"/>
  <c r="BU108" i="1"/>
  <c r="BX111" i="1" s="1"/>
  <c r="BU134" i="1"/>
  <c r="BU150" i="1"/>
  <c r="BU153" i="1" s="1"/>
  <c r="BU156" i="1" s="1"/>
  <c r="BV137" i="1"/>
  <c r="BV136" i="1"/>
  <c r="BV138" i="1"/>
  <c r="BU137" i="1" l="1"/>
  <c r="BU136" i="1"/>
  <c r="BU138" i="1"/>
  <c r="CB112" i="1"/>
  <c r="BT131" i="1"/>
  <c r="BX128" i="1"/>
  <c r="CA132" i="1" s="1"/>
  <c r="BX127" i="1"/>
  <c r="BX129" i="1"/>
  <c r="BT134" i="1"/>
  <c r="BT141" i="1"/>
  <c r="BT150" i="1"/>
  <c r="BT153" i="1" s="1"/>
  <c r="BT156" i="1" s="1"/>
  <c r="BT149" i="1"/>
  <c r="BT152" i="1" s="1"/>
  <c r="BT155" i="1" s="1"/>
  <c r="BT108" i="1"/>
  <c r="BW111" i="1" s="1"/>
  <c r="BU144" i="1"/>
  <c r="BU146" i="1"/>
  <c r="BU145" i="1"/>
  <c r="BS107" i="1"/>
  <c r="BS149" i="1" l="1"/>
  <c r="BS152" i="1" s="1"/>
  <c r="BS155" i="1" s="1"/>
  <c r="BS150" i="1"/>
  <c r="BS153" i="1" s="1"/>
  <c r="BS156" i="1" s="1"/>
  <c r="BS141" i="1"/>
  <c r="BS108" i="1"/>
  <c r="BV111" i="1" s="1"/>
  <c r="BS134" i="1"/>
  <c r="BT145" i="1"/>
  <c r="BT144" i="1"/>
  <c r="BT146" i="1"/>
  <c r="BR107" i="1"/>
  <c r="CA112" i="1"/>
  <c r="BW128" i="1"/>
  <c r="BZ132" i="1" s="1"/>
  <c r="BW129" i="1"/>
  <c r="BW127" i="1"/>
  <c r="BS131" i="1"/>
  <c r="BT137" i="1"/>
  <c r="BT136" i="1"/>
  <c r="BT138" i="1"/>
  <c r="BS144" i="1" l="1"/>
  <c r="BS146" i="1"/>
  <c r="BS145" i="1"/>
  <c r="BR150" i="1"/>
  <c r="BR153" i="1" s="1"/>
  <c r="BR156" i="1" s="1"/>
  <c r="BR108" i="1"/>
  <c r="BU111" i="1" s="1"/>
  <c r="BR141" i="1"/>
  <c r="BR134" i="1"/>
  <c r="BR149" i="1"/>
  <c r="BR152" i="1" s="1"/>
  <c r="BR155" i="1" s="1"/>
  <c r="BS136" i="1"/>
  <c r="BS138" i="1"/>
  <c r="BS137" i="1"/>
  <c r="BQ107" i="1"/>
  <c r="BV129" i="1"/>
  <c r="BV127" i="1"/>
  <c r="BV128" i="1"/>
  <c r="BY132" i="1" s="1"/>
  <c r="BR131" i="1"/>
  <c r="BZ112" i="1"/>
  <c r="BR138" i="1" l="1"/>
  <c r="BR137" i="1"/>
  <c r="BR136" i="1"/>
  <c r="BR146" i="1"/>
  <c r="BR145" i="1"/>
  <c r="BR144" i="1"/>
  <c r="BP107" i="1"/>
  <c r="BQ108" i="1"/>
  <c r="BT111" i="1" s="1"/>
  <c r="BQ149" i="1"/>
  <c r="BQ152" i="1" s="1"/>
  <c r="BQ155" i="1" s="1"/>
  <c r="BQ134" i="1"/>
  <c r="BQ150" i="1"/>
  <c r="BQ153" i="1" s="1"/>
  <c r="BQ156" i="1" s="1"/>
  <c r="BQ141" i="1"/>
  <c r="BY112" i="1"/>
  <c r="BQ131" i="1"/>
  <c r="BU128" i="1"/>
  <c r="BX132" i="1" s="1"/>
  <c r="BU127" i="1"/>
  <c r="BU129" i="1"/>
  <c r="BQ137" i="1" l="1"/>
  <c r="BQ138" i="1"/>
  <c r="BQ136" i="1"/>
  <c r="BP150" i="1"/>
  <c r="BP153" i="1" s="1"/>
  <c r="BP156" i="1" s="1"/>
  <c r="BP134" i="1"/>
  <c r="BP149" i="1"/>
  <c r="BP152" i="1" s="1"/>
  <c r="BP155" i="1" s="1"/>
  <c r="BP141" i="1"/>
  <c r="BP108" i="1"/>
  <c r="BS111" i="1" s="1"/>
  <c r="BO107" i="1"/>
  <c r="BQ145" i="1"/>
  <c r="BQ144" i="1"/>
  <c r="BQ146" i="1"/>
  <c r="BT128" i="1"/>
  <c r="BW132" i="1" s="1"/>
  <c r="BP131" i="1"/>
  <c r="BT127" i="1"/>
  <c r="BX112" i="1"/>
  <c r="BT129" i="1"/>
  <c r="BO131" i="1" l="1"/>
  <c r="BS128" i="1"/>
  <c r="BV132" i="1" s="1"/>
  <c r="BW112" i="1"/>
  <c r="BS127" i="1"/>
  <c r="BS129" i="1"/>
  <c r="BP145" i="1"/>
  <c r="BP146" i="1"/>
  <c r="BP144" i="1"/>
  <c r="BN107" i="1"/>
  <c r="BO150" i="1"/>
  <c r="BO153" i="1" s="1"/>
  <c r="BO156" i="1" s="1"/>
  <c r="BO141" i="1"/>
  <c r="BO108" i="1"/>
  <c r="BR111" i="1" s="1"/>
  <c r="BO149" i="1"/>
  <c r="BO152" i="1" s="1"/>
  <c r="BO155" i="1" s="1"/>
  <c r="BO134" i="1"/>
  <c r="BP138" i="1"/>
  <c r="BP136" i="1"/>
  <c r="BP137" i="1"/>
  <c r="BO138" i="1" l="1"/>
  <c r="BO137" i="1"/>
  <c r="BO136" i="1"/>
  <c r="BO144" i="1"/>
  <c r="BO146" i="1"/>
  <c r="BO145" i="1"/>
  <c r="BM107" i="1"/>
  <c r="BR127" i="1"/>
  <c r="BR129" i="1"/>
  <c r="BN131" i="1"/>
  <c r="BR128" i="1"/>
  <c r="BU132" i="1" s="1"/>
  <c r="BV112" i="1"/>
  <c r="BN150" i="1"/>
  <c r="BN153" i="1" s="1"/>
  <c r="BN156" i="1" s="1"/>
  <c r="BN134" i="1"/>
  <c r="BN108" i="1"/>
  <c r="BQ111" i="1" s="1"/>
  <c r="BN141" i="1"/>
  <c r="BN149" i="1"/>
  <c r="BN152" i="1" s="1"/>
  <c r="BN155" i="1" s="1"/>
  <c r="BN138" i="1" l="1"/>
  <c r="BN137" i="1"/>
  <c r="BN136" i="1"/>
  <c r="BM108" i="1"/>
  <c r="BP111" i="1" s="1"/>
  <c r="BM141" i="1"/>
  <c r="BM134" i="1"/>
  <c r="BM149" i="1"/>
  <c r="BM152" i="1" s="1"/>
  <c r="BM155" i="1" s="1"/>
  <c r="BM150" i="1"/>
  <c r="BM153" i="1" s="1"/>
  <c r="BM156" i="1" s="1"/>
  <c r="BQ129" i="1"/>
  <c r="BU112" i="1"/>
  <c r="BQ128" i="1"/>
  <c r="BT132" i="1" s="1"/>
  <c r="BQ127" i="1"/>
  <c r="BM131" i="1"/>
  <c r="BL107" i="1"/>
  <c r="BN144" i="1"/>
  <c r="BN145" i="1"/>
  <c r="BN146" i="1"/>
  <c r="BP129" i="1" l="1"/>
  <c r="BP127" i="1"/>
  <c r="BT112" i="1"/>
  <c r="BL131" i="1"/>
  <c r="BP128" i="1"/>
  <c r="BS132" i="1" s="1"/>
  <c r="BL108" i="1"/>
  <c r="BO111" i="1" s="1"/>
  <c r="BL134" i="1"/>
  <c r="BL150" i="1"/>
  <c r="BL153" i="1" s="1"/>
  <c r="BL156" i="1" s="1"/>
  <c r="BL141" i="1"/>
  <c r="BL149" i="1"/>
  <c r="BL152" i="1" s="1"/>
  <c r="BL155" i="1" s="1"/>
  <c r="BK107" i="1"/>
  <c r="BM136" i="1"/>
  <c r="BM138" i="1"/>
  <c r="BM137" i="1"/>
  <c r="BM144" i="1"/>
  <c r="BM145" i="1"/>
  <c r="BM146" i="1"/>
  <c r="BK150" i="1" l="1"/>
  <c r="BK153" i="1" s="1"/>
  <c r="BK156" i="1" s="1"/>
  <c r="BK149" i="1"/>
  <c r="BK152" i="1" s="1"/>
  <c r="BK155" i="1" s="1"/>
  <c r="BK108" i="1"/>
  <c r="BN111" i="1" s="1"/>
  <c r="BK141" i="1"/>
  <c r="BK134" i="1"/>
  <c r="BL138" i="1"/>
  <c r="BL136" i="1"/>
  <c r="BL137" i="1"/>
  <c r="BJ107" i="1"/>
  <c r="BO129" i="1"/>
  <c r="BO128" i="1"/>
  <c r="BR132" i="1" s="1"/>
  <c r="BS112" i="1"/>
  <c r="BO127" i="1"/>
  <c r="BK131" i="1"/>
  <c r="BL144" i="1"/>
  <c r="BL145" i="1"/>
  <c r="BL146" i="1"/>
  <c r="BN129" i="1" l="1"/>
  <c r="BN128" i="1"/>
  <c r="BQ132" i="1" s="1"/>
  <c r="BJ131" i="1"/>
  <c r="BN127" i="1"/>
  <c r="BR112" i="1"/>
  <c r="BJ108" i="1"/>
  <c r="BM111" i="1" s="1"/>
  <c r="BJ150" i="1"/>
  <c r="BJ153" i="1" s="1"/>
  <c r="BJ156" i="1" s="1"/>
  <c r="BJ141" i="1"/>
  <c r="BJ134" i="1"/>
  <c r="BJ149" i="1"/>
  <c r="BJ152" i="1" s="1"/>
  <c r="BJ155" i="1" s="1"/>
  <c r="BK145" i="1"/>
  <c r="BK144" i="1"/>
  <c r="BK146" i="1"/>
  <c r="BI107" i="1"/>
  <c r="BK136" i="1"/>
  <c r="BK138" i="1"/>
  <c r="BK137" i="1"/>
  <c r="BH107" i="1" l="1"/>
  <c r="BJ145" i="1"/>
  <c r="BJ146" i="1"/>
  <c r="BJ144" i="1"/>
  <c r="BI150" i="1"/>
  <c r="BI153" i="1" s="1"/>
  <c r="BI156" i="1" s="1"/>
  <c r="BI141" i="1"/>
  <c r="BI108" i="1"/>
  <c r="BL111" i="1" s="1"/>
  <c r="BI134" i="1"/>
  <c r="BI149" i="1"/>
  <c r="BI152" i="1" s="1"/>
  <c r="BI155" i="1" s="1"/>
  <c r="BM127" i="1"/>
  <c r="BQ112" i="1"/>
  <c r="BM128" i="1"/>
  <c r="BP132" i="1" s="1"/>
  <c r="BM129" i="1"/>
  <c r="BI131" i="1"/>
  <c r="BJ138" i="1"/>
  <c r="BJ137" i="1"/>
  <c r="BJ136" i="1"/>
  <c r="BI146" i="1" l="1"/>
  <c r="BI144" i="1"/>
  <c r="BI145" i="1"/>
  <c r="BH141" i="1"/>
  <c r="BH108" i="1"/>
  <c r="BK111" i="1" s="1"/>
  <c r="BH150" i="1"/>
  <c r="BH153" i="1" s="1"/>
  <c r="BH156" i="1" s="1"/>
  <c r="BH149" i="1"/>
  <c r="BH152" i="1" s="1"/>
  <c r="BH155" i="1" s="1"/>
  <c r="BH134" i="1"/>
  <c r="BH131" i="1"/>
  <c r="BL129" i="1"/>
  <c r="BP112" i="1"/>
  <c r="BL128" i="1"/>
  <c r="BO132" i="1" s="1"/>
  <c r="BL127" i="1"/>
  <c r="BI138" i="1"/>
  <c r="BI137" i="1"/>
  <c r="BI136" i="1"/>
  <c r="BG107" i="1"/>
  <c r="BH137" i="1" l="1"/>
  <c r="BH136" i="1"/>
  <c r="BH138" i="1"/>
  <c r="BH145" i="1"/>
  <c r="BH144" i="1"/>
  <c r="BH146" i="1"/>
  <c r="BF107" i="1"/>
  <c r="BG141" i="1"/>
  <c r="BG134" i="1"/>
  <c r="BG150" i="1"/>
  <c r="BG153" i="1" s="1"/>
  <c r="BG156" i="1" s="1"/>
  <c r="BG149" i="1"/>
  <c r="BG152" i="1" s="1"/>
  <c r="BG155" i="1" s="1"/>
  <c r="BG108" i="1"/>
  <c r="BJ111" i="1" s="1"/>
  <c r="BG131" i="1"/>
  <c r="BK128" i="1"/>
  <c r="BN132" i="1" s="1"/>
  <c r="BO112" i="1"/>
  <c r="BK127" i="1"/>
  <c r="BK129" i="1"/>
  <c r="BF108" i="1" l="1"/>
  <c r="BI111" i="1" s="1"/>
  <c r="BF134" i="1"/>
  <c r="BF149" i="1"/>
  <c r="BF152" i="1" s="1"/>
  <c r="BF155" i="1" s="1"/>
  <c r="BF150" i="1"/>
  <c r="BF153" i="1" s="1"/>
  <c r="BF156" i="1" s="1"/>
  <c r="BF141" i="1"/>
  <c r="BE107" i="1"/>
  <c r="BG137" i="1"/>
  <c r="BG136" i="1"/>
  <c r="BG138" i="1"/>
  <c r="BF131" i="1"/>
  <c r="BN112" i="1"/>
  <c r="BJ127" i="1"/>
  <c r="BJ129" i="1"/>
  <c r="BJ128" i="1"/>
  <c r="BM132" i="1" s="1"/>
  <c r="BG146" i="1"/>
  <c r="BG145" i="1"/>
  <c r="BG144" i="1"/>
  <c r="BD107" i="1" l="1"/>
  <c r="BE150" i="1"/>
  <c r="BE153" i="1" s="1"/>
  <c r="BE156" i="1" s="1"/>
  <c r="BE134" i="1"/>
  <c r="BE108" i="1"/>
  <c r="BH111" i="1" s="1"/>
  <c r="BE141" i="1"/>
  <c r="BE149" i="1"/>
  <c r="BE152" i="1" s="1"/>
  <c r="BE155" i="1" s="1"/>
  <c r="BF136" i="1"/>
  <c r="BF137" i="1"/>
  <c r="BF138" i="1"/>
  <c r="BF145" i="1"/>
  <c r="BF146" i="1"/>
  <c r="BF144" i="1"/>
  <c r="BM112" i="1"/>
  <c r="BI127" i="1"/>
  <c r="BE131" i="1"/>
  <c r="BI128" i="1"/>
  <c r="BL132" i="1" s="1"/>
  <c r="BI129" i="1"/>
  <c r="BE145" i="1" l="1"/>
  <c r="BE144" i="1"/>
  <c r="BE146" i="1"/>
  <c r="BD149" i="1"/>
  <c r="BD152" i="1" s="1"/>
  <c r="BD155" i="1" s="1"/>
  <c r="BD134" i="1"/>
  <c r="BD150" i="1"/>
  <c r="BD153" i="1" s="1"/>
  <c r="BD156" i="1" s="1"/>
  <c r="BD141" i="1"/>
  <c r="BD108" i="1"/>
  <c r="BG111" i="1" s="1"/>
  <c r="BE138" i="1"/>
  <c r="BE137" i="1"/>
  <c r="BE136" i="1"/>
  <c r="BL112" i="1"/>
  <c r="BH129" i="1"/>
  <c r="BD131" i="1"/>
  <c r="BH127" i="1"/>
  <c r="BH128" i="1"/>
  <c r="BK132" i="1" s="1"/>
  <c r="BC107" i="1"/>
  <c r="BD144" i="1" l="1"/>
  <c r="BD145" i="1"/>
  <c r="BD146" i="1"/>
  <c r="BC131" i="1"/>
  <c r="BG129" i="1"/>
  <c r="BK112" i="1"/>
  <c r="BG127" i="1"/>
  <c r="BG128" i="1"/>
  <c r="BJ132" i="1" s="1"/>
  <c r="BB107" i="1"/>
  <c r="BC150" i="1"/>
  <c r="BC153" i="1" s="1"/>
  <c r="BC156" i="1" s="1"/>
  <c r="BC141" i="1"/>
  <c r="BC149" i="1"/>
  <c r="BC152" i="1" s="1"/>
  <c r="BC155" i="1" s="1"/>
  <c r="BC134" i="1"/>
  <c r="BC108" i="1"/>
  <c r="BF111" i="1" s="1"/>
  <c r="BD136" i="1"/>
  <c r="BD137" i="1"/>
  <c r="BD138" i="1"/>
  <c r="BF129" i="1" l="1"/>
  <c r="BJ112" i="1"/>
  <c r="BF127" i="1"/>
  <c r="BF128" i="1"/>
  <c r="BI132" i="1" s="1"/>
  <c r="BB131" i="1"/>
  <c r="BA107" i="1"/>
  <c r="BC146" i="1"/>
  <c r="BC145" i="1"/>
  <c r="BC144" i="1"/>
  <c r="BC136" i="1"/>
  <c r="BC137" i="1"/>
  <c r="BC138" i="1"/>
  <c r="BB108" i="1"/>
  <c r="BE111" i="1" s="1"/>
  <c r="BB134" i="1"/>
  <c r="BB149" i="1"/>
  <c r="BB152" i="1" s="1"/>
  <c r="BB155" i="1" s="1"/>
  <c r="BB150" i="1"/>
  <c r="BB153" i="1" s="1"/>
  <c r="BB156" i="1" s="1"/>
  <c r="BB141" i="1"/>
  <c r="BI112" i="1" l="1"/>
  <c r="BE128" i="1"/>
  <c r="BH132" i="1" s="1"/>
  <c r="BE127" i="1"/>
  <c r="BA131" i="1"/>
  <c r="BE129" i="1"/>
  <c r="AZ107" i="1"/>
  <c r="BB137" i="1"/>
  <c r="BB138" i="1"/>
  <c r="BB136" i="1"/>
  <c r="BA141" i="1"/>
  <c r="BA134" i="1"/>
  <c r="BA108" i="1"/>
  <c r="BD111" i="1" s="1"/>
  <c r="BA150" i="1"/>
  <c r="BA153" i="1" s="1"/>
  <c r="BA156" i="1" s="1"/>
  <c r="BA149" i="1"/>
  <c r="BA152" i="1" s="1"/>
  <c r="BA155" i="1" s="1"/>
  <c r="BB145" i="1"/>
  <c r="BB144" i="1"/>
  <c r="BB146" i="1"/>
  <c r="BA136" i="1" l="1"/>
  <c r="BA137" i="1"/>
  <c r="BA138" i="1"/>
  <c r="BA146" i="1"/>
  <c r="BA144" i="1"/>
  <c r="BA145" i="1"/>
  <c r="AZ150" i="1"/>
  <c r="AZ153" i="1" s="1"/>
  <c r="AZ156" i="1" s="1"/>
  <c r="AZ149" i="1"/>
  <c r="AZ152" i="1" s="1"/>
  <c r="AZ155" i="1" s="1"/>
  <c r="AZ108" i="1"/>
  <c r="BC111" i="1" s="1"/>
  <c r="AZ134" i="1"/>
  <c r="AZ141" i="1"/>
  <c r="AY107" i="1"/>
  <c r="BD127" i="1"/>
  <c r="BH112" i="1"/>
  <c r="BD128" i="1"/>
  <c r="BG132" i="1" s="1"/>
  <c r="AZ131" i="1"/>
  <c r="BD129" i="1"/>
  <c r="AY108" i="1" l="1"/>
  <c r="BB111" i="1" s="1"/>
  <c r="AY149" i="1"/>
  <c r="AY152" i="1" s="1"/>
  <c r="AY155" i="1" s="1"/>
  <c r="AY141" i="1"/>
  <c r="AY134" i="1"/>
  <c r="AY150" i="1"/>
  <c r="AY153" i="1" s="1"/>
  <c r="AY156" i="1" s="1"/>
  <c r="AZ146" i="1"/>
  <c r="AZ145" i="1"/>
  <c r="AZ144" i="1"/>
  <c r="AZ138" i="1"/>
  <c r="AZ137" i="1"/>
  <c r="AZ136" i="1"/>
  <c r="AX107" i="1"/>
  <c r="BG112" i="1"/>
  <c r="BC129" i="1"/>
  <c r="BC128" i="1"/>
  <c r="BF132" i="1" s="1"/>
  <c r="BC127" i="1"/>
  <c r="AY131" i="1"/>
  <c r="AW107" i="1" l="1"/>
  <c r="AY136" i="1"/>
  <c r="AY137" i="1"/>
  <c r="AY138" i="1"/>
  <c r="AY144" i="1"/>
  <c r="AY145" i="1"/>
  <c r="AY146" i="1"/>
  <c r="AX149" i="1"/>
  <c r="AX152" i="1" s="1"/>
  <c r="AX155" i="1" s="1"/>
  <c r="AX108" i="1"/>
  <c r="BA111" i="1" s="1"/>
  <c r="AX134" i="1"/>
  <c r="AX150" i="1"/>
  <c r="AX153" i="1" s="1"/>
  <c r="AX156" i="1" s="1"/>
  <c r="AX141" i="1"/>
  <c r="BB129" i="1"/>
  <c r="BB128" i="1"/>
  <c r="BE132" i="1" s="1"/>
  <c r="AX131" i="1"/>
  <c r="BB127" i="1"/>
  <c r="BF112" i="1"/>
  <c r="AX136" i="1" l="1"/>
  <c r="AX137" i="1"/>
  <c r="AX138" i="1"/>
  <c r="BE112" i="1"/>
  <c r="BA129" i="1"/>
  <c r="BA128" i="1"/>
  <c r="BD132" i="1" s="1"/>
  <c r="AW131" i="1"/>
  <c r="BA127" i="1"/>
  <c r="AV107" i="1"/>
  <c r="AX146" i="1"/>
  <c r="AX145" i="1"/>
  <c r="AX144" i="1"/>
  <c r="AW150" i="1"/>
  <c r="AW153" i="1" s="1"/>
  <c r="AW156" i="1" s="1"/>
  <c r="AW108" i="1"/>
  <c r="AZ111" i="1" s="1"/>
  <c r="AW134" i="1"/>
  <c r="AW141" i="1"/>
  <c r="AW149" i="1"/>
  <c r="AW152" i="1" s="1"/>
  <c r="AW155" i="1" s="1"/>
  <c r="AZ128" i="1" l="1"/>
  <c r="BC132" i="1" s="1"/>
  <c r="BD112" i="1"/>
  <c r="AZ129" i="1"/>
  <c r="AZ127" i="1"/>
  <c r="AV131" i="1"/>
  <c r="AW138" i="1"/>
  <c r="AW137" i="1"/>
  <c r="AW136" i="1"/>
  <c r="AU107" i="1"/>
  <c r="AW144" i="1"/>
  <c r="AW145" i="1"/>
  <c r="AW146" i="1"/>
  <c r="AV141" i="1"/>
  <c r="AV108" i="1"/>
  <c r="AY111" i="1" s="1"/>
  <c r="AV149" i="1"/>
  <c r="AV152" i="1" s="1"/>
  <c r="AV155" i="1" s="1"/>
  <c r="AV134" i="1"/>
  <c r="AV150" i="1"/>
  <c r="AV153" i="1" s="1"/>
  <c r="AV156" i="1" s="1"/>
  <c r="AY127" i="1" l="1"/>
  <c r="AU131" i="1"/>
  <c r="AY129" i="1"/>
  <c r="AY128" i="1"/>
  <c r="BB132" i="1" s="1"/>
  <c r="BC112" i="1"/>
  <c r="AV146" i="1"/>
  <c r="AV145" i="1"/>
  <c r="AV144" i="1"/>
  <c r="AT107" i="1"/>
  <c r="AV138" i="1"/>
  <c r="AV137" i="1"/>
  <c r="AV136" i="1"/>
  <c r="AU108" i="1"/>
  <c r="AX111" i="1" s="1"/>
  <c r="AU134" i="1"/>
  <c r="AU149" i="1"/>
  <c r="AU152" i="1" s="1"/>
  <c r="AU155" i="1" s="1"/>
  <c r="AU150" i="1"/>
  <c r="AU153" i="1" s="1"/>
  <c r="AU156" i="1" s="1"/>
  <c r="AU141" i="1"/>
  <c r="AU137" i="1" l="1"/>
  <c r="AU138" i="1"/>
  <c r="AU136" i="1"/>
  <c r="AU144" i="1"/>
  <c r="AU146" i="1"/>
  <c r="AU145" i="1"/>
  <c r="AX129" i="1"/>
  <c r="AX128" i="1"/>
  <c r="BA132" i="1" s="1"/>
  <c r="AT131" i="1"/>
  <c r="AX127" i="1"/>
  <c r="BB112" i="1"/>
  <c r="AS107" i="1"/>
  <c r="AT141" i="1"/>
  <c r="AT149" i="1"/>
  <c r="AT152" i="1" s="1"/>
  <c r="AT155" i="1" s="1"/>
  <c r="AT150" i="1"/>
  <c r="AT153" i="1" s="1"/>
  <c r="AT156" i="1" s="1"/>
  <c r="AT108" i="1"/>
  <c r="AW111" i="1" s="1"/>
  <c r="AT134" i="1"/>
  <c r="AS149" i="1" l="1"/>
  <c r="AS152" i="1" s="1"/>
  <c r="AS155" i="1" s="1"/>
  <c r="AS108" i="1"/>
  <c r="AV111" i="1" s="1"/>
  <c r="AS150" i="1"/>
  <c r="AS153" i="1" s="1"/>
  <c r="AS156" i="1" s="1"/>
  <c r="AS134" i="1"/>
  <c r="AS141" i="1"/>
  <c r="AT137" i="1"/>
  <c r="AT136" i="1"/>
  <c r="AT138" i="1"/>
  <c r="AT146" i="1"/>
  <c r="AT145" i="1"/>
  <c r="AT144" i="1"/>
  <c r="AW127" i="1"/>
  <c r="AS131" i="1"/>
  <c r="AW128" i="1"/>
  <c r="AZ132" i="1" s="1"/>
  <c r="BA112" i="1"/>
  <c r="AW129" i="1"/>
  <c r="AR107" i="1"/>
  <c r="AS136" i="1" l="1"/>
  <c r="AS137" i="1"/>
  <c r="AS138" i="1"/>
  <c r="AR141" i="1"/>
  <c r="AR149" i="1"/>
  <c r="AR152" i="1" s="1"/>
  <c r="AR155" i="1" s="1"/>
  <c r="AR150" i="1"/>
  <c r="AR153" i="1" s="1"/>
  <c r="AR156" i="1" s="1"/>
  <c r="AR108" i="1"/>
  <c r="AU111" i="1" s="1"/>
  <c r="AR134" i="1"/>
  <c r="AQ107" i="1"/>
  <c r="AV127" i="1"/>
  <c r="AZ112" i="1"/>
  <c r="AR131" i="1"/>
  <c r="AV129" i="1"/>
  <c r="AV128" i="1"/>
  <c r="AY132" i="1" s="1"/>
  <c r="AS146" i="1"/>
  <c r="AS145" i="1"/>
  <c r="AS144" i="1"/>
  <c r="AR136" i="1" l="1"/>
  <c r="AR138" i="1"/>
  <c r="AR137" i="1"/>
  <c r="AQ131" i="1"/>
  <c r="AU128" i="1"/>
  <c r="AX132" i="1" s="1"/>
  <c r="AU129" i="1"/>
  <c r="AU127" i="1"/>
  <c r="AY112" i="1"/>
  <c r="AR144" i="1"/>
  <c r="AR145" i="1"/>
  <c r="AR146" i="1"/>
  <c r="AQ141" i="1"/>
  <c r="AQ149" i="1"/>
  <c r="AQ152" i="1" s="1"/>
  <c r="AQ155" i="1" s="1"/>
  <c r="AQ134" i="1"/>
  <c r="AQ150" i="1"/>
  <c r="AQ153" i="1" s="1"/>
  <c r="AQ156" i="1" s="1"/>
  <c r="AQ108" i="1"/>
  <c r="AT111" i="1" s="1"/>
  <c r="AP107" i="1"/>
  <c r="AT129" i="1" l="1"/>
  <c r="AT127" i="1"/>
  <c r="AP131" i="1"/>
  <c r="AX112" i="1"/>
  <c r="AT128" i="1"/>
  <c r="AW132" i="1" s="1"/>
  <c r="AO107" i="1"/>
  <c r="AQ138" i="1"/>
  <c r="AQ137" i="1"/>
  <c r="AQ136" i="1"/>
  <c r="AQ144" i="1"/>
  <c r="AQ146" i="1"/>
  <c r="AQ145" i="1"/>
  <c r="AP149" i="1"/>
  <c r="AP152" i="1" s="1"/>
  <c r="AP155" i="1" s="1"/>
  <c r="AP134" i="1"/>
  <c r="AP150" i="1"/>
  <c r="AP153" i="1" s="1"/>
  <c r="AP156" i="1" s="1"/>
  <c r="AP108" i="1"/>
  <c r="AS111" i="1" s="1"/>
  <c r="AP141" i="1"/>
  <c r="AP137" i="1" l="1"/>
  <c r="AP138" i="1"/>
  <c r="AP136" i="1"/>
  <c r="AO141" i="1"/>
  <c r="AO108" i="1"/>
  <c r="AR111" i="1" s="1"/>
  <c r="AO134" i="1"/>
  <c r="AO149" i="1"/>
  <c r="AO152" i="1" s="1"/>
  <c r="AO155" i="1" s="1"/>
  <c r="AO150" i="1"/>
  <c r="AO153" i="1" s="1"/>
  <c r="AO156" i="1" s="1"/>
  <c r="AP145" i="1"/>
  <c r="AP144" i="1"/>
  <c r="AP146" i="1"/>
  <c r="AN107" i="1"/>
  <c r="AO131" i="1"/>
  <c r="AS129" i="1"/>
  <c r="AS127" i="1"/>
  <c r="AS128" i="1"/>
  <c r="AV132" i="1" s="1"/>
  <c r="AW112" i="1"/>
  <c r="AN150" i="1" l="1"/>
  <c r="AN153" i="1" s="1"/>
  <c r="AN156" i="1" s="1"/>
  <c r="AN149" i="1"/>
  <c r="AN152" i="1" s="1"/>
  <c r="AN155" i="1" s="1"/>
  <c r="AN108" i="1"/>
  <c r="AQ111" i="1" s="1"/>
  <c r="AN134" i="1"/>
  <c r="AN141" i="1"/>
  <c r="AO146" i="1"/>
  <c r="AO145" i="1"/>
  <c r="AO144" i="1"/>
  <c r="AO138" i="1"/>
  <c r="AO136" i="1"/>
  <c r="AO137" i="1"/>
  <c r="AM107" i="1"/>
  <c r="AR127" i="1"/>
  <c r="AR129" i="1"/>
  <c r="AV112" i="1"/>
  <c r="AN131" i="1"/>
  <c r="AR128" i="1"/>
  <c r="AU132" i="1" s="1"/>
  <c r="AM150" i="1" l="1"/>
  <c r="AM153" i="1" s="1"/>
  <c r="AM156" i="1" s="1"/>
  <c r="AM134" i="1"/>
  <c r="AM149" i="1"/>
  <c r="AM152" i="1" s="1"/>
  <c r="AM155" i="1" s="1"/>
  <c r="AM108" i="1"/>
  <c r="AP111" i="1" s="1"/>
  <c r="AM141" i="1"/>
  <c r="AN137" i="1"/>
  <c r="AN138" i="1"/>
  <c r="AN136" i="1"/>
  <c r="AU112" i="1"/>
  <c r="AM131" i="1"/>
  <c r="AQ127" i="1"/>
  <c r="AQ129" i="1"/>
  <c r="AQ128" i="1"/>
  <c r="AT132" i="1" s="1"/>
  <c r="AL107" i="1"/>
  <c r="AN144" i="1"/>
  <c r="AN145" i="1"/>
  <c r="AN146" i="1"/>
  <c r="AL149" i="1" l="1"/>
  <c r="AL152" i="1" s="1"/>
  <c r="AL155" i="1" s="1"/>
  <c r="AL150" i="1"/>
  <c r="AL153" i="1" s="1"/>
  <c r="AL156" i="1" s="1"/>
  <c r="AL134" i="1"/>
  <c r="AL108" i="1"/>
  <c r="AO111" i="1" s="1"/>
  <c r="AL141" i="1"/>
  <c r="AL131" i="1"/>
  <c r="AP128" i="1"/>
  <c r="AS132" i="1" s="1"/>
  <c r="AT112" i="1"/>
  <c r="AP129" i="1"/>
  <c r="AP127" i="1"/>
  <c r="AK107" i="1"/>
  <c r="AK108" i="1" s="1"/>
  <c r="AM138" i="1"/>
  <c r="AM137" i="1"/>
  <c r="AM136" i="1"/>
  <c r="AM145" i="1"/>
  <c r="AM146" i="1"/>
  <c r="AM144" i="1"/>
  <c r="AI107" i="1" l="1"/>
  <c r="AI108" i="1" s="1"/>
  <c r="AJ107" i="1"/>
  <c r="AJ108" i="1" s="1"/>
  <c r="AM111" i="1" s="1"/>
  <c r="AO128" i="1"/>
  <c r="AR132" i="1" s="1"/>
  <c r="AO129" i="1"/>
  <c r="AO127" i="1"/>
  <c r="AS112" i="1"/>
  <c r="AN111" i="1"/>
  <c r="AL138" i="1"/>
  <c r="AL136" i="1"/>
  <c r="AL137" i="1"/>
  <c r="AL144" i="1"/>
  <c r="AL145" i="1"/>
  <c r="AL146" i="1"/>
  <c r="AM127" i="1" l="1"/>
  <c r="AM129" i="1"/>
  <c r="AQ112" i="1"/>
  <c r="AM128" i="1"/>
  <c r="AP132" i="1" s="1"/>
  <c r="AR112" i="1"/>
  <c r="AN127" i="1"/>
  <c r="AN128" i="1"/>
  <c r="AQ132" i="1" s="1"/>
  <c r="AN129" i="1"/>
  <c r="AL111" i="1"/>
  <c r="AL127" i="1" l="1"/>
  <c r="AL129" i="1"/>
  <c r="AL128" i="1"/>
  <c r="AO132" i="1" s="1"/>
  <c r="AP112" i="1"/>
  <c r="CM105" i="1"/>
  <c r="CM107" i="1" s="1"/>
  <c r="CM141" i="1" s="1"/>
  <c r="CL107" i="1"/>
  <c r="CL134" i="1" s="1"/>
  <c r="CN105" i="1" l="1"/>
  <c r="CL137" i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CL138" i="1"/>
  <c r="CM138" i="1" s="1"/>
  <c r="CN138" i="1" s="1"/>
  <c r="CO138" i="1" s="1"/>
  <c r="CP138" i="1" s="1"/>
  <c r="CQ138" i="1" s="1"/>
  <c r="CR138" i="1" s="1"/>
  <c r="CS138" i="1" s="1"/>
  <c r="CT138" i="1" s="1"/>
  <c r="CU138" i="1" s="1"/>
  <c r="CV138" i="1" s="1"/>
  <c r="CW138" i="1" s="1"/>
  <c r="CX138" i="1" s="1"/>
  <c r="CY138" i="1" s="1"/>
  <c r="CZ138" i="1" s="1"/>
  <c r="DA138" i="1" s="1"/>
  <c r="DB138" i="1" s="1"/>
  <c r="CL150" i="1"/>
  <c r="CL153" i="1" s="1"/>
  <c r="CL156" i="1" s="1"/>
  <c r="CL141" i="1"/>
  <c r="CM108" i="1"/>
  <c r="CM134" i="1"/>
  <c r="CL108" i="1"/>
  <c r="CL149" i="1"/>
  <c r="CL152" i="1" s="1"/>
  <c r="CL155" i="1" s="1"/>
  <c r="CN107" i="1" l="1"/>
  <c r="CO105" i="1"/>
  <c r="CM111" i="1"/>
  <c r="CL111" i="1"/>
  <c r="CL145" i="1"/>
  <c r="CM145" i="1" s="1"/>
  <c r="CN145" i="1" s="1"/>
  <c r="CO145" i="1" s="1"/>
  <c r="CP145" i="1" s="1"/>
  <c r="CQ145" i="1" s="1"/>
  <c r="CR145" i="1" s="1"/>
  <c r="CS145" i="1" s="1"/>
  <c r="CT145" i="1" s="1"/>
  <c r="CU145" i="1" s="1"/>
  <c r="CV145" i="1" s="1"/>
  <c r="CW145" i="1" s="1"/>
  <c r="CX145" i="1" s="1"/>
  <c r="CY145" i="1" s="1"/>
  <c r="CZ145" i="1" s="1"/>
  <c r="DA145" i="1" s="1"/>
  <c r="DB145" i="1" s="1"/>
  <c r="CL146" i="1"/>
  <c r="CM146" i="1" s="1"/>
  <c r="CN146" i="1" s="1"/>
  <c r="CO146" i="1" s="1"/>
  <c r="CP146" i="1" s="1"/>
  <c r="CQ146" i="1" s="1"/>
  <c r="CR146" i="1" s="1"/>
  <c r="CS146" i="1" s="1"/>
  <c r="CT146" i="1" s="1"/>
  <c r="CU146" i="1" s="1"/>
  <c r="CV146" i="1" s="1"/>
  <c r="CW146" i="1" s="1"/>
  <c r="CX146" i="1" s="1"/>
  <c r="CY146" i="1" s="1"/>
  <c r="CZ146" i="1" s="1"/>
  <c r="DA146" i="1" s="1"/>
  <c r="DB146" i="1" s="1"/>
  <c r="CO107" i="1" l="1"/>
  <c r="CP105" i="1"/>
  <c r="CN134" i="1"/>
  <c r="CN108" i="1"/>
  <c r="CN141" i="1"/>
  <c r="CL128" i="1"/>
  <c r="CM128" i="1" s="1"/>
  <c r="CN128" i="1" s="1"/>
  <c r="CO128" i="1" s="1"/>
  <c r="CP128" i="1" s="1"/>
  <c r="CQ128" i="1" s="1"/>
  <c r="CR128" i="1" s="1"/>
  <c r="CS128" i="1" s="1"/>
  <c r="CT128" i="1" s="1"/>
  <c r="CU128" i="1" s="1"/>
  <c r="CV128" i="1" s="1"/>
  <c r="CW128" i="1" s="1"/>
  <c r="CX128" i="1" s="1"/>
  <c r="CY128" i="1" s="1"/>
  <c r="CZ128" i="1" s="1"/>
  <c r="DA128" i="1" s="1"/>
  <c r="DB128" i="1" s="1"/>
  <c r="CH131" i="1"/>
  <c r="CL129" i="1"/>
  <c r="CM129" i="1" s="1"/>
  <c r="CL112" i="1"/>
  <c r="CI131" i="1"/>
  <c r="CM112" i="1"/>
  <c r="CN111" i="1" l="1"/>
  <c r="CQ105" i="1"/>
  <c r="CP107" i="1"/>
  <c r="CO108" i="1"/>
  <c r="CO141" i="1"/>
  <c r="CO134" i="1"/>
  <c r="CM120" i="1"/>
  <c r="CL132" i="1"/>
  <c r="CN129" i="1"/>
  <c r="CM121" i="1"/>
  <c r="CN120" i="1" l="1"/>
  <c r="CN149" i="1" s="1"/>
  <c r="CN152" i="1" s="1"/>
  <c r="CN155" i="1" s="1"/>
  <c r="CM149" i="1"/>
  <c r="CM152" i="1" s="1"/>
  <c r="CM155" i="1" s="1"/>
  <c r="CP108" i="1"/>
  <c r="CP111" i="1" s="1"/>
  <c r="CP134" i="1"/>
  <c r="CP141" i="1"/>
  <c r="CR105" i="1"/>
  <c r="CQ107" i="1"/>
  <c r="CO111" i="1"/>
  <c r="CJ131" i="1"/>
  <c r="CN112" i="1"/>
  <c r="CM150" i="1"/>
  <c r="CM153" i="1" s="1"/>
  <c r="CM156" i="1" s="1"/>
  <c r="CN121" i="1"/>
  <c r="CO129" i="1"/>
  <c r="CP114" i="1" l="1"/>
  <c r="CP120" i="1"/>
  <c r="CP112" i="1"/>
  <c r="CL131" i="1"/>
  <c r="CO112" i="1"/>
  <c r="CK131" i="1"/>
  <c r="CO120" i="1"/>
  <c r="CR107" i="1"/>
  <c r="CS105" i="1"/>
  <c r="CQ134" i="1"/>
  <c r="CQ141" i="1"/>
  <c r="CQ108" i="1"/>
  <c r="CQ111" i="1" s="1"/>
  <c r="CP129" i="1"/>
  <c r="CO121" i="1"/>
  <c r="CN150" i="1"/>
  <c r="CN153" i="1" s="1"/>
  <c r="CN156" i="1" s="1"/>
  <c r="AB120" i="1"/>
  <c r="CP149" i="1" l="1"/>
  <c r="CP152" i="1" s="1"/>
  <c r="CP155" i="1" s="1"/>
  <c r="CQ120" i="1"/>
  <c r="CQ112" i="1"/>
  <c r="CS107" i="1"/>
  <c r="CT105" i="1"/>
  <c r="CR134" i="1"/>
  <c r="CR141" i="1"/>
  <c r="CR108" i="1"/>
  <c r="CO149" i="1"/>
  <c r="CO152" i="1" s="1"/>
  <c r="CO155" i="1" s="1"/>
  <c r="CO150" i="1"/>
  <c r="CO153" i="1" s="1"/>
  <c r="CO156" i="1" s="1"/>
  <c r="CP121" i="1"/>
  <c r="CQ129" i="1"/>
  <c r="CR111" i="1" l="1"/>
  <c r="CR112" i="1" s="1"/>
  <c r="CU105" i="1"/>
  <c r="CT107" i="1"/>
  <c r="CS108" i="1"/>
  <c r="CS111" i="1" s="1"/>
  <c r="CS141" i="1"/>
  <c r="CS134" i="1"/>
  <c r="CQ149" i="1"/>
  <c r="CQ152" i="1" s="1"/>
  <c r="CQ155" i="1" s="1"/>
  <c r="CR129" i="1"/>
  <c r="CQ121" i="1"/>
  <c r="CP150" i="1"/>
  <c r="CP153" i="1" s="1"/>
  <c r="CP156" i="1" s="1"/>
  <c r="AB121" i="1"/>
  <c r="CR120" i="1" l="1"/>
  <c r="CR149" i="1"/>
  <c r="CR152" i="1" s="1"/>
  <c r="CR155" i="1" s="1"/>
  <c r="CS112" i="1"/>
  <c r="CS120" i="1"/>
  <c r="CU107" i="1"/>
  <c r="CV105" i="1"/>
  <c r="CT141" i="1"/>
  <c r="CT108" i="1"/>
  <c r="CT111" i="1" s="1"/>
  <c r="CT134" i="1"/>
  <c r="CQ150" i="1"/>
  <c r="CQ153" i="1" s="1"/>
  <c r="CQ156" i="1" s="1"/>
  <c r="CS129" i="1"/>
  <c r="CR121" i="1"/>
  <c r="CT114" i="1" l="1"/>
  <c r="CT112" i="1"/>
  <c r="CT120" i="1"/>
  <c r="CW105" i="1"/>
  <c r="CV107" i="1"/>
  <c r="CU108" i="1"/>
  <c r="CU111" i="1" s="1"/>
  <c r="CU141" i="1"/>
  <c r="CU134" i="1"/>
  <c r="CS149" i="1"/>
  <c r="CS152" i="1" s="1"/>
  <c r="CS155" i="1" s="1"/>
  <c r="CR150" i="1"/>
  <c r="CR153" i="1" s="1"/>
  <c r="CR156" i="1" s="1"/>
  <c r="CT129" i="1"/>
  <c r="CS121" i="1"/>
  <c r="CU112" i="1" l="1"/>
  <c r="CU120" i="1"/>
  <c r="CV141" i="1"/>
  <c r="CV134" i="1"/>
  <c r="CV108" i="1"/>
  <c r="CW107" i="1"/>
  <c r="CX105" i="1"/>
  <c r="AC120" i="1"/>
  <c r="CT149" i="1"/>
  <c r="CT152" i="1" s="1"/>
  <c r="CT155" i="1" s="1"/>
  <c r="CU129" i="1"/>
  <c r="CT121" i="1"/>
  <c r="CS150" i="1"/>
  <c r="CS153" i="1" s="1"/>
  <c r="CS156" i="1" s="1"/>
  <c r="CW134" i="1" l="1"/>
  <c r="CW108" i="1"/>
  <c r="CW111" i="1" s="1"/>
  <c r="CW141" i="1"/>
  <c r="CV111" i="1"/>
  <c r="CX107" i="1"/>
  <c r="CY105" i="1"/>
  <c r="CU149" i="1"/>
  <c r="CU152" i="1" s="1"/>
  <c r="CU155" i="1" s="1"/>
  <c r="CT150" i="1"/>
  <c r="CT153" i="1" s="1"/>
  <c r="CT156" i="1" s="1"/>
  <c r="AC121" i="1"/>
  <c r="CV129" i="1"/>
  <c r="CU121" i="1"/>
  <c r="CW120" i="1" l="1"/>
  <c r="CW112" i="1"/>
  <c r="CX134" i="1"/>
  <c r="CX108" i="1"/>
  <c r="CX111" i="1" s="1"/>
  <c r="CX141" i="1"/>
  <c r="CV112" i="1"/>
  <c r="CV120" i="1"/>
  <c r="CZ105" i="1"/>
  <c r="CY107" i="1"/>
  <c r="CU150" i="1"/>
  <c r="CU153" i="1" s="1"/>
  <c r="CU156" i="1" s="1"/>
  <c r="CV121" i="1"/>
  <c r="CW129" i="1"/>
  <c r="CX120" i="1" l="1"/>
  <c r="CY108" i="1"/>
  <c r="CY111" i="1" s="1"/>
  <c r="CY134" i="1"/>
  <c r="CY141" i="1"/>
  <c r="CX112" i="1"/>
  <c r="DA105" i="1"/>
  <c r="CZ107" i="1"/>
  <c r="CV149" i="1"/>
  <c r="CV152" i="1" s="1"/>
  <c r="CV155" i="1" s="1"/>
  <c r="CW149" i="1"/>
  <c r="CW152" i="1" s="1"/>
  <c r="CW155" i="1" s="1"/>
  <c r="CW121" i="1"/>
  <c r="CX129" i="1"/>
  <c r="CX149" i="1"/>
  <c r="CX152" i="1" s="1"/>
  <c r="CX155" i="1" s="1"/>
  <c r="CV150" i="1"/>
  <c r="CV153" i="1" s="1"/>
  <c r="CV156" i="1" s="1"/>
  <c r="AD120" i="1" l="1"/>
  <c r="CY112" i="1"/>
  <c r="CY120" i="1"/>
  <c r="CY149" i="1" s="1"/>
  <c r="CY152" i="1" s="1"/>
  <c r="CY155" i="1" s="1"/>
  <c r="CZ141" i="1"/>
  <c r="CZ134" i="1"/>
  <c r="CZ108" i="1"/>
  <c r="CZ111" i="1" s="1"/>
  <c r="DA107" i="1"/>
  <c r="DB105" i="1"/>
  <c r="DB107" i="1" s="1"/>
  <c r="CY129" i="1"/>
  <c r="CX121" i="1"/>
  <c r="CW150" i="1"/>
  <c r="CW153" i="1" s="1"/>
  <c r="CW156" i="1" s="1"/>
  <c r="DA134" i="1" l="1"/>
  <c r="DA141" i="1"/>
  <c r="DA108" i="1"/>
  <c r="DA111" i="1" s="1"/>
  <c r="CZ112" i="1"/>
  <c r="CZ120" i="1"/>
  <c r="DB108" i="1"/>
  <c r="DB141" i="1"/>
  <c r="DB134" i="1"/>
  <c r="CX150" i="1"/>
  <c r="CX153" i="1" s="1"/>
  <c r="CX156" i="1" s="1"/>
  <c r="AD121" i="1"/>
  <c r="CY121" i="1"/>
  <c r="CZ129" i="1"/>
  <c r="DB111" i="1" l="1"/>
  <c r="CZ149" i="1"/>
  <c r="CZ152" i="1" s="1"/>
  <c r="CZ155" i="1" s="1"/>
  <c r="DA112" i="1"/>
  <c r="DA120" i="1"/>
  <c r="CZ121" i="1"/>
  <c r="DA129" i="1"/>
  <c r="CY150" i="1"/>
  <c r="CY153" i="1" s="1"/>
  <c r="CY156" i="1" s="1"/>
  <c r="DB112" i="1" l="1"/>
  <c r="DB120" i="1"/>
  <c r="DA149" i="1"/>
  <c r="DA152" i="1" s="1"/>
  <c r="DA155" i="1" s="1"/>
  <c r="AE120" i="1"/>
  <c r="DA121" i="1"/>
  <c r="DB129" i="1"/>
  <c r="DB121" i="1" s="1"/>
  <c r="CZ150" i="1"/>
  <c r="CZ153" i="1" s="1"/>
  <c r="CZ156" i="1" s="1"/>
  <c r="DB149" i="1" l="1"/>
  <c r="DB152" i="1" s="1"/>
  <c r="DB155" i="1" s="1"/>
  <c r="DA150" i="1"/>
  <c r="DA153" i="1" s="1"/>
  <c r="DA156" i="1" s="1"/>
  <c r="AE121" i="1"/>
  <c r="DB150" i="1"/>
  <c r="DB153" i="1" s="1"/>
  <c r="DB156" i="1" s="1"/>
  <c r="JV16" i="4" l="1"/>
  <c r="JW9" i="4"/>
  <c r="JR16" i="4"/>
  <c r="KA9" i="4"/>
  <c r="JS9" i="4"/>
  <c r="KC9" i="4"/>
  <c r="KA21" i="4"/>
  <c r="KC21" i="4"/>
  <c r="JV21" i="4"/>
  <c r="JS21" i="4"/>
  <c r="JW21" i="4" l="1"/>
  <c r="JR21" i="4"/>
  <c r="CL119" i="1" l="1"/>
  <c r="CL144" i="1"/>
  <c r="CL136" i="1"/>
  <c r="CL127" i="1" l="1"/>
  <c r="CM119" i="1"/>
  <c r="CN119" i="1"/>
  <c r="CM124" i="1"/>
  <c r="CM123" i="1"/>
  <c r="CM127" i="1" l="1"/>
  <c r="CM136" i="1"/>
  <c r="CM144" i="1"/>
  <c r="CN124" i="1"/>
  <c r="CN127" i="1"/>
  <c r="CN123" i="1"/>
  <c r="CN136" i="1"/>
  <c r="CN144" i="1"/>
  <c r="CO119" i="1"/>
  <c r="CP119" i="1" l="1"/>
  <c r="CO124" i="1"/>
  <c r="CO123" i="1"/>
  <c r="CO127" i="1"/>
  <c r="CO136" i="1"/>
  <c r="CO144" i="1"/>
  <c r="CP124" i="1" l="1"/>
  <c r="CP123" i="1"/>
  <c r="CP127" i="1"/>
  <c r="CP144" i="1"/>
  <c r="CP136" i="1"/>
  <c r="CQ119" i="1"/>
  <c r="AB119" i="1"/>
  <c r="CQ124" i="1" l="1"/>
  <c r="CQ123" i="1"/>
  <c r="CR119" i="1"/>
  <c r="CQ127" i="1"/>
  <c r="CQ144" i="1"/>
  <c r="CQ136" i="1"/>
  <c r="AB124" i="1"/>
  <c r="AB123" i="1"/>
  <c r="CR127" i="1" l="1"/>
  <c r="CR136" i="1"/>
  <c r="CR144" i="1"/>
  <c r="CS119" i="1"/>
  <c r="CR124" i="1"/>
  <c r="CR123" i="1"/>
  <c r="CS124" i="1" l="1"/>
  <c r="CS123" i="1"/>
  <c r="CS127" i="1"/>
  <c r="CS136" i="1"/>
  <c r="CS144" i="1"/>
  <c r="CT119" i="1"/>
  <c r="CT124" i="1" l="1"/>
  <c r="CT123" i="1"/>
  <c r="CT127" i="1"/>
  <c r="CT144" i="1"/>
  <c r="CT136" i="1"/>
  <c r="CU119" i="1"/>
  <c r="AC119" i="1"/>
  <c r="CU124" i="1" l="1"/>
  <c r="CU123" i="1"/>
  <c r="CU127" i="1"/>
  <c r="CU136" i="1"/>
  <c r="CU144" i="1"/>
  <c r="CV119" i="1"/>
  <c r="AC124" i="1"/>
  <c r="AC123" i="1"/>
  <c r="CV124" i="1" l="1"/>
  <c r="CV123" i="1"/>
  <c r="CV127" i="1"/>
  <c r="CV136" i="1"/>
  <c r="CV144" i="1"/>
  <c r="CW119" i="1"/>
  <c r="CW123" i="1" l="1"/>
  <c r="CW127" i="1"/>
  <c r="CW144" i="1"/>
  <c r="CW136" i="1"/>
  <c r="CW124" i="1"/>
  <c r="CX119" i="1"/>
  <c r="CX124" i="1" l="1"/>
  <c r="CX123" i="1"/>
  <c r="CX144" i="1"/>
  <c r="CX127" i="1"/>
  <c r="CX136" i="1"/>
  <c r="AD119" i="1"/>
  <c r="CY119" i="1"/>
  <c r="AD124" i="1" l="1"/>
  <c r="AD123" i="1"/>
  <c r="CY124" i="1"/>
  <c r="CY123" i="1"/>
  <c r="CY127" i="1"/>
  <c r="CY144" i="1"/>
  <c r="CY136" i="1"/>
  <c r="CZ119" i="1"/>
  <c r="CZ124" i="1" l="1"/>
  <c r="CZ123" i="1"/>
  <c r="CZ127" i="1"/>
  <c r="CZ136" i="1"/>
  <c r="CZ144" i="1"/>
  <c r="DA119" i="1"/>
  <c r="DA124" i="1" l="1"/>
  <c r="DA123" i="1"/>
  <c r="DA127" i="1"/>
  <c r="DA144" i="1"/>
  <c r="DA136" i="1"/>
  <c r="DB119" i="1"/>
  <c r="DB123" i="1" l="1"/>
  <c r="DB127" i="1"/>
  <c r="DB136" i="1"/>
  <c r="DB144" i="1"/>
  <c r="DB124" i="1"/>
  <c r="AE119" i="1"/>
  <c r="AE124" i="1" l="1"/>
  <c r="AE123" i="1"/>
  <c r="AB105" i="1" l="1"/>
  <c r="AA105" i="1"/>
  <c r="AA107" i="1"/>
  <c r="AA108" i="1"/>
  <c r="AA111" i="1"/>
  <c r="AA129" i="1"/>
  <c r="AA127" i="1"/>
  <c r="AA149" i="1"/>
  <c r="AA152" i="1"/>
  <c r="AA155" i="1"/>
  <c r="AA128" i="1"/>
  <c r="AA134" i="1"/>
  <c r="AA137" i="1"/>
  <c r="AA138" i="1"/>
  <c r="AA136" i="1"/>
  <c r="AA141" i="1"/>
  <c r="AA144" i="1"/>
  <c r="AA145" i="1"/>
  <c r="AA146" i="1"/>
  <c r="AA106" i="1"/>
  <c r="AB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AC106" i="1"/>
  <c r="AD106" i="1"/>
  <c r="AE106" i="1"/>
  <c r="Z105" i="1"/>
  <c r="Y105" i="1"/>
  <c r="Z107" i="1"/>
  <c r="Y107" i="1"/>
  <c r="X105" i="1"/>
  <c r="Z108" i="1"/>
  <c r="AC105" i="1"/>
  <c r="AB107" i="1"/>
  <c r="Z134" i="1"/>
  <c r="Z141" i="1"/>
  <c r="Z149" i="1"/>
  <c r="Z152" i="1"/>
  <c r="Z155" i="1"/>
  <c r="Z150" i="1"/>
  <c r="Z153" i="1"/>
  <c r="Z156" i="1"/>
  <c r="AB108" i="1"/>
  <c r="AB134" i="1"/>
  <c r="AB141" i="1"/>
  <c r="AD105" i="1"/>
  <c r="AC107" i="1"/>
  <c r="Z110" i="1"/>
  <c r="Z111" i="1"/>
  <c r="X107" i="1"/>
  <c r="W105" i="1"/>
  <c r="Y141" i="1"/>
  <c r="Y150" i="1"/>
  <c r="Y153" i="1"/>
  <c r="Y156" i="1"/>
  <c r="Y134" i="1"/>
  <c r="Y108" i="1"/>
  <c r="Y149" i="1"/>
  <c r="Y152" i="1"/>
  <c r="Y155" i="1"/>
  <c r="Z131" i="1"/>
  <c r="X141" i="1"/>
  <c r="X149" i="1"/>
  <c r="X152" i="1"/>
  <c r="X155" i="1"/>
  <c r="X134" i="1"/>
  <c r="V105" i="1"/>
  <c r="U105" i="1"/>
  <c r="T105" i="1"/>
  <c r="S105" i="1"/>
  <c r="R105" i="1"/>
  <c r="R107" i="1"/>
  <c r="V107" i="1"/>
  <c r="X145" i="1"/>
  <c r="AE105" i="1"/>
  <c r="Q105" i="1"/>
  <c r="P105" i="1"/>
  <c r="O105" i="1"/>
  <c r="N105" i="1"/>
  <c r="M105" i="1"/>
  <c r="L105" i="1"/>
  <c r="K105" i="1"/>
  <c r="J105" i="1"/>
  <c r="I105" i="1"/>
  <c r="H105" i="1"/>
  <c r="G105" i="1"/>
  <c r="G107" i="1"/>
  <c r="G134" i="1"/>
  <c r="G136" i="1"/>
  <c r="F105" i="1"/>
  <c r="F107" i="1"/>
  <c r="F149" i="1"/>
  <c r="O107" i="1"/>
  <c r="O141" i="1"/>
  <c r="O145" i="1"/>
  <c r="Z146" i="1"/>
  <c r="R134" i="1"/>
  <c r="AB144" i="1"/>
  <c r="AE107" i="1"/>
  <c r="AE134" i="1"/>
  <c r="AE137" i="1"/>
  <c r="Y111" i="1"/>
  <c r="AC141" i="1"/>
  <c r="F141" i="1"/>
  <c r="Y146" i="1"/>
  <c r="Y129" i="1"/>
  <c r="J107" i="1"/>
  <c r="J108" i="1"/>
  <c r="J111" i="1"/>
  <c r="J128" i="1"/>
  <c r="AC146" i="1"/>
  <c r="O144" i="1"/>
  <c r="Y110" i="1"/>
  <c r="AB136" i="1"/>
  <c r="K107" i="1"/>
  <c r="K108" i="1"/>
  <c r="K110" i="1"/>
  <c r="K149" i="1"/>
  <c r="K152" i="1"/>
  <c r="K150" i="1"/>
  <c r="K153" i="1"/>
  <c r="K156" i="1"/>
  <c r="M107" i="1"/>
  <c r="M134" i="1"/>
  <c r="M138" i="1"/>
  <c r="E105" i="1"/>
  <c r="E107" i="1"/>
  <c r="E134" i="1"/>
  <c r="E136" i="1"/>
  <c r="M137" i="1"/>
  <c r="AC108" i="1"/>
  <c r="V149" i="1"/>
  <c r="AE108" i="1"/>
  <c r="AE110" i="1"/>
  <c r="X136" i="1"/>
  <c r="P107" i="1"/>
  <c r="P150" i="1"/>
  <c r="AC150" i="1"/>
  <c r="AC153" i="1"/>
  <c r="AB110" i="1"/>
  <c r="Z129" i="1"/>
  <c r="AB149" i="1"/>
  <c r="AB152" i="1"/>
  <c r="AB155" i="1"/>
  <c r="AB137" i="1"/>
  <c r="AB145" i="1"/>
  <c r="U107" i="1"/>
  <c r="U141" i="1"/>
  <c r="U145" i="1"/>
  <c r="U146" i="1"/>
  <c r="U144" i="1"/>
  <c r="T107" i="1"/>
  <c r="T141" i="1"/>
  <c r="T134" i="1"/>
  <c r="T150" i="1"/>
  <c r="T153" i="1"/>
  <c r="V108" i="1"/>
  <c r="V111" i="1"/>
  <c r="V127" i="1"/>
  <c r="U134" i="1"/>
  <c r="U137" i="1"/>
  <c r="T137" i="1"/>
  <c r="T138" i="1"/>
  <c r="T136" i="1"/>
  <c r="V112" i="1"/>
  <c r="T145" i="1"/>
  <c r="T144" i="1"/>
  <c r="U108" i="1"/>
  <c r="U111" i="1"/>
  <c r="U128" i="1"/>
  <c r="U129" i="1"/>
  <c r="U127" i="1"/>
  <c r="T131" i="1"/>
  <c r="S107" i="1"/>
  <c r="S149" i="1"/>
  <c r="S152" i="1"/>
  <c r="S155" i="1"/>
  <c r="S150" i="1"/>
  <c r="S153" i="1"/>
  <c r="S156" i="1"/>
  <c r="AB138" i="1"/>
  <c r="AB150" i="1"/>
  <c r="AB153" i="1"/>
  <c r="AB156" i="1"/>
  <c r="AB146" i="1"/>
  <c r="U112" i="1"/>
  <c r="S108" i="1"/>
  <c r="S111" i="1"/>
  <c r="S110" i="1"/>
  <c r="S134" i="1"/>
  <c r="S137" i="1"/>
  <c r="S138" i="1"/>
  <c r="S136" i="1"/>
  <c r="R150" i="1"/>
  <c r="R153" i="1"/>
  <c r="R156" i="1"/>
  <c r="R149" i="1"/>
  <c r="R152" i="1"/>
  <c r="R155" i="1"/>
  <c r="S141" i="1"/>
  <c r="S146" i="1"/>
  <c r="S127" i="1"/>
  <c r="R131" i="1"/>
  <c r="Y145" i="1"/>
  <c r="R108" i="1"/>
  <c r="R111" i="1"/>
  <c r="R112" i="1"/>
  <c r="Y131" i="1"/>
  <c r="Y136" i="1"/>
  <c r="Z137" i="1"/>
  <c r="H107" i="1"/>
  <c r="H150" i="1"/>
  <c r="H153" i="1"/>
  <c r="U136" i="1"/>
  <c r="X150" i="1"/>
  <c r="X153" i="1"/>
  <c r="G149" i="1"/>
  <c r="L107" i="1"/>
  <c r="L141" i="1"/>
  <c r="L144" i="1"/>
  <c r="X146" i="1"/>
  <c r="T149" i="1"/>
  <c r="I107" i="1"/>
  <c r="I108" i="1"/>
  <c r="I111" i="1"/>
  <c r="I127" i="1"/>
  <c r="AE150" i="1"/>
  <c r="AE153" i="1"/>
  <c r="AE156" i="1"/>
  <c r="AC110" i="1"/>
  <c r="U110" i="1"/>
  <c r="F108" i="1"/>
  <c r="F111" i="1"/>
  <c r="E131" i="1"/>
  <c r="F128" i="1"/>
  <c r="AE149" i="1"/>
  <c r="M108" i="1"/>
  <c r="M111" i="1"/>
  <c r="R127" i="1"/>
  <c r="W107" i="1"/>
  <c r="W141" i="1"/>
  <c r="W146" i="1"/>
  <c r="V150" i="1"/>
  <c r="R136" i="1"/>
  <c r="E137" i="1"/>
  <c r="E138" i="1"/>
  <c r="AD107" i="1"/>
  <c r="AD141" i="1"/>
  <c r="AD146" i="1"/>
  <c r="J149" i="1"/>
  <c r="J152" i="1"/>
  <c r="J155" i="1"/>
  <c r="M127" i="1"/>
  <c r="I149" i="1"/>
  <c r="I152" i="1"/>
  <c r="Z127" i="1"/>
  <c r="AD145" i="1"/>
  <c r="M150" i="1"/>
  <c r="M153" i="1"/>
  <c r="M156" i="1"/>
  <c r="Q107" i="1"/>
  <c r="Q108" i="1"/>
  <c r="Q111" i="1"/>
  <c r="P131" i="1"/>
  <c r="K155" i="1"/>
  <c r="V129" i="1"/>
  <c r="S145" i="1"/>
  <c r="E150" i="1"/>
  <c r="E153" i="1"/>
  <c r="G108" i="1"/>
  <c r="G110" i="1"/>
  <c r="G141" i="1"/>
  <c r="G145" i="1"/>
  <c r="G138" i="1"/>
  <c r="G137" i="1"/>
  <c r="F150" i="1"/>
  <c r="F153" i="1"/>
  <c r="F156" i="1"/>
  <c r="F152" i="1"/>
  <c r="Z112" i="1"/>
  <c r="W150" i="1"/>
  <c r="W153" i="1"/>
  <c r="AC111" i="1"/>
  <c r="P108" i="1"/>
  <c r="W149" i="1"/>
  <c r="W152" i="1"/>
  <c r="G111" i="1"/>
  <c r="F131" i="1"/>
  <c r="G128" i="1"/>
  <c r="U150" i="1"/>
  <c r="F134" i="1"/>
  <c r="S129" i="1"/>
  <c r="V152" i="1"/>
  <c r="X108" i="1"/>
  <c r="X111" i="1"/>
  <c r="W131" i="1"/>
  <c r="F138" i="1"/>
  <c r="AD149" i="1"/>
  <c r="AD152" i="1"/>
  <c r="AD155" i="1"/>
  <c r="Q141" i="1"/>
  <c r="Q144" i="1"/>
  <c r="M136" i="1"/>
  <c r="R110" i="1"/>
  <c r="Z128" i="1"/>
  <c r="Y144" i="1"/>
  <c r="Z138" i="1"/>
  <c r="Q149" i="1"/>
  <c r="Q152" i="1"/>
  <c r="Q155" i="1"/>
  <c r="L108" i="1"/>
  <c r="L111" i="1"/>
  <c r="L127" i="1"/>
  <c r="T156" i="1"/>
  <c r="N107" i="1"/>
  <c r="N149" i="1"/>
  <c r="N152" i="1"/>
  <c r="N155" i="1"/>
  <c r="AC149" i="1"/>
  <c r="K134" i="1"/>
  <c r="K138" i="1"/>
  <c r="L146" i="1"/>
  <c r="V110" i="1"/>
  <c r="H149" i="1"/>
  <c r="H152" i="1"/>
  <c r="Q145" i="1"/>
  <c r="G152" i="1"/>
  <c r="G155" i="1"/>
  <c r="Q150" i="1"/>
  <c r="Q153" i="1"/>
  <c r="Q156" i="1"/>
  <c r="R129" i="1"/>
  <c r="AA112" i="1"/>
  <c r="AD150" i="1"/>
  <c r="AD153" i="1"/>
  <c r="S128" i="1"/>
  <c r="S144" i="1"/>
  <c r="R141" i="1"/>
  <c r="Y137" i="1"/>
  <c r="L149" i="1"/>
  <c r="Q131" i="1"/>
  <c r="P141" i="1"/>
  <c r="G150" i="1"/>
  <c r="X138" i="1"/>
  <c r="AE141" i="1"/>
  <c r="AE146" i="1"/>
  <c r="Z145" i="1"/>
  <c r="H156" i="1"/>
  <c r="L134" i="1"/>
  <c r="L136" i="1"/>
  <c r="N108" i="1"/>
  <c r="N111" i="1"/>
  <c r="N112" i="1"/>
  <c r="Z136" i="1"/>
  <c r="U131" i="1"/>
  <c r="AB111" i="1"/>
  <c r="Z144" i="1"/>
  <c r="X137" i="1"/>
  <c r="O149" i="1"/>
  <c r="O152" i="1"/>
  <c r="H108" i="1"/>
  <c r="H110" i="1"/>
  <c r="H111" i="1"/>
  <c r="H134" i="1"/>
  <c r="H136" i="1"/>
  <c r="H138" i="1"/>
  <c r="H137" i="1"/>
  <c r="I129" i="1"/>
  <c r="AE138" i="1"/>
  <c r="E149" i="1"/>
  <c r="P134" i="1"/>
  <c r="K137" i="1"/>
  <c r="R146" i="1"/>
  <c r="Q146" i="1"/>
  <c r="X129" i="1"/>
  <c r="F127" i="1"/>
  <c r="L112" i="1"/>
  <c r="AE152" i="1"/>
  <c r="N134" i="1"/>
  <c r="M141" i="1"/>
  <c r="M144" i="1"/>
  <c r="W108" i="1"/>
  <c r="T152" i="1"/>
  <c r="L138" i="1"/>
  <c r="I134" i="1"/>
  <c r="I137" i="1"/>
  <c r="T108" i="1"/>
  <c r="T111" i="1"/>
  <c r="P149" i="1"/>
  <c r="P152" i="1"/>
  <c r="P155" i="1"/>
  <c r="N127" i="1"/>
  <c r="AA131" i="1"/>
  <c r="K131" i="1"/>
  <c r="S112" i="1"/>
  <c r="I136" i="1"/>
  <c r="H141" i="1"/>
  <c r="X144" i="1"/>
  <c r="Q129" i="1"/>
  <c r="AA150" i="1"/>
  <c r="V128" i="1"/>
  <c r="I150" i="1"/>
  <c r="I138" i="1"/>
  <c r="L129" i="1"/>
  <c r="I155" i="1"/>
  <c r="O108" i="1"/>
  <c r="O111" i="1"/>
  <c r="AE145" i="1"/>
  <c r="P137" i="1"/>
  <c r="O146" i="1"/>
  <c r="N137" i="1"/>
  <c r="F155" i="1"/>
  <c r="R128" i="1"/>
  <c r="V153" i="1"/>
  <c r="O112" i="1"/>
  <c r="Q112" i="1"/>
  <c r="I112" i="1"/>
  <c r="P145" i="1"/>
  <c r="H112" i="1"/>
  <c r="P144" i="1"/>
  <c r="W156" i="1"/>
  <c r="O155" i="1"/>
  <c r="F144" i="1"/>
  <c r="F146" i="1"/>
  <c r="AD144" i="1"/>
  <c r="T110" i="1"/>
  <c r="R144" i="1"/>
  <c r="M146" i="1"/>
  <c r="V155" i="1"/>
  <c r="W145" i="1"/>
  <c r="Q134" i="1"/>
  <c r="Q136" i="1"/>
  <c r="O129" i="1"/>
  <c r="L145" i="1"/>
  <c r="H144" i="1"/>
  <c r="O128" i="1"/>
  <c r="N110" i="1"/>
  <c r="T127" i="1"/>
  <c r="P153" i="1"/>
  <c r="P156" i="1"/>
  <c r="N150" i="1"/>
  <c r="N153" i="1"/>
  <c r="N156" i="1"/>
  <c r="E152" i="1"/>
  <c r="E155" i="1"/>
  <c r="G131" i="1"/>
  <c r="H128" i="1"/>
  <c r="N129" i="1"/>
  <c r="Y112" i="1"/>
  <c r="F145" i="1"/>
  <c r="P138" i="1"/>
  <c r="M110" i="1"/>
  <c r="AE136" i="1"/>
  <c r="P136" i="1"/>
  <c r="T112" i="1"/>
  <c r="X110" i="1"/>
  <c r="AC144" i="1"/>
  <c r="Y128" i="1"/>
  <c r="K136" i="1"/>
  <c r="M131" i="1"/>
  <c r="T129" i="1"/>
  <c r="M129" i="1"/>
  <c r="Q128" i="1"/>
  <c r="M112" i="1"/>
  <c r="AC145" i="1"/>
  <c r="K111" i="1"/>
  <c r="J131" i="1"/>
  <c r="N138" i="1"/>
  <c r="K112" i="1"/>
  <c r="K127" i="1"/>
  <c r="I110" i="1"/>
  <c r="P111" i="1"/>
  <c r="P127" i="1"/>
  <c r="J129" i="1"/>
  <c r="N131" i="1"/>
  <c r="M149" i="1"/>
  <c r="M152" i="1"/>
  <c r="M155" i="1"/>
  <c r="AE155" i="1"/>
  <c r="Q127" i="1"/>
  <c r="J112" i="1"/>
  <c r="P112" i="1"/>
  <c r="P129" i="1"/>
  <c r="S131" i="1"/>
  <c r="G153" i="1"/>
  <c r="G156" i="1"/>
  <c r="W144" i="1"/>
  <c r="K128" i="1"/>
  <c r="K129" i="1"/>
  <c r="J110" i="1"/>
  <c r="Y127" i="1"/>
  <c r="M145" i="1"/>
  <c r="R137" i="1"/>
  <c r="P128" i="1"/>
  <c r="AC134" i="1"/>
  <c r="V141" i="1"/>
  <c r="V145" i="1"/>
  <c r="V134" i="1"/>
  <c r="V138" i="1"/>
  <c r="AD108" i="1"/>
  <c r="AD111" i="1"/>
  <c r="AD112" i="1"/>
  <c r="Q110" i="1"/>
  <c r="V144" i="1"/>
  <c r="V146" i="1"/>
  <c r="V137" i="1"/>
  <c r="V136" i="1"/>
  <c r="AC136" i="1"/>
  <c r="AC137" i="1"/>
  <c r="AD128" i="1"/>
  <c r="AC138" i="1"/>
  <c r="AD127" i="1"/>
  <c r="AD129" i="1"/>
  <c r="AC131" i="1"/>
  <c r="H131" i="1"/>
  <c r="I128" i="1"/>
  <c r="E141" i="1"/>
  <c r="L150" i="1"/>
  <c r="U149" i="1"/>
  <c r="L153" i="1"/>
  <c r="X112" i="1"/>
  <c r="L152" i="1"/>
  <c r="L155" i="1"/>
  <c r="F112" i="1"/>
  <c r="J134" i="1"/>
  <c r="AC152" i="1"/>
  <c r="O150" i="1"/>
  <c r="O153" i="1"/>
  <c r="I141" i="1"/>
  <c r="I131" i="1"/>
  <c r="J141" i="1"/>
  <c r="W111" i="1"/>
  <c r="W134" i="1"/>
  <c r="AA110" i="1"/>
  <c r="Q137" i="1"/>
  <c r="AD134" i="1"/>
  <c r="U138" i="1"/>
  <c r="K141" i="1"/>
  <c r="AB129" i="1"/>
  <c r="AE111" i="1"/>
  <c r="E108" i="1"/>
  <c r="E111" i="1"/>
  <c r="G127" i="1"/>
  <c r="E110" i="1"/>
  <c r="M128" i="1"/>
  <c r="P146" i="1"/>
  <c r="N141" i="1"/>
  <c r="AA153" i="1"/>
  <c r="I153" i="1"/>
  <c r="J150" i="1"/>
  <c r="Y138" i="1"/>
  <c r="X131" i="1"/>
  <c r="O134" i="1"/>
  <c r="R138" i="1"/>
  <c r="AC128" i="1"/>
  <c r="O131" i="1"/>
  <c r="AB112" i="1"/>
  <c r="AB131" i="1"/>
  <c r="U153" i="1"/>
  <c r="F136" i="1"/>
  <c r="AC156" i="1"/>
  <c r="V156" i="1"/>
  <c r="E128" i="1"/>
  <c r="F137" i="1"/>
  <c r="J127" i="1"/>
  <c r="W110" i="1"/>
  <c r="H129" i="1"/>
  <c r="G146" i="1"/>
  <c r="E145" i="1"/>
  <c r="X156" i="1"/>
  <c r="W155" i="1"/>
  <c r="R145" i="1"/>
  <c r="U152" i="1"/>
  <c r="U155" i="1"/>
  <c r="G129" i="1"/>
  <c r="F129" i="1"/>
  <c r="Q138" i="1"/>
  <c r="H155" i="1"/>
  <c r="V131" i="1"/>
  <c r="AD156" i="1"/>
  <c r="W128" i="1"/>
  <c r="T146" i="1"/>
  <c r="AC129" i="1"/>
  <c r="AE144" i="1"/>
  <c r="E144" i="1"/>
  <c r="H146" i="1"/>
  <c r="AD110" i="1"/>
  <c r="J153" i="1"/>
  <c r="J156" i="1"/>
  <c r="L131" i="1"/>
  <c r="T155" i="1"/>
  <c r="U156" i="1"/>
  <c r="N145" i="1"/>
  <c r="E156" i="1"/>
  <c r="O110" i="1"/>
  <c r="O127" i="1"/>
  <c r="AC127" i="1"/>
  <c r="AB128" i="1"/>
  <c r="X128" i="1"/>
  <c r="X127" i="1"/>
  <c r="AB127" i="1"/>
  <c r="W136" i="1"/>
  <c r="AD138" i="1"/>
  <c r="E146" i="1"/>
  <c r="AE127" i="1"/>
  <c r="N144" i="1"/>
  <c r="N128" i="1"/>
  <c r="L137" i="1"/>
  <c r="I156" i="1"/>
  <c r="L128" i="1"/>
  <c r="G112" i="1"/>
  <c r="F110" i="1"/>
  <c r="L110" i="1"/>
  <c r="AC112" i="1"/>
  <c r="N136" i="1"/>
  <c r="H145" i="1"/>
  <c r="I145" i="1"/>
  <c r="K145" i="1"/>
  <c r="P110" i="1"/>
  <c r="H127" i="1"/>
  <c r="G144" i="1"/>
  <c r="T128" i="1"/>
  <c r="O156" i="1"/>
  <c r="L156" i="1"/>
  <c r="E127" i="1"/>
  <c r="I144" i="1"/>
  <c r="O136" i="1"/>
  <c r="J144" i="1"/>
  <c r="AD131" i="1"/>
  <c r="J136" i="1"/>
  <c r="W138" i="1"/>
  <c r="N146" i="1"/>
  <c r="W129" i="1"/>
  <c r="O138" i="1"/>
  <c r="W137" i="1"/>
  <c r="O137" i="1"/>
  <c r="AE129" i="1"/>
  <c r="AA156" i="1"/>
  <c r="J146" i="1"/>
  <c r="E129" i="1"/>
  <c r="AD136" i="1"/>
  <c r="J137" i="1"/>
  <c r="I146" i="1"/>
  <c r="AD137" i="1"/>
  <c r="K146" i="1"/>
  <c r="AE128" i="1"/>
  <c r="W127" i="1"/>
  <c r="J138" i="1"/>
  <c r="J145" i="1"/>
  <c r="E112" i="1"/>
  <c r="D131" i="1"/>
  <c r="AC155" i="1"/>
  <c r="AE112" i="1"/>
  <c r="W112" i="1"/>
  <c r="K14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Saqib Khan</author>
  </authors>
  <commentList>
    <comment ref="CK105" authorId="0" shapeId="0" xr:uid="{E1176CC2-0A87-472B-AFEB-08524468B97A}">
      <text>
        <r>
          <rPr>
            <b/>
            <sz val="9"/>
            <color indexed="81"/>
            <rFont val="Tahoma"/>
            <family val="2"/>
          </rPr>
          <t>bonus</t>
        </r>
      </text>
    </comment>
    <comment ref="W187" authorId="0" shapeId="0" xr:uid="{AF728350-54F4-43E8-8664-873AD6552CC9}">
      <text>
        <r>
          <rPr>
            <b/>
            <sz val="9"/>
            <color indexed="81"/>
            <rFont val="Tahoma"/>
            <family val="2"/>
          </rPr>
          <t>150.74- provision for current tax</t>
        </r>
      </text>
    </comment>
    <comment ref="Z187" authorId="0" shapeId="0" xr:uid="{37B5E607-8F64-4B4A-A503-453855AABF9B}">
      <text>
        <r>
          <rPr>
            <b/>
            <sz val="9"/>
            <color indexed="81"/>
            <rFont val="Tahoma"/>
            <family val="2"/>
          </rPr>
          <t>4.9 cr capital advances</t>
        </r>
      </text>
    </comment>
    <comment ref="AA187" authorId="0" shapeId="0" xr:uid="{1E107ACA-5367-4587-B19E-41F569BB2079}">
      <text>
        <r>
          <rPr>
            <b/>
            <sz val="9"/>
            <color indexed="81"/>
            <rFont val="Tahoma"/>
            <family val="2"/>
          </rPr>
          <t>4.9 cr capital advances</t>
        </r>
      </text>
    </comment>
    <comment ref="Z188" authorId="0" shapeId="0" xr:uid="{B849FAC7-86F1-4B7C-9B76-2363816DD169}">
      <text>
        <r>
          <rPr>
            <b/>
            <sz val="9"/>
            <color indexed="81"/>
            <rFont val="Tahoma"/>
            <family val="2"/>
          </rPr>
          <t>8.89 cr claims received</t>
        </r>
      </text>
    </comment>
    <comment ref="AA188" authorId="0" shapeId="0" xr:uid="{E0CC5A04-AF93-44F1-9058-C017A450F58C}">
      <text>
        <r>
          <rPr>
            <b/>
            <sz val="9"/>
            <color indexed="81"/>
            <rFont val="Tahoma"/>
            <family val="2"/>
          </rPr>
          <t>8.89 cr claims received</t>
        </r>
      </text>
    </comment>
    <comment ref="W203" authorId="0" shapeId="0" xr:uid="{D63CCD87-7705-49D9-994B-D25C985D06B6}">
      <text>
        <r>
          <rPr>
            <b/>
            <sz val="9"/>
            <color indexed="81"/>
            <rFont val="Tahoma"/>
            <family val="2"/>
          </rPr>
          <t>Provision for current tax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<sst xmlns="http://schemas.openxmlformats.org/spreadsheetml/2006/main" count="708" uniqueCount="566">
  <si>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</si>
  <si>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</si>
  <si>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</si>
  <si>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</si>
  <si>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</si>
  <si>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</si>
  <si>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</si>
  <si>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</si>
  <si>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</si>
  <si>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</si>
  <si>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</si>
  <si>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</si>
  <si>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</si>
  <si>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</si>
  <si>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</si>
  <si>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</si>
  <si>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</si>
  <si>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</si>
  <si>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</si>
  <si>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</si>
  <si>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</si>
  <si>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</si>
  <si>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</si>
  <si>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</si>
  <si>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</si>
  <si>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</si>
  <si>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</si>
  <si>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</si>
  <si>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</si>
  <si>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</si>
  <si>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</si>
  <si>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</si>
  <si>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</si>
  <si>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</si>
  <si>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</si>
  <si>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</si>
  <si>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</si>
  <si>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</si>
  <si>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</si>
  <si>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</si>
  <si>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</si>
  <si>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</si>
  <si>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</si>
  <si>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</si>
  <si>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</si>
  <si>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</si>
  <si>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</si>
  <si>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</si>
  <si>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</si>
  <si>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</si>
  <si>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</si>
  <si>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</si>
  <si>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</si>
  <si>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</si>
  <si>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</si>
  <si>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</si>
  <si>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</si>
  <si>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</si>
  <si>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</si>
  <si>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</si>
  <si>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</si>
  <si>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</si>
  <si>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</si>
  <si>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</si>
  <si>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</si>
  <si>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</si>
  <si>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</si>
  <si>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</si>
  <si>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</si>
  <si>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</si>
  <si>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</si>
  <si>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</si>
  <si>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</si>
  <si>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</si>
  <si>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</si>
  <si>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</si>
  <si>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</si>
  <si>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</si>
  <si>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</si>
  <si>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</si>
  <si>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</si>
  <si>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</si>
  <si>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</si>
  <si>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</si>
  <si>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</si>
  <si>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</si>
  <si>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</si>
  <si>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</si>
  <si>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</si>
  <si>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</si>
  <si>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</si>
  <si>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</si>
  <si>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</si>
  <si>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</si>
  <si>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</si>
  <si>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</si>
  <si>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</si>
  <si>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</si>
  <si>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</si>
  <si>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</si>
  <si>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</si>
  <si>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</si>
  <si>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</si>
  <si>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</si>
  <si>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</si>
  <si>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</si>
  <si>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</si>
  <si>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</si>
  <si>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</si>
  <si>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</si>
  <si>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</si>
  <si>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</si>
  <si>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</si>
  <si>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</si>
  <si>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</si>
  <si>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</si>
  <si>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</si>
  <si>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</si>
  <si>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</si>
  <si>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</si>
  <si>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</si>
  <si>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</si>
  <si>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</si>
  <si>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</si>
  <si>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</si>
  <si>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</si>
  <si>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</si>
  <si>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</si>
  <si>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</si>
  <si>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</si>
  <si>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</si>
  <si>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</si>
  <si>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</si>
  <si>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</si>
  <si>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</si>
  <si>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</si>
  <si>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</si>
  <si>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</si>
  <si>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</si>
  <si>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</si>
  <si>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</si>
  <si>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</si>
  <si>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</si>
  <si>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</si>
  <si>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</si>
  <si>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</si>
  <si>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</si>
  <si>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</si>
  <si>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</si>
  <si>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</si>
  <si>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</si>
  <si>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</si>
  <si>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</si>
  <si>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</si>
  <si>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</si>
  <si>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</si>
  <si>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</si>
  <si>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</si>
  <si>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</si>
  <si>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</si>
  <si>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</si>
  <si>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</si>
  <si>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</si>
  <si>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</si>
  <si>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</si>
  <si>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</si>
  <si>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</si>
  <si>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</si>
  <si>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</si>
  <si>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</si>
  <si>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</si>
  <si>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</si>
  <si>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</si>
  <si>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</si>
  <si>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</si>
  <si>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</si>
  <si>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</si>
  <si>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</si>
  <si>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</si>
  <si>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</si>
  <si>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</si>
  <si>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</si>
  <si>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</si>
  <si>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</si>
  <si>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</si>
  <si>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</si>
  <si>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</si>
  <si>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</si>
  <si>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</si>
  <si>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</si>
  <si>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</si>
  <si>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</si>
  <si>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</si>
  <si>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</si>
  <si>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</si>
  <si>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</si>
  <si>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</si>
  <si>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</si>
  <si>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</si>
  <si>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</si>
  <si>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</si>
  <si>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</si>
  <si>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</si>
  <si>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</si>
  <si>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</si>
  <si>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</si>
  <si>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</si>
  <si>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</si>
  <si>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</si>
  <si>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</si>
  <si>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</si>
  <si>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</si>
  <si>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</si>
  <si>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</si>
  <si>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</si>
  <si>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</si>
  <si>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</si>
  <si>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</si>
  <si>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</si>
  <si>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</si>
  <si>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</si>
  <si>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</si>
  <si>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</si>
  <si>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</si>
  <si>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</si>
  <si>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</si>
  <si>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</si>
  <si>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</si>
  <si>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</si>
  <si>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</si>
  <si>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</si>
  <si>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</si>
  <si>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</si>
  <si>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</si>
  <si>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</si>
  <si>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</si>
  <si>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</si>
  <si>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</si>
  <si>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</si>
  <si>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</si>
  <si>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</si>
  <si>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</si>
  <si>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</si>
  <si>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</si>
  <si>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</si>
  <si>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</si>
  <si>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</si>
  <si>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</si>
  <si>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</si>
  <si>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</si>
  <si>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</si>
  <si>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</si>
  <si>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</si>
  <si>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</si>
  <si>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</si>
  <si>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</si>
  <si>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</si>
  <si>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</si>
  <si>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</si>
  <si>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</si>
  <si>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</si>
  <si>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</si>
  <si>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</si>
  <si>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</si>
  <si>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</si>
  <si>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</si>
  <si>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</si>
  <si>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</si>
  <si>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</si>
  <si>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</si>
  <si>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</si>
  <si>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</si>
  <si>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</si>
  <si>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</si>
  <si>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</si>
  <si>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</si>
  <si>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</si>
  <si>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</si>
  <si>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</si>
  <si>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</si>
  <si>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</si>
  <si>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</si>
  <si>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</si>
  <si>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</si>
  <si>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</si>
  <si>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</si>
  <si>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</si>
  <si>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</si>
  <si>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</si>
  <si>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</si>
  <si>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</si>
  <si>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</si>
  <si>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</si>
  <si>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</si>
  <si>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</si>
  <si>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</si>
  <si>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</si>
  <si>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</si>
  <si>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</si>
  <si>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</si>
  <si>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</si>
  <si>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</si>
  <si>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</si>
  <si>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</si>
  <si>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</si>
  <si>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</si>
  <si>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</si>
  <si>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</si>
  <si>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</si>
  <si>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</si>
  <si>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</si>
  <si>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</si>
  <si>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</si>
  <si>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</si>
  <si>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</si>
  <si>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</si>
  <si>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</si>
  <si>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</si>
  <si>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</si>
  <si>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</si>
  <si>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</si>
  <si>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</si>
  <si>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</si>
  <si>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</si>
  <si>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</si>
  <si>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</si>
  <si>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</si>
  <si>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</si>
  <si>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</si>
  <si>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</si>
  <si>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</si>
  <si>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</si>
  <si>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</si>
  <si>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</si>
  <si>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</si>
  <si>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</si>
  <si>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</si>
  <si>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</si>
  <si>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</si>
  <si>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</si>
  <si>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</si>
  <si>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</si>
  <si>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</si>
  <si>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</si>
  <si>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</si>
  <si>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</si>
  <si>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</si>
  <si>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</si>
  <si>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</si>
  <si>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</si>
  <si>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</si>
  <si>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</si>
  <si>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</si>
  <si>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</si>
  <si>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</si>
  <si>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</si>
  <si>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</si>
  <si>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</si>
  <si>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</si>
  <si>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</si>
  <si>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</si>
  <si>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</si>
  <si>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</si>
  <si>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</si>
  <si>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</si>
  <si>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</si>
  <si>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</si>
  <si>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</si>
  <si>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</si>
  <si>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</si>
  <si>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</si>
  <si>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</si>
  <si>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</si>
  <si>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</si>
  <si>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</si>
  <si>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</si>
  <si>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</si>
  <si>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</si>
  <si>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</si>
  <si>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</si>
  <si>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</si>
  <si>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</si>
  <si>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</si>
  <si>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</si>
  <si>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</si>
  <si>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</si>
  <si>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</si>
  <si>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</si>
  <si>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</si>
  <si>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</si>
  <si>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</si>
  <si>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</si>
  <si>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</si>
  <si>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</si>
  <si>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</si>
  <si>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</si>
  <si>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</si>
  <si>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</si>
  <si>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</si>
  <si>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</si>
  <si>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</si>
  <si>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</si>
  <si>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</si>
  <si>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</si>
  <si>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</si>
  <si>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</si>
  <si>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</si>
  <si>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</si>
  <si>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</si>
  <si>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</si>
  <si>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</si>
  <si>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</si>
  <si>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</si>
  <si>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</si>
  <si>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</si>
  <si>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</si>
  <si>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</si>
  <si>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</si>
  <si>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</si>
  <si>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</si>
  <si>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</si>
  <si>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</si>
  <si>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</si>
  <si>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</si>
  <si>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</si>
  <si>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</si>
  <si>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</si>
  <si>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</si>
  <si>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</si>
  <si>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</si>
  <si>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</si>
  <si>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</si>
  <si>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</si>
  <si>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</si>
  <si>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</si>
  <si>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</si>
  <si>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</si>
  <si>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</si>
  <si>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</si>
  <si>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</si>
  <si>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</si>
  <si>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</si>
  <si>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</si>
  <si>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</si>
  <si>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</si>
  <si>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</si>
  <si>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</si>
  <si>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</si>
  <si>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</si>
  <si>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</si>
  <si>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</si>
  <si>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</si>
  <si>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</si>
  <si>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</si>
  <si>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</si>
  <si>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</si>
  <si>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</si>
  <si>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</si>
  <si>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</si>
  <si>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</si>
  <si>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</si>
  <si>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</si>
  <si>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</si>
  <si>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</si>
  <si>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</si>
  <si>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</si>
  <si>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</si>
  <si>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</si>
  <si>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</si>
  <si>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</si>
  <si>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</si>
  <si>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</si>
  <si>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</si>
  <si>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</si>
  <si>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</si>
  <si>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</si>
  <si>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</si>
  <si>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</si>
  <si>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</si>
  <si>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</si>
  <si>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</si>
  <si>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</si>
  <si>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</si>
  <si>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</si>
  <si>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</si>
  <si>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</si>
  <si>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</si>
  <si>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</si>
  <si>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</si>
  <si>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</si>
  <si>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</si>
  <si>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</si>
  <si>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</si>
  <si>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</si>
  <si>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</si>
  <si>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</si>
  <si>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</si>
  <si>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</si>
  <si>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</si>
  <si>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</si>
  <si>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</si>
  <si>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</si>
  <si>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</si>
  <si>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</si>
  <si>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</si>
  <si>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</si>
  <si>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</si>
  <si>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</si>
  <si>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</si>
  <si>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</si>
  <si>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</si>
  <si>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</si>
  <si>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</si>
  <si>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</si>
  <si>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</si>
  <si>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Thyrocare Technologies Ltd.</t>
  </si>
  <si>
    <t>DATE</t>
  </si>
  <si>
    <t>ADJCLOSE</t>
  </si>
  <si>
    <t>ADJHIGH</t>
  </si>
  <si>
    <t>ADJLOW</t>
  </si>
  <si>
    <t>ADJOPEN</t>
  </si>
  <si>
    <t>CLOSE</t>
  </si>
  <si>
    <t>VOLUME</t>
  </si>
  <si>
    <t>Revenue Breakup</t>
  </si>
  <si>
    <t>Total Revenue</t>
  </si>
  <si>
    <t>Checksum</t>
  </si>
  <si>
    <t>Pathology</t>
  </si>
  <si>
    <t>Franchise</t>
  </si>
  <si>
    <t>Partnerships (Includes B2G)</t>
  </si>
  <si>
    <t>D2C</t>
  </si>
  <si>
    <t>Covid Materials &amp; Others</t>
  </si>
  <si>
    <t>Franchisees</t>
  </si>
  <si>
    <t>Pathology- Revenue Breakup</t>
  </si>
  <si>
    <t xml:space="preserve">EBITDA Breakup </t>
  </si>
  <si>
    <t>Radiology</t>
  </si>
  <si>
    <t xml:space="preserve">Total EBITDA </t>
  </si>
  <si>
    <t>Radiology (incl.ESOP cost)</t>
  </si>
  <si>
    <t>Total Pathology Revenue</t>
  </si>
  <si>
    <t>Healthcare Service Operation Cost</t>
  </si>
  <si>
    <t>Freight &amp; Forwarding</t>
  </si>
  <si>
    <t>Repairs &amp; Maintenance</t>
  </si>
  <si>
    <t>Outlab Processing Charges</t>
  </si>
  <si>
    <t xml:space="preserve">     Professional and legal fees</t>
  </si>
  <si>
    <t>Business Promotion</t>
  </si>
  <si>
    <t>Sales Incentive</t>
  </si>
  <si>
    <t>Healthcare service Operation Costs</t>
  </si>
  <si>
    <t xml:space="preserve">     Rent, Rates &amp; Taxes</t>
  </si>
  <si>
    <t>Communication , Postage courier services</t>
  </si>
  <si>
    <t>Prepaid Expenses (OCA)</t>
  </si>
  <si>
    <t>Prepaid Expenses (ONCA)</t>
  </si>
  <si>
    <t xml:space="preserve">Assets as Held for Sale and Discontinued Operations  </t>
  </si>
  <si>
    <t>Other Long Term Liabilities(lease)</t>
  </si>
  <si>
    <t>Advance Income Tax(LTP)</t>
  </si>
  <si>
    <t>Contract Liab(OCL)</t>
  </si>
  <si>
    <t>Trade &amp; Security Deposits(OCL)</t>
  </si>
  <si>
    <t>Lease Liab (OCL)</t>
  </si>
  <si>
    <t>Non Current Tax Assest (LTLA)</t>
  </si>
  <si>
    <t>Equinox Labs(NCI)</t>
  </si>
  <si>
    <t>No. Of Tests Performed(mn)</t>
  </si>
  <si>
    <t>No. Of Patients(mn)</t>
  </si>
  <si>
    <t>Revenue Per Test (Pathology)</t>
  </si>
  <si>
    <t>Key Metrics</t>
  </si>
  <si>
    <t>YOY%</t>
  </si>
  <si>
    <t>Test Per Franchisee per month</t>
  </si>
  <si>
    <t>ESOP Cost(b/f)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</si>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</sst>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212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0" fontId="20" fillId="2" borderId="0" xfId="2" applyNumberFormat="1" applyFont="1" applyFill="1" applyAlignment="1">
      <alignment horizontal="left"/>
    </xf>
    <xf numFmtId="43" fontId="18" fillId="10" borderId="0" xfId="2" applyFont="1" applyFill="1" applyAlignment="1">
      <alignment horizontal="left"/>
    </xf>
    <xf numFmtId="43" fontId="18" fillId="10" borderId="0" xfId="2" applyFont="1" applyFill="1" applyAlignment="1">
      <alignment horizontal="center"/>
    </xf>
    <xf numFmtId="43" fontId="4" fillId="10" borderId="0" xfId="2" applyFont="1" applyFill="1" applyAlignment="1">
      <alignment horizontal="center"/>
    </xf>
    <xf numFmtId="43" fontId="18" fillId="2" borderId="4" xfId="2" applyFont="1" applyFill="1" applyBorder="1" applyAlignment="1">
      <alignment horizontal="left"/>
    </xf>
    <xf numFmtId="43" fontId="18" fillId="2" borderId="1" xfId="2" applyFont="1" applyFill="1" applyBorder="1" applyAlignment="1">
      <alignment horizontal="center"/>
    </xf>
    <xf numFmtId="43" fontId="18" fillId="7" borderId="1" xfId="2" applyFont="1" applyFill="1" applyBorder="1" applyAlignment="1">
      <alignment horizontal="center"/>
    </xf>
    <xf numFmtId="43" fontId="4" fillId="0" borderId="1" xfId="2" applyFont="1" applyBorder="1" applyAlignment="1">
      <alignment horizontal="center"/>
    </xf>
    <xf numFmtId="43" fontId="18" fillId="0" borderId="1" xfId="2" applyFont="1" applyFill="1" applyBorder="1" applyAlignment="1">
      <alignment horizontal="center"/>
    </xf>
    <xf numFmtId="165" fontId="20" fillId="2" borderId="0" xfId="2" applyNumberFormat="1" applyFont="1" applyFill="1" applyAlignment="1">
      <alignment horizontal="left"/>
    </xf>
    <xf numFmtId="165" fontId="20" fillId="2" borderId="0" xfId="2" applyNumberFormat="1" applyFont="1" applyFill="1" applyAlignment="1">
      <alignment horizontal="center"/>
    </xf>
    <xf numFmtId="165" fontId="20" fillId="7" borderId="0" xfId="2" applyNumberFormat="1" applyFont="1" applyFill="1" applyAlignment="1">
      <alignment horizontal="center"/>
    </xf>
    <xf numFmtId="165" fontId="7" fillId="0" borderId="0" xfId="2" applyNumberFormat="1" applyFont="1" applyAlignment="1">
      <alignment horizontal="center"/>
    </xf>
    <xf numFmtId="165" fontId="20" fillId="0" borderId="0" xfId="2" applyNumberFormat="1" applyFont="1" applyFill="1" applyAlignment="1">
      <alignment horizontal="center"/>
    </xf>
    <xf numFmtId="43" fontId="20" fillId="2" borderId="0" xfId="2" applyFont="1" applyFill="1" applyAlignment="1">
      <alignment horizontal="right"/>
    </xf>
    <xf numFmtId="9" fontId="9" fillId="2" borderId="0" xfId="1" applyFont="1" applyFill="1" applyAlignment="1">
      <alignment horizontal="left"/>
    </xf>
    <xf numFmtId="9" fontId="9" fillId="2" borderId="0" xfId="1" applyFont="1" applyFill="1" applyAlignment="1">
      <alignment horizontal="center"/>
    </xf>
    <xf numFmtId="9" fontId="9" fillId="0" borderId="0" xfId="1" applyFont="1" applyAlignment="1">
      <alignment horizontal="center"/>
    </xf>
    <xf numFmtId="9" fontId="9" fillId="0" borderId="0" xfId="1" applyFont="1" applyFill="1" applyAlignment="1">
      <alignment horizontal="center"/>
    </xf>
    <xf numFmtId="9" fontId="3" fillId="2" borderId="0" xfId="1" applyFont="1" applyFill="1" applyAlignment="1">
      <alignment horizontal="left"/>
    </xf>
    <xf numFmtId="9" fontId="3" fillId="2" borderId="0" xfId="1" applyFont="1" applyFill="1" applyAlignment="1">
      <alignment horizontal="center"/>
    </xf>
    <xf numFmtId="9" fontId="3" fillId="0" borderId="0" xfId="1" applyFont="1" applyAlignment="1">
      <alignment horizontal="center"/>
    </xf>
    <xf numFmtId="9" fontId="3" fillId="2" borderId="0" xfId="1" applyFont="1" applyFill="1" applyAlignment="1">
      <alignment horizontal="right"/>
    </xf>
    <xf numFmtId="9" fontId="3" fillId="0" borderId="0" xfId="1" applyFont="1" applyFill="1" applyAlignment="1">
      <alignment horizontal="center"/>
    </xf>
    <xf numFmtId="9" fontId="3" fillId="7" borderId="0" xfId="1" applyFont="1" applyFill="1" applyAlignment="1">
      <alignment horizontal="right"/>
    </xf>
    <xf numFmtId="9" fontId="9" fillId="2" borderId="0" xfId="1" applyFont="1" applyFill="1" applyAlignment="1">
      <alignment horizontal="right"/>
    </xf>
    <xf numFmtId="9" fontId="9" fillId="7" borderId="0" xfId="1" applyFont="1" applyFill="1" applyAlignment="1">
      <alignment horizontal="right"/>
    </xf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305"/>
  <sheetViews>
    <sheetView tabSelected="1" zoomScale="104" zoomScaleNormal="104" workbookViewId="0">
      <pane xSplit="1" ySplit="1" topLeftCell="CF2" activePane="bottomRight" state="frozen"/>
      <selection pane="topRight" activeCell="B1" sqref="B1"/>
      <selection pane="bottomLeft" activeCell="A2" sqref="A2"/>
      <selection pane="bottomRight" activeCell="CL22" sqref="CL22"/>
    </sheetView>
  </sheetViews>
  <sheetFormatPr defaultColWidth="11.140625" defaultRowHeight="12" outlineLevelRow="1" x14ac:dyDescent="0.2"/>
  <cols>
    <col min="1" max="1" width="45.28515625" style="2" bestFit="1" customWidth="1"/>
    <col min="2" max="8" width="7.140625" style="2" bestFit="1" customWidth="1"/>
    <col min="9" max="9" width="7.5703125" style="2" bestFit="1" customWidth="1"/>
    <col min="10" max="10" width="7.28515625" style="2" bestFit="1" customWidth="1"/>
    <col min="11" max="15" width="7.140625" style="2" bestFit="1" customWidth="1"/>
    <col min="16" max="17" width="7.28515625" style="2" bestFit="1" customWidth="1"/>
    <col min="18" max="18" width="8.140625" style="2" bestFit="1" customWidth="1"/>
    <col min="19" max="21" width="7.85546875" style="2" bestFit="1" customWidth="1"/>
    <col min="22" max="22" width="8.140625" style="2" bestFit="1" customWidth="1"/>
    <col min="23" max="23" width="7.85546875" style="2" bestFit="1" customWidth="1"/>
    <col min="24" max="25" width="8.42578125" style="2" bestFit="1" customWidth="1"/>
    <col min="26" max="26" width="8.5703125" style="2" bestFit="1" customWidth="1"/>
    <col min="27" max="27" width="7.85546875" style="19" bestFit="1" customWidth="1"/>
    <col min="28" max="31" width="8.7109375" style="19" bestFit="1" customWidth="1"/>
    <col min="32" max="33" width="11.140625" style="2"/>
    <col min="34" max="34" width="4" style="2" bestFit="1" customWidth="1"/>
    <col min="35" max="50" width="7.140625" style="2" bestFit="1" customWidth="1"/>
    <col min="51" max="53" width="7.85546875" style="2" bestFit="1" customWidth="1"/>
    <col min="54" max="54" width="8.140625" style="2" bestFit="1" customWidth="1"/>
    <col min="55" max="55" width="9" style="2" bestFit="1" customWidth="1"/>
    <col min="56" max="70" width="7.85546875" style="2" bestFit="1" customWidth="1"/>
    <col min="71" max="71" width="8.42578125" style="2" bestFit="1" customWidth="1"/>
    <col min="72" max="76" width="7.85546875" style="2" bestFit="1" customWidth="1"/>
    <col min="77" max="90" width="8.42578125" style="2" bestFit="1" customWidth="1"/>
    <col min="91" max="106" width="8.85546875" style="24" bestFit="1" customWidth="1"/>
    <col min="107" max="108" width="11.140625" style="2"/>
    <col min="109" max="109" width="18.140625" style="123" bestFit="1" customWidth="1"/>
    <col min="110" max="16384" width="11.140625" style="2"/>
  </cols>
  <sheetData>
    <row r="1" spans="1:110" s="81" customFormat="1" x14ac:dyDescent="0.2">
      <c r="A1" s="78" t="str">
        <f>+'Annual Raw'!C4</f>
        <v>Thyrocare Technologies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L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si="15"/>
        <v>46112</v>
      </c>
      <c r="CM1" s="80">
        <f t="shared" ref="CM1" si="16">EOMONTH(CL1,3)</f>
        <v>46203</v>
      </c>
      <c r="CN1" s="80">
        <f t="shared" ref="CN1" si="17">EOMONTH(CM1,3)</f>
        <v>46295</v>
      </c>
      <c r="CO1" s="80">
        <f t="shared" ref="CO1" si="18">EOMONTH(CN1,3)</f>
        <v>46387</v>
      </c>
      <c r="CP1" s="80">
        <f t="shared" ref="CP1" si="19">EOMONTH(CO1,3)</f>
        <v>46477</v>
      </c>
      <c r="CQ1" s="80">
        <f t="shared" ref="CQ1" si="20">EOMONTH(CP1,3)</f>
        <v>46568</v>
      </c>
      <c r="CR1" s="80">
        <f t="shared" ref="CR1" si="21">EOMONTH(CQ1,3)</f>
        <v>46660</v>
      </c>
      <c r="CS1" s="80">
        <f t="shared" ref="CS1" si="22">EOMONTH(CR1,3)</f>
        <v>46752</v>
      </c>
      <c r="CT1" s="80">
        <f t="shared" ref="CT1" si="23">EOMONTH(CS1,3)</f>
        <v>46843</v>
      </c>
      <c r="CU1" s="80">
        <f t="shared" ref="CU1" si="24">EOMONTH(CT1,3)</f>
        <v>46934</v>
      </c>
      <c r="CV1" s="80">
        <f t="shared" ref="CV1" si="25">EOMONTH(CU1,3)</f>
        <v>47026</v>
      </c>
      <c r="CW1" s="80">
        <f t="shared" ref="CW1" si="26">EOMONTH(CV1,3)</f>
        <v>47118</v>
      </c>
      <c r="CX1" s="80">
        <f t="shared" ref="CX1" si="27">EOMONTH(CW1,3)</f>
        <v>47208</v>
      </c>
      <c r="CY1" s="80">
        <f t="shared" ref="CY1" si="28">EOMONTH(CX1,3)</f>
        <v>47299</v>
      </c>
      <c r="CZ1" s="80">
        <f t="shared" ref="CZ1" si="29">EOMONTH(CY1,3)</f>
        <v>47391</v>
      </c>
      <c r="DA1" s="80">
        <f t="shared" ref="DA1" si="30">EOMONTH(CZ1,3)</f>
        <v>47483</v>
      </c>
      <c r="DB1" s="80">
        <f t="shared" ref="DB1" si="31">EOMONTH(DA1,3)</f>
        <v>47573</v>
      </c>
      <c r="DE1" s="148" t="s">
        <v>445</v>
      </c>
      <c r="DF1" s="211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87" customFormat="1" x14ac:dyDescent="0.2">
      <c r="A4" s="185" t="s">
        <v>523</v>
      </c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I4" s="186"/>
      <c r="AJ4" s="186"/>
      <c r="AK4" s="186"/>
      <c r="AL4" s="186"/>
      <c r="AM4" s="186"/>
      <c r="AN4" s="186"/>
      <c r="AO4" s="186"/>
      <c r="AP4" s="186"/>
      <c r="AQ4" s="186"/>
      <c r="AR4" s="186"/>
      <c r="AS4" s="186"/>
      <c r="AT4" s="186"/>
      <c r="AU4" s="186"/>
      <c r="AV4" s="186"/>
      <c r="AW4" s="186"/>
      <c r="AX4" s="186"/>
      <c r="AY4" s="186"/>
      <c r="AZ4" s="186"/>
      <c r="BA4" s="186"/>
      <c r="BB4" s="186"/>
      <c r="BC4" s="186"/>
      <c r="BD4" s="186"/>
      <c r="BE4" s="186"/>
      <c r="BF4" s="186"/>
      <c r="BG4" s="186"/>
      <c r="BH4" s="186"/>
      <c r="BI4" s="186"/>
      <c r="BJ4" s="186"/>
      <c r="BK4" s="186"/>
      <c r="BL4" s="186"/>
      <c r="BM4" s="186"/>
      <c r="BN4" s="186"/>
      <c r="BO4" s="186"/>
      <c r="BP4" s="186"/>
      <c r="BQ4" s="186"/>
      <c r="BR4" s="186"/>
      <c r="BS4" s="186"/>
      <c r="BT4" s="186"/>
      <c r="BU4" s="186"/>
      <c r="BV4" s="186"/>
      <c r="BW4" s="186"/>
      <c r="BX4" s="186"/>
      <c r="BY4" s="186"/>
      <c r="BZ4" s="186"/>
      <c r="CA4" s="186"/>
      <c r="CB4" s="186"/>
      <c r="CC4" s="186"/>
      <c r="CD4" s="186"/>
      <c r="CE4" s="186"/>
      <c r="CF4" s="186"/>
      <c r="CG4" s="186"/>
      <c r="CH4" s="186"/>
      <c r="CI4" s="186"/>
      <c r="CJ4" s="186"/>
      <c r="CK4" s="186"/>
      <c r="CL4" s="186"/>
      <c r="CM4" s="186"/>
      <c r="CN4" s="186"/>
      <c r="CO4" s="186"/>
      <c r="CP4" s="186"/>
      <c r="CQ4" s="186"/>
      <c r="CR4" s="186"/>
      <c r="CS4" s="186"/>
      <c r="CT4" s="186"/>
      <c r="CU4" s="186"/>
      <c r="CV4" s="186"/>
      <c r="CW4" s="186"/>
      <c r="CX4" s="186"/>
      <c r="CY4" s="186"/>
      <c r="CZ4" s="186"/>
      <c r="DA4" s="186"/>
      <c r="DB4" s="186"/>
      <c r="DE4" s="186"/>
    </row>
    <row r="5" spans="1:110" s="158" customFormat="1" x14ac:dyDescent="0.2">
      <c r="A5" s="184" t="s">
        <v>526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>
        <f>SUM(AU5:AX5)</f>
        <v>214.29</v>
      </c>
      <c r="R5" s="156">
        <f>SUM(AY5:BB5)</f>
        <v>273.2</v>
      </c>
      <c r="S5" s="156">
        <f>SUM(BC5:BF5)</f>
        <v>328.96000000000004</v>
      </c>
      <c r="T5" s="156">
        <f>SUM(BG5:BJ5)</f>
        <v>368.11</v>
      </c>
      <c r="U5" s="156">
        <f>SUM(BK5:BN5)</f>
        <v>397.05999999999995</v>
      </c>
      <c r="V5" s="156">
        <f>SUM(BO5:BR5)</f>
        <v>472.87</v>
      </c>
      <c r="W5" s="156">
        <f>SUM(BS5:BV5)</f>
        <v>555.43000000000006</v>
      </c>
      <c r="X5" s="156">
        <f>SUM(BW5:BZ5)</f>
        <v>481.21</v>
      </c>
      <c r="Y5" s="156">
        <f>SUM(CA5:CD5)</f>
        <v>522.23</v>
      </c>
      <c r="Z5" s="156">
        <f>SUM(CE5:CH5)</f>
        <v>629.69000000000005</v>
      </c>
      <c r="AA5" s="157">
        <f>SUM(CI5:CL5)</f>
        <v>775.80000000000007</v>
      </c>
      <c r="AB5" s="157">
        <f>+SUM(CM5:CP5)</f>
        <v>919.51996500000007</v>
      </c>
      <c r="AC5" s="157">
        <f>+SUM(CQ5:CT5)</f>
        <v>1097.355126231</v>
      </c>
      <c r="AD5" s="157">
        <f>+SUM(CU5:CX5)</f>
        <v>1309.5836076440755</v>
      </c>
      <c r="AE5" s="157">
        <f>+SUM(CY5:DB5)</f>
        <v>1562.8570773624399</v>
      </c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>
        <v>50.64</v>
      </c>
      <c r="AV5" s="156">
        <v>55.579999999999984</v>
      </c>
      <c r="AW5" s="156">
        <v>50.29</v>
      </c>
      <c r="AX5" s="156">
        <v>57.78</v>
      </c>
      <c r="AY5" s="156">
        <v>62</v>
      </c>
      <c r="AZ5" s="156">
        <v>70.099999999999994</v>
      </c>
      <c r="BA5" s="156">
        <v>62.63</v>
      </c>
      <c r="BB5" s="156">
        <v>78.47</v>
      </c>
      <c r="BC5" s="156">
        <v>81.5</v>
      </c>
      <c r="BD5" s="156">
        <v>81.040000000000006</v>
      </c>
      <c r="BE5" s="156">
        <v>77.02</v>
      </c>
      <c r="BF5" s="156">
        <v>89.4</v>
      </c>
      <c r="BG5" s="156">
        <v>88.87</v>
      </c>
      <c r="BH5" s="156">
        <v>95.18</v>
      </c>
      <c r="BI5" s="156">
        <v>87.42</v>
      </c>
      <c r="BJ5" s="156">
        <v>96.64</v>
      </c>
      <c r="BK5" s="156">
        <v>99.97</v>
      </c>
      <c r="BL5" s="156">
        <v>106.99</v>
      </c>
      <c r="BM5" s="156">
        <v>97.25</v>
      </c>
      <c r="BN5" s="156">
        <v>92.85</v>
      </c>
      <c r="BO5" s="156">
        <v>54.1</v>
      </c>
      <c r="BP5" s="156">
        <v>148.25</v>
      </c>
      <c r="BQ5" s="156">
        <v>131.84</v>
      </c>
      <c r="BR5" s="156">
        <v>138.68</v>
      </c>
      <c r="BS5" s="156">
        <v>156.94</v>
      </c>
      <c r="BT5" s="156">
        <v>167.13</v>
      </c>
      <c r="BU5" s="156">
        <v>109.3</v>
      </c>
      <c r="BV5" s="156">
        <v>122.06</v>
      </c>
      <c r="BW5" s="156">
        <v>118.43</v>
      </c>
      <c r="BX5" s="156">
        <v>123.83</v>
      </c>
      <c r="BY5" s="156">
        <v>115.74</v>
      </c>
      <c r="BZ5" s="156">
        <v>123.21</v>
      </c>
      <c r="CA5" s="156">
        <v>121.94</v>
      </c>
      <c r="CB5" s="156">
        <v>136.75</v>
      </c>
      <c r="CC5" s="156">
        <v>122.43</v>
      </c>
      <c r="CD5" s="156">
        <v>141.11000000000001</v>
      </c>
      <c r="CE5" s="156">
        <v>143.21</v>
      </c>
      <c r="CF5" s="156">
        <v>161.91999999999999</v>
      </c>
      <c r="CG5" s="156">
        <v>151.87</v>
      </c>
      <c r="CH5" s="156">
        <v>172.69</v>
      </c>
      <c r="CI5" s="156">
        <v>178.9</v>
      </c>
      <c r="CJ5" s="156">
        <v>202.3</v>
      </c>
      <c r="CK5" s="156">
        <v>183.1</v>
      </c>
      <c r="CL5" s="156">
        <v>211.5</v>
      </c>
      <c r="CM5" s="157">
        <f t="shared" ref="CM5:DB5" si="32">CM22</f>
        <v>212.45269500000003</v>
      </c>
      <c r="CN5" s="157">
        <f t="shared" si="32"/>
        <v>240.12260999999998</v>
      </c>
      <c r="CO5" s="157">
        <f t="shared" si="32"/>
        <v>216.72787500000004</v>
      </c>
      <c r="CP5" s="157">
        <f t="shared" si="32"/>
        <v>250.21678499999999</v>
      </c>
      <c r="CQ5" s="157">
        <f t="shared" si="32"/>
        <v>253.54104621300002</v>
      </c>
      <c r="CR5" s="157">
        <f t="shared" si="32"/>
        <v>286.56232277400005</v>
      </c>
      <c r="CS5" s="157">
        <f t="shared" si="32"/>
        <v>258.64304602499999</v>
      </c>
      <c r="CT5" s="157">
        <f t="shared" si="32"/>
        <v>298.60871121899999</v>
      </c>
      <c r="CU5" s="157">
        <f t="shared" si="32"/>
        <v>302.57588455059431</v>
      </c>
      <c r="CV5" s="157">
        <f t="shared" si="32"/>
        <v>341.9834759984916</v>
      </c>
      <c r="CW5" s="157">
        <f t="shared" si="32"/>
        <v>308.66461112623495</v>
      </c>
      <c r="CX5" s="157">
        <f t="shared" si="32"/>
        <v>356.35963596875462</v>
      </c>
      <c r="CY5" s="157">
        <f t="shared" si="32"/>
        <v>361.09406062267925</v>
      </c>
      <c r="CZ5" s="157">
        <f t="shared" si="32"/>
        <v>408.12308025659985</v>
      </c>
      <c r="DA5" s="157">
        <f t="shared" si="32"/>
        <v>368.36034691804889</v>
      </c>
      <c r="DB5" s="157">
        <f t="shared" si="32"/>
        <v>425.27958956511173</v>
      </c>
      <c r="DE5" s="159"/>
    </row>
    <row r="6" spans="1:110" s="158" customFormat="1" x14ac:dyDescent="0.2">
      <c r="A6" s="184" t="s">
        <v>534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>
        <f>SUM(AU6:AX6)</f>
        <v>26.68</v>
      </c>
      <c r="R6" s="156">
        <f>SUM(AY6:BB6)</f>
        <v>33.61</v>
      </c>
      <c r="S6" s="156">
        <f>SUM(BC6:BF6)</f>
        <v>27.369999999999997</v>
      </c>
      <c r="T6" s="156">
        <f>SUM(BG6:BJ6)</f>
        <v>34.799999999999997</v>
      </c>
      <c r="U6" s="156">
        <f>SUM(BK6:BN6)</f>
        <v>37.029999999999994</v>
      </c>
      <c r="V6" s="156">
        <f>SUM(BO6:BR6)</f>
        <v>21.759999999999998</v>
      </c>
      <c r="W6" s="156">
        <f>SUM(BS6:BV6)</f>
        <v>33.380000000000003</v>
      </c>
      <c r="X6" s="156">
        <f>SUM(BW6:BZ6)</f>
        <v>45.46</v>
      </c>
      <c r="Y6" s="156">
        <f>SUM(CA6:CD6)</f>
        <v>49.65</v>
      </c>
      <c r="Z6" s="156">
        <f>SUM(CE6:CH6)</f>
        <v>57.67</v>
      </c>
      <c r="AA6" s="157">
        <f>SUM(CI6:CL6)</f>
        <v>53.16</v>
      </c>
      <c r="AB6" s="157">
        <f>+SUM(CM6:CP6)</f>
        <v>49.6</v>
      </c>
      <c r="AC6" s="157">
        <f>+SUM(CQ6:CT6)</f>
        <v>49.6</v>
      </c>
      <c r="AD6" s="157">
        <f>+SUM(CU6:CX6)</f>
        <v>49.6</v>
      </c>
      <c r="AE6" s="157">
        <f>+SUM(CY6:DB6)</f>
        <v>49.6</v>
      </c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>
        <v>6.3599999999999994</v>
      </c>
      <c r="AV6" s="156">
        <v>6.6800000000000015</v>
      </c>
      <c r="AW6" s="156">
        <v>6.37</v>
      </c>
      <c r="AX6" s="156">
        <v>7.27</v>
      </c>
      <c r="AY6" s="156">
        <v>7.36</v>
      </c>
      <c r="AZ6" s="156">
        <v>8.6199999999999992</v>
      </c>
      <c r="BA6" s="156">
        <v>8.42</v>
      </c>
      <c r="BB6" s="156">
        <v>9.2100000000000009</v>
      </c>
      <c r="BC6" s="156">
        <v>6.26</v>
      </c>
      <c r="BD6" s="156">
        <v>7</v>
      </c>
      <c r="BE6" s="156">
        <v>6.8500000000000005</v>
      </c>
      <c r="BF6" s="156">
        <v>7.26</v>
      </c>
      <c r="BG6" s="156">
        <v>8.2799999999999994</v>
      </c>
      <c r="BH6" s="156">
        <v>8.6999999999999993</v>
      </c>
      <c r="BI6" s="156">
        <v>8.870000000000001</v>
      </c>
      <c r="BJ6" s="156">
        <v>8.9499999999999993</v>
      </c>
      <c r="BK6" s="156">
        <v>10</v>
      </c>
      <c r="BL6" s="156">
        <v>9.51</v>
      </c>
      <c r="BM6" s="156">
        <v>8.65</v>
      </c>
      <c r="BN6" s="156">
        <v>8.8699999999999992</v>
      </c>
      <c r="BO6" s="156">
        <v>2.17</v>
      </c>
      <c r="BP6" s="156">
        <v>5</v>
      </c>
      <c r="BQ6" s="156">
        <v>6.43</v>
      </c>
      <c r="BR6" s="156">
        <v>8.16</v>
      </c>
      <c r="BS6" s="156">
        <v>7.6999999999999993</v>
      </c>
      <c r="BT6" s="156">
        <v>9.08</v>
      </c>
      <c r="BU6" s="156">
        <v>8.1</v>
      </c>
      <c r="BV6" s="156">
        <v>8.5</v>
      </c>
      <c r="BW6" s="156">
        <v>9.3600000000000012</v>
      </c>
      <c r="BX6" s="156">
        <v>11.14</v>
      </c>
      <c r="BY6" s="156">
        <v>12.29</v>
      </c>
      <c r="BZ6" s="156">
        <v>12.67</v>
      </c>
      <c r="CA6" s="156">
        <v>12.95</v>
      </c>
      <c r="CB6" s="156">
        <v>11.25</v>
      </c>
      <c r="CC6" s="156">
        <v>12.309999999999999</v>
      </c>
      <c r="CD6" s="156">
        <v>13.14</v>
      </c>
      <c r="CE6" s="156">
        <v>13.7</v>
      </c>
      <c r="CF6" s="156">
        <v>15.440000000000001</v>
      </c>
      <c r="CG6" s="156">
        <v>14.06</v>
      </c>
      <c r="CH6" s="156">
        <v>14.469999999999999</v>
      </c>
      <c r="CI6" s="156">
        <v>14.13</v>
      </c>
      <c r="CJ6" s="156">
        <v>14.23</v>
      </c>
      <c r="CK6" s="156">
        <v>12.4</v>
      </c>
      <c r="CL6" s="156">
        <v>12.4</v>
      </c>
      <c r="CM6" s="157">
        <f t="shared" ref="CM6:DB6" si="33">CL6</f>
        <v>12.4</v>
      </c>
      <c r="CN6" s="157">
        <f t="shared" si="33"/>
        <v>12.4</v>
      </c>
      <c r="CO6" s="157">
        <f t="shared" si="33"/>
        <v>12.4</v>
      </c>
      <c r="CP6" s="157">
        <f t="shared" si="33"/>
        <v>12.4</v>
      </c>
      <c r="CQ6" s="157">
        <f t="shared" si="33"/>
        <v>12.4</v>
      </c>
      <c r="CR6" s="157">
        <f t="shared" si="33"/>
        <v>12.4</v>
      </c>
      <c r="CS6" s="157">
        <f t="shared" si="33"/>
        <v>12.4</v>
      </c>
      <c r="CT6" s="157">
        <f t="shared" si="33"/>
        <v>12.4</v>
      </c>
      <c r="CU6" s="157">
        <f t="shared" si="33"/>
        <v>12.4</v>
      </c>
      <c r="CV6" s="157">
        <f t="shared" si="33"/>
        <v>12.4</v>
      </c>
      <c r="CW6" s="157">
        <f t="shared" si="33"/>
        <v>12.4</v>
      </c>
      <c r="CX6" s="157">
        <f t="shared" si="33"/>
        <v>12.4</v>
      </c>
      <c r="CY6" s="157">
        <f t="shared" si="33"/>
        <v>12.4</v>
      </c>
      <c r="CZ6" s="157">
        <f t="shared" si="33"/>
        <v>12.4</v>
      </c>
      <c r="DA6" s="157">
        <f t="shared" si="33"/>
        <v>12.4</v>
      </c>
      <c r="DB6" s="157">
        <f t="shared" si="33"/>
        <v>12.4</v>
      </c>
      <c r="DE6" s="159"/>
    </row>
    <row r="7" spans="1:110" s="191" customFormat="1" x14ac:dyDescent="0.2">
      <c r="A7" s="188" t="s">
        <v>524</v>
      </c>
      <c r="B7" s="189"/>
      <c r="C7" s="189"/>
      <c r="D7" s="189"/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  <c r="Q7" s="189">
        <f t="shared" ref="Q7" si="34">+SUM(Q5:Q6)</f>
        <v>240.97</v>
      </c>
      <c r="R7" s="189">
        <f t="shared" ref="R7" si="35">+SUM(R5:R6)</f>
        <v>306.81</v>
      </c>
      <c r="S7" s="189">
        <f t="shared" ref="S7" si="36">+SUM(S5:S6)</f>
        <v>356.33000000000004</v>
      </c>
      <c r="T7" s="189">
        <f t="shared" ref="T7" si="37">+SUM(T5:T6)</f>
        <v>402.91</v>
      </c>
      <c r="U7" s="189">
        <f t="shared" ref="U7" si="38">+SUM(U5:U6)</f>
        <v>434.08999999999992</v>
      </c>
      <c r="V7" s="189">
        <f t="shared" ref="V7" si="39">+SUM(V5:V6)</f>
        <v>494.63</v>
      </c>
      <c r="W7" s="189">
        <f t="shared" ref="W7" si="40">+SUM(W5:W6)</f>
        <v>588.81000000000006</v>
      </c>
      <c r="X7" s="189">
        <f t="shared" ref="X7" si="41">+SUM(X5:X6)</f>
        <v>526.66999999999996</v>
      </c>
      <c r="Y7" s="189">
        <f t="shared" ref="Y7" si="42">+SUM(Y5:Y6)</f>
        <v>571.88</v>
      </c>
      <c r="Z7" s="189">
        <f t="shared" ref="Z7" si="43">+SUM(Z5:Z6)</f>
        <v>687.36</v>
      </c>
      <c r="AA7" s="190">
        <f t="shared" ref="AA7:AE7" si="44">+SUM(AA5:AA6)</f>
        <v>828.96</v>
      </c>
      <c r="AB7" s="190">
        <f t="shared" si="44"/>
        <v>969.11996500000009</v>
      </c>
      <c r="AC7" s="190">
        <f t="shared" si="44"/>
        <v>1146.9551262309999</v>
      </c>
      <c r="AD7" s="190">
        <f t="shared" si="44"/>
        <v>1359.1836076440754</v>
      </c>
      <c r="AE7" s="190">
        <f t="shared" si="44"/>
        <v>1612.4570773624398</v>
      </c>
      <c r="AI7" s="189"/>
      <c r="AJ7" s="189"/>
      <c r="AK7" s="189"/>
      <c r="AL7" s="189"/>
      <c r="AM7" s="189"/>
      <c r="AN7" s="189"/>
      <c r="AO7" s="189"/>
      <c r="AP7" s="189"/>
      <c r="AQ7" s="189"/>
      <c r="AR7" s="189"/>
      <c r="AS7" s="189"/>
      <c r="AT7" s="189"/>
      <c r="AU7" s="189">
        <f t="shared" ref="AU7:CJ7" si="45">+SUM(AU5:AU6)</f>
        <v>57</v>
      </c>
      <c r="AV7" s="189">
        <f t="shared" si="45"/>
        <v>62.259999999999984</v>
      </c>
      <c r="AW7" s="189">
        <f t="shared" si="45"/>
        <v>56.66</v>
      </c>
      <c r="AX7" s="189">
        <f t="shared" si="45"/>
        <v>65.05</v>
      </c>
      <c r="AY7" s="189">
        <f t="shared" si="45"/>
        <v>69.36</v>
      </c>
      <c r="AZ7" s="189">
        <f t="shared" si="45"/>
        <v>78.72</v>
      </c>
      <c r="BA7" s="189">
        <f t="shared" si="45"/>
        <v>71.05</v>
      </c>
      <c r="BB7" s="189">
        <f t="shared" si="45"/>
        <v>87.68</v>
      </c>
      <c r="BC7" s="189">
        <f t="shared" si="45"/>
        <v>87.76</v>
      </c>
      <c r="BD7" s="189">
        <f t="shared" si="45"/>
        <v>88.04</v>
      </c>
      <c r="BE7" s="189">
        <f t="shared" si="45"/>
        <v>83.86999999999999</v>
      </c>
      <c r="BF7" s="189">
        <f t="shared" si="45"/>
        <v>96.660000000000011</v>
      </c>
      <c r="BG7" s="189">
        <f t="shared" si="45"/>
        <v>97.15</v>
      </c>
      <c r="BH7" s="189">
        <f t="shared" si="45"/>
        <v>103.88000000000001</v>
      </c>
      <c r="BI7" s="189">
        <f t="shared" si="45"/>
        <v>96.29</v>
      </c>
      <c r="BJ7" s="189">
        <f t="shared" si="45"/>
        <v>105.59</v>
      </c>
      <c r="BK7" s="189">
        <f t="shared" si="45"/>
        <v>109.97</v>
      </c>
      <c r="BL7" s="189">
        <f t="shared" si="45"/>
        <v>116.5</v>
      </c>
      <c r="BM7" s="189">
        <f t="shared" si="45"/>
        <v>105.9</v>
      </c>
      <c r="BN7" s="189">
        <f t="shared" si="45"/>
        <v>101.72</v>
      </c>
      <c r="BO7" s="189">
        <f t="shared" si="45"/>
        <v>56.27</v>
      </c>
      <c r="BP7" s="189">
        <f t="shared" si="45"/>
        <v>153.25</v>
      </c>
      <c r="BQ7" s="189">
        <f t="shared" si="45"/>
        <v>138.27000000000001</v>
      </c>
      <c r="BR7" s="189">
        <f t="shared" si="45"/>
        <v>146.84</v>
      </c>
      <c r="BS7" s="189">
        <f t="shared" si="45"/>
        <v>164.64</v>
      </c>
      <c r="BT7" s="189">
        <f t="shared" si="45"/>
        <v>176.21</v>
      </c>
      <c r="BU7" s="189">
        <f t="shared" si="45"/>
        <v>117.39999999999999</v>
      </c>
      <c r="BV7" s="189">
        <f t="shared" si="45"/>
        <v>130.56</v>
      </c>
      <c r="BW7" s="189">
        <f t="shared" si="45"/>
        <v>127.79</v>
      </c>
      <c r="BX7" s="189">
        <f t="shared" si="45"/>
        <v>134.97</v>
      </c>
      <c r="BY7" s="189">
        <f t="shared" si="45"/>
        <v>128.03</v>
      </c>
      <c r="BZ7" s="189">
        <f t="shared" si="45"/>
        <v>135.88</v>
      </c>
      <c r="CA7" s="189">
        <f t="shared" si="45"/>
        <v>134.88999999999999</v>
      </c>
      <c r="CB7" s="189">
        <f t="shared" si="45"/>
        <v>148</v>
      </c>
      <c r="CC7" s="189">
        <f t="shared" si="45"/>
        <v>134.74</v>
      </c>
      <c r="CD7" s="189">
        <f t="shared" si="45"/>
        <v>154.25</v>
      </c>
      <c r="CE7" s="189">
        <f t="shared" si="45"/>
        <v>156.91</v>
      </c>
      <c r="CF7" s="189">
        <f t="shared" si="45"/>
        <v>177.35999999999999</v>
      </c>
      <c r="CG7" s="189">
        <f t="shared" si="45"/>
        <v>165.93</v>
      </c>
      <c r="CH7" s="189">
        <f t="shared" si="45"/>
        <v>187.16</v>
      </c>
      <c r="CI7" s="189">
        <f t="shared" si="45"/>
        <v>193.03</v>
      </c>
      <c r="CJ7" s="189">
        <f t="shared" si="45"/>
        <v>216.53</v>
      </c>
      <c r="CK7" s="189">
        <f t="shared" ref="CK7" si="46">+SUM(CK5:CK6)</f>
        <v>195.5</v>
      </c>
      <c r="CL7" s="189">
        <f t="shared" ref="CL7:DB7" si="47">+SUM(CL5:CL6)</f>
        <v>223.9</v>
      </c>
      <c r="CM7" s="190">
        <f t="shared" si="47"/>
        <v>224.85269500000004</v>
      </c>
      <c r="CN7" s="190">
        <f t="shared" si="47"/>
        <v>252.52260999999999</v>
      </c>
      <c r="CO7" s="190">
        <f t="shared" si="47"/>
        <v>229.12787500000005</v>
      </c>
      <c r="CP7" s="190">
        <f t="shared" si="47"/>
        <v>262.61678499999999</v>
      </c>
      <c r="CQ7" s="190">
        <f t="shared" si="47"/>
        <v>265.94104621299999</v>
      </c>
      <c r="CR7" s="190">
        <f t="shared" si="47"/>
        <v>298.96232277400003</v>
      </c>
      <c r="CS7" s="190">
        <f t="shared" si="47"/>
        <v>271.04304602499997</v>
      </c>
      <c r="CT7" s="190">
        <f t="shared" si="47"/>
        <v>311.00871121899996</v>
      </c>
      <c r="CU7" s="190">
        <f t="shared" si="47"/>
        <v>314.97588455059429</v>
      </c>
      <c r="CV7" s="190">
        <f t="shared" si="47"/>
        <v>354.38347599849158</v>
      </c>
      <c r="CW7" s="190">
        <f t="shared" si="47"/>
        <v>321.06461112623492</v>
      </c>
      <c r="CX7" s="190">
        <f t="shared" si="47"/>
        <v>368.75963596875459</v>
      </c>
      <c r="CY7" s="190">
        <f t="shared" si="47"/>
        <v>373.49406062267923</v>
      </c>
      <c r="CZ7" s="190">
        <f t="shared" si="47"/>
        <v>420.52308025659983</v>
      </c>
      <c r="DA7" s="190">
        <f t="shared" si="47"/>
        <v>380.76034691804887</v>
      </c>
      <c r="DB7" s="190">
        <f t="shared" si="47"/>
        <v>437.67958956511171</v>
      </c>
      <c r="DE7" s="192"/>
    </row>
    <row r="8" spans="1:110" s="158" customFormat="1" x14ac:dyDescent="0.2">
      <c r="A8" s="155" t="s">
        <v>525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>
        <f t="shared" ref="Q8" si="48">+Q7-Q41</f>
        <v>4.9999999999954525E-3</v>
      </c>
      <c r="R8" s="156">
        <f t="shared" ref="R8" si="49">+R7-R41</f>
        <v>2.4230000000000018</v>
      </c>
      <c r="S8" s="156">
        <f t="shared" ref="S8" si="50">+S7-S41</f>
        <v>1.0000000000047748E-2</v>
      </c>
      <c r="T8" s="156">
        <f t="shared" ref="T8" si="51">+T7-T41</f>
        <v>0</v>
      </c>
      <c r="U8" s="156">
        <f t="shared" ref="U8" si="52">+U7-U41</f>
        <v>-0.17000000000007276</v>
      </c>
      <c r="V8" s="156">
        <f t="shared" ref="V8" si="53">+V7-V41</f>
        <v>9.9999999999909051E-3</v>
      </c>
      <c r="W8" s="156">
        <f t="shared" ref="W8" si="54">+W7-W41</f>
        <v>-4.9999999999954525E-2</v>
      </c>
      <c r="X8" s="156">
        <f t="shared" ref="X8" si="55">+X7-X41</f>
        <v>0</v>
      </c>
      <c r="Y8" s="156">
        <f t="shared" ref="Y8" si="56">+Y7-Y41</f>
        <v>0</v>
      </c>
      <c r="Z8" s="156">
        <f t="shared" ref="Z8" si="57">+Z7-Z41</f>
        <v>9.9999999999909051E-3</v>
      </c>
      <c r="AA8" s="157"/>
      <c r="AB8" s="157"/>
      <c r="AC8" s="157"/>
      <c r="AD8" s="157"/>
      <c r="AE8" s="157"/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>
        <f t="shared" ref="AU8:CJ8" si="58">+AU7-AU41</f>
        <v>5.000000000002558E-3</v>
      </c>
      <c r="AV8" s="156">
        <f t="shared" si="58"/>
        <v>-5.0000000000167688E-3</v>
      </c>
      <c r="AW8" s="156">
        <f t="shared" si="58"/>
        <v>7.9999999999955662E-3</v>
      </c>
      <c r="AX8" s="156">
        <f t="shared" si="58"/>
        <v>-5.0000000000096634E-3</v>
      </c>
      <c r="AY8" s="156">
        <f t="shared" si="58"/>
        <v>0.61499999999999488</v>
      </c>
      <c r="AZ8" s="156">
        <f t="shared" si="58"/>
        <v>0.57200000000000273</v>
      </c>
      <c r="BA8" s="156">
        <f t="shared" si="58"/>
        <v>0.67199999999999704</v>
      </c>
      <c r="BB8" s="156">
        <f t="shared" si="58"/>
        <v>0.56400000000000716</v>
      </c>
      <c r="BC8" s="156">
        <f t="shared" si="58"/>
        <v>0</v>
      </c>
      <c r="BD8" s="156">
        <f t="shared" si="58"/>
        <v>4.0000000000048885E-3</v>
      </c>
      <c r="BE8" s="156">
        <f t="shared" si="58"/>
        <v>0</v>
      </c>
      <c r="BF8" s="156">
        <f t="shared" si="58"/>
        <v>0</v>
      </c>
      <c r="BG8" s="156">
        <f t="shared" si="58"/>
        <v>0</v>
      </c>
      <c r="BH8" s="156">
        <f t="shared" si="58"/>
        <v>0</v>
      </c>
      <c r="BI8" s="156">
        <f t="shared" si="58"/>
        <v>0</v>
      </c>
      <c r="BJ8" s="156">
        <f t="shared" si="58"/>
        <v>0</v>
      </c>
      <c r="BK8" s="156">
        <f t="shared" si="58"/>
        <v>0.23999999999999488</v>
      </c>
      <c r="BL8" s="156">
        <f t="shared" si="58"/>
        <v>0.26000000000000512</v>
      </c>
      <c r="BM8" s="156">
        <f t="shared" si="58"/>
        <v>0.10999999999999943</v>
      </c>
      <c r="BN8" s="156">
        <f t="shared" si="58"/>
        <v>0.28000000000000114</v>
      </c>
      <c r="BO8" s="156">
        <f t="shared" si="58"/>
        <v>0</v>
      </c>
      <c r="BP8" s="156">
        <f t="shared" si="58"/>
        <v>0</v>
      </c>
      <c r="BQ8" s="156">
        <f t="shared" si="58"/>
        <v>0</v>
      </c>
      <c r="BR8" s="156">
        <f t="shared" si="58"/>
        <v>0</v>
      </c>
      <c r="BS8" s="156">
        <f t="shared" si="58"/>
        <v>-1.0000000000019327E-2</v>
      </c>
      <c r="BT8" s="156">
        <f t="shared" si="58"/>
        <v>0</v>
      </c>
      <c r="BU8" s="156">
        <f t="shared" si="58"/>
        <v>0</v>
      </c>
      <c r="BV8" s="156">
        <f t="shared" si="58"/>
        <v>0</v>
      </c>
      <c r="BW8" s="156">
        <f t="shared" si="58"/>
        <v>0</v>
      </c>
      <c r="BX8" s="156">
        <f t="shared" si="58"/>
        <v>0</v>
      </c>
      <c r="BY8" s="156">
        <f t="shared" si="58"/>
        <v>0</v>
      </c>
      <c r="BZ8" s="156">
        <f t="shared" si="58"/>
        <v>0</v>
      </c>
      <c r="CA8" s="156">
        <f t="shared" si="58"/>
        <v>0</v>
      </c>
      <c r="CB8" s="156">
        <f t="shared" si="58"/>
        <v>0</v>
      </c>
      <c r="CC8" s="156">
        <f t="shared" si="58"/>
        <v>0</v>
      </c>
      <c r="CD8" s="156">
        <f t="shared" si="58"/>
        <v>0</v>
      </c>
      <c r="CE8" s="156">
        <f t="shared" si="58"/>
        <v>0</v>
      </c>
      <c r="CF8" s="156">
        <f t="shared" si="58"/>
        <v>0</v>
      </c>
      <c r="CG8" s="156">
        <f t="shared" si="58"/>
        <v>1.0000000000019327E-2</v>
      </c>
      <c r="CH8" s="156">
        <f t="shared" si="58"/>
        <v>0</v>
      </c>
      <c r="CI8" s="156">
        <f t="shared" si="58"/>
        <v>0</v>
      </c>
      <c r="CJ8" s="156">
        <f t="shared" si="58"/>
        <v>0</v>
      </c>
      <c r="CK8" s="156">
        <f t="shared" ref="CK8" si="59">+CK7-CK41</f>
        <v>-3.0000000000001137E-2</v>
      </c>
      <c r="CL8" s="156">
        <f t="shared" ref="CL8:DB8" si="60">+CL7-CL41</f>
        <v>-4.9999999999982947E-2</v>
      </c>
      <c r="CM8" s="157">
        <f t="shared" si="60"/>
        <v>0</v>
      </c>
      <c r="CN8" s="157">
        <f t="shared" si="60"/>
        <v>0</v>
      </c>
      <c r="CO8" s="157">
        <f t="shared" si="60"/>
        <v>0</v>
      </c>
      <c r="CP8" s="157">
        <f t="shared" si="60"/>
        <v>0</v>
      </c>
      <c r="CQ8" s="157">
        <f t="shared" si="60"/>
        <v>0</v>
      </c>
      <c r="CR8" s="157">
        <f t="shared" si="60"/>
        <v>0</v>
      </c>
      <c r="CS8" s="157">
        <f t="shared" si="60"/>
        <v>0</v>
      </c>
      <c r="CT8" s="157">
        <f t="shared" si="60"/>
        <v>0</v>
      </c>
      <c r="CU8" s="157">
        <f t="shared" si="60"/>
        <v>0</v>
      </c>
      <c r="CV8" s="157">
        <f t="shared" si="60"/>
        <v>0</v>
      </c>
      <c r="CW8" s="157">
        <f t="shared" si="60"/>
        <v>0</v>
      </c>
      <c r="CX8" s="157">
        <f t="shared" si="60"/>
        <v>0</v>
      </c>
      <c r="CY8" s="157">
        <f t="shared" si="60"/>
        <v>0</v>
      </c>
      <c r="CZ8" s="157">
        <f t="shared" si="60"/>
        <v>0</v>
      </c>
      <c r="DA8" s="157">
        <f t="shared" si="60"/>
        <v>0</v>
      </c>
      <c r="DB8" s="157">
        <f t="shared" si="60"/>
        <v>0</v>
      </c>
      <c r="DE8" s="159"/>
    </row>
    <row r="9" spans="1:110" s="158" customFormat="1" x14ac:dyDescent="0.2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7"/>
      <c r="AB9" s="157"/>
      <c r="AC9" s="157"/>
      <c r="AD9" s="157"/>
      <c r="AE9" s="157"/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6"/>
      <c r="BK9" s="156"/>
      <c r="BL9" s="156"/>
      <c r="BM9" s="156"/>
      <c r="BN9" s="156"/>
      <c r="BO9" s="156"/>
      <c r="BP9" s="156"/>
      <c r="BQ9" s="156"/>
      <c r="BR9" s="156"/>
      <c r="BS9" s="156"/>
      <c r="BT9" s="156"/>
      <c r="BU9" s="156"/>
      <c r="BV9" s="156"/>
      <c r="BW9" s="156"/>
      <c r="BX9" s="156"/>
      <c r="BY9" s="156"/>
      <c r="BZ9" s="156"/>
      <c r="CA9" s="156"/>
      <c r="CB9" s="156"/>
      <c r="CC9" s="156"/>
      <c r="CD9" s="156"/>
      <c r="CE9" s="156"/>
      <c r="CF9" s="156"/>
      <c r="CG9" s="156"/>
      <c r="CH9" s="156"/>
      <c r="CI9" s="156"/>
      <c r="CJ9" s="156"/>
      <c r="CK9" s="156"/>
      <c r="CL9" s="156"/>
      <c r="CM9" s="157"/>
      <c r="CN9" s="157"/>
      <c r="CO9" s="157"/>
      <c r="CP9" s="157"/>
      <c r="CQ9" s="157"/>
      <c r="CR9" s="157"/>
      <c r="CS9" s="157"/>
      <c r="CT9" s="157"/>
      <c r="CU9" s="157"/>
      <c r="CV9" s="157"/>
      <c r="CW9" s="157"/>
      <c r="CX9" s="157"/>
      <c r="CY9" s="157"/>
      <c r="CZ9" s="157"/>
      <c r="DA9" s="157"/>
      <c r="DB9" s="157"/>
      <c r="DE9" s="159"/>
    </row>
    <row r="10" spans="1:110" s="187" customFormat="1" x14ac:dyDescent="0.2">
      <c r="A10" s="185" t="s">
        <v>533</v>
      </c>
      <c r="B10" s="186"/>
      <c r="C10" s="186"/>
      <c r="D10" s="186"/>
      <c r="E10" s="186"/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  <c r="AA10" s="186"/>
      <c r="AB10" s="186"/>
      <c r="AC10" s="186"/>
      <c r="AD10" s="186"/>
      <c r="AE10" s="186"/>
      <c r="AI10" s="186"/>
      <c r="AJ10" s="186"/>
      <c r="AK10" s="186"/>
      <c r="AL10" s="186"/>
      <c r="AM10" s="186"/>
      <c r="AN10" s="186"/>
      <c r="AO10" s="186"/>
      <c r="AP10" s="186"/>
      <c r="AQ10" s="186"/>
      <c r="AR10" s="186"/>
      <c r="AS10" s="186"/>
      <c r="AT10" s="186"/>
      <c r="AU10" s="186"/>
      <c r="AV10" s="186"/>
      <c r="AW10" s="186"/>
      <c r="AX10" s="186"/>
      <c r="AY10" s="186"/>
      <c r="AZ10" s="186"/>
      <c r="BA10" s="186"/>
      <c r="BB10" s="186"/>
      <c r="BC10" s="186"/>
      <c r="BD10" s="186"/>
      <c r="BE10" s="186"/>
      <c r="BF10" s="186"/>
      <c r="BG10" s="186"/>
      <c r="BH10" s="186"/>
      <c r="BI10" s="186"/>
      <c r="BJ10" s="186"/>
      <c r="BK10" s="186"/>
      <c r="BL10" s="186"/>
      <c r="BM10" s="186"/>
      <c r="BN10" s="186"/>
      <c r="BO10" s="186"/>
      <c r="BP10" s="186"/>
      <c r="BQ10" s="186"/>
      <c r="BR10" s="186"/>
      <c r="BS10" s="186"/>
      <c r="BT10" s="186"/>
      <c r="BU10" s="186"/>
      <c r="BV10" s="186"/>
      <c r="BW10" s="186"/>
      <c r="BX10" s="186"/>
      <c r="BY10" s="186"/>
      <c r="BZ10" s="186"/>
      <c r="CA10" s="186"/>
      <c r="CB10" s="186"/>
      <c r="CC10" s="186"/>
      <c r="CD10" s="186"/>
      <c r="CE10" s="186"/>
      <c r="CF10" s="186"/>
      <c r="CG10" s="186"/>
      <c r="CH10" s="186"/>
      <c r="CI10" s="186"/>
      <c r="CJ10" s="186"/>
      <c r="CK10" s="186"/>
      <c r="CL10" s="186"/>
      <c r="CM10" s="186"/>
      <c r="CN10" s="186"/>
      <c r="CO10" s="186"/>
      <c r="CP10" s="186"/>
      <c r="CQ10" s="186"/>
      <c r="CR10" s="186"/>
      <c r="CS10" s="186"/>
      <c r="CT10" s="186"/>
      <c r="CU10" s="186"/>
      <c r="CV10" s="186"/>
      <c r="CW10" s="186"/>
      <c r="CX10" s="186"/>
      <c r="CY10" s="186"/>
      <c r="CZ10" s="186"/>
      <c r="DA10" s="186"/>
      <c r="DB10" s="186"/>
      <c r="DE10" s="186"/>
    </row>
    <row r="11" spans="1:110" s="158" customFormat="1" x14ac:dyDescent="0.2">
      <c r="A11" s="184" t="s">
        <v>526</v>
      </c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>
        <f>SUM(AU11:AX11)</f>
        <v>0</v>
      </c>
      <c r="R11" s="156">
        <f>SUM(AY11:BB11)</f>
        <v>0</v>
      </c>
      <c r="S11" s="156">
        <f>SUM(BC11:BF11)</f>
        <v>0</v>
      </c>
      <c r="T11" s="156"/>
      <c r="U11" s="156">
        <f>SUM(BK11:BN11)</f>
        <v>167.08</v>
      </c>
      <c r="V11" s="156">
        <f>SUM(BO11:BR11)</f>
        <v>171.07</v>
      </c>
      <c r="W11" s="156">
        <f>SUM(BS11:BV11)</f>
        <v>230.54</v>
      </c>
      <c r="X11" s="156">
        <f>SUM(BW11:BZ11)</f>
        <v>142.53</v>
      </c>
      <c r="Y11" s="156">
        <f>SUM(CA11:CD11)</f>
        <v>157.30000000000001</v>
      </c>
      <c r="Z11" s="156">
        <f>SUM(CE11:CH11)</f>
        <v>203.8</v>
      </c>
      <c r="AA11" s="157">
        <f>SUM(CI11:CL11)</f>
        <v>267.39999999999998</v>
      </c>
      <c r="AB11" s="157">
        <f>+SUM(CM11:CP11)</f>
        <v>0</v>
      </c>
      <c r="AC11" s="157">
        <f>+SUM(CQ11:CT11)</f>
        <v>0</v>
      </c>
      <c r="AD11" s="157">
        <f>+SUM(CU11:CX11)</f>
        <v>0</v>
      </c>
      <c r="AE11" s="157">
        <f>+SUM(CY11:DB11)</f>
        <v>0</v>
      </c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6"/>
      <c r="BH11" s="156"/>
      <c r="BI11" s="156"/>
      <c r="BJ11" s="156"/>
      <c r="BK11" s="156">
        <v>44.02</v>
      </c>
      <c r="BL11" s="156">
        <v>50.92</v>
      </c>
      <c r="BM11" s="156">
        <v>42.84</v>
      </c>
      <c r="BN11" s="156">
        <v>29.3</v>
      </c>
      <c r="BO11" s="156">
        <v>9.51</v>
      </c>
      <c r="BP11" s="156">
        <v>61.7</v>
      </c>
      <c r="BQ11" s="156">
        <v>49.17</v>
      </c>
      <c r="BR11" s="156">
        <v>50.69</v>
      </c>
      <c r="BS11" s="156">
        <v>70.47</v>
      </c>
      <c r="BT11" s="156">
        <v>87</v>
      </c>
      <c r="BU11" s="156">
        <v>36</v>
      </c>
      <c r="BV11" s="156">
        <v>37.07</v>
      </c>
      <c r="BW11" s="156">
        <v>34.08</v>
      </c>
      <c r="BX11" s="156">
        <v>37.53</v>
      </c>
      <c r="BY11" s="156">
        <v>32.270000000000003</v>
      </c>
      <c r="BZ11" s="156">
        <v>38.65</v>
      </c>
      <c r="CA11" s="156">
        <v>40.299999999999997</v>
      </c>
      <c r="CB11" s="156">
        <v>41.5</v>
      </c>
      <c r="CC11" s="156">
        <v>34.299999999999997</v>
      </c>
      <c r="CD11" s="156">
        <v>41.2</v>
      </c>
      <c r="CE11" s="156">
        <v>43.5</v>
      </c>
      <c r="CF11" s="156">
        <v>50.7</v>
      </c>
      <c r="CG11" s="156">
        <v>47.1</v>
      </c>
      <c r="CH11" s="156">
        <v>62.5</v>
      </c>
      <c r="CI11" s="156">
        <v>61.7</v>
      </c>
      <c r="CJ11" s="156">
        <v>72.599999999999994</v>
      </c>
      <c r="CK11" s="156">
        <v>60.7</v>
      </c>
      <c r="CL11" s="156">
        <v>72.400000000000006</v>
      </c>
      <c r="CM11" s="157"/>
      <c r="CN11" s="157"/>
      <c r="CO11" s="157"/>
      <c r="CP11" s="157"/>
      <c r="CQ11" s="157"/>
      <c r="CR11" s="157"/>
      <c r="CS11" s="157"/>
      <c r="CT11" s="157"/>
      <c r="CU11" s="157"/>
      <c r="CV11" s="157"/>
      <c r="CW11" s="157"/>
      <c r="CX11" s="157"/>
      <c r="CY11" s="157"/>
      <c r="CZ11" s="157"/>
      <c r="DA11" s="157"/>
      <c r="DB11" s="157"/>
      <c r="DE11" s="159"/>
    </row>
    <row r="12" spans="1:110" s="158" customFormat="1" x14ac:dyDescent="0.2">
      <c r="A12" s="184" t="s">
        <v>536</v>
      </c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>
        <f>SUM(AU12:AX12)</f>
        <v>0</v>
      </c>
      <c r="R12" s="156">
        <f>SUM(AY12:BB12)</f>
        <v>0</v>
      </c>
      <c r="S12" s="156">
        <f>SUM(BC12:BF12)</f>
        <v>0</v>
      </c>
      <c r="T12" s="156"/>
      <c r="U12" s="156">
        <f>SUM(BK12:BN12)</f>
        <v>4.7600000000000007</v>
      </c>
      <c r="V12" s="156">
        <f>SUM(BO12:BR12)</f>
        <v>5.0000000000000155E-2</v>
      </c>
      <c r="W12" s="156">
        <f>SUM(BS12:BV12)</f>
        <v>3.3200000000000003</v>
      </c>
      <c r="X12" s="156">
        <f>SUM(BW12:BZ12)</f>
        <v>5.81</v>
      </c>
      <c r="Y12" s="156">
        <f>SUM(CA12:CD12)</f>
        <v>4.5</v>
      </c>
      <c r="Z12" s="156">
        <f>SUM(CE12:CH12)</f>
        <v>6.1999999999999993</v>
      </c>
      <c r="AA12" s="157">
        <f>SUM(CI12:CL12)</f>
        <v>8.6999999999999993</v>
      </c>
      <c r="AB12" s="157">
        <f>+SUM(CM12:CP12)</f>
        <v>0</v>
      </c>
      <c r="AC12" s="157">
        <f>+SUM(CQ12:CT12)</f>
        <v>0</v>
      </c>
      <c r="AD12" s="157">
        <f>+SUM(CU12:CX12)</f>
        <v>0</v>
      </c>
      <c r="AE12" s="157">
        <f>+SUM(CY12:DB12)</f>
        <v>0</v>
      </c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>
        <v>1.32</v>
      </c>
      <c r="BL12" s="156">
        <v>1.25</v>
      </c>
      <c r="BM12" s="156">
        <v>0.87</v>
      </c>
      <c r="BN12" s="156">
        <v>1.32</v>
      </c>
      <c r="BO12" s="156">
        <v>-1.1399999999999999</v>
      </c>
      <c r="BP12" s="156">
        <v>-0.2</v>
      </c>
      <c r="BQ12" s="156">
        <v>0.65</v>
      </c>
      <c r="BR12" s="156">
        <v>0.74</v>
      </c>
      <c r="BS12" s="156">
        <v>0.6</v>
      </c>
      <c r="BT12" s="156">
        <v>1.6</v>
      </c>
      <c r="BU12" s="156">
        <v>0.7</v>
      </c>
      <c r="BV12" s="156">
        <v>0.42</v>
      </c>
      <c r="BW12" s="156">
        <v>0.42</v>
      </c>
      <c r="BX12" s="156">
        <v>1.64</v>
      </c>
      <c r="BY12" s="156">
        <v>2.11</v>
      </c>
      <c r="BZ12" s="156">
        <v>1.64</v>
      </c>
      <c r="CA12" s="156">
        <v>1.4</v>
      </c>
      <c r="CB12" s="156">
        <v>1.1000000000000001</v>
      </c>
      <c r="CC12" s="156">
        <v>1</v>
      </c>
      <c r="CD12" s="156">
        <v>1</v>
      </c>
      <c r="CE12" s="156">
        <v>1.3</v>
      </c>
      <c r="CF12" s="156">
        <v>-0.2</v>
      </c>
      <c r="CG12" s="156">
        <v>2.2999999999999998</v>
      </c>
      <c r="CH12" s="156">
        <v>2.8</v>
      </c>
      <c r="CI12" s="156">
        <v>1.7</v>
      </c>
      <c r="CJ12" s="156">
        <v>2.8</v>
      </c>
      <c r="CK12" s="156">
        <v>1.5</v>
      </c>
      <c r="CL12" s="156">
        <v>2.7</v>
      </c>
      <c r="CM12" s="157"/>
      <c r="CN12" s="157"/>
      <c r="CO12" s="157"/>
      <c r="CP12" s="157"/>
      <c r="CQ12" s="157"/>
      <c r="CR12" s="157"/>
      <c r="CS12" s="157"/>
      <c r="CT12" s="157"/>
      <c r="CU12" s="157"/>
      <c r="CV12" s="157"/>
      <c r="CW12" s="157"/>
      <c r="CX12" s="157"/>
      <c r="CY12" s="157"/>
      <c r="CZ12" s="157"/>
      <c r="DA12" s="157"/>
      <c r="DB12" s="157"/>
      <c r="DE12" s="159"/>
    </row>
    <row r="13" spans="1:110" s="158" customFormat="1" x14ac:dyDescent="0.2">
      <c r="A13" s="184" t="s">
        <v>564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7"/>
      <c r="AB13" s="157"/>
      <c r="AC13" s="157"/>
      <c r="AD13" s="157"/>
      <c r="AE13" s="157"/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/>
      <c r="BO13" s="156"/>
      <c r="BP13" s="156"/>
      <c r="BQ13" s="156"/>
      <c r="BR13" s="156"/>
      <c r="BS13" s="156"/>
      <c r="BT13" s="156"/>
      <c r="BU13" s="156"/>
      <c r="BV13" s="156">
        <v>0.1</v>
      </c>
      <c r="BW13" s="156">
        <v>1.42</v>
      </c>
      <c r="BX13" s="156">
        <v>-7.5899999999999963</v>
      </c>
      <c r="BY13" s="156">
        <v>-6.5200000000000031</v>
      </c>
      <c r="BZ13" s="156">
        <v>-15.599999999999987</v>
      </c>
      <c r="CA13" s="156">
        <v>-7.1899999999999906</v>
      </c>
      <c r="CB13" s="156">
        <v>-5.0800000000000054</v>
      </c>
      <c r="CC13" s="156">
        <v>-3.7099999999999653</v>
      </c>
      <c r="CD13" s="156">
        <v>-8.39</v>
      </c>
      <c r="CE13" s="156">
        <v>-2.1600000000000108</v>
      </c>
      <c r="CF13" s="156">
        <v>-2.2099999999999937</v>
      </c>
      <c r="CG13" s="156">
        <v>-7.6699999999999946</v>
      </c>
      <c r="CH13" s="156">
        <v>-7.6000000000000369</v>
      </c>
      <c r="CI13" s="156">
        <v>-5.6299999999999955</v>
      </c>
      <c r="CJ13" s="156">
        <v>-4.0499999999999972</v>
      </c>
      <c r="CK13" s="156">
        <v>-4.3699999999999903</v>
      </c>
      <c r="CL13" s="156">
        <v>0</v>
      </c>
      <c r="CM13" s="157"/>
      <c r="CN13" s="157"/>
      <c r="CO13" s="157"/>
      <c r="CP13" s="157"/>
      <c r="CQ13" s="157"/>
      <c r="CR13" s="157"/>
      <c r="CS13" s="157"/>
      <c r="CT13" s="157"/>
      <c r="CU13" s="157"/>
      <c r="CV13" s="157"/>
      <c r="CW13" s="157"/>
      <c r="CX13" s="157"/>
      <c r="CY13" s="157"/>
      <c r="CZ13" s="157"/>
      <c r="DA13" s="157"/>
      <c r="DB13" s="157"/>
      <c r="DE13" s="159"/>
    </row>
    <row r="14" spans="1:110" s="191" customFormat="1" x14ac:dyDescent="0.2">
      <c r="A14" s="188" t="s">
        <v>535</v>
      </c>
      <c r="B14" s="189"/>
      <c r="C14" s="189"/>
      <c r="D14" s="189"/>
      <c r="E14" s="189"/>
      <c r="F14" s="189"/>
      <c r="G14" s="189"/>
      <c r="H14" s="189"/>
      <c r="I14" s="189"/>
      <c r="J14" s="189"/>
      <c r="K14" s="189"/>
      <c r="L14" s="189"/>
      <c r="M14" s="189"/>
      <c r="N14" s="189"/>
      <c r="O14" s="189"/>
      <c r="P14" s="189"/>
      <c r="Q14" s="189">
        <f t="shared" ref="Q14" si="61">+Q11+Q12</f>
        <v>0</v>
      </c>
      <c r="R14" s="189">
        <f t="shared" ref="R14" si="62">+R11+R12</f>
        <v>0</v>
      </c>
      <c r="S14" s="189">
        <f t="shared" ref="S14" si="63">+S11+S12</f>
        <v>0</v>
      </c>
      <c r="T14" s="189"/>
      <c r="U14" s="189">
        <f t="shared" ref="U14" si="64">+U11+U12</f>
        <v>171.84</v>
      </c>
      <c r="V14" s="189">
        <f t="shared" ref="V14" si="65">+V11+V12</f>
        <v>171.12</v>
      </c>
      <c r="W14" s="189">
        <f t="shared" ref="W14" si="66">+W11+W12</f>
        <v>233.85999999999999</v>
      </c>
      <c r="X14" s="189">
        <f t="shared" ref="X14" si="67">+X11+X12</f>
        <v>148.34</v>
      </c>
      <c r="Y14" s="189">
        <f t="shared" ref="Y14" si="68">+Y11+Y12</f>
        <v>161.80000000000001</v>
      </c>
      <c r="Z14" s="189">
        <f t="shared" ref="Z14" si="69">+Z11+Z12</f>
        <v>210</v>
      </c>
      <c r="AA14" s="190">
        <f t="shared" ref="AA14" si="70">+AA11+AA12</f>
        <v>276.09999999999997</v>
      </c>
      <c r="AB14" s="190">
        <f t="shared" ref="AB14" si="71">+AB11+AB12</f>
        <v>0</v>
      </c>
      <c r="AC14" s="190">
        <f t="shared" ref="AC14" si="72">+AC11+AC12</f>
        <v>0</v>
      </c>
      <c r="AD14" s="190">
        <f t="shared" ref="AD14" si="73">+AD11+AD12</f>
        <v>0</v>
      </c>
      <c r="AE14" s="190">
        <f t="shared" ref="AE14" si="74">+AE11+AE12</f>
        <v>0</v>
      </c>
      <c r="AI14" s="189"/>
      <c r="AJ14" s="189"/>
      <c r="AK14" s="189"/>
      <c r="AL14" s="189"/>
      <c r="AM14" s="189"/>
      <c r="AN14" s="189"/>
      <c r="AO14" s="189"/>
      <c r="AP14" s="189"/>
      <c r="AQ14" s="189"/>
      <c r="AR14" s="189"/>
      <c r="AS14" s="189"/>
      <c r="AT14" s="189"/>
      <c r="AU14" s="189"/>
      <c r="AV14" s="189"/>
      <c r="AW14" s="189"/>
      <c r="AX14" s="189"/>
      <c r="AY14" s="189"/>
      <c r="AZ14" s="189"/>
      <c r="BA14" s="189"/>
      <c r="BB14" s="189"/>
      <c r="BC14" s="189"/>
      <c r="BD14" s="189"/>
      <c r="BE14" s="189"/>
      <c r="BF14" s="189"/>
      <c r="BG14" s="189"/>
      <c r="BH14" s="189"/>
      <c r="BI14" s="189"/>
      <c r="BJ14" s="189"/>
      <c r="BK14" s="189">
        <f t="shared" ref="BK14:BU14" si="75">+BK11+BK12</f>
        <v>45.34</v>
      </c>
      <c r="BL14" s="189">
        <f t="shared" si="75"/>
        <v>52.17</v>
      </c>
      <c r="BM14" s="189">
        <f t="shared" si="75"/>
        <v>43.71</v>
      </c>
      <c r="BN14" s="189">
        <f t="shared" si="75"/>
        <v>30.62</v>
      </c>
      <c r="BO14" s="189">
        <f t="shared" si="75"/>
        <v>8.3699999999999992</v>
      </c>
      <c r="BP14" s="189">
        <f t="shared" si="75"/>
        <v>61.5</v>
      </c>
      <c r="BQ14" s="189">
        <f t="shared" si="75"/>
        <v>49.82</v>
      </c>
      <c r="BR14" s="189">
        <f t="shared" si="75"/>
        <v>51.43</v>
      </c>
      <c r="BS14" s="189">
        <f t="shared" si="75"/>
        <v>71.069999999999993</v>
      </c>
      <c r="BT14" s="189">
        <f t="shared" si="75"/>
        <v>88.6</v>
      </c>
      <c r="BU14" s="189">
        <f t="shared" si="75"/>
        <v>36.700000000000003</v>
      </c>
      <c r="BV14" s="189">
        <f t="shared" ref="BV14:BZ14" si="76">+BV11+BV12+BV13</f>
        <v>37.590000000000003</v>
      </c>
      <c r="BW14" s="189">
        <f t="shared" si="76"/>
        <v>35.92</v>
      </c>
      <c r="BX14" s="189">
        <f t="shared" si="76"/>
        <v>31.580000000000005</v>
      </c>
      <c r="BY14" s="189">
        <f t="shared" si="76"/>
        <v>27.86</v>
      </c>
      <c r="BZ14" s="189">
        <f t="shared" si="76"/>
        <v>24.690000000000012</v>
      </c>
      <c r="CA14" s="189">
        <f>+CA11+CA12+CA13</f>
        <v>34.510000000000005</v>
      </c>
      <c r="CB14" s="189">
        <f t="shared" ref="CB14:CL14" si="77">+CB11+CB12+CB13</f>
        <v>37.519999999999996</v>
      </c>
      <c r="CC14" s="189">
        <f t="shared" si="77"/>
        <v>31.590000000000032</v>
      </c>
      <c r="CD14" s="189">
        <f t="shared" si="77"/>
        <v>33.81</v>
      </c>
      <c r="CE14" s="189">
        <f t="shared" si="77"/>
        <v>42.639999999999986</v>
      </c>
      <c r="CF14" s="189">
        <f t="shared" si="77"/>
        <v>48.290000000000006</v>
      </c>
      <c r="CG14" s="189">
        <f t="shared" si="77"/>
        <v>41.730000000000004</v>
      </c>
      <c r="CH14" s="189">
        <f t="shared" si="77"/>
        <v>57.69999999999996</v>
      </c>
      <c r="CI14" s="189">
        <f t="shared" si="77"/>
        <v>57.77000000000001</v>
      </c>
      <c r="CJ14" s="189">
        <f t="shared" si="77"/>
        <v>71.349999999999994</v>
      </c>
      <c r="CK14" s="189">
        <f t="shared" si="77"/>
        <v>57.830000000000013</v>
      </c>
      <c r="CL14" s="189">
        <f t="shared" si="77"/>
        <v>75.100000000000009</v>
      </c>
      <c r="CM14" s="190"/>
      <c r="CN14" s="190"/>
      <c r="CO14" s="190"/>
      <c r="CP14" s="190"/>
      <c r="CQ14" s="190"/>
      <c r="CR14" s="190"/>
      <c r="CS14" s="190"/>
      <c r="CT14" s="190"/>
      <c r="CU14" s="190"/>
      <c r="CV14" s="190"/>
      <c r="CW14" s="190"/>
      <c r="CX14" s="190"/>
      <c r="CY14" s="190"/>
      <c r="CZ14" s="190"/>
      <c r="DA14" s="190"/>
      <c r="DB14" s="190"/>
      <c r="DE14" s="192"/>
    </row>
    <row r="15" spans="1:110" s="158" customFormat="1" x14ac:dyDescent="0.2">
      <c r="A15" s="155" t="s">
        <v>525</v>
      </c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>
        <f t="shared" ref="Q15:Z15" si="78">+Q14-Q70</f>
        <v>-94.049000000000007</v>
      </c>
      <c r="R15" s="156">
        <f t="shared" si="78"/>
        <v>-115.379</v>
      </c>
      <c r="S15" s="156">
        <f t="shared" si="78"/>
        <v>-144.71999999999997</v>
      </c>
      <c r="T15" s="156"/>
      <c r="U15" s="156">
        <f t="shared" si="78"/>
        <v>-1.7299999999999613</v>
      </c>
      <c r="V15" s="156">
        <f t="shared" si="78"/>
        <v>-0.13999999999998636</v>
      </c>
      <c r="W15" s="156">
        <f t="shared" si="78"/>
        <v>-1.870000000000033</v>
      </c>
      <c r="X15" s="156">
        <f t="shared" si="78"/>
        <v>25.810000000000059</v>
      </c>
      <c r="Y15" s="156">
        <f t="shared" si="78"/>
        <v>23.040000000000077</v>
      </c>
      <c r="Z15" s="156">
        <f t="shared" si="78"/>
        <v>19.439999999999884</v>
      </c>
      <c r="AA15" s="157"/>
      <c r="AB15" s="157"/>
      <c r="AC15" s="157"/>
      <c r="AD15" s="157"/>
      <c r="AE15" s="157"/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  <c r="BK15" s="156">
        <f t="shared" ref="BK15:CJ15" si="79">+BK14-BK70</f>
        <v>-0.27000000000000313</v>
      </c>
      <c r="BL15" s="156">
        <f t="shared" si="79"/>
        <v>9.9999999999980105E-3</v>
      </c>
      <c r="BM15" s="156">
        <f t="shared" si="79"/>
        <v>-7.000000000000739E-2</v>
      </c>
      <c r="BN15" s="156">
        <f t="shared" si="79"/>
        <v>-0.34999999999999787</v>
      </c>
      <c r="BO15" s="156">
        <f t="shared" si="79"/>
        <v>-9.0000000000001634E-2</v>
      </c>
      <c r="BP15" s="156">
        <f t="shared" si="79"/>
        <v>-0.40000000000000568</v>
      </c>
      <c r="BQ15" s="156">
        <f t="shared" si="79"/>
        <v>0.19999999999998153</v>
      </c>
      <c r="BR15" s="156">
        <f t="shared" si="79"/>
        <v>-0.10000000000000853</v>
      </c>
      <c r="BS15" s="156">
        <f t="shared" si="79"/>
        <v>-0.15999999999999659</v>
      </c>
      <c r="BT15" s="156">
        <f t="shared" si="79"/>
        <v>-0.68999999999999773</v>
      </c>
      <c r="BU15" s="156">
        <f t="shared" si="79"/>
        <v>-0.10000000000000853</v>
      </c>
      <c r="BV15" s="156">
        <f t="shared" si="79"/>
        <v>0</v>
      </c>
      <c r="BW15" s="156">
        <f t="shared" si="79"/>
        <v>0</v>
      </c>
      <c r="BX15" s="156">
        <f t="shared" si="79"/>
        <v>0</v>
      </c>
      <c r="BY15" s="156">
        <f t="shared" si="79"/>
        <v>0</v>
      </c>
      <c r="BZ15" s="156">
        <f t="shared" si="79"/>
        <v>0</v>
      </c>
      <c r="CA15" s="156">
        <f t="shared" si="79"/>
        <v>0</v>
      </c>
      <c r="CB15" s="156">
        <f t="shared" si="79"/>
        <v>0</v>
      </c>
      <c r="CC15" s="156">
        <f t="shared" si="79"/>
        <v>0</v>
      </c>
      <c r="CD15" s="156">
        <f t="shared" si="79"/>
        <v>0</v>
      </c>
      <c r="CE15" s="156">
        <f t="shared" si="79"/>
        <v>0</v>
      </c>
      <c r="CF15" s="156">
        <f t="shared" si="79"/>
        <v>0</v>
      </c>
      <c r="CG15" s="156">
        <f t="shared" si="79"/>
        <v>0</v>
      </c>
      <c r="CH15" s="156">
        <f t="shared" si="79"/>
        <v>0</v>
      </c>
      <c r="CI15" s="156">
        <f t="shared" si="79"/>
        <v>0</v>
      </c>
      <c r="CJ15" s="156">
        <f t="shared" si="79"/>
        <v>0</v>
      </c>
      <c r="CK15" s="156">
        <f t="shared" ref="CK15:CL15" si="80">+CK14-CK70</f>
        <v>0</v>
      </c>
      <c r="CL15" s="156">
        <f t="shared" si="80"/>
        <v>1.0000000000061959E-2</v>
      </c>
      <c r="CM15" s="157"/>
      <c r="CN15" s="157"/>
      <c r="CO15" s="157"/>
      <c r="CP15" s="157"/>
      <c r="CQ15" s="157"/>
      <c r="CR15" s="157"/>
      <c r="CS15" s="157"/>
      <c r="CT15" s="157"/>
      <c r="CU15" s="157"/>
      <c r="CV15" s="157"/>
      <c r="CW15" s="157"/>
      <c r="CX15" s="157"/>
      <c r="CY15" s="157"/>
      <c r="CZ15" s="157"/>
      <c r="DA15" s="157"/>
      <c r="DB15" s="157"/>
      <c r="DE15" s="159"/>
    </row>
    <row r="16" spans="1:110" s="158" customFormat="1" x14ac:dyDescent="0.2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7"/>
      <c r="AB16" s="157"/>
      <c r="AC16" s="157"/>
      <c r="AD16" s="157"/>
      <c r="AE16" s="157"/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6"/>
      <c r="BF16" s="156"/>
      <c r="BG16" s="156"/>
      <c r="BH16" s="156"/>
      <c r="BI16" s="156"/>
      <c r="BJ16" s="156"/>
      <c r="BK16" s="156"/>
      <c r="BL16" s="156"/>
      <c r="BM16" s="156"/>
      <c r="BN16" s="156"/>
      <c r="BO16" s="156"/>
      <c r="BP16" s="156"/>
      <c r="BQ16" s="156"/>
      <c r="BR16" s="156"/>
      <c r="BS16" s="156"/>
      <c r="BT16" s="156"/>
      <c r="BU16" s="156"/>
      <c r="BV16" s="156"/>
      <c r="BW16" s="156"/>
      <c r="BX16" s="156"/>
      <c r="BY16" s="156"/>
      <c r="BZ16" s="156"/>
      <c r="CA16" s="156"/>
      <c r="CB16" s="156"/>
      <c r="CC16" s="156"/>
      <c r="CD16" s="156"/>
      <c r="CE16" s="156"/>
      <c r="CF16" s="156"/>
      <c r="CG16" s="156"/>
      <c r="CH16" s="156"/>
      <c r="CI16" s="156"/>
      <c r="CJ16" s="156"/>
      <c r="CK16" s="156"/>
      <c r="CL16" s="156"/>
      <c r="CM16" s="157"/>
      <c r="CN16" s="157"/>
      <c r="CO16" s="157"/>
      <c r="CP16" s="157"/>
      <c r="CQ16" s="157"/>
      <c r="CR16" s="157"/>
      <c r="CS16" s="157"/>
      <c r="CT16" s="157"/>
      <c r="CU16" s="157"/>
      <c r="CV16" s="157"/>
      <c r="CW16" s="157"/>
      <c r="CX16" s="157"/>
      <c r="CY16" s="157"/>
      <c r="CZ16" s="157"/>
      <c r="DA16" s="157"/>
      <c r="DB16" s="157"/>
      <c r="DE16" s="159"/>
    </row>
    <row r="17" spans="1:109" s="187" customFormat="1" x14ac:dyDescent="0.2">
      <c r="A17" s="185" t="s">
        <v>532</v>
      </c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  <c r="AS17" s="186"/>
      <c r="AT17" s="186"/>
      <c r="AU17" s="186"/>
      <c r="AV17" s="186"/>
      <c r="AW17" s="186"/>
      <c r="AX17" s="186"/>
      <c r="AY17" s="186"/>
      <c r="AZ17" s="186"/>
      <c r="BA17" s="186"/>
      <c r="BB17" s="186"/>
      <c r="BC17" s="186"/>
      <c r="BD17" s="186"/>
      <c r="BE17" s="186"/>
      <c r="BF17" s="186"/>
      <c r="BG17" s="186"/>
      <c r="BH17" s="186"/>
      <c r="BI17" s="186"/>
      <c r="BJ17" s="186"/>
      <c r="BK17" s="186"/>
      <c r="BL17" s="186"/>
      <c r="BM17" s="186"/>
      <c r="BN17" s="186"/>
      <c r="BO17" s="186"/>
      <c r="BP17" s="186"/>
      <c r="BQ17" s="186"/>
      <c r="BR17" s="186"/>
      <c r="BS17" s="186"/>
      <c r="BT17" s="186"/>
      <c r="BU17" s="186"/>
      <c r="BV17" s="186"/>
      <c r="BW17" s="186"/>
      <c r="BX17" s="186"/>
      <c r="BY17" s="186"/>
      <c r="BZ17" s="186"/>
      <c r="CA17" s="186"/>
      <c r="CB17" s="186"/>
      <c r="CC17" s="186"/>
      <c r="CD17" s="186"/>
      <c r="CE17" s="186"/>
      <c r="CF17" s="186"/>
      <c r="CG17" s="186"/>
      <c r="CH17" s="186"/>
      <c r="CI17" s="186"/>
      <c r="CJ17" s="186"/>
      <c r="CK17" s="186"/>
      <c r="CL17" s="186"/>
      <c r="CM17" s="186"/>
      <c r="CN17" s="186"/>
      <c r="CO17" s="186"/>
      <c r="CP17" s="186"/>
      <c r="CQ17" s="186"/>
      <c r="CR17" s="186"/>
      <c r="CS17" s="186"/>
      <c r="CT17" s="186"/>
      <c r="CU17" s="186"/>
      <c r="CV17" s="186"/>
      <c r="CW17" s="186"/>
      <c r="CX17" s="186"/>
      <c r="CY17" s="186"/>
      <c r="CZ17" s="186"/>
      <c r="DA17" s="186"/>
      <c r="DB17" s="186"/>
      <c r="DE17" s="186"/>
    </row>
    <row r="18" spans="1:109" s="158" customFormat="1" x14ac:dyDescent="0.2">
      <c r="A18" s="184" t="s">
        <v>527</v>
      </c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>
        <f>SUM(AU18:AX18)</f>
        <v>0</v>
      </c>
      <c r="R18" s="156">
        <f>SUM(AY18:BB18)</f>
        <v>0</v>
      </c>
      <c r="S18" s="156">
        <f>SUM(BC18:BF18)</f>
        <v>0</v>
      </c>
      <c r="T18" s="156">
        <f>SUM(BG18:BJ18)</f>
        <v>0</v>
      </c>
      <c r="U18" s="156">
        <f>SUM(BK18:BN18)</f>
        <v>0</v>
      </c>
      <c r="V18" s="156">
        <f>SUM(BO18:BR18)</f>
        <v>0</v>
      </c>
      <c r="W18" s="156">
        <f>SUM(BS18:BV18)</f>
        <v>247</v>
      </c>
      <c r="X18" s="156">
        <f>SUM(BW18:BZ18)</f>
        <v>280</v>
      </c>
      <c r="Y18" s="156">
        <f>SUM(CA18:CD18)</f>
        <v>325.2</v>
      </c>
      <c r="Z18" s="156">
        <f>SUM(CE18:CH18)</f>
        <v>399</v>
      </c>
      <c r="AA18" s="157">
        <f>SUM(CI18:CL18)</f>
        <v>477.70000000000005</v>
      </c>
      <c r="AB18" s="157">
        <f>+SUM(CM18:CP18)</f>
        <v>919.51996500000007</v>
      </c>
      <c r="AC18" s="157">
        <f>+SUM(CQ18:CT18)</f>
        <v>1097.355126231</v>
      </c>
      <c r="AD18" s="157">
        <f>+SUM(CU18:CX18)</f>
        <v>1309.5836076440755</v>
      </c>
      <c r="AE18" s="157">
        <f>+SUM(CY18:DB18)</f>
        <v>1562.8570773624399</v>
      </c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6"/>
      <c r="BD18" s="156"/>
      <c r="BE18" s="156"/>
      <c r="BF18" s="156"/>
      <c r="BG18" s="156"/>
      <c r="BH18" s="156"/>
      <c r="BI18" s="156"/>
      <c r="BJ18" s="156"/>
      <c r="BK18" s="156"/>
      <c r="BL18" s="156"/>
      <c r="BM18" s="156"/>
      <c r="BN18" s="156"/>
      <c r="BO18" s="156"/>
      <c r="BP18" s="156"/>
      <c r="BQ18" s="156"/>
      <c r="BR18" s="156"/>
      <c r="BS18" s="156">
        <v>60</v>
      </c>
      <c r="BT18" s="156">
        <v>65</v>
      </c>
      <c r="BU18" s="156">
        <v>60</v>
      </c>
      <c r="BV18" s="156">
        <v>62</v>
      </c>
      <c r="BW18" s="156">
        <v>68</v>
      </c>
      <c r="BX18" s="156">
        <v>72</v>
      </c>
      <c r="BY18" s="156">
        <v>67</v>
      </c>
      <c r="BZ18" s="156">
        <v>73</v>
      </c>
      <c r="CA18" s="156">
        <v>79.400000000000006</v>
      </c>
      <c r="CB18" s="156">
        <v>86.3</v>
      </c>
      <c r="CC18" s="156">
        <v>76</v>
      </c>
      <c r="CD18" s="156">
        <v>83.5</v>
      </c>
      <c r="CE18" s="156">
        <v>88.5</v>
      </c>
      <c r="CF18" s="156">
        <v>104.9</v>
      </c>
      <c r="CG18" s="156">
        <v>100.2</v>
      </c>
      <c r="CH18" s="156">
        <v>105.4</v>
      </c>
      <c r="CI18" s="156">
        <v>112.5</v>
      </c>
      <c r="CJ18" s="156">
        <v>125.4</v>
      </c>
      <c r="CK18" s="156">
        <v>112.2</v>
      </c>
      <c r="CL18" s="156">
        <v>127.6</v>
      </c>
      <c r="CM18" s="157">
        <f>CM32*CM28/10</f>
        <v>212.45269500000003</v>
      </c>
      <c r="CN18" s="157">
        <f t="shared" ref="CN18:DB18" si="81">CN32*CN28/10</f>
        <v>240.12260999999998</v>
      </c>
      <c r="CO18" s="157">
        <f t="shared" si="81"/>
        <v>216.72787500000004</v>
      </c>
      <c r="CP18" s="157">
        <f t="shared" si="81"/>
        <v>250.21678499999999</v>
      </c>
      <c r="CQ18" s="157">
        <f t="shared" si="81"/>
        <v>253.54104621300002</v>
      </c>
      <c r="CR18" s="157">
        <f t="shared" si="81"/>
        <v>286.56232277400005</v>
      </c>
      <c r="CS18" s="157">
        <f t="shared" si="81"/>
        <v>258.64304602499999</v>
      </c>
      <c r="CT18" s="157">
        <f t="shared" si="81"/>
        <v>298.60871121899999</v>
      </c>
      <c r="CU18" s="157">
        <f t="shared" si="81"/>
        <v>302.57588455059431</v>
      </c>
      <c r="CV18" s="157">
        <f t="shared" si="81"/>
        <v>341.9834759984916</v>
      </c>
      <c r="CW18" s="157">
        <f t="shared" si="81"/>
        <v>308.66461112623495</v>
      </c>
      <c r="CX18" s="157">
        <f t="shared" si="81"/>
        <v>356.35963596875462</v>
      </c>
      <c r="CY18" s="157">
        <f t="shared" si="81"/>
        <v>361.09406062267925</v>
      </c>
      <c r="CZ18" s="157">
        <f t="shared" si="81"/>
        <v>408.12308025659985</v>
      </c>
      <c r="DA18" s="157">
        <f t="shared" si="81"/>
        <v>368.36034691804889</v>
      </c>
      <c r="DB18" s="157">
        <f t="shared" si="81"/>
        <v>425.27958956511173</v>
      </c>
      <c r="DE18" s="159"/>
    </row>
    <row r="19" spans="1:109" s="158" customFormat="1" x14ac:dyDescent="0.2">
      <c r="A19" s="184" t="s">
        <v>528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>
        <f t="shared" ref="Q19:Q21" si="82">SUM(AU19:AX19)</f>
        <v>0</v>
      </c>
      <c r="R19" s="156">
        <f t="shared" ref="R19:R21" si="83">SUM(AY19:BB19)</f>
        <v>0</v>
      </c>
      <c r="S19" s="156">
        <f t="shared" ref="S19:S21" si="84">SUM(BC19:BF19)</f>
        <v>0</v>
      </c>
      <c r="T19" s="156">
        <f t="shared" ref="T19:T21" si="85">SUM(BG19:BJ19)</f>
        <v>0</v>
      </c>
      <c r="U19" s="156">
        <f t="shared" ref="U19:U21" si="86">SUM(BK19:BN19)</f>
        <v>0</v>
      </c>
      <c r="V19" s="156">
        <f t="shared" ref="V19:V21" si="87">SUM(BO19:BR19)</f>
        <v>0</v>
      </c>
      <c r="W19" s="156">
        <f t="shared" ref="W19:W21" si="88">SUM(BS19:BV19)</f>
        <v>104</v>
      </c>
      <c r="X19" s="156">
        <f t="shared" ref="X19:X21" si="89">SUM(BW19:BZ19)</f>
        <v>149</v>
      </c>
      <c r="Y19" s="156">
        <f t="shared" ref="Y19:Y21" si="90">SUM(CA19:CD19)</f>
        <v>151.19999999999999</v>
      </c>
      <c r="Z19" s="156">
        <f t="shared" ref="Z19:Z21" si="91">SUM(CE19:CH19)</f>
        <v>191.8</v>
      </c>
      <c r="AA19" s="157">
        <f t="shared" ref="AA19:AA21" si="92">SUM(CI19:CL19)</f>
        <v>253.6</v>
      </c>
      <c r="AB19" s="157">
        <f t="shared" ref="AB19:AB21" si="93">+SUM(CM19:CP19)</f>
        <v>0</v>
      </c>
      <c r="AC19" s="157">
        <f t="shared" ref="AC19:AC21" si="94">+SUM(CQ19:CT19)</f>
        <v>0</v>
      </c>
      <c r="AD19" s="157">
        <f t="shared" ref="AD19:AD21" si="95">+SUM(CU19:CX19)</f>
        <v>0</v>
      </c>
      <c r="AE19" s="157">
        <f t="shared" ref="AE19:AE21" si="96">+SUM(CY19:DB19)</f>
        <v>0</v>
      </c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6"/>
      <c r="BF19" s="156"/>
      <c r="BG19" s="156"/>
      <c r="BH19" s="156"/>
      <c r="BI19" s="156"/>
      <c r="BJ19" s="156"/>
      <c r="BK19" s="156"/>
      <c r="BL19" s="156"/>
      <c r="BM19" s="156"/>
      <c r="BN19" s="156"/>
      <c r="BO19" s="156"/>
      <c r="BP19" s="156"/>
      <c r="BQ19" s="156"/>
      <c r="BR19" s="156"/>
      <c r="BS19" s="156">
        <v>20</v>
      </c>
      <c r="BT19" s="156">
        <v>28</v>
      </c>
      <c r="BU19" s="156">
        <v>25</v>
      </c>
      <c r="BV19" s="156">
        <v>31</v>
      </c>
      <c r="BW19" s="156">
        <v>38</v>
      </c>
      <c r="BX19" s="156">
        <v>38</v>
      </c>
      <c r="BY19" s="156">
        <v>35</v>
      </c>
      <c r="BZ19" s="156">
        <v>38</v>
      </c>
      <c r="CA19" s="156">
        <v>32.299999999999997</v>
      </c>
      <c r="CB19" s="156">
        <v>36.9</v>
      </c>
      <c r="CC19" s="156">
        <v>35.200000000000003</v>
      </c>
      <c r="CD19" s="156">
        <v>46.8</v>
      </c>
      <c r="CE19" s="156">
        <v>41.5</v>
      </c>
      <c r="CF19" s="156">
        <v>48.9</v>
      </c>
      <c r="CG19" s="156">
        <v>43.2</v>
      </c>
      <c r="CH19" s="156">
        <v>58.2</v>
      </c>
      <c r="CI19" s="156">
        <v>56.3</v>
      </c>
      <c r="CJ19" s="156">
        <v>65.599999999999994</v>
      </c>
      <c r="CK19" s="156">
        <v>60.1</v>
      </c>
      <c r="CL19" s="156">
        <v>71.599999999999994</v>
      </c>
      <c r="CM19" s="157"/>
      <c r="CN19" s="157"/>
      <c r="CO19" s="157"/>
      <c r="CP19" s="157"/>
      <c r="CQ19" s="157"/>
      <c r="CR19" s="157"/>
      <c r="CS19" s="157"/>
      <c r="CT19" s="157"/>
      <c r="CU19" s="157"/>
      <c r="CV19" s="157"/>
      <c r="CW19" s="157"/>
      <c r="CX19" s="157"/>
      <c r="CY19" s="157"/>
      <c r="CZ19" s="157"/>
      <c r="DA19" s="157"/>
      <c r="DB19" s="157"/>
      <c r="DE19" s="159"/>
    </row>
    <row r="20" spans="1:109" s="158" customFormat="1" x14ac:dyDescent="0.2">
      <c r="A20" s="184" t="s">
        <v>529</v>
      </c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>
        <f t="shared" si="82"/>
        <v>0</v>
      </c>
      <c r="R20" s="156">
        <f t="shared" si="83"/>
        <v>0</v>
      </c>
      <c r="S20" s="156">
        <f t="shared" si="84"/>
        <v>0</v>
      </c>
      <c r="T20" s="156">
        <f t="shared" si="85"/>
        <v>0</v>
      </c>
      <c r="U20" s="156">
        <f t="shared" si="86"/>
        <v>0</v>
      </c>
      <c r="V20" s="156">
        <f t="shared" si="87"/>
        <v>0</v>
      </c>
      <c r="W20" s="156">
        <f t="shared" si="88"/>
        <v>25</v>
      </c>
      <c r="X20" s="156">
        <f t="shared" si="89"/>
        <v>28</v>
      </c>
      <c r="Y20" s="156">
        <f t="shared" si="90"/>
        <v>31.6</v>
      </c>
      <c r="Z20" s="156">
        <f t="shared" si="91"/>
        <v>38</v>
      </c>
      <c r="AA20" s="157">
        <f t="shared" si="92"/>
        <v>43</v>
      </c>
      <c r="AB20" s="157">
        <f t="shared" si="93"/>
        <v>0</v>
      </c>
      <c r="AC20" s="157">
        <f t="shared" si="94"/>
        <v>0</v>
      </c>
      <c r="AD20" s="157">
        <f t="shared" si="95"/>
        <v>0</v>
      </c>
      <c r="AE20" s="157">
        <f t="shared" si="96"/>
        <v>0</v>
      </c>
      <c r="AI20" s="156"/>
      <c r="AJ20" s="156"/>
      <c r="AK20" s="156"/>
      <c r="AL20" s="156"/>
      <c r="AM20" s="156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56"/>
      <c r="BE20" s="156"/>
      <c r="BF20" s="156"/>
      <c r="BG20" s="156"/>
      <c r="BH20" s="156"/>
      <c r="BI20" s="156"/>
      <c r="BJ20" s="156"/>
      <c r="BK20" s="156"/>
      <c r="BL20" s="156"/>
      <c r="BM20" s="156"/>
      <c r="BN20" s="156"/>
      <c r="BO20" s="156"/>
      <c r="BP20" s="156"/>
      <c r="BQ20" s="156"/>
      <c r="BR20" s="156"/>
      <c r="BS20" s="156">
        <v>4</v>
      </c>
      <c r="BT20" s="156">
        <v>7</v>
      </c>
      <c r="BU20" s="156">
        <v>6</v>
      </c>
      <c r="BV20" s="156">
        <v>8</v>
      </c>
      <c r="BW20" s="156">
        <v>6</v>
      </c>
      <c r="BX20" s="156">
        <v>7</v>
      </c>
      <c r="BY20" s="156">
        <v>7</v>
      </c>
      <c r="BZ20" s="156">
        <v>8</v>
      </c>
      <c r="CA20" s="156">
        <v>7.4</v>
      </c>
      <c r="CB20" s="156">
        <v>8.3000000000000007</v>
      </c>
      <c r="CC20" s="156">
        <v>7.4</v>
      </c>
      <c r="CD20" s="156">
        <v>8.5</v>
      </c>
      <c r="CE20" s="156">
        <v>8.6</v>
      </c>
      <c r="CF20" s="156">
        <v>10</v>
      </c>
      <c r="CG20" s="156">
        <v>9.1</v>
      </c>
      <c r="CH20" s="156">
        <v>10.3</v>
      </c>
      <c r="CI20" s="156">
        <v>10.1</v>
      </c>
      <c r="CJ20" s="156">
        <v>11.2</v>
      </c>
      <c r="CK20" s="156">
        <v>10.199999999999999</v>
      </c>
      <c r="CL20" s="156">
        <v>11.5</v>
      </c>
      <c r="CM20" s="157"/>
      <c r="CN20" s="157"/>
      <c r="CO20" s="157"/>
      <c r="CP20" s="157"/>
      <c r="CQ20" s="157"/>
      <c r="CR20" s="157"/>
      <c r="CS20" s="157"/>
      <c r="CT20" s="157"/>
      <c r="CU20" s="157"/>
      <c r="CV20" s="157"/>
      <c r="CW20" s="157"/>
      <c r="CX20" s="157"/>
      <c r="CY20" s="157"/>
      <c r="CZ20" s="157"/>
      <c r="DA20" s="157"/>
      <c r="DB20" s="157"/>
      <c r="DE20" s="159"/>
    </row>
    <row r="21" spans="1:109" s="158" customFormat="1" x14ac:dyDescent="0.2">
      <c r="A21" s="184" t="s">
        <v>530</v>
      </c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>
        <f t="shared" si="82"/>
        <v>0</v>
      </c>
      <c r="R21" s="156">
        <f t="shared" si="83"/>
        <v>0</v>
      </c>
      <c r="S21" s="156">
        <f t="shared" si="84"/>
        <v>0</v>
      </c>
      <c r="T21" s="156">
        <f t="shared" si="85"/>
        <v>0</v>
      </c>
      <c r="U21" s="156">
        <f t="shared" si="86"/>
        <v>0</v>
      </c>
      <c r="V21" s="156">
        <f t="shared" si="87"/>
        <v>0</v>
      </c>
      <c r="W21" s="156">
        <f t="shared" si="88"/>
        <v>185.48999999999995</v>
      </c>
      <c r="X21" s="156">
        <f t="shared" si="89"/>
        <v>29.459999999999994</v>
      </c>
      <c r="Y21" s="156">
        <f t="shared" si="90"/>
        <v>15.999999999999957</v>
      </c>
      <c r="Z21" s="156">
        <f t="shared" si="91"/>
        <v>5</v>
      </c>
      <c r="AA21" s="157">
        <f t="shared" si="92"/>
        <v>0</v>
      </c>
      <c r="AB21" s="157">
        <f t="shared" si="93"/>
        <v>0</v>
      </c>
      <c r="AC21" s="157">
        <f t="shared" si="94"/>
        <v>0</v>
      </c>
      <c r="AD21" s="157">
        <f t="shared" si="95"/>
        <v>0</v>
      </c>
      <c r="AE21" s="157">
        <f t="shared" si="96"/>
        <v>0</v>
      </c>
      <c r="AI21" s="156"/>
      <c r="AJ21" s="156"/>
      <c r="AK21" s="156"/>
      <c r="AL21" s="156"/>
      <c r="AM21" s="156"/>
      <c r="AN21" s="15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6"/>
      <c r="BF21" s="156"/>
      <c r="BG21" s="156"/>
      <c r="BH21" s="156"/>
      <c r="BI21" s="156"/>
      <c r="BJ21" s="156"/>
      <c r="BK21" s="156"/>
      <c r="BL21" s="156"/>
      <c r="BM21" s="156"/>
      <c r="BN21" s="156"/>
      <c r="BO21" s="156"/>
      <c r="BP21" s="156"/>
      <c r="BQ21" s="156"/>
      <c r="BR21" s="156"/>
      <c r="BS21" s="156">
        <v>75.259999999999991</v>
      </c>
      <c r="BT21" s="156">
        <v>68.699999999999989</v>
      </c>
      <c r="BU21" s="156">
        <v>19.200000000000003</v>
      </c>
      <c r="BV21" s="156">
        <v>22.33</v>
      </c>
      <c r="BW21" s="156">
        <v>7.2399999999999949</v>
      </c>
      <c r="BX21" s="156">
        <v>8.230000000000004</v>
      </c>
      <c r="BY21" s="156">
        <v>8.1700000000000017</v>
      </c>
      <c r="BZ21" s="156">
        <v>5.8199999999999932</v>
      </c>
      <c r="CA21" s="156">
        <v>4.5099999999999909</v>
      </c>
      <c r="CB21" s="156">
        <v>4.789999999999992</v>
      </c>
      <c r="CC21" s="156">
        <v>4.2999999999999972</v>
      </c>
      <c r="CD21" s="156">
        <v>2.3999999999999773</v>
      </c>
      <c r="CE21" s="156">
        <v>5</v>
      </c>
      <c r="CF21" s="156"/>
      <c r="CG21" s="156"/>
      <c r="CH21" s="156"/>
      <c r="CI21" s="156"/>
      <c r="CJ21" s="156"/>
      <c r="CK21" s="156"/>
      <c r="CL21" s="156"/>
      <c r="CM21" s="157"/>
      <c r="CN21" s="157"/>
      <c r="CO21" s="157"/>
      <c r="CP21" s="157"/>
      <c r="CQ21" s="157"/>
      <c r="CR21" s="157"/>
      <c r="CS21" s="157"/>
      <c r="CT21" s="157"/>
      <c r="CU21" s="157"/>
      <c r="CV21" s="157"/>
      <c r="CW21" s="157"/>
      <c r="CX21" s="157"/>
      <c r="CY21" s="157"/>
      <c r="CZ21" s="157"/>
      <c r="DA21" s="157"/>
      <c r="DB21" s="157"/>
      <c r="DE21" s="159"/>
    </row>
    <row r="22" spans="1:109" s="191" customFormat="1" x14ac:dyDescent="0.2">
      <c r="A22" s="188" t="s">
        <v>537</v>
      </c>
      <c r="B22" s="189"/>
      <c r="C22" s="189"/>
      <c r="D22" s="189"/>
      <c r="E22" s="189"/>
      <c r="F22" s="189"/>
      <c r="G22" s="189"/>
      <c r="H22" s="189"/>
      <c r="I22" s="189"/>
      <c r="J22" s="189"/>
      <c r="K22" s="189"/>
      <c r="L22" s="189"/>
      <c r="M22" s="189"/>
      <c r="N22" s="189"/>
      <c r="O22" s="189"/>
      <c r="P22" s="189"/>
      <c r="Q22" s="189">
        <f t="shared" ref="Q22:AE22" si="97">+SUM(Q18:Q21)</f>
        <v>0</v>
      </c>
      <c r="R22" s="189">
        <f t="shared" si="97"/>
        <v>0</v>
      </c>
      <c r="S22" s="189">
        <f t="shared" si="97"/>
        <v>0</v>
      </c>
      <c r="T22" s="189">
        <f t="shared" si="97"/>
        <v>0</v>
      </c>
      <c r="U22" s="189">
        <f t="shared" si="97"/>
        <v>0</v>
      </c>
      <c r="V22" s="189">
        <f t="shared" si="97"/>
        <v>0</v>
      </c>
      <c r="W22" s="189">
        <f t="shared" si="97"/>
        <v>561.49</v>
      </c>
      <c r="X22" s="189">
        <f t="shared" si="97"/>
        <v>486.46</v>
      </c>
      <c r="Y22" s="189">
        <f t="shared" si="97"/>
        <v>524</v>
      </c>
      <c r="Z22" s="189">
        <f t="shared" si="97"/>
        <v>633.79999999999995</v>
      </c>
      <c r="AA22" s="190">
        <f t="shared" si="97"/>
        <v>774.30000000000007</v>
      </c>
      <c r="AB22" s="190">
        <f t="shared" si="97"/>
        <v>919.51996500000007</v>
      </c>
      <c r="AC22" s="190">
        <f t="shared" si="97"/>
        <v>1097.355126231</v>
      </c>
      <c r="AD22" s="190">
        <f t="shared" si="97"/>
        <v>1309.5836076440755</v>
      </c>
      <c r="AE22" s="190">
        <f t="shared" si="97"/>
        <v>1562.8570773624399</v>
      </c>
      <c r="AI22" s="189"/>
      <c r="AJ22" s="189"/>
      <c r="AK22" s="189"/>
      <c r="AL22" s="189"/>
      <c r="AM22" s="189"/>
      <c r="AN22" s="189"/>
      <c r="AO22" s="189"/>
      <c r="AP22" s="189"/>
      <c r="AQ22" s="189"/>
      <c r="AR22" s="189"/>
      <c r="AS22" s="189"/>
      <c r="AT22" s="189"/>
      <c r="AU22" s="189"/>
      <c r="AV22" s="189"/>
      <c r="AW22" s="189"/>
      <c r="AX22" s="189"/>
      <c r="AY22" s="189"/>
      <c r="AZ22" s="189"/>
      <c r="BA22" s="189"/>
      <c r="BB22" s="189"/>
      <c r="BC22" s="189"/>
      <c r="BD22" s="189"/>
      <c r="BE22" s="189"/>
      <c r="BF22" s="189"/>
      <c r="BG22" s="189"/>
      <c r="BH22" s="189"/>
      <c r="BI22" s="189"/>
      <c r="BJ22" s="189"/>
      <c r="BK22" s="189"/>
      <c r="BL22" s="189"/>
      <c r="BM22" s="189"/>
      <c r="BN22" s="189"/>
      <c r="BO22" s="189"/>
      <c r="BP22" s="189"/>
      <c r="BQ22" s="189"/>
      <c r="BR22" s="189"/>
      <c r="BS22" s="189">
        <f>+SUM(BS18:BS21)</f>
        <v>159.26</v>
      </c>
      <c r="BT22" s="189">
        <f t="shared" ref="BT22:CJ22" si="98">+SUM(BT18:BT21)</f>
        <v>168.7</v>
      </c>
      <c r="BU22" s="189">
        <f t="shared" si="98"/>
        <v>110.2</v>
      </c>
      <c r="BV22" s="189">
        <f t="shared" si="98"/>
        <v>123.33</v>
      </c>
      <c r="BW22" s="189">
        <f t="shared" si="98"/>
        <v>119.24</v>
      </c>
      <c r="BX22" s="189">
        <f t="shared" si="98"/>
        <v>125.23</v>
      </c>
      <c r="BY22" s="189">
        <f t="shared" si="98"/>
        <v>117.17</v>
      </c>
      <c r="BZ22" s="189">
        <f t="shared" si="98"/>
        <v>124.82</v>
      </c>
      <c r="CA22" s="189">
        <f t="shared" si="98"/>
        <v>123.61</v>
      </c>
      <c r="CB22" s="189">
        <f t="shared" si="98"/>
        <v>136.29</v>
      </c>
      <c r="CC22" s="189">
        <f t="shared" si="98"/>
        <v>122.9</v>
      </c>
      <c r="CD22" s="189">
        <f t="shared" si="98"/>
        <v>141.19999999999999</v>
      </c>
      <c r="CE22" s="189">
        <f t="shared" si="98"/>
        <v>143.6</v>
      </c>
      <c r="CF22" s="189">
        <f t="shared" si="98"/>
        <v>163.80000000000001</v>
      </c>
      <c r="CG22" s="189">
        <f t="shared" si="98"/>
        <v>152.5</v>
      </c>
      <c r="CH22" s="189">
        <f t="shared" si="98"/>
        <v>173.90000000000003</v>
      </c>
      <c r="CI22" s="189">
        <f t="shared" si="98"/>
        <v>178.9</v>
      </c>
      <c r="CJ22" s="189">
        <f t="shared" si="98"/>
        <v>202.2</v>
      </c>
      <c r="CK22" s="189">
        <f t="shared" ref="CK22" si="99">+SUM(CK18:CK21)</f>
        <v>182.5</v>
      </c>
      <c r="CL22" s="189">
        <f t="shared" ref="CL22:DB22" si="100">+SUM(CL18:CL21)</f>
        <v>210.7</v>
      </c>
      <c r="CM22" s="190">
        <f t="shared" si="100"/>
        <v>212.45269500000003</v>
      </c>
      <c r="CN22" s="190">
        <f t="shared" si="100"/>
        <v>240.12260999999998</v>
      </c>
      <c r="CO22" s="190">
        <f t="shared" si="100"/>
        <v>216.72787500000004</v>
      </c>
      <c r="CP22" s="190">
        <f t="shared" si="100"/>
        <v>250.21678499999999</v>
      </c>
      <c r="CQ22" s="190">
        <f t="shared" si="100"/>
        <v>253.54104621300002</v>
      </c>
      <c r="CR22" s="190">
        <f t="shared" si="100"/>
        <v>286.56232277400005</v>
      </c>
      <c r="CS22" s="190">
        <f t="shared" si="100"/>
        <v>258.64304602499999</v>
      </c>
      <c r="CT22" s="190">
        <f t="shared" si="100"/>
        <v>298.60871121899999</v>
      </c>
      <c r="CU22" s="190">
        <f t="shared" si="100"/>
        <v>302.57588455059431</v>
      </c>
      <c r="CV22" s="190">
        <f t="shared" si="100"/>
        <v>341.9834759984916</v>
      </c>
      <c r="CW22" s="190">
        <f t="shared" si="100"/>
        <v>308.66461112623495</v>
      </c>
      <c r="CX22" s="190">
        <f t="shared" si="100"/>
        <v>356.35963596875462</v>
      </c>
      <c r="CY22" s="190">
        <f t="shared" si="100"/>
        <v>361.09406062267925</v>
      </c>
      <c r="CZ22" s="190">
        <f t="shared" si="100"/>
        <v>408.12308025659985</v>
      </c>
      <c r="DA22" s="190">
        <f t="shared" si="100"/>
        <v>368.36034691804889</v>
      </c>
      <c r="DB22" s="190">
        <f t="shared" si="100"/>
        <v>425.27958956511173</v>
      </c>
      <c r="DE22" s="192"/>
    </row>
    <row r="23" spans="1:109" s="158" customFormat="1" x14ac:dyDescent="0.2">
      <c r="A23" s="155" t="s">
        <v>525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>
        <f t="shared" ref="W23" si="101">+W22-W5</f>
        <v>6.0599999999999454</v>
      </c>
      <c r="X23" s="156">
        <f t="shared" ref="X23" si="102">+X22-X5</f>
        <v>5.25</v>
      </c>
      <c r="Y23" s="156">
        <f t="shared" ref="Y23" si="103">+Y22-Y5</f>
        <v>1.7699999999999818</v>
      </c>
      <c r="Z23" s="156">
        <f t="shared" ref="Z23" si="104">+Z22-Z5</f>
        <v>4.1099999999999</v>
      </c>
      <c r="AA23" s="157">
        <f t="shared" ref="AA23" si="105">+AA22-AA5</f>
        <v>-1.5</v>
      </c>
      <c r="AB23" s="157">
        <f t="shared" ref="AB23" si="106">+AB22-AB5</f>
        <v>0</v>
      </c>
      <c r="AC23" s="157">
        <f t="shared" ref="AC23" si="107">+AC22-AC5</f>
        <v>0</v>
      </c>
      <c r="AD23" s="157">
        <f t="shared" ref="AD23" si="108">+AD22-AD5</f>
        <v>0</v>
      </c>
      <c r="AE23" s="157">
        <f t="shared" ref="AE23" si="109">+AE22-AE5</f>
        <v>0</v>
      </c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6"/>
      <c r="AZ23" s="156"/>
      <c r="BA23" s="156"/>
      <c r="BB23" s="156"/>
      <c r="BC23" s="156"/>
      <c r="BD23" s="156"/>
      <c r="BE23" s="156"/>
      <c r="BF23" s="156"/>
      <c r="BG23" s="156"/>
      <c r="BH23" s="156"/>
      <c r="BI23" s="156"/>
      <c r="BJ23" s="156"/>
      <c r="BK23" s="156"/>
      <c r="BL23" s="156"/>
      <c r="BM23" s="156"/>
      <c r="BN23" s="156"/>
      <c r="BO23" s="156"/>
      <c r="BP23" s="156"/>
      <c r="BQ23" s="156"/>
      <c r="BR23" s="156"/>
      <c r="BS23" s="156">
        <f t="shared" ref="BS23:CG23" si="110">+BS22-BS5</f>
        <v>2.3199999999999932</v>
      </c>
      <c r="BT23" s="156">
        <f t="shared" si="110"/>
        <v>1.5699999999999932</v>
      </c>
      <c r="BU23" s="156">
        <f t="shared" si="110"/>
        <v>0.90000000000000568</v>
      </c>
      <c r="BV23" s="156">
        <f t="shared" si="110"/>
        <v>1.269999999999996</v>
      </c>
      <c r="BW23" s="156">
        <f t="shared" si="110"/>
        <v>0.80999999999998806</v>
      </c>
      <c r="BX23" s="156">
        <f t="shared" si="110"/>
        <v>1.4000000000000057</v>
      </c>
      <c r="BY23" s="156">
        <f t="shared" si="110"/>
        <v>1.4300000000000068</v>
      </c>
      <c r="BZ23" s="156">
        <f t="shared" si="110"/>
        <v>1.6099999999999994</v>
      </c>
      <c r="CA23" s="156">
        <f t="shared" si="110"/>
        <v>1.6700000000000017</v>
      </c>
      <c r="CB23" s="156">
        <f t="shared" si="110"/>
        <v>-0.46000000000000796</v>
      </c>
      <c r="CC23" s="156">
        <f t="shared" si="110"/>
        <v>0.46999999999999886</v>
      </c>
      <c r="CD23" s="156">
        <f t="shared" si="110"/>
        <v>8.9999999999974989E-2</v>
      </c>
      <c r="CE23" s="156">
        <f t="shared" si="110"/>
        <v>0.38999999999998636</v>
      </c>
      <c r="CF23" s="156">
        <f t="shared" si="110"/>
        <v>1.8800000000000239</v>
      </c>
      <c r="CG23" s="156">
        <f t="shared" si="110"/>
        <v>0.62999999999999545</v>
      </c>
      <c r="CH23" s="156">
        <f>+CH22-CH5</f>
        <v>1.2100000000000364</v>
      </c>
      <c r="CI23" s="156">
        <f t="shared" ref="CI23:CJ23" si="111">+CI22-CI5</f>
        <v>0</v>
      </c>
      <c r="CJ23" s="156">
        <f t="shared" si="111"/>
        <v>-0.10000000000002274</v>
      </c>
      <c r="CK23" s="156">
        <f t="shared" ref="CK23" si="112">+CK22-CK5</f>
        <v>-0.59999999999999432</v>
      </c>
      <c r="CL23" s="156">
        <f t="shared" ref="CL23:DB23" si="113">+CL22-CL5</f>
        <v>-0.80000000000001137</v>
      </c>
      <c r="CM23" s="157">
        <f t="shared" si="113"/>
        <v>0</v>
      </c>
      <c r="CN23" s="157">
        <f t="shared" si="113"/>
        <v>0</v>
      </c>
      <c r="CO23" s="157">
        <f t="shared" si="113"/>
        <v>0</v>
      </c>
      <c r="CP23" s="157">
        <f t="shared" si="113"/>
        <v>0</v>
      </c>
      <c r="CQ23" s="157">
        <f t="shared" si="113"/>
        <v>0</v>
      </c>
      <c r="CR23" s="157">
        <f t="shared" si="113"/>
        <v>0</v>
      </c>
      <c r="CS23" s="157">
        <f t="shared" si="113"/>
        <v>0</v>
      </c>
      <c r="CT23" s="157">
        <f t="shared" si="113"/>
        <v>0</v>
      </c>
      <c r="CU23" s="157">
        <f t="shared" si="113"/>
        <v>0</v>
      </c>
      <c r="CV23" s="157">
        <f t="shared" si="113"/>
        <v>0</v>
      </c>
      <c r="CW23" s="157">
        <f t="shared" si="113"/>
        <v>0</v>
      </c>
      <c r="CX23" s="157">
        <f t="shared" si="113"/>
        <v>0</v>
      </c>
      <c r="CY23" s="157">
        <f t="shared" si="113"/>
        <v>0</v>
      </c>
      <c r="CZ23" s="157">
        <f t="shared" si="113"/>
        <v>0</v>
      </c>
      <c r="DA23" s="157">
        <f t="shared" si="113"/>
        <v>0</v>
      </c>
      <c r="DB23" s="157">
        <f t="shared" si="113"/>
        <v>0</v>
      </c>
      <c r="DE23" s="159"/>
    </row>
    <row r="24" spans="1:109" s="158" customFormat="1" x14ac:dyDescent="0.2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7"/>
      <c r="AB24" s="157"/>
      <c r="AC24" s="157"/>
      <c r="AD24" s="157"/>
      <c r="AE24" s="157"/>
      <c r="AI24" s="156"/>
      <c r="AJ24" s="156"/>
      <c r="AK24" s="156"/>
      <c r="AL24" s="156"/>
      <c r="AM24" s="156"/>
      <c r="AN24" s="156"/>
      <c r="AO24" s="156"/>
      <c r="AP24" s="156"/>
      <c r="AQ24" s="156"/>
      <c r="AR24" s="156"/>
      <c r="AS24" s="156"/>
      <c r="AT24" s="156"/>
      <c r="AU24" s="156"/>
      <c r="AV24" s="156"/>
      <c r="AW24" s="156"/>
      <c r="AX24" s="156"/>
      <c r="AY24" s="156"/>
      <c r="AZ24" s="156"/>
      <c r="BA24" s="156"/>
      <c r="BB24" s="156"/>
      <c r="BC24" s="156"/>
      <c r="BD24" s="156"/>
      <c r="BE24" s="156"/>
      <c r="BF24" s="156"/>
      <c r="BG24" s="156"/>
      <c r="BH24" s="156"/>
      <c r="BI24" s="156"/>
      <c r="BJ24" s="156"/>
      <c r="BK24" s="156"/>
      <c r="BL24" s="156"/>
      <c r="BM24" s="156"/>
      <c r="BN24" s="156"/>
      <c r="BO24" s="156"/>
      <c r="BP24" s="156"/>
      <c r="BQ24" s="156"/>
      <c r="BR24" s="156"/>
      <c r="BS24" s="156"/>
      <c r="BT24" s="156"/>
      <c r="BU24" s="156"/>
      <c r="BV24" s="156"/>
      <c r="BW24" s="156"/>
      <c r="BX24" s="156"/>
      <c r="BY24" s="156"/>
      <c r="BZ24" s="156"/>
      <c r="CA24" s="156"/>
      <c r="CB24" s="156"/>
      <c r="CC24" s="156"/>
      <c r="CD24" s="156"/>
      <c r="CE24" s="156"/>
      <c r="CF24" s="156"/>
      <c r="CG24" s="156"/>
      <c r="CH24" s="156"/>
      <c r="CI24" s="156"/>
      <c r="CJ24" s="156"/>
      <c r="CK24" s="156"/>
      <c r="CL24" s="156"/>
      <c r="CM24" s="157"/>
      <c r="CN24" s="157"/>
      <c r="CO24" s="157"/>
      <c r="CP24" s="157"/>
      <c r="CQ24" s="157"/>
      <c r="CR24" s="157"/>
      <c r="CS24" s="157"/>
      <c r="CT24" s="157"/>
      <c r="CU24" s="157"/>
      <c r="CV24" s="157"/>
      <c r="CW24" s="157"/>
      <c r="CX24" s="157"/>
      <c r="CY24" s="157"/>
      <c r="CZ24" s="157"/>
      <c r="DA24" s="157"/>
      <c r="DB24" s="157"/>
      <c r="DE24" s="159"/>
    </row>
    <row r="25" spans="1:109" s="187" customFormat="1" x14ac:dyDescent="0.2">
      <c r="A25" s="185" t="s">
        <v>561</v>
      </c>
      <c r="B25" s="186"/>
      <c r="C25" s="186"/>
      <c r="D25" s="186"/>
      <c r="E25" s="186"/>
      <c r="F25" s="186"/>
      <c r="G25" s="186"/>
      <c r="H25" s="186"/>
      <c r="I25" s="186"/>
      <c r="J25" s="186"/>
      <c r="K25" s="186"/>
      <c r="L25" s="186"/>
      <c r="M25" s="186"/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  <c r="AA25" s="186"/>
      <c r="AB25" s="186"/>
      <c r="AC25" s="186"/>
      <c r="AD25" s="186"/>
      <c r="AE25" s="186"/>
      <c r="AI25" s="186"/>
      <c r="AJ25" s="186"/>
      <c r="AK25" s="186"/>
      <c r="AL25" s="186"/>
      <c r="AM25" s="186"/>
      <c r="AN25" s="186"/>
      <c r="AO25" s="186"/>
      <c r="AP25" s="186"/>
      <c r="AQ25" s="186"/>
      <c r="AR25" s="186"/>
      <c r="AS25" s="186"/>
      <c r="AT25" s="186"/>
      <c r="AU25" s="186"/>
      <c r="AV25" s="186"/>
      <c r="AW25" s="186"/>
      <c r="AX25" s="186"/>
      <c r="AY25" s="186"/>
      <c r="AZ25" s="186"/>
      <c r="BA25" s="186"/>
      <c r="BB25" s="186"/>
      <c r="BC25" s="186"/>
      <c r="BD25" s="186"/>
      <c r="BE25" s="186"/>
      <c r="BF25" s="186"/>
      <c r="BG25" s="186"/>
      <c r="BH25" s="186"/>
      <c r="BI25" s="186"/>
      <c r="BJ25" s="186"/>
      <c r="BK25" s="186"/>
      <c r="BL25" s="186"/>
      <c r="BM25" s="186"/>
      <c r="BN25" s="186"/>
      <c r="BO25" s="186"/>
      <c r="BP25" s="186"/>
      <c r="BQ25" s="186"/>
      <c r="BR25" s="186"/>
      <c r="BS25" s="186"/>
      <c r="BT25" s="186"/>
      <c r="BU25" s="186"/>
      <c r="BV25" s="186"/>
      <c r="BW25" s="186"/>
      <c r="BX25" s="186"/>
      <c r="BY25" s="186"/>
      <c r="BZ25" s="186"/>
      <c r="CA25" s="186"/>
      <c r="CB25" s="186"/>
      <c r="CC25" s="186"/>
      <c r="CD25" s="186"/>
      <c r="CE25" s="186"/>
      <c r="CF25" s="186"/>
      <c r="CG25" s="186"/>
      <c r="CH25" s="186"/>
      <c r="CI25" s="186"/>
      <c r="CJ25" s="186"/>
      <c r="CK25" s="186"/>
      <c r="CL25" s="186"/>
      <c r="CM25" s="186"/>
      <c r="CN25" s="186"/>
      <c r="CO25" s="186"/>
      <c r="CP25" s="186"/>
      <c r="CQ25" s="186"/>
      <c r="CR25" s="186"/>
      <c r="CS25" s="186"/>
      <c r="CT25" s="186"/>
      <c r="CU25" s="186"/>
      <c r="CV25" s="186"/>
      <c r="CW25" s="186"/>
      <c r="CX25" s="186"/>
      <c r="CY25" s="186"/>
      <c r="CZ25" s="186"/>
      <c r="DA25" s="186"/>
      <c r="DB25" s="186"/>
      <c r="DE25" s="186"/>
    </row>
    <row r="26" spans="1:109" s="196" customFormat="1" x14ac:dyDescent="0.2">
      <c r="A26" s="193" t="s">
        <v>531</v>
      </c>
      <c r="B26" s="194"/>
      <c r="C26" s="194"/>
      <c r="D26" s="194"/>
      <c r="E26" s="194"/>
      <c r="F26" s="194"/>
      <c r="G26" s="194"/>
      <c r="H26" s="194"/>
      <c r="I26" s="194"/>
      <c r="J26" s="194"/>
      <c r="K26" s="194"/>
      <c r="L26" s="194"/>
      <c r="M26" s="194"/>
      <c r="N26" s="194"/>
      <c r="O26" s="194"/>
      <c r="P26" s="194"/>
      <c r="Q26" s="194"/>
      <c r="R26" s="194"/>
      <c r="S26" s="194"/>
      <c r="T26" s="194"/>
      <c r="U26" s="194"/>
      <c r="V26" s="194"/>
      <c r="W26" s="194"/>
      <c r="X26" s="194">
        <f>+BZ26</f>
        <v>9481</v>
      </c>
      <c r="Y26" s="194">
        <f>+CD26</f>
        <v>9696</v>
      </c>
      <c r="Z26" s="194">
        <f>+CH26</f>
        <v>11249</v>
      </c>
      <c r="AA26" s="195">
        <f>CL26</f>
        <v>10800</v>
      </c>
      <c r="AB26" s="195">
        <f>CP26</f>
        <v>12636</v>
      </c>
      <c r="AC26" s="195">
        <f>CT26</f>
        <v>14784.12</v>
      </c>
      <c r="AD26" s="195">
        <f>CX26</f>
        <v>17297.420400000003</v>
      </c>
      <c r="AE26" s="195">
        <f>DB26</f>
        <v>20237.981868000003</v>
      </c>
      <c r="AI26" s="194"/>
      <c r="AJ26" s="194"/>
      <c r="AK26" s="194"/>
      <c r="AL26" s="194"/>
      <c r="AM26" s="194"/>
      <c r="AN26" s="194"/>
      <c r="AO26" s="194"/>
      <c r="AP26" s="194"/>
      <c r="AQ26" s="194"/>
      <c r="AR26" s="194"/>
      <c r="AS26" s="194"/>
      <c r="AT26" s="194"/>
      <c r="AU26" s="194"/>
      <c r="AV26" s="194"/>
      <c r="AW26" s="194"/>
      <c r="AX26" s="194"/>
      <c r="AY26" s="194"/>
      <c r="AZ26" s="194"/>
      <c r="BA26" s="194"/>
      <c r="BB26" s="194"/>
      <c r="BC26" s="194"/>
      <c r="BD26" s="194"/>
      <c r="BE26" s="194"/>
      <c r="BF26" s="194"/>
      <c r="BG26" s="194"/>
      <c r="BH26" s="194"/>
      <c r="BI26" s="194"/>
      <c r="BJ26" s="194"/>
      <c r="BK26" s="194"/>
      <c r="BL26" s="194"/>
      <c r="BM26" s="194"/>
      <c r="BN26" s="194"/>
      <c r="BO26" s="194"/>
      <c r="BP26" s="194"/>
      <c r="BQ26" s="194"/>
      <c r="BR26" s="194"/>
      <c r="BS26" s="194"/>
      <c r="BT26" s="194"/>
      <c r="BU26" s="194"/>
      <c r="BV26" s="194"/>
      <c r="BW26" s="194"/>
      <c r="BX26" s="194"/>
      <c r="BY26" s="194">
        <v>7171</v>
      </c>
      <c r="BZ26" s="194">
        <v>9481</v>
      </c>
      <c r="CA26" s="194">
        <v>7633</v>
      </c>
      <c r="CB26" s="194">
        <v>7451</v>
      </c>
      <c r="CC26" s="194">
        <v>7284</v>
      </c>
      <c r="CD26" s="194">
        <v>9696</v>
      </c>
      <c r="CE26" s="194">
        <v>8145</v>
      </c>
      <c r="CF26" s="194">
        <v>8446</v>
      </c>
      <c r="CG26" s="194">
        <v>9158</v>
      </c>
      <c r="CH26" s="194">
        <v>11249</v>
      </c>
      <c r="CI26" s="194">
        <v>9551</v>
      </c>
      <c r="CJ26" s="194">
        <v>10159</v>
      </c>
      <c r="CK26" s="194">
        <v>10278</v>
      </c>
      <c r="CL26" s="194">
        <v>10800</v>
      </c>
      <c r="CM26" s="195">
        <f t="shared" ref="CM26:DB26" si="114">CI26+(CI26*CM27)</f>
        <v>11174.67</v>
      </c>
      <c r="CN26" s="195">
        <f t="shared" si="114"/>
        <v>11886.03</v>
      </c>
      <c r="CO26" s="195">
        <f t="shared" si="114"/>
        <v>12025.26</v>
      </c>
      <c r="CP26" s="195">
        <f t="shared" si="114"/>
        <v>12636</v>
      </c>
      <c r="CQ26" s="195">
        <f t="shared" si="114"/>
        <v>13074.3639</v>
      </c>
      <c r="CR26" s="195">
        <f t="shared" si="114"/>
        <v>13906.6551</v>
      </c>
      <c r="CS26" s="195">
        <f t="shared" si="114"/>
        <v>14069.5542</v>
      </c>
      <c r="CT26" s="195">
        <f t="shared" si="114"/>
        <v>14784.12</v>
      </c>
      <c r="CU26" s="195">
        <f t="shared" si="114"/>
        <v>15297.005763000001</v>
      </c>
      <c r="CV26" s="195">
        <f t="shared" si="114"/>
        <v>16270.786467</v>
      </c>
      <c r="CW26" s="195">
        <f t="shared" si="114"/>
        <v>16461.378413999999</v>
      </c>
      <c r="CX26" s="195">
        <f t="shared" si="114"/>
        <v>17297.420400000003</v>
      </c>
      <c r="CY26" s="195">
        <f t="shared" si="114"/>
        <v>17897.496742710002</v>
      </c>
      <c r="CZ26" s="195">
        <f t="shared" si="114"/>
        <v>19036.82016639</v>
      </c>
      <c r="DA26" s="195">
        <f t="shared" si="114"/>
        <v>19259.81274438</v>
      </c>
      <c r="DB26" s="195">
        <f t="shared" si="114"/>
        <v>20237.981868000003</v>
      </c>
      <c r="DE26" s="197"/>
    </row>
    <row r="27" spans="1:109" s="201" customFormat="1" x14ac:dyDescent="0.2">
      <c r="A27" s="199" t="s">
        <v>562</v>
      </c>
      <c r="B27" s="200"/>
      <c r="C27" s="200"/>
      <c r="D27" s="200"/>
      <c r="E27" s="200"/>
      <c r="F27" s="200"/>
      <c r="G27" s="200"/>
      <c r="H27" s="200"/>
      <c r="I27" s="200"/>
      <c r="J27" s="200"/>
      <c r="K27" s="200"/>
      <c r="L27" s="200"/>
      <c r="M27" s="200"/>
      <c r="N27" s="200"/>
      <c r="O27" s="200"/>
      <c r="P27" s="200"/>
      <c r="Q27" s="200"/>
      <c r="R27" s="200"/>
      <c r="S27" s="200"/>
      <c r="T27" s="200"/>
      <c r="U27" s="200"/>
      <c r="V27" s="200"/>
      <c r="W27" s="200"/>
      <c r="X27" s="200"/>
      <c r="Y27" s="209">
        <f>Y26/X26-1</f>
        <v>2.2676932812994322E-2</v>
      </c>
      <c r="Z27" s="209">
        <f t="shared" ref="Z27:AE27" si="115">Z26/Y26-1</f>
        <v>0.16016914191419152</v>
      </c>
      <c r="AA27" s="210">
        <f t="shared" si="115"/>
        <v>-3.9914659080807158E-2</v>
      </c>
      <c r="AB27" s="210">
        <f t="shared" si="115"/>
        <v>0.16999999999999993</v>
      </c>
      <c r="AC27" s="210">
        <f t="shared" si="115"/>
        <v>0.17000000000000015</v>
      </c>
      <c r="AD27" s="210">
        <f t="shared" si="115"/>
        <v>0.17000000000000015</v>
      </c>
      <c r="AE27" s="210">
        <f t="shared" si="115"/>
        <v>0.16999999999999993</v>
      </c>
      <c r="AI27" s="200"/>
      <c r="AJ27" s="200"/>
      <c r="AK27" s="200"/>
      <c r="AL27" s="200"/>
      <c r="AM27" s="200"/>
      <c r="AN27" s="200"/>
      <c r="AO27" s="200"/>
      <c r="AP27" s="200"/>
      <c r="AQ27" s="200"/>
      <c r="AR27" s="200"/>
      <c r="AS27" s="200"/>
      <c r="AT27" s="200"/>
      <c r="AU27" s="200"/>
      <c r="AV27" s="200"/>
      <c r="AW27" s="200"/>
      <c r="AX27" s="200"/>
      <c r="AY27" s="200"/>
      <c r="AZ27" s="200"/>
      <c r="BA27" s="200"/>
      <c r="BB27" s="200"/>
      <c r="BC27" s="200"/>
      <c r="BD27" s="200"/>
      <c r="BE27" s="200"/>
      <c r="BF27" s="200"/>
      <c r="BG27" s="200"/>
      <c r="BH27" s="200"/>
      <c r="BI27" s="200"/>
      <c r="BJ27" s="200"/>
      <c r="BK27" s="200"/>
      <c r="BL27" s="200"/>
      <c r="BM27" s="200"/>
      <c r="BN27" s="200"/>
      <c r="BO27" s="200"/>
      <c r="BP27" s="200"/>
      <c r="BQ27" s="200"/>
      <c r="BR27" s="200"/>
      <c r="BS27" s="200"/>
      <c r="BT27" s="200"/>
      <c r="BU27" s="200"/>
      <c r="BV27" s="200"/>
      <c r="BW27" s="200"/>
      <c r="BX27" s="200"/>
      <c r="BY27" s="200"/>
      <c r="BZ27" s="200"/>
      <c r="CA27" s="200"/>
      <c r="CB27" s="200"/>
      <c r="CC27" s="200">
        <f t="shared" ref="CC27:CI27" si="116">CC26/BY26-1</f>
        <v>1.5757913819550939E-2</v>
      </c>
      <c r="CD27" s="209">
        <f t="shared" si="116"/>
        <v>2.2676932812994322E-2</v>
      </c>
      <c r="CE27" s="209">
        <f t="shared" si="116"/>
        <v>6.7077164941700573E-2</v>
      </c>
      <c r="CF27" s="209">
        <f t="shared" si="116"/>
        <v>0.13353912226546782</v>
      </c>
      <c r="CG27" s="209">
        <f t="shared" si="116"/>
        <v>0.25727622185612309</v>
      </c>
      <c r="CH27" s="209">
        <f t="shared" si="116"/>
        <v>0.16016914191419152</v>
      </c>
      <c r="CI27" s="209">
        <f t="shared" si="116"/>
        <v>0.17262124002455503</v>
      </c>
      <c r="CJ27" s="209">
        <f>CJ26/CF26-1</f>
        <v>0.20281790196542748</v>
      </c>
      <c r="CK27" s="209">
        <f>CK26/CG26-1</f>
        <v>0.12229744485695559</v>
      </c>
      <c r="CL27" s="209">
        <f>CL26/CH26-1</f>
        <v>-3.9914659080807158E-2</v>
      </c>
      <c r="CM27" s="210">
        <v>0.17</v>
      </c>
      <c r="CN27" s="210">
        <v>0.17</v>
      </c>
      <c r="CO27" s="210">
        <v>0.17</v>
      </c>
      <c r="CP27" s="210">
        <v>0.17</v>
      </c>
      <c r="CQ27" s="210">
        <v>0.17</v>
      </c>
      <c r="CR27" s="210">
        <v>0.17</v>
      </c>
      <c r="CS27" s="210">
        <v>0.17</v>
      </c>
      <c r="CT27" s="210">
        <v>0.17</v>
      </c>
      <c r="CU27" s="210">
        <v>0.17</v>
      </c>
      <c r="CV27" s="210">
        <v>0.17</v>
      </c>
      <c r="CW27" s="210">
        <v>0.17</v>
      </c>
      <c r="CX27" s="210">
        <v>0.17</v>
      </c>
      <c r="CY27" s="210">
        <v>0.17</v>
      </c>
      <c r="CZ27" s="210">
        <v>0.17</v>
      </c>
      <c r="DA27" s="210">
        <v>0.17</v>
      </c>
      <c r="DB27" s="210">
        <v>0.17</v>
      </c>
      <c r="DE27" s="202"/>
    </row>
    <row r="28" spans="1:109" s="158" customFormat="1" x14ac:dyDescent="0.2">
      <c r="A28" s="155" t="s">
        <v>558</v>
      </c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>
        <f t="shared" ref="X28" si="117">SUM(BW28:BZ28)</f>
        <v>141.4</v>
      </c>
      <c r="Y28" s="156">
        <f t="shared" ref="Y28" si="118">SUM(CA28:CD28)</f>
        <v>147</v>
      </c>
      <c r="Z28" s="156">
        <f t="shared" ref="Z28" si="119">SUM(CE28:CH28)</f>
        <v>167.9</v>
      </c>
      <c r="AA28" s="157">
        <f>SUM(CI28:CL28)</f>
        <v>208.79999999999998</v>
      </c>
      <c r="AB28" s="157">
        <f>+SUM(CM28:CP28)</f>
        <v>244.29600000000002</v>
      </c>
      <c r="AC28" s="157">
        <f>+SUM(CQ28:CT28)</f>
        <v>285.82632000000001</v>
      </c>
      <c r="AD28" s="157">
        <f>+SUM(CU28:CX28)</f>
        <v>334.41679440000001</v>
      </c>
      <c r="AE28" s="157">
        <f>+SUM(CY28:DB28)</f>
        <v>391.26764944800004</v>
      </c>
      <c r="AI28" s="156"/>
      <c r="AJ28" s="156"/>
      <c r="AK28" s="156"/>
      <c r="AL28" s="156"/>
      <c r="AM28" s="156"/>
      <c r="AN28" s="156"/>
      <c r="AO28" s="156"/>
      <c r="AP28" s="156"/>
      <c r="AQ28" s="156"/>
      <c r="AR28" s="156"/>
      <c r="AS28" s="156"/>
      <c r="AT28" s="156"/>
      <c r="AU28" s="156"/>
      <c r="AV28" s="156"/>
      <c r="AW28" s="156"/>
      <c r="AX28" s="156"/>
      <c r="AY28" s="156"/>
      <c r="AZ28" s="156"/>
      <c r="BA28" s="156"/>
      <c r="BB28" s="156"/>
      <c r="BC28" s="156"/>
      <c r="BD28" s="156"/>
      <c r="BE28" s="156"/>
      <c r="BF28" s="156"/>
      <c r="BG28" s="156"/>
      <c r="BH28" s="156"/>
      <c r="BI28" s="156"/>
      <c r="BJ28" s="156"/>
      <c r="BK28" s="156"/>
      <c r="BL28" s="156"/>
      <c r="BM28" s="156"/>
      <c r="BN28" s="156"/>
      <c r="BO28" s="156"/>
      <c r="BP28" s="156"/>
      <c r="BQ28" s="156"/>
      <c r="BR28" s="156"/>
      <c r="BS28" s="156"/>
      <c r="BT28" s="156"/>
      <c r="BU28" s="156"/>
      <c r="BV28" s="156"/>
      <c r="BW28" s="198">
        <v>35</v>
      </c>
      <c r="BX28" s="198">
        <v>36.200000000000003</v>
      </c>
      <c r="BY28" s="198">
        <v>33.9</v>
      </c>
      <c r="BZ28" s="198">
        <v>36.300000000000011</v>
      </c>
      <c r="CA28" s="198">
        <v>35.08620689655173</v>
      </c>
      <c r="CB28" s="198">
        <v>38.200000000000003</v>
      </c>
      <c r="CC28" s="198">
        <v>34.200000000000003</v>
      </c>
      <c r="CD28" s="198">
        <v>39.513793103448265</v>
      </c>
      <c r="CE28" s="198">
        <v>40.700000000000003</v>
      </c>
      <c r="CF28" s="198">
        <v>44</v>
      </c>
      <c r="CG28" s="198">
        <v>39</v>
      </c>
      <c r="CH28" s="198">
        <v>44.2</v>
      </c>
      <c r="CI28" s="156">
        <v>46.9</v>
      </c>
      <c r="CJ28" s="156">
        <v>53.3</v>
      </c>
      <c r="CK28" s="156">
        <v>49.6</v>
      </c>
      <c r="CL28" s="156">
        <v>59</v>
      </c>
      <c r="CM28" s="157">
        <f t="shared" ref="CM28:DB28" si="120">CM29*3*CM26/10^6</f>
        <v>54.872999999999998</v>
      </c>
      <c r="CN28" s="157">
        <f t="shared" si="120"/>
        <v>62.361000000000004</v>
      </c>
      <c r="CO28" s="157">
        <f t="shared" si="120"/>
        <v>58.032000000000011</v>
      </c>
      <c r="CP28" s="157">
        <f t="shared" si="120"/>
        <v>69.03</v>
      </c>
      <c r="CQ28" s="157">
        <f t="shared" si="120"/>
        <v>64.201409999999996</v>
      </c>
      <c r="CR28" s="157">
        <f t="shared" si="120"/>
        <v>72.962370000000007</v>
      </c>
      <c r="CS28" s="157">
        <f t="shared" si="120"/>
        <v>67.897440000000003</v>
      </c>
      <c r="CT28" s="157">
        <f t="shared" si="120"/>
        <v>80.765100000000004</v>
      </c>
      <c r="CU28" s="157">
        <f t="shared" si="120"/>
        <v>75.115649700000006</v>
      </c>
      <c r="CV28" s="157">
        <f t="shared" si="120"/>
        <v>85.365972900000003</v>
      </c>
      <c r="CW28" s="157">
        <f t="shared" si="120"/>
        <v>79.440004799999997</v>
      </c>
      <c r="CX28" s="157">
        <f t="shared" si="120"/>
        <v>94.495167000000009</v>
      </c>
      <c r="CY28" s="157">
        <f t="shared" si="120"/>
        <v>87.885310149000006</v>
      </c>
      <c r="CZ28" s="157">
        <f t="shared" si="120"/>
        <v>99.878188292999994</v>
      </c>
      <c r="DA28" s="157">
        <f t="shared" si="120"/>
        <v>92.944805616000011</v>
      </c>
      <c r="DB28" s="157">
        <f t="shared" si="120"/>
        <v>110.55934539</v>
      </c>
      <c r="DE28" s="159"/>
    </row>
    <row r="29" spans="1:109" s="158" customFormat="1" x14ac:dyDescent="0.2">
      <c r="A29" s="155" t="s">
        <v>563</v>
      </c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>
        <f t="shared" ref="X29:Y29" si="121">X28/X26*1000000/12</f>
        <v>1242.8365502935696</v>
      </c>
      <c r="Y29" s="156">
        <f t="shared" si="121"/>
        <v>1263.4075907590759</v>
      </c>
      <c r="Z29" s="156">
        <f>Z28/Z26*1000000/12</f>
        <v>1243.8142649717013</v>
      </c>
      <c r="AA29" s="157">
        <f t="shared" ref="AA29:AE29" si="122">AA28/AA26*1000000/12</f>
        <v>1611.1111111111111</v>
      </c>
      <c r="AB29" s="157">
        <f t="shared" si="122"/>
        <v>1611.1111111111113</v>
      </c>
      <c r="AC29" s="157">
        <f t="shared" si="122"/>
        <v>1611.1111111111113</v>
      </c>
      <c r="AD29" s="157">
        <f t="shared" si="122"/>
        <v>1611.1111111111111</v>
      </c>
      <c r="AE29" s="157">
        <f t="shared" si="122"/>
        <v>1611.1111111111113</v>
      </c>
      <c r="AI29" s="156"/>
      <c r="AJ29" s="156"/>
      <c r="AK29" s="156"/>
      <c r="AL29" s="156"/>
      <c r="AM29" s="156"/>
      <c r="AN29" s="156"/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6"/>
      <c r="AZ29" s="156"/>
      <c r="BA29" s="156"/>
      <c r="BB29" s="156"/>
      <c r="BC29" s="156"/>
      <c r="BD29" s="156"/>
      <c r="BE29" s="156"/>
      <c r="BF29" s="156"/>
      <c r="BG29" s="156"/>
      <c r="BH29" s="156"/>
      <c r="BI29" s="156"/>
      <c r="BJ29" s="156"/>
      <c r="BK29" s="156"/>
      <c r="BL29" s="156"/>
      <c r="BM29" s="156"/>
      <c r="BN29" s="156"/>
      <c r="BO29" s="156"/>
      <c r="BP29" s="156"/>
      <c r="BQ29" s="156"/>
      <c r="BR29" s="156"/>
      <c r="BS29" s="156"/>
      <c r="BT29" s="156"/>
      <c r="BU29" s="156"/>
      <c r="BV29" s="156"/>
      <c r="BW29" s="198"/>
      <c r="BX29" s="198"/>
      <c r="BY29" s="156">
        <f t="shared" ref="BY29:CI29" si="123">BY28*1000000/BY26/3</f>
        <v>1575.7913819550968</v>
      </c>
      <c r="BZ29" s="156">
        <f t="shared" si="123"/>
        <v>1276.2366838941045</v>
      </c>
      <c r="CA29" s="156">
        <f t="shared" si="123"/>
        <v>1532.215681756921</v>
      </c>
      <c r="CB29" s="156">
        <f t="shared" si="123"/>
        <v>1708.9428712029705</v>
      </c>
      <c r="CC29" s="156">
        <f t="shared" si="123"/>
        <v>1565.0741350906094</v>
      </c>
      <c r="CD29" s="156">
        <f t="shared" si="123"/>
        <v>1358.4224801790519</v>
      </c>
      <c r="CE29" s="156">
        <f t="shared" si="123"/>
        <v>1665.6435440965827</v>
      </c>
      <c r="CF29" s="156">
        <f t="shared" si="123"/>
        <v>1736.5222195911281</v>
      </c>
      <c r="CG29" s="156">
        <f t="shared" si="123"/>
        <v>1419.5239135182355</v>
      </c>
      <c r="CH29" s="156">
        <f t="shared" si="123"/>
        <v>1309.746051500874</v>
      </c>
      <c r="CI29" s="156">
        <f t="shared" si="123"/>
        <v>1636.8268593166511</v>
      </c>
      <c r="CJ29" s="156">
        <f>CJ28*1000000/CJ26/3</f>
        <v>1748.8597959116712</v>
      </c>
      <c r="CK29" s="156">
        <f>CK28*1000000/CK26/3</f>
        <v>1608.6138678082636</v>
      </c>
      <c r="CL29" s="156">
        <f>CL28*1000000/CL26/3</f>
        <v>1820.9876543209875</v>
      </c>
      <c r="CM29" s="157">
        <f t="shared" ref="CM29" si="124">CI29+(CI29*CM30)</f>
        <v>1636.8268593166511</v>
      </c>
      <c r="CN29" s="157">
        <f t="shared" ref="CN29" si="125">CJ29+(CJ29*CN30)</f>
        <v>1748.8597959116712</v>
      </c>
      <c r="CO29" s="157">
        <f t="shared" ref="CO29" si="126">CK29+(CK29*CO30)</f>
        <v>1608.6138678082636</v>
      </c>
      <c r="CP29" s="157">
        <f t="shared" ref="CP29" si="127">CL29+(CL29*CP30)</f>
        <v>1820.9876543209875</v>
      </c>
      <c r="CQ29" s="157">
        <f t="shared" ref="CQ29" si="128">CM29+(CM29*CQ30)</f>
        <v>1636.8268593166511</v>
      </c>
      <c r="CR29" s="157">
        <f t="shared" ref="CR29" si="129">CN29+(CN29*CR30)</f>
        <v>1748.8597959116712</v>
      </c>
      <c r="CS29" s="157">
        <f t="shared" ref="CS29" si="130">CO29+(CO29*CS30)</f>
        <v>1608.6138678082636</v>
      </c>
      <c r="CT29" s="157">
        <f t="shared" ref="CT29" si="131">CP29+(CP29*CT30)</f>
        <v>1820.9876543209875</v>
      </c>
      <c r="CU29" s="157">
        <f t="shared" ref="CU29" si="132">CQ29+(CQ29*CU30)</f>
        <v>1636.8268593166511</v>
      </c>
      <c r="CV29" s="157">
        <f t="shared" ref="CV29" si="133">CR29+(CR29*CV30)</f>
        <v>1748.8597959116712</v>
      </c>
      <c r="CW29" s="157">
        <f t="shared" ref="CW29" si="134">CS29+(CS29*CW30)</f>
        <v>1608.6138678082636</v>
      </c>
      <c r="CX29" s="157">
        <f t="shared" ref="CX29" si="135">CT29+(CT29*CX30)</f>
        <v>1820.9876543209875</v>
      </c>
      <c r="CY29" s="157">
        <f t="shared" ref="CY29" si="136">CU29+(CU29*CY30)</f>
        <v>1636.8268593166511</v>
      </c>
      <c r="CZ29" s="157">
        <f t="shared" ref="CZ29" si="137">CV29+(CV29*CZ30)</f>
        <v>1748.8597959116712</v>
      </c>
      <c r="DA29" s="157">
        <f t="shared" ref="DA29" si="138">CW29+(CW29*DA30)</f>
        <v>1608.6138678082636</v>
      </c>
      <c r="DB29" s="157">
        <f t="shared" ref="DB29" si="139">CX29+(CX29*DB30)</f>
        <v>1820.9876543209875</v>
      </c>
      <c r="DE29" s="159"/>
    </row>
    <row r="30" spans="1:109" s="205" customFormat="1" x14ac:dyDescent="0.2">
      <c r="A30" s="203" t="s">
        <v>562</v>
      </c>
      <c r="B30" s="204"/>
      <c r="C30" s="204"/>
      <c r="D30" s="204"/>
      <c r="E30" s="204"/>
      <c r="F30" s="204"/>
      <c r="G30" s="204"/>
      <c r="H30" s="204"/>
      <c r="I30" s="204"/>
      <c r="J30" s="204"/>
      <c r="K30" s="204"/>
      <c r="L30" s="204"/>
      <c r="M30" s="204"/>
      <c r="N30" s="204"/>
      <c r="O30" s="204"/>
      <c r="P30" s="204"/>
      <c r="Q30" s="204"/>
      <c r="R30" s="204"/>
      <c r="S30" s="204"/>
      <c r="T30" s="204"/>
      <c r="U30" s="204"/>
      <c r="V30" s="204"/>
      <c r="W30" s="204"/>
      <c r="X30" s="204"/>
      <c r="Y30" s="209">
        <f>Y29/X29-1</f>
        <v>1.6551686109204988E-2</v>
      </c>
      <c r="Z30" s="209">
        <f t="shared" ref="Z30" si="140">Z29/Y29-1</f>
        <v>-1.5508317292602825E-2</v>
      </c>
      <c r="AA30" s="210">
        <f t="shared" ref="AA30" si="141">AA29/Z29-1</f>
        <v>0.29529878896168338</v>
      </c>
      <c r="AB30" s="210">
        <f t="shared" ref="AB30" si="142">AB29/AA29-1</f>
        <v>0</v>
      </c>
      <c r="AC30" s="210">
        <f t="shared" ref="AC30" si="143">AC29/AB29-1</f>
        <v>0</v>
      </c>
      <c r="AD30" s="210">
        <f t="shared" ref="AD30" si="144">AD29/AC29-1</f>
        <v>0</v>
      </c>
      <c r="AE30" s="210">
        <f t="shared" ref="AE30" si="145">AE29/AD29-1</f>
        <v>0</v>
      </c>
      <c r="AI30" s="204"/>
      <c r="AJ30" s="204"/>
      <c r="AK30" s="204"/>
      <c r="AL30" s="204"/>
      <c r="AM30" s="204"/>
      <c r="AN30" s="204"/>
      <c r="AO30" s="204"/>
      <c r="AP30" s="204"/>
      <c r="AQ30" s="204"/>
      <c r="AR30" s="204"/>
      <c r="AS30" s="204"/>
      <c r="AT30" s="204"/>
      <c r="AU30" s="204"/>
      <c r="AV30" s="204"/>
      <c r="AW30" s="204"/>
      <c r="AX30" s="204"/>
      <c r="AY30" s="204"/>
      <c r="AZ30" s="204"/>
      <c r="BA30" s="204"/>
      <c r="BB30" s="204"/>
      <c r="BC30" s="204"/>
      <c r="BD30" s="204"/>
      <c r="BE30" s="204"/>
      <c r="BF30" s="204"/>
      <c r="BG30" s="204"/>
      <c r="BH30" s="204"/>
      <c r="BI30" s="204"/>
      <c r="BJ30" s="204"/>
      <c r="BK30" s="204"/>
      <c r="BL30" s="204"/>
      <c r="BM30" s="204"/>
      <c r="BN30" s="204"/>
      <c r="BO30" s="204"/>
      <c r="BP30" s="204"/>
      <c r="BQ30" s="204"/>
      <c r="BR30" s="204"/>
      <c r="BS30" s="204"/>
      <c r="BT30" s="204"/>
      <c r="BU30" s="204"/>
      <c r="BV30" s="204"/>
      <c r="BW30" s="206"/>
      <c r="BX30" s="206"/>
      <c r="BY30" s="204"/>
      <c r="BZ30" s="204"/>
      <c r="CA30" s="204"/>
      <c r="CB30" s="204"/>
      <c r="CC30" s="206">
        <f t="shared" ref="CC30:CI30" si="146">CC29/BY29-1</f>
        <v>-6.8011838287822535E-3</v>
      </c>
      <c r="CD30" s="206">
        <f t="shared" si="146"/>
        <v>6.4396986328726147E-2</v>
      </c>
      <c r="CE30" s="206">
        <f t="shared" si="146"/>
        <v>8.7081645181092293E-2</v>
      </c>
      <c r="CF30" s="206">
        <f t="shared" si="146"/>
        <v>1.6138250641897445E-2</v>
      </c>
      <c r="CG30" s="206">
        <f t="shared" si="146"/>
        <v>-9.2998931046769373E-2</v>
      </c>
      <c r="CH30" s="206">
        <f t="shared" si="146"/>
        <v>-3.5833055907439015E-2</v>
      </c>
      <c r="CI30" s="206">
        <f t="shared" si="146"/>
        <v>-1.7300631267755051E-2</v>
      </c>
      <c r="CJ30" s="206">
        <f>CJ29/CF29-1</f>
        <v>7.1047615638617501E-3</v>
      </c>
      <c r="CK30" s="206">
        <f>CK29/CG29-1</f>
        <v>0.1332066001067751</v>
      </c>
      <c r="CL30" s="206">
        <f>CL29/CH29-1</f>
        <v>0.39033643371878668</v>
      </c>
      <c r="CM30" s="208">
        <v>0</v>
      </c>
      <c r="CN30" s="208">
        <v>0</v>
      </c>
      <c r="CO30" s="208">
        <v>0</v>
      </c>
      <c r="CP30" s="208">
        <v>0</v>
      </c>
      <c r="CQ30" s="208">
        <v>0</v>
      </c>
      <c r="CR30" s="208">
        <v>0</v>
      </c>
      <c r="CS30" s="208">
        <v>0</v>
      </c>
      <c r="CT30" s="208">
        <v>0</v>
      </c>
      <c r="CU30" s="208">
        <v>0</v>
      </c>
      <c r="CV30" s="208">
        <v>0</v>
      </c>
      <c r="CW30" s="208">
        <v>0</v>
      </c>
      <c r="CX30" s="208">
        <v>0</v>
      </c>
      <c r="CY30" s="208">
        <v>0</v>
      </c>
      <c r="CZ30" s="208">
        <v>0</v>
      </c>
      <c r="DA30" s="208">
        <v>0</v>
      </c>
      <c r="DB30" s="208">
        <v>0</v>
      </c>
      <c r="DE30" s="207"/>
    </row>
    <row r="31" spans="1:109" s="158" customFormat="1" x14ac:dyDescent="0.2">
      <c r="A31" s="155" t="s">
        <v>559</v>
      </c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>
        <f t="shared" ref="X31" si="147">SUM(BW31:BZ31)</f>
        <v>15.4</v>
      </c>
      <c r="Y31" s="156">
        <f t="shared" ref="Y31" si="148">SUM(CA31:CD31)</f>
        <v>15.1</v>
      </c>
      <c r="Z31" s="156">
        <f t="shared" ref="Z31" si="149">SUM(CE31:CH31)</f>
        <v>16.7</v>
      </c>
      <c r="AA31" s="157"/>
      <c r="AB31" s="157"/>
      <c r="AC31" s="157"/>
      <c r="AD31" s="157"/>
      <c r="AE31" s="157"/>
      <c r="AI31" s="156"/>
      <c r="AJ31" s="156"/>
      <c r="AK31" s="156"/>
      <c r="AL31" s="156"/>
      <c r="AM31" s="156"/>
      <c r="AN31" s="156"/>
      <c r="AO31" s="156"/>
      <c r="AP31" s="156"/>
      <c r="AQ31" s="156"/>
      <c r="AR31" s="156"/>
      <c r="AS31" s="156"/>
      <c r="AT31" s="156"/>
      <c r="AU31" s="156"/>
      <c r="AV31" s="156"/>
      <c r="AW31" s="156"/>
      <c r="AX31" s="156"/>
      <c r="AY31" s="156"/>
      <c r="AZ31" s="156"/>
      <c r="BA31" s="156"/>
      <c r="BB31" s="156"/>
      <c r="BC31" s="156"/>
      <c r="BD31" s="156"/>
      <c r="BE31" s="156"/>
      <c r="BF31" s="156"/>
      <c r="BG31" s="156"/>
      <c r="BH31" s="156"/>
      <c r="BI31" s="156"/>
      <c r="BJ31" s="156"/>
      <c r="BK31" s="156"/>
      <c r="BL31" s="156"/>
      <c r="BM31" s="156"/>
      <c r="BN31" s="156"/>
      <c r="BO31" s="156"/>
      <c r="BP31" s="156"/>
      <c r="BQ31" s="156"/>
      <c r="BR31" s="156"/>
      <c r="BS31" s="156"/>
      <c r="BT31" s="156"/>
      <c r="BU31" s="156"/>
      <c r="BV31" s="156"/>
      <c r="BW31" s="198">
        <v>3.7</v>
      </c>
      <c r="BX31" s="198">
        <v>4</v>
      </c>
      <c r="BY31" s="198">
        <v>3.7</v>
      </c>
      <c r="BZ31" s="198">
        <v>4</v>
      </c>
      <c r="CA31" s="198">
        <v>3.7614678899082561</v>
      </c>
      <c r="CB31" s="198">
        <v>4</v>
      </c>
      <c r="CC31" s="198">
        <v>3.5</v>
      </c>
      <c r="CD31" s="198">
        <v>3.8385321100917427</v>
      </c>
      <c r="CE31" s="198">
        <v>4.0999999999999996</v>
      </c>
      <c r="CF31" s="198">
        <v>4.4000000000000004</v>
      </c>
      <c r="CG31" s="198">
        <v>3.9</v>
      </c>
      <c r="CH31" s="198">
        <v>4.2999999999999989</v>
      </c>
      <c r="CI31" s="156">
        <v>4.5999999999999996</v>
      </c>
      <c r="CJ31" s="156">
        <v>5</v>
      </c>
      <c r="CK31" s="156">
        <v>4.5</v>
      </c>
      <c r="CL31" s="156">
        <v>5.0999999999999996</v>
      </c>
      <c r="CM31" s="157"/>
      <c r="CN31" s="157"/>
      <c r="CO31" s="157"/>
      <c r="CP31" s="157"/>
      <c r="CQ31" s="157"/>
      <c r="CR31" s="157"/>
      <c r="CS31" s="157"/>
      <c r="CT31" s="157"/>
      <c r="CU31" s="157"/>
      <c r="CV31" s="157"/>
      <c r="CW31" s="157"/>
      <c r="CX31" s="157"/>
      <c r="CY31" s="157"/>
      <c r="CZ31" s="157"/>
      <c r="DA31" s="157"/>
      <c r="DB31" s="157"/>
      <c r="DE31" s="159"/>
    </row>
    <row r="32" spans="1:109" s="158" customFormat="1" x14ac:dyDescent="0.2">
      <c r="A32" s="155" t="s">
        <v>560</v>
      </c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>
        <f t="shared" ref="X32:AE32" si="150">+X22*10^7/X28/10^6</f>
        <v>34.403111739745398</v>
      </c>
      <c r="Y32" s="156">
        <f t="shared" si="150"/>
        <v>35.646258503401363</v>
      </c>
      <c r="Z32" s="156">
        <f t="shared" si="150"/>
        <v>37.748659916617036</v>
      </c>
      <c r="AA32" s="157">
        <f t="shared" si="150"/>
        <v>37.083333333333343</v>
      </c>
      <c r="AB32" s="157">
        <f t="shared" si="150"/>
        <v>37.639583333333327</v>
      </c>
      <c r="AC32" s="157">
        <f t="shared" si="150"/>
        <v>38.392375000000001</v>
      </c>
      <c r="AD32" s="157">
        <f t="shared" si="150"/>
        <v>39.16022250000001</v>
      </c>
      <c r="AE32" s="157">
        <f t="shared" si="150"/>
        <v>39.943426950000003</v>
      </c>
      <c r="AI32" s="156"/>
      <c r="AJ32" s="156"/>
      <c r="AK32" s="156"/>
      <c r="AL32" s="156"/>
      <c r="AM32" s="156"/>
      <c r="AN32" s="156"/>
      <c r="AO32" s="156"/>
      <c r="AP32" s="156"/>
      <c r="AQ32" s="156"/>
      <c r="AR32" s="156"/>
      <c r="AS32" s="156"/>
      <c r="AT32" s="156"/>
      <c r="AU32" s="156"/>
      <c r="AV32" s="156"/>
      <c r="AW32" s="156"/>
      <c r="AX32" s="156"/>
      <c r="AY32" s="156"/>
      <c r="AZ32" s="156"/>
      <c r="BA32" s="156"/>
      <c r="BB32" s="156"/>
      <c r="BC32" s="156"/>
      <c r="BD32" s="156"/>
      <c r="BE32" s="156"/>
      <c r="BF32" s="156"/>
      <c r="BG32" s="156"/>
      <c r="BH32" s="156"/>
      <c r="BI32" s="156"/>
      <c r="BJ32" s="156"/>
      <c r="BK32" s="156"/>
      <c r="BL32" s="156"/>
      <c r="BM32" s="156"/>
      <c r="BN32" s="156"/>
      <c r="BO32" s="156"/>
      <c r="BP32" s="156"/>
      <c r="BQ32" s="156"/>
      <c r="BR32" s="156"/>
      <c r="BS32" s="156"/>
      <c r="BT32" s="156"/>
      <c r="BU32" s="156"/>
      <c r="BV32" s="156"/>
      <c r="BW32" s="156">
        <f t="shared" ref="BW32:CI32" si="151">+BW22*10^7/BW28/10^6</f>
        <v>34.068571428571424</v>
      </c>
      <c r="BX32" s="156">
        <f t="shared" si="151"/>
        <v>34.593922651933703</v>
      </c>
      <c r="BY32" s="156">
        <f t="shared" si="151"/>
        <v>34.563421828908552</v>
      </c>
      <c r="BZ32" s="156">
        <f t="shared" si="151"/>
        <v>34.385674931129465</v>
      </c>
      <c r="CA32" s="156">
        <f t="shared" si="151"/>
        <v>35.230368550368546</v>
      </c>
      <c r="CB32" s="156">
        <f t="shared" si="151"/>
        <v>35.678010471204182</v>
      </c>
      <c r="CC32" s="156">
        <f t="shared" si="151"/>
        <v>35.935672514619881</v>
      </c>
      <c r="CD32" s="156">
        <f t="shared" si="151"/>
        <v>35.734357273758626</v>
      </c>
      <c r="CE32" s="156">
        <f t="shared" si="151"/>
        <v>35.282555282555279</v>
      </c>
      <c r="CF32" s="156">
        <f t="shared" si="151"/>
        <v>37.227272727272727</v>
      </c>
      <c r="CG32" s="156">
        <f t="shared" si="151"/>
        <v>39.102564102564102</v>
      </c>
      <c r="CH32" s="156">
        <f t="shared" si="151"/>
        <v>39.343891402714938</v>
      </c>
      <c r="CI32" s="156">
        <f t="shared" si="151"/>
        <v>38.144989339019197</v>
      </c>
      <c r="CJ32" s="156">
        <f>+CJ22*10^7/CJ28/10^6</f>
        <v>37.936210131332082</v>
      </c>
      <c r="CK32" s="156">
        <f>+CK22*10^7/CK28/10^6</f>
        <v>36.794354838709673</v>
      </c>
      <c r="CL32" s="156">
        <f>+CL22*10^7/CL28/10^6</f>
        <v>35.711864406779661</v>
      </c>
      <c r="CM32" s="195">
        <f t="shared" ref="CM32" si="152">CI32+(CI32*CM33)</f>
        <v>38.717164179104486</v>
      </c>
      <c r="CN32" s="195">
        <f t="shared" ref="CN32" si="153">CJ32+(CJ32*CN33)</f>
        <v>38.505253283302061</v>
      </c>
      <c r="CO32" s="195">
        <f t="shared" ref="CO32" si="154">CK32+(CK32*CO33)</f>
        <v>37.34627016129032</v>
      </c>
      <c r="CP32" s="195">
        <f t="shared" ref="CP32" si="155">CL32+(CL32*CP33)</f>
        <v>36.247542372881355</v>
      </c>
      <c r="CQ32" s="195">
        <f t="shared" ref="CQ32" si="156">CM32+(CM32*CQ33)</f>
        <v>39.491507462686577</v>
      </c>
      <c r="CR32" s="195">
        <f t="shared" ref="CR32" si="157">CN32+(CN32*CR33)</f>
        <v>39.275358348968105</v>
      </c>
      <c r="CS32" s="195">
        <f t="shared" ref="CS32" si="158">CO32+(CO32*CS33)</f>
        <v>38.09319556451613</v>
      </c>
      <c r="CT32" s="195">
        <f t="shared" ref="CT32" si="159">CP32+(CP32*CT33)</f>
        <v>36.972493220338983</v>
      </c>
      <c r="CU32" s="195">
        <f t="shared" ref="CU32" si="160">CQ32+(CQ32*CU33)</f>
        <v>40.281337611940309</v>
      </c>
      <c r="CV32" s="195">
        <f t="shared" ref="CV32" si="161">CR32+(CR32*CV33)</f>
        <v>40.060865515947469</v>
      </c>
      <c r="CW32" s="195">
        <f t="shared" ref="CW32" si="162">CS32+(CS32*CW33)</f>
        <v>38.855059475806449</v>
      </c>
      <c r="CX32" s="195">
        <f t="shared" ref="CX32" si="163">CT32+(CT32*CX33)</f>
        <v>37.711943084745762</v>
      </c>
      <c r="CY32" s="195">
        <f t="shared" ref="CY32" si="164">CU32+(CU32*CY33)</f>
        <v>41.086964364179117</v>
      </c>
      <c r="CZ32" s="195">
        <f t="shared" ref="CZ32" si="165">CV32+(CV32*CZ33)</f>
        <v>40.862082826266416</v>
      </c>
      <c r="DA32" s="195">
        <f t="shared" ref="DA32" si="166">CW32+(CW32*DA33)</f>
        <v>39.63216066532258</v>
      </c>
      <c r="DB32" s="195">
        <f t="shared" ref="DB32" si="167">CX32+(CX32*DB33)</f>
        <v>38.466181946440678</v>
      </c>
      <c r="DE32" s="159"/>
    </row>
    <row r="33" spans="1:110" s="205" customFormat="1" x14ac:dyDescent="0.2">
      <c r="A33" s="203" t="s">
        <v>562</v>
      </c>
      <c r="B33" s="204"/>
      <c r="C33" s="204"/>
      <c r="D33" s="204"/>
      <c r="E33" s="204"/>
      <c r="F33" s="204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Y33" s="209">
        <f>Y32/X32-1</f>
        <v>3.6134718657433895E-2</v>
      </c>
      <c r="Z33" s="209">
        <f t="shared" ref="Z33" si="168">Z32/Y32-1</f>
        <v>5.8979581630286937E-2</v>
      </c>
      <c r="AA33" s="210">
        <f t="shared" ref="AA33" si="169">AA32/Z32-1</f>
        <v>-1.7625170926685363E-2</v>
      </c>
      <c r="AB33" s="210">
        <f t="shared" ref="AB33" si="170">AB32/AA32-1</f>
        <v>1.499999999999968E-2</v>
      </c>
      <c r="AC33" s="210">
        <f t="shared" ref="AC33" si="171">AC32/AB32-1</f>
        <v>2.000000000000024E-2</v>
      </c>
      <c r="AD33" s="210">
        <f t="shared" ref="AD33" si="172">AD32/AC32-1</f>
        <v>2.000000000000024E-2</v>
      </c>
      <c r="AE33" s="210">
        <f t="shared" ref="AE33" si="173">AE32/AD32-1</f>
        <v>1.9999999999999796E-2</v>
      </c>
      <c r="AI33" s="204"/>
      <c r="AJ33" s="204"/>
      <c r="AK33" s="204"/>
      <c r="AL33" s="204"/>
      <c r="AM33" s="204"/>
      <c r="AN33" s="204"/>
      <c r="AO33" s="204"/>
      <c r="AP33" s="204"/>
      <c r="AQ33" s="204"/>
      <c r="AR33" s="204"/>
      <c r="AS33" s="204"/>
      <c r="AT33" s="204"/>
      <c r="AU33" s="204"/>
      <c r="AV33" s="204"/>
      <c r="AW33" s="204"/>
      <c r="AX33" s="204"/>
      <c r="AY33" s="204"/>
      <c r="AZ33" s="204"/>
      <c r="BA33" s="204"/>
      <c r="BB33" s="204"/>
      <c r="BC33" s="204"/>
      <c r="BD33" s="204"/>
      <c r="BE33" s="204"/>
      <c r="BF33" s="204"/>
      <c r="BG33" s="204"/>
      <c r="BH33" s="204"/>
      <c r="BI33" s="204"/>
      <c r="BJ33" s="204"/>
      <c r="BK33" s="204"/>
      <c r="BL33" s="204"/>
      <c r="BM33" s="204"/>
      <c r="BN33" s="204"/>
      <c r="BO33" s="204"/>
      <c r="BP33" s="204"/>
      <c r="BQ33" s="204"/>
      <c r="BR33" s="204"/>
      <c r="BS33" s="204"/>
      <c r="BT33" s="204"/>
      <c r="BU33" s="204"/>
      <c r="BV33" s="204"/>
      <c r="BW33" s="206"/>
      <c r="BX33" s="206"/>
      <c r="BY33" s="204"/>
      <c r="BZ33" s="204"/>
      <c r="CA33" s="204"/>
      <c r="CB33" s="204"/>
      <c r="CC33" s="206">
        <f t="shared" ref="CC33" si="174">CC32/BY32-1</f>
        <v>3.9702396727501865E-2</v>
      </c>
      <c r="CD33" s="206">
        <f t="shared" ref="CD33" si="175">CD32/BZ32-1</f>
        <v>3.9222215219867351E-2</v>
      </c>
      <c r="CE33" s="206">
        <f t="shared" ref="CE33" si="176">CE32/CA32-1</f>
        <v>1.481299638183442E-3</v>
      </c>
      <c r="CF33" s="206">
        <f t="shared" ref="CF33" si="177">CF32/CB32-1</f>
        <v>4.3423448662277764E-2</v>
      </c>
      <c r="CG33" s="206">
        <f t="shared" ref="CG33" si="178">CG32/CC32-1</f>
        <v>8.8126682105526655E-2</v>
      </c>
      <c r="CH33" s="206">
        <f t="shared" ref="CH33" si="179">CH32/CD32-1</f>
        <v>0.10101018751516655</v>
      </c>
      <c r="CI33" s="206">
        <f t="shared" ref="CI33" si="180">CI32/CE32-1</f>
        <v>8.1128876112870119E-2</v>
      </c>
      <c r="CJ33" s="206">
        <f>CJ32/CF32-1</f>
        <v>1.9043495591337889E-2</v>
      </c>
      <c r="CK33" s="206">
        <f>CK32/CG32-1</f>
        <v>-5.9029613960867366E-2</v>
      </c>
      <c r="CL33" s="206">
        <f>CL32/CH32-1</f>
        <v>-9.2314889718423943E-2</v>
      </c>
      <c r="CM33" s="208">
        <v>1.4999999999999999E-2</v>
      </c>
      <c r="CN33" s="208">
        <v>1.4999999999999999E-2</v>
      </c>
      <c r="CO33" s="208">
        <v>1.4999999999999999E-2</v>
      </c>
      <c r="CP33" s="208">
        <v>1.4999999999999999E-2</v>
      </c>
      <c r="CQ33" s="208">
        <v>0.02</v>
      </c>
      <c r="CR33" s="208">
        <v>0.02</v>
      </c>
      <c r="CS33" s="208">
        <v>0.02</v>
      </c>
      <c r="CT33" s="208">
        <v>0.02</v>
      </c>
      <c r="CU33" s="208">
        <v>0.02</v>
      </c>
      <c r="CV33" s="208">
        <v>0.02</v>
      </c>
      <c r="CW33" s="208">
        <v>0.02</v>
      </c>
      <c r="CX33" s="208">
        <v>0.02</v>
      </c>
      <c r="CY33" s="208">
        <v>0.02</v>
      </c>
      <c r="CZ33" s="208">
        <v>0.02</v>
      </c>
      <c r="DA33" s="208">
        <v>0.02</v>
      </c>
      <c r="DB33" s="208">
        <v>0.02</v>
      </c>
      <c r="DE33" s="207"/>
    </row>
    <row r="34" spans="1:110" s="158" customFormat="1" x14ac:dyDescent="0.2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7"/>
      <c r="AB34" s="157"/>
      <c r="AC34" s="157"/>
      <c r="AD34" s="157"/>
      <c r="AE34" s="157"/>
      <c r="AI34" s="156"/>
      <c r="AJ34" s="156"/>
      <c r="AK34" s="156"/>
      <c r="AL34" s="156"/>
      <c r="AM34" s="156"/>
      <c r="AN34" s="156"/>
      <c r="AO34" s="156"/>
      <c r="AP34" s="156"/>
      <c r="AQ34" s="156"/>
      <c r="AR34" s="156"/>
      <c r="AS34" s="156"/>
      <c r="AT34" s="156"/>
      <c r="AU34" s="156"/>
      <c r="AV34" s="156"/>
      <c r="AW34" s="156"/>
      <c r="AX34" s="156"/>
      <c r="AY34" s="156"/>
      <c r="AZ34" s="156"/>
      <c r="BA34" s="156"/>
      <c r="BB34" s="156"/>
      <c r="BC34" s="156"/>
      <c r="BD34" s="156"/>
      <c r="BE34" s="156"/>
      <c r="BF34" s="156"/>
      <c r="BG34" s="156"/>
      <c r="BH34" s="156"/>
      <c r="BI34" s="156"/>
      <c r="BJ34" s="156"/>
      <c r="BK34" s="156"/>
      <c r="BL34" s="156"/>
      <c r="BM34" s="156"/>
      <c r="BN34" s="156"/>
      <c r="BO34" s="156"/>
      <c r="BP34" s="156"/>
      <c r="BQ34" s="156"/>
      <c r="BR34" s="156"/>
      <c r="BS34" s="156"/>
      <c r="BT34" s="156"/>
      <c r="BU34" s="156"/>
      <c r="BV34" s="156"/>
      <c r="BW34" s="156"/>
      <c r="BX34" s="156"/>
      <c r="BY34" s="156"/>
      <c r="BZ34" s="156"/>
      <c r="CA34" s="156"/>
      <c r="CB34" s="156"/>
      <c r="CC34" s="156"/>
      <c r="CD34" s="156"/>
      <c r="CE34" s="156"/>
      <c r="CF34" s="156"/>
      <c r="CG34" s="156"/>
      <c r="CH34" s="156"/>
      <c r="CI34" s="156"/>
      <c r="CJ34" s="156"/>
      <c r="CK34" s="156"/>
      <c r="CL34" s="156"/>
      <c r="CM34" s="157"/>
      <c r="CN34" s="157"/>
      <c r="CO34" s="157"/>
      <c r="CP34" s="157"/>
      <c r="CQ34" s="157"/>
      <c r="CR34" s="157"/>
      <c r="CS34" s="157"/>
      <c r="CT34" s="157"/>
      <c r="CU34" s="157"/>
      <c r="CV34" s="157"/>
      <c r="CW34" s="157"/>
      <c r="CX34" s="157"/>
      <c r="CY34" s="157"/>
      <c r="CZ34" s="157"/>
      <c r="DA34" s="157"/>
      <c r="DB34" s="157"/>
      <c r="DE34" s="159"/>
    </row>
    <row r="35" spans="1:110" s="158" customFormat="1" x14ac:dyDescent="0.2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7"/>
      <c r="AB35" s="157"/>
      <c r="AC35" s="157"/>
      <c r="AD35" s="157"/>
      <c r="AE35" s="157"/>
      <c r="AI35" s="156"/>
      <c r="AJ35" s="156"/>
      <c r="AK35" s="156"/>
      <c r="AL35" s="156"/>
      <c r="AM35" s="156"/>
      <c r="AN35" s="156"/>
      <c r="AO35" s="156"/>
      <c r="AP35" s="156"/>
      <c r="AQ35" s="156"/>
      <c r="AR35" s="156"/>
      <c r="AS35" s="156"/>
      <c r="AT35" s="156"/>
      <c r="AU35" s="156"/>
      <c r="AV35" s="156"/>
      <c r="AW35" s="156"/>
      <c r="AX35" s="156"/>
      <c r="AY35" s="156"/>
      <c r="AZ35" s="156"/>
      <c r="BA35" s="156"/>
      <c r="BB35" s="156"/>
      <c r="BC35" s="156"/>
      <c r="BD35" s="156"/>
      <c r="BE35" s="156"/>
      <c r="BF35" s="156"/>
      <c r="BG35" s="156"/>
      <c r="BH35" s="156"/>
      <c r="BI35" s="156"/>
      <c r="BJ35" s="156"/>
      <c r="BK35" s="156"/>
      <c r="BL35" s="156"/>
      <c r="BM35" s="156"/>
      <c r="BN35" s="156"/>
      <c r="BO35" s="156"/>
      <c r="BP35" s="156"/>
      <c r="BQ35" s="156"/>
      <c r="BR35" s="156"/>
      <c r="BS35" s="156"/>
      <c r="BT35" s="156"/>
      <c r="BU35" s="156"/>
      <c r="BV35" s="156"/>
      <c r="BW35" s="156"/>
      <c r="BX35" s="156"/>
      <c r="BY35" s="156"/>
      <c r="BZ35" s="156"/>
      <c r="CA35" s="156"/>
      <c r="CB35" s="156"/>
      <c r="CC35" s="156"/>
      <c r="CD35" s="156"/>
      <c r="CE35" s="156"/>
      <c r="CF35" s="156"/>
      <c r="CG35" s="156"/>
      <c r="CH35" s="156"/>
      <c r="CI35" s="156"/>
      <c r="CJ35" s="156"/>
      <c r="CK35" s="156"/>
      <c r="CL35" s="156"/>
      <c r="CM35" s="157"/>
      <c r="CN35" s="157"/>
      <c r="CO35" s="157"/>
      <c r="CP35" s="157"/>
      <c r="CQ35" s="157"/>
      <c r="CR35" s="157"/>
      <c r="CS35" s="157"/>
      <c r="CT35" s="157"/>
      <c r="CU35" s="157"/>
      <c r="CV35" s="157"/>
      <c r="CW35" s="157"/>
      <c r="CX35" s="157"/>
      <c r="CY35" s="157"/>
      <c r="CZ35" s="157"/>
      <c r="DA35" s="157"/>
      <c r="DB35" s="157"/>
      <c r="DE35" s="159"/>
    </row>
    <row r="36" spans="1:110" s="158" customFormat="1" x14ac:dyDescent="0.2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  <c r="AA36" s="157"/>
      <c r="AB36" s="157"/>
      <c r="AC36" s="157"/>
      <c r="AD36" s="157"/>
      <c r="AE36" s="157"/>
      <c r="AI36" s="156"/>
      <c r="AJ36" s="156"/>
      <c r="AK36" s="156"/>
      <c r="AL36" s="156"/>
      <c r="AM36" s="156"/>
      <c r="AN36" s="156"/>
      <c r="AO36" s="156"/>
      <c r="AP36" s="156"/>
      <c r="AQ36" s="156"/>
      <c r="AR36" s="156"/>
      <c r="AS36" s="156"/>
      <c r="AT36" s="156"/>
      <c r="AU36" s="156"/>
      <c r="AV36" s="156"/>
      <c r="AW36" s="156"/>
      <c r="AX36" s="156"/>
      <c r="AY36" s="156"/>
      <c r="AZ36" s="156"/>
      <c r="BA36" s="156"/>
      <c r="BB36" s="156"/>
      <c r="BC36" s="156"/>
      <c r="BD36" s="156"/>
      <c r="BE36" s="156"/>
      <c r="BF36" s="156"/>
      <c r="BG36" s="156"/>
      <c r="BH36" s="156"/>
      <c r="BI36" s="156"/>
      <c r="BJ36" s="156"/>
      <c r="BK36" s="156"/>
      <c r="BL36" s="156"/>
      <c r="BM36" s="156"/>
      <c r="BN36" s="156"/>
      <c r="BO36" s="156"/>
      <c r="BP36" s="156"/>
      <c r="BQ36" s="156"/>
      <c r="BR36" s="156"/>
      <c r="BS36" s="156"/>
      <c r="BT36" s="156"/>
      <c r="BU36" s="156"/>
      <c r="BV36" s="156"/>
      <c r="BW36" s="156"/>
      <c r="BX36" s="156"/>
      <c r="BY36" s="156"/>
      <c r="BZ36" s="156"/>
      <c r="CA36" s="156"/>
      <c r="CB36" s="156"/>
      <c r="CC36" s="156"/>
      <c r="CD36" s="156"/>
      <c r="CE36" s="156"/>
      <c r="CF36" s="156"/>
      <c r="CG36" s="156"/>
      <c r="CH36" s="156"/>
      <c r="CI36" s="156"/>
      <c r="CJ36" s="156"/>
      <c r="CK36" s="156"/>
      <c r="CL36" s="156"/>
      <c r="CM36" s="157"/>
      <c r="CN36" s="157"/>
      <c r="CO36" s="157"/>
      <c r="CP36" s="157"/>
      <c r="CQ36" s="157"/>
      <c r="CR36" s="157"/>
      <c r="CS36" s="157"/>
      <c r="CT36" s="157"/>
      <c r="CU36" s="157"/>
      <c r="CV36" s="157"/>
      <c r="CW36" s="157"/>
      <c r="CX36" s="157"/>
      <c r="CY36" s="157"/>
      <c r="CZ36" s="157"/>
      <c r="DA36" s="157"/>
      <c r="DB36" s="157"/>
      <c r="DE36" s="159"/>
    </row>
    <row r="37" spans="1:110" s="158" customFormat="1" x14ac:dyDescent="0.2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  <c r="AA37" s="157"/>
      <c r="AB37" s="157"/>
      <c r="AC37" s="157"/>
      <c r="AD37" s="157"/>
      <c r="AE37" s="157"/>
      <c r="AI37" s="156"/>
      <c r="AJ37" s="156"/>
      <c r="AK37" s="156"/>
      <c r="AL37" s="156"/>
      <c r="AM37" s="156"/>
      <c r="AN37" s="156"/>
      <c r="AO37" s="156"/>
      <c r="AP37" s="156"/>
      <c r="AQ37" s="156"/>
      <c r="AR37" s="156"/>
      <c r="AS37" s="156"/>
      <c r="AT37" s="156"/>
      <c r="AU37" s="156"/>
      <c r="AV37" s="156"/>
      <c r="AW37" s="156"/>
      <c r="AX37" s="156"/>
      <c r="AY37" s="156"/>
      <c r="AZ37" s="156"/>
      <c r="BA37" s="156"/>
      <c r="BB37" s="156"/>
      <c r="BC37" s="156"/>
      <c r="BD37" s="156"/>
      <c r="BE37" s="156"/>
      <c r="BF37" s="156"/>
      <c r="BG37" s="156"/>
      <c r="BH37" s="156"/>
      <c r="BI37" s="156"/>
      <c r="BJ37" s="156"/>
      <c r="BK37" s="156"/>
      <c r="BL37" s="156"/>
      <c r="BM37" s="156"/>
      <c r="BN37" s="156"/>
      <c r="BO37" s="156"/>
      <c r="BP37" s="156"/>
      <c r="BQ37" s="156"/>
      <c r="BR37" s="156"/>
      <c r="BS37" s="156"/>
      <c r="BT37" s="156"/>
      <c r="BU37" s="156"/>
      <c r="BV37" s="156"/>
      <c r="BW37" s="156"/>
      <c r="BX37" s="156"/>
      <c r="BY37" s="156"/>
      <c r="BZ37" s="156"/>
      <c r="CA37" s="156"/>
      <c r="CB37" s="156"/>
      <c r="CC37" s="156"/>
      <c r="CD37" s="156"/>
      <c r="CE37" s="156"/>
      <c r="CF37" s="156"/>
      <c r="CG37" s="156"/>
      <c r="CH37" s="156"/>
      <c r="CI37" s="156"/>
      <c r="CJ37" s="156"/>
      <c r="CK37" s="156"/>
      <c r="CL37" s="156"/>
      <c r="CM37" s="157"/>
      <c r="CN37" s="157"/>
      <c r="CO37" s="157"/>
      <c r="CP37" s="157"/>
      <c r="CQ37" s="157"/>
      <c r="CR37" s="157"/>
      <c r="CS37" s="157"/>
      <c r="CT37" s="157"/>
      <c r="CU37" s="157"/>
      <c r="CV37" s="157"/>
      <c r="CW37" s="157"/>
      <c r="CX37" s="157"/>
      <c r="CY37" s="157"/>
      <c r="CZ37" s="157"/>
      <c r="DA37" s="157"/>
      <c r="DB37" s="157"/>
      <c r="DE37" s="159"/>
    </row>
    <row r="38" spans="1:110" s="196" customFormat="1" x14ac:dyDescent="0.2">
      <c r="A38" s="193"/>
      <c r="B38" s="194"/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194"/>
      <c r="R38" s="194"/>
      <c r="S38" s="194"/>
      <c r="T38" s="194"/>
      <c r="U38" s="194"/>
      <c r="V38" s="194"/>
      <c r="W38" s="194"/>
      <c r="X38" s="194"/>
      <c r="Y38" s="194"/>
      <c r="Z38" s="194"/>
      <c r="AA38" s="195"/>
      <c r="AB38" s="195"/>
      <c r="AC38" s="195"/>
      <c r="AD38" s="195"/>
      <c r="AE38" s="195"/>
      <c r="AI38" s="194"/>
      <c r="AJ38" s="194"/>
      <c r="AK38" s="194"/>
      <c r="AL38" s="194"/>
      <c r="AM38" s="194"/>
      <c r="AN38" s="194"/>
      <c r="AO38" s="194"/>
      <c r="AP38" s="194"/>
      <c r="AQ38" s="194"/>
      <c r="AR38" s="194"/>
      <c r="AS38" s="194"/>
      <c r="AT38" s="194"/>
      <c r="AU38" s="194"/>
      <c r="AV38" s="194"/>
      <c r="AW38" s="194"/>
      <c r="AX38" s="194"/>
      <c r="AY38" s="194"/>
      <c r="AZ38" s="194"/>
      <c r="BA38" s="194"/>
      <c r="BB38" s="194"/>
      <c r="BC38" s="194"/>
      <c r="BD38" s="194"/>
      <c r="BE38" s="194"/>
      <c r="BF38" s="194"/>
      <c r="BG38" s="194"/>
      <c r="BH38" s="194"/>
      <c r="BI38" s="194"/>
      <c r="BJ38" s="194"/>
      <c r="BK38" s="194"/>
      <c r="BL38" s="194"/>
      <c r="BM38" s="194"/>
      <c r="BN38" s="194"/>
      <c r="BO38" s="194"/>
      <c r="BP38" s="194"/>
      <c r="BQ38" s="194"/>
      <c r="BR38" s="194"/>
      <c r="BS38" s="194"/>
      <c r="BT38" s="194"/>
      <c r="BU38" s="194"/>
      <c r="BV38" s="194"/>
      <c r="BW38" s="194"/>
      <c r="BX38" s="194"/>
      <c r="BY38" s="194"/>
      <c r="BZ38" s="194"/>
      <c r="CA38" s="194"/>
      <c r="CB38" s="194"/>
      <c r="CC38" s="194"/>
      <c r="CD38" s="194"/>
      <c r="CE38" s="194"/>
      <c r="CF38" s="194"/>
      <c r="CG38" s="194"/>
      <c r="CH38" s="194"/>
      <c r="CI38" s="194"/>
      <c r="CJ38" s="156"/>
      <c r="CK38" s="156"/>
      <c r="CL38" s="156"/>
      <c r="CM38" s="195"/>
      <c r="CN38" s="195"/>
      <c r="CO38" s="195"/>
      <c r="CP38" s="195"/>
      <c r="CQ38" s="195"/>
      <c r="CR38" s="195"/>
      <c r="CS38" s="195"/>
      <c r="CT38" s="195"/>
      <c r="CU38" s="195"/>
      <c r="CV38" s="195"/>
      <c r="CW38" s="195"/>
      <c r="CX38" s="195"/>
      <c r="CY38" s="195"/>
      <c r="CZ38" s="195"/>
      <c r="DA38" s="195"/>
      <c r="DB38" s="195"/>
      <c r="DE38" s="197"/>
    </row>
    <row r="39" spans="1:110" s="106" customFormat="1" x14ac:dyDescent="0.2">
      <c r="A39" s="151" t="s">
        <v>500</v>
      </c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5"/>
      <c r="AB39" s="105"/>
      <c r="AC39" s="105"/>
      <c r="AD39" s="105"/>
      <c r="AE39" s="105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104"/>
      <c r="AT39" s="104"/>
      <c r="AU39" s="104"/>
      <c r="AV39" s="104"/>
      <c r="AW39" s="104"/>
      <c r="AX39" s="104"/>
      <c r="AY39" s="104"/>
      <c r="AZ39" s="104"/>
      <c r="BA39" s="104"/>
      <c r="BB39" s="104"/>
      <c r="BC39" s="104"/>
      <c r="BD39" s="104"/>
      <c r="BE39" s="104"/>
      <c r="BF39" s="104"/>
      <c r="BG39" s="104"/>
      <c r="BH39" s="104"/>
      <c r="BI39" s="104"/>
      <c r="BJ39" s="104"/>
      <c r="BK39" s="104"/>
      <c r="BL39" s="104"/>
      <c r="BM39" s="104"/>
      <c r="BN39" s="104"/>
      <c r="BO39" s="104"/>
      <c r="BP39" s="104"/>
      <c r="BQ39" s="104"/>
      <c r="BR39" s="104"/>
      <c r="BS39" s="104"/>
      <c r="BT39" s="104"/>
      <c r="BU39" s="104"/>
      <c r="BV39" s="104"/>
      <c r="BW39" s="104"/>
      <c r="BX39" s="104"/>
      <c r="BY39" s="104"/>
      <c r="BZ39" s="104"/>
      <c r="CA39" s="104"/>
      <c r="CB39" s="104"/>
      <c r="CC39" s="104"/>
      <c r="CD39" s="104"/>
      <c r="CE39" s="104"/>
      <c r="CF39" s="104"/>
      <c r="CG39" s="104"/>
      <c r="CH39" s="104"/>
      <c r="CI39" s="104"/>
      <c r="CJ39" s="104"/>
      <c r="CK39" s="104"/>
      <c r="CL39" s="104"/>
      <c r="CM39" s="105"/>
      <c r="CN39" s="105"/>
      <c r="CO39" s="105"/>
      <c r="CP39" s="105"/>
      <c r="CQ39" s="105"/>
      <c r="CR39" s="105"/>
      <c r="CS39" s="105"/>
      <c r="CT39" s="105"/>
      <c r="CU39" s="105"/>
      <c r="CV39" s="105"/>
      <c r="CW39" s="105"/>
      <c r="CX39" s="105"/>
      <c r="CY39" s="105"/>
      <c r="CZ39" s="105"/>
      <c r="DA39" s="105"/>
      <c r="DB39" s="105"/>
      <c r="DE39" s="118"/>
    </row>
    <row r="40" spans="1:110" s="106" customFormat="1" x14ac:dyDescent="0.2">
      <c r="A40" s="151" t="s">
        <v>485</v>
      </c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05"/>
      <c r="AC40" s="105"/>
      <c r="AD40" s="105"/>
      <c r="AE40" s="105"/>
      <c r="AI40" s="118"/>
      <c r="AJ40" s="118"/>
      <c r="AK40" s="118"/>
      <c r="AL40" s="118"/>
      <c r="AM40" s="118"/>
      <c r="AN40" s="118"/>
      <c r="AO40" s="118"/>
      <c r="AP40" s="118"/>
      <c r="AQ40" s="118"/>
      <c r="AR40" s="118"/>
      <c r="AS40" s="118"/>
      <c r="AT40" s="118"/>
      <c r="AU40" s="118"/>
      <c r="AV40" s="118"/>
      <c r="AW40" s="118"/>
      <c r="AX40" s="118"/>
      <c r="AY40" s="118"/>
      <c r="AZ40" s="118"/>
      <c r="BA40" s="118"/>
      <c r="BB40" s="118"/>
      <c r="BC40" s="118"/>
      <c r="BD40" s="118"/>
      <c r="BE40" s="118"/>
      <c r="BF40" s="118"/>
      <c r="BG40" s="118"/>
      <c r="BH40" s="118"/>
      <c r="BI40" s="118"/>
      <c r="BJ40" s="118"/>
      <c r="BK40" s="118"/>
      <c r="BL40" s="118"/>
      <c r="BM40" s="118"/>
      <c r="BN40" s="118"/>
      <c r="BO40" s="118"/>
      <c r="BP40" s="118"/>
      <c r="BQ40" s="118"/>
      <c r="BR40" s="118"/>
      <c r="BS40" s="118"/>
      <c r="BT40" s="118"/>
      <c r="BU40" s="118"/>
      <c r="BV40" s="118"/>
      <c r="BW40" s="118"/>
      <c r="BX40" s="118"/>
      <c r="BY40" s="118"/>
      <c r="BZ40" s="118"/>
      <c r="CA40" s="118"/>
      <c r="CB40" s="118"/>
      <c r="CC40" s="118"/>
      <c r="CD40" s="118"/>
      <c r="CE40" s="118"/>
      <c r="CF40" s="118"/>
      <c r="CG40" s="118"/>
      <c r="CH40" s="118"/>
      <c r="CI40" s="118"/>
      <c r="CJ40" s="160"/>
      <c r="CK40" s="160"/>
      <c r="CL40" s="160"/>
      <c r="CM40" s="105"/>
      <c r="CN40" s="105"/>
      <c r="CO40" s="105"/>
      <c r="CP40" s="105"/>
      <c r="CQ40" s="105"/>
      <c r="CR40" s="105"/>
      <c r="CS40" s="105"/>
      <c r="CT40" s="105"/>
      <c r="CU40" s="105"/>
      <c r="CV40" s="105"/>
      <c r="CW40" s="105"/>
      <c r="CX40" s="105"/>
      <c r="CY40" s="105"/>
      <c r="CZ40" s="105"/>
      <c r="DA40" s="105"/>
      <c r="DB40" s="105"/>
      <c r="DE40" s="118"/>
    </row>
    <row r="41" spans="1:110" s="25" customFormat="1" outlineLevel="1" x14ac:dyDescent="0.2">
      <c r="A41" s="25" t="s">
        <v>430</v>
      </c>
      <c r="B41" s="25">
        <f>'Annual Raw'!C6</f>
        <v>0</v>
      </c>
      <c r="C41" s="25">
        <f>'Annual Raw'!D6</f>
        <v>0</v>
      </c>
      <c r="D41" s="25">
        <f>'Annual Raw'!E6</f>
        <v>0</v>
      </c>
      <c r="E41" s="25">
        <f>'Annual Raw'!F6</f>
        <v>0</v>
      </c>
      <c r="F41" s="25">
        <f>'Annual Raw'!G6</f>
        <v>0</v>
      </c>
      <c r="G41" s="25">
        <f>'Annual Raw'!H6</f>
        <v>0</v>
      </c>
      <c r="H41" s="25">
        <f>'Annual Raw'!I6</f>
        <v>33.754413999999997</v>
      </c>
      <c r="I41" s="25">
        <f>'Annual Raw'!J6</f>
        <v>44.410636199999999</v>
      </c>
      <c r="J41" s="25">
        <f>'Annual Raw'!K6</f>
        <v>45.278377300000002</v>
      </c>
      <c r="K41" s="25">
        <f>'Annual Raw'!L6</f>
        <v>58.3431049</v>
      </c>
      <c r="L41" s="25">
        <f>'Annual Raw'!M6</f>
        <v>77.864999999999995</v>
      </c>
      <c r="M41" s="25">
        <f>'Annual Raw'!N6</f>
        <v>109.07599999999999</v>
      </c>
      <c r="N41" s="25">
        <f>'Annual Raw'!O6</f>
        <v>134.261</v>
      </c>
      <c r="O41" s="25">
        <f>'Annual Raw'!P6</f>
        <v>149.97800000000001</v>
      </c>
      <c r="P41" s="25">
        <f>'Annual Raw'!Q6</f>
        <v>182.958</v>
      </c>
      <c r="Q41" s="25">
        <f>'Annual Raw'!R6</f>
        <v>240.965</v>
      </c>
      <c r="R41" s="25">
        <f>'Annual Raw'!S6</f>
        <v>304.387</v>
      </c>
      <c r="S41" s="25">
        <f>'Annual Raw'!T6</f>
        <v>356.32</v>
      </c>
      <c r="T41" s="25">
        <f>'Annual Raw'!U6</f>
        <v>402.91</v>
      </c>
      <c r="U41" s="25">
        <f>'Annual Raw'!V6</f>
        <v>434.26</v>
      </c>
      <c r="V41" s="25">
        <f>'Annual Raw'!W6</f>
        <v>494.62</v>
      </c>
      <c r="W41" s="25">
        <f>'Annual Raw'!X6</f>
        <v>588.86</v>
      </c>
      <c r="X41" s="25">
        <f>'Annual Raw'!Y6</f>
        <v>526.66999999999996</v>
      </c>
      <c r="Y41" s="25">
        <f>'Annual Raw'!Z6</f>
        <v>571.88</v>
      </c>
      <c r="Z41" s="25">
        <f>'Annual Raw'!AA6</f>
        <v>687.35</v>
      </c>
      <c r="AA41" s="25">
        <f>'Annual Raw'!AB6</f>
        <v>829.04</v>
      </c>
      <c r="AB41" s="17">
        <f>+SUM(CM41:CP41)</f>
        <v>969.11996500000009</v>
      </c>
      <c r="AC41" s="17">
        <f>+SUM(CQ41:CT41)</f>
        <v>1146.9551262309999</v>
      </c>
      <c r="AD41" s="17">
        <f>+SUM(CU41:CX41)</f>
        <v>1359.1836076440754</v>
      </c>
      <c r="AE41" s="17">
        <f>+SUM(CY41:DB41)</f>
        <v>1612.4570773624396</v>
      </c>
      <c r="AI41" s="25">
        <f>'QTR Raw'!C6+'QTR Raw'!C8</f>
        <v>0</v>
      </c>
      <c r="AJ41" s="25">
        <f>'QTR Raw'!D6+'QTR Raw'!D8</f>
        <v>0</v>
      </c>
      <c r="AK41" s="25">
        <f>'QTR Raw'!E6+'QTR Raw'!E8</f>
        <v>0</v>
      </c>
      <c r="AL41" s="25">
        <f>'QTR Raw'!F6+'QTR Raw'!F8</f>
        <v>0</v>
      </c>
      <c r="AM41" s="25">
        <f>'QTR Raw'!G6+'QTR Raw'!G8</f>
        <v>0</v>
      </c>
      <c r="AN41" s="25">
        <f>'QTR Raw'!H6+'QTR Raw'!H8</f>
        <v>0</v>
      </c>
      <c r="AO41" s="25">
        <f>'QTR Raw'!I6+'QTR Raw'!I8</f>
        <v>0</v>
      </c>
      <c r="AP41" s="25">
        <f>'QTR Raw'!J6+'QTR Raw'!J8</f>
        <v>0</v>
      </c>
      <c r="AQ41" s="25">
        <f>'QTR Raw'!K6+'QTR Raw'!K8</f>
        <v>0</v>
      </c>
      <c r="AR41" s="25">
        <f>'QTR Raw'!L6+'QTR Raw'!L8</f>
        <v>0</v>
      </c>
      <c r="AS41" s="25">
        <f>'QTR Raw'!M6+'QTR Raw'!M8</f>
        <v>0</v>
      </c>
      <c r="AT41" s="25">
        <f>'QTR Raw'!N6+'QTR Raw'!N8</f>
        <v>0</v>
      </c>
      <c r="AU41" s="25">
        <f>'QTR Raw'!O6+'QTR Raw'!O8</f>
        <v>56.994999999999997</v>
      </c>
      <c r="AV41" s="25">
        <f>'QTR Raw'!P6+'QTR Raw'!P8</f>
        <v>62.265000000000001</v>
      </c>
      <c r="AW41" s="25">
        <f>'QTR Raw'!Q6+'QTR Raw'!Q8</f>
        <v>56.652000000000001</v>
      </c>
      <c r="AX41" s="25">
        <f>'QTR Raw'!R6+'QTR Raw'!R8</f>
        <v>65.055000000000007</v>
      </c>
      <c r="AY41" s="25">
        <f>'QTR Raw'!S6+'QTR Raw'!S8</f>
        <v>68.745000000000005</v>
      </c>
      <c r="AZ41" s="25">
        <f>'QTR Raw'!T6+'QTR Raw'!T8</f>
        <v>78.147999999999996</v>
      </c>
      <c r="BA41" s="25">
        <f>'QTR Raw'!U6+'QTR Raw'!U8</f>
        <v>70.378</v>
      </c>
      <c r="BB41" s="25">
        <f>'QTR Raw'!V6+'QTR Raw'!V8</f>
        <v>87.116</v>
      </c>
      <c r="BC41" s="25">
        <f>'QTR Raw'!W6+'QTR Raw'!W8</f>
        <v>87.76</v>
      </c>
      <c r="BD41" s="25">
        <f>'QTR Raw'!X6+'QTR Raw'!X8</f>
        <v>88.036000000000001</v>
      </c>
      <c r="BE41" s="25">
        <f>'QTR Raw'!Y6+'QTR Raw'!Y8</f>
        <v>83.87</v>
      </c>
      <c r="BF41" s="25">
        <f>'QTR Raw'!Z6+'QTR Raw'!Z8</f>
        <v>96.66</v>
      </c>
      <c r="BG41" s="25">
        <f>'QTR Raw'!AA6+'QTR Raw'!AA8</f>
        <v>97.15</v>
      </c>
      <c r="BH41" s="25">
        <f>'QTR Raw'!AB6+'QTR Raw'!AB8</f>
        <v>103.88</v>
      </c>
      <c r="BI41" s="25">
        <f>'QTR Raw'!AC6+'QTR Raw'!AC8</f>
        <v>96.29</v>
      </c>
      <c r="BJ41" s="25">
        <f>'QTR Raw'!AD6+'QTR Raw'!AD8</f>
        <v>105.59</v>
      </c>
      <c r="BK41" s="25">
        <f>'QTR Raw'!AE6+'QTR Raw'!AE8</f>
        <v>109.73</v>
      </c>
      <c r="BL41" s="25">
        <f>'QTR Raw'!AF6+'QTR Raw'!AF8</f>
        <v>116.24</v>
      </c>
      <c r="BM41" s="25">
        <f>'QTR Raw'!AG6+'QTR Raw'!AG8</f>
        <v>105.79</v>
      </c>
      <c r="BN41" s="25">
        <f>'QTR Raw'!AH6+'QTR Raw'!AH8</f>
        <v>101.44</v>
      </c>
      <c r="BO41" s="25">
        <f>'QTR Raw'!AI6+'QTR Raw'!AI8</f>
        <v>56.27</v>
      </c>
      <c r="BP41" s="25">
        <f>'QTR Raw'!AJ6+'QTR Raw'!AJ8</f>
        <v>153.25</v>
      </c>
      <c r="BQ41" s="25">
        <f>'QTR Raw'!AK6+'QTR Raw'!AK8</f>
        <v>138.27000000000001</v>
      </c>
      <c r="BR41" s="25">
        <f>'QTR Raw'!AL6+'QTR Raw'!AL8</f>
        <v>146.84</v>
      </c>
      <c r="BS41" s="25">
        <f>'QTR Raw'!AM6+'QTR Raw'!AM8</f>
        <v>164.65</v>
      </c>
      <c r="BT41" s="25">
        <f>'QTR Raw'!AN6+'QTR Raw'!AN8</f>
        <v>176.21</v>
      </c>
      <c r="BU41" s="25">
        <f>'QTR Raw'!AO6+'QTR Raw'!AO8</f>
        <v>117.4</v>
      </c>
      <c r="BV41" s="25">
        <f>'QTR Raw'!AP6+'QTR Raw'!AP8</f>
        <v>130.56</v>
      </c>
      <c r="BW41" s="25">
        <f>'QTR Raw'!AQ6+'QTR Raw'!AQ8</f>
        <v>127.79</v>
      </c>
      <c r="BX41" s="25">
        <f>'QTR Raw'!AR6+'QTR Raw'!AR8</f>
        <v>134.97</v>
      </c>
      <c r="BY41" s="25">
        <f>'QTR Raw'!AS6+'QTR Raw'!AS8</f>
        <v>128.03</v>
      </c>
      <c r="BZ41" s="25">
        <f>'QTR Raw'!AT6+'QTR Raw'!AT8</f>
        <v>135.88</v>
      </c>
      <c r="CA41" s="25">
        <f>'QTR Raw'!AU6+'QTR Raw'!AU8</f>
        <v>134.88999999999999</v>
      </c>
      <c r="CB41" s="25">
        <f>'QTR Raw'!AV6+'QTR Raw'!AV8</f>
        <v>148</v>
      </c>
      <c r="CC41" s="25">
        <f>'QTR Raw'!AW6+'QTR Raw'!AW8</f>
        <v>134.74</v>
      </c>
      <c r="CD41" s="25">
        <f>'QTR Raw'!AX6+'QTR Raw'!AX8</f>
        <v>154.25</v>
      </c>
      <c r="CE41" s="25">
        <f>'QTR Raw'!AY6+'QTR Raw'!AY8</f>
        <v>156.91</v>
      </c>
      <c r="CF41" s="25">
        <f>'QTR Raw'!AZ6+'QTR Raw'!AZ8</f>
        <v>177.36</v>
      </c>
      <c r="CG41" s="25">
        <f>'QTR Raw'!BA6+'QTR Raw'!BA8</f>
        <v>165.92</v>
      </c>
      <c r="CH41" s="25">
        <f>'QTR Raw'!BB6+'QTR Raw'!BB8</f>
        <v>187.16</v>
      </c>
      <c r="CI41" s="25">
        <f>'QTR Raw'!BC6+'QTR Raw'!BC8</f>
        <v>193.03</v>
      </c>
      <c r="CJ41" s="25">
        <f>'QTR Raw'!BD6+'QTR Raw'!BD8</f>
        <v>216.53</v>
      </c>
      <c r="CK41" s="25">
        <f>'QTR Raw'!BE6+'QTR Raw'!BE8</f>
        <v>195.53</v>
      </c>
      <c r="CL41" s="25">
        <f>'QTR Raw'!BF6+'QTR Raw'!BF8</f>
        <v>223.95</v>
      </c>
      <c r="CM41" s="17">
        <f>CM7</f>
        <v>224.85269500000004</v>
      </c>
      <c r="CN41" s="17">
        <f t="shared" ref="CN41:DB41" si="181">CN7</f>
        <v>252.52260999999999</v>
      </c>
      <c r="CO41" s="17">
        <f t="shared" si="181"/>
        <v>229.12787500000005</v>
      </c>
      <c r="CP41" s="17">
        <f t="shared" si="181"/>
        <v>262.61678499999999</v>
      </c>
      <c r="CQ41" s="17">
        <f t="shared" si="181"/>
        <v>265.94104621299999</v>
      </c>
      <c r="CR41" s="17">
        <f t="shared" si="181"/>
        <v>298.96232277400003</v>
      </c>
      <c r="CS41" s="17">
        <f t="shared" si="181"/>
        <v>271.04304602499997</v>
      </c>
      <c r="CT41" s="17">
        <f t="shared" si="181"/>
        <v>311.00871121899996</v>
      </c>
      <c r="CU41" s="17">
        <f t="shared" si="181"/>
        <v>314.97588455059429</v>
      </c>
      <c r="CV41" s="17">
        <f t="shared" si="181"/>
        <v>354.38347599849158</v>
      </c>
      <c r="CW41" s="17">
        <f t="shared" si="181"/>
        <v>321.06461112623492</v>
      </c>
      <c r="CX41" s="17">
        <f t="shared" si="181"/>
        <v>368.75963596875459</v>
      </c>
      <c r="CY41" s="17">
        <f t="shared" si="181"/>
        <v>373.49406062267923</v>
      </c>
      <c r="CZ41" s="17">
        <f t="shared" si="181"/>
        <v>420.52308025659983</v>
      </c>
      <c r="DA41" s="17">
        <f t="shared" si="181"/>
        <v>380.76034691804887</v>
      </c>
      <c r="DB41" s="17">
        <f t="shared" si="181"/>
        <v>437.67958956511171</v>
      </c>
      <c r="DE41" s="119"/>
      <c r="DF41" s="25">
        <v>219.93226000000001</v>
      </c>
    </row>
    <row r="42" spans="1:110" s="92" customFormat="1" outlineLevel="1" x14ac:dyDescent="0.2">
      <c r="A42" s="92" t="s">
        <v>109</v>
      </c>
      <c r="B42" s="92">
        <f>'Annual Raw'!C7+'Annual Raw'!C8+'Annual Raw'!C9</f>
        <v>0</v>
      </c>
      <c r="C42" s="92">
        <f>'Annual Raw'!D7+'Annual Raw'!D8+'Annual Raw'!D9</f>
        <v>0</v>
      </c>
      <c r="D42" s="92">
        <f>'Annual Raw'!E7+'Annual Raw'!E8+'Annual Raw'!E9</f>
        <v>0</v>
      </c>
      <c r="E42" s="92">
        <f>'Annual Raw'!F7+'Annual Raw'!F8+'Annual Raw'!F9</f>
        <v>0</v>
      </c>
      <c r="F42" s="92">
        <f>'Annual Raw'!G7+'Annual Raw'!G8+'Annual Raw'!G9</f>
        <v>0</v>
      </c>
      <c r="G42" s="92">
        <f>'Annual Raw'!H7+'Annual Raw'!H8+'Annual Raw'!H9</f>
        <v>0</v>
      </c>
      <c r="H42" s="92">
        <f>'Annual Raw'!I7+'Annual Raw'!I8+'Annual Raw'!I9</f>
        <v>0</v>
      </c>
      <c r="I42" s="92">
        <f>'Annual Raw'!J7+'Annual Raw'!J8+'Annual Raw'!J9</f>
        <v>0</v>
      </c>
      <c r="J42" s="92">
        <f>'Annual Raw'!K7+'Annual Raw'!K8+'Annual Raw'!K9</f>
        <v>0</v>
      </c>
      <c r="K42" s="92">
        <f>'Annual Raw'!L7+'Annual Raw'!L8+'Annual Raw'!L9</f>
        <v>0</v>
      </c>
      <c r="L42" s="92">
        <f>'Annual Raw'!M7+'Annual Raw'!M8+'Annual Raw'!M9</f>
        <v>0</v>
      </c>
      <c r="M42" s="92">
        <f>'Annual Raw'!N7+'Annual Raw'!N8+'Annual Raw'!N9</f>
        <v>0</v>
      </c>
      <c r="N42" s="92">
        <f>'Annual Raw'!O7+'Annual Raw'!O8+'Annual Raw'!O9</f>
        <v>0</v>
      </c>
      <c r="O42" s="92">
        <f>'Annual Raw'!P7+'Annual Raw'!P8+'Annual Raw'!P9</f>
        <v>0</v>
      </c>
      <c r="P42" s="92">
        <f>'Annual Raw'!Q7+'Annual Raw'!Q8+'Annual Raw'!Q9</f>
        <v>0</v>
      </c>
      <c r="Q42" s="92">
        <f>'Annual Raw'!R7+'Annual Raw'!R8+'Annual Raw'!R9</f>
        <v>0</v>
      </c>
      <c r="R42" s="92">
        <f>'Annual Raw'!S7+'Annual Raw'!S8+'Annual Raw'!S9</f>
        <v>0</v>
      </c>
      <c r="S42" s="92">
        <f>'Annual Raw'!T7+'Annual Raw'!T8+'Annual Raw'!T9</f>
        <v>0</v>
      </c>
      <c r="T42" s="92">
        <f>'Annual Raw'!U7+'Annual Raw'!U8+'Annual Raw'!U9</f>
        <v>0</v>
      </c>
      <c r="U42" s="92">
        <f>'Annual Raw'!V7+'Annual Raw'!V8+'Annual Raw'!V9</f>
        <v>0</v>
      </c>
      <c r="V42" s="92">
        <f>'Annual Raw'!W7+'Annual Raw'!W8+'Annual Raw'!W9</f>
        <v>0</v>
      </c>
      <c r="W42" s="92">
        <f>'Annual Raw'!X7+'Annual Raw'!X8+'Annual Raw'!X9</f>
        <v>0</v>
      </c>
      <c r="X42" s="92">
        <f>'Annual Raw'!Y7+'Annual Raw'!Y8+'Annual Raw'!Y9</f>
        <v>0</v>
      </c>
      <c r="Y42" s="92">
        <f>'Annual Raw'!Z7+'Annual Raw'!Z8+'Annual Raw'!Z9</f>
        <v>0</v>
      </c>
      <c r="Z42" s="92">
        <f>'Annual Raw'!AA7+'Annual Raw'!AA8+'Annual Raw'!AA9</f>
        <v>0</v>
      </c>
      <c r="AA42" s="92">
        <f>'Annual Raw'!AB7+'Annual Raw'!AB8+'Annual Raw'!AB9</f>
        <v>0</v>
      </c>
      <c r="AB42" s="76">
        <f>+SUM(CM42:CP42)</f>
        <v>0</v>
      </c>
      <c r="AC42" s="76">
        <f>+SUM(CQ42:CT42)</f>
        <v>0</v>
      </c>
      <c r="AD42" s="76">
        <f>+SUM(CU42:CX42)</f>
        <v>0</v>
      </c>
      <c r="AE42" s="76">
        <f>+SUM(CY42:DB42)</f>
        <v>0</v>
      </c>
      <c r="AI42" s="92">
        <f>+'QTR Raw'!C20+'QTR Raw'!C19+'QTR Raw'!C13+'QTR Raw'!C7</f>
        <v>0</v>
      </c>
      <c r="AJ42" s="92">
        <f>+'QTR Raw'!D20+'QTR Raw'!D19+'QTR Raw'!D13+'QTR Raw'!D7</f>
        <v>0</v>
      </c>
      <c r="AK42" s="92">
        <f>+'QTR Raw'!E20+'QTR Raw'!E19+'QTR Raw'!E13+'QTR Raw'!E7</f>
        <v>0</v>
      </c>
      <c r="AL42" s="92">
        <f>+'QTR Raw'!F20+'QTR Raw'!F19+'QTR Raw'!F13+'QTR Raw'!F7</f>
        <v>0</v>
      </c>
      <c r="AM42" s="92">
        <f>+'QTR Raw'!G20+'QTR Raw'!G19+'QTR Raw'!G13+'QTR Raw'!G7</f>
        <v>0</v>
      </c>
      <c r="AN42" s="92">
        <f>+'QTR Raw'!H20+'QTR Raw'!H19+'QTR Raw'!H13+'QTR Raw'!H7</f>
        <v>0</v>
      </c>
      <c r="AO42" s="92">
        <f>+'QTR Raw'!I20+'QTR Raw'!I19+'QTR Raw'!I13+'QTR Raw'!I7</f>
        <v>0</v>
      </c>
      <c r="AP42" s="92">
        <f>+'QTR Raw'!J20+'QTR Raw'!J19+'QTR Raw'!J13+'QTR Raw'!J7</f>
        <v>0</v>
      </c>
      <c r="AQ42" s="92">
        <f>+'QTR Raw'!K20+'QTR Raw'!K19+'QTR Raw'!K13+'QTR Raw'!K7</f>
        <v>0</v>
      </c>
      <c r="AR42" s="92">
        <f>+'QTR Raw'!L20+'QTR Raw'!L19+'QTR Raw'!L13+'QTR Raw'!L7</f>
        <v>0</v>
      </c>
      <c r="AS42" s="92">
        <f>+'QTR Raw'!M20+'QTR Raw'!M19+'QTR Raw'!M13+'QTR Raw'!M7</f>
        <v>0</v>
      </c>
      <c r="AT42" s="92">
        <f>+'QTR Raw'!N20+'QTR Raw'!N19+'QTR Raw'!N13+'QTR Raw'!N7</f>
        <v>0</v>
      </c>
      <c r="AU42" s="92">
        <f>+'QTR Raw'!O20+'QTR Raw'!O19+'QTR Raw'!O13+'QTR Raw'!O7</f>
        <v>0</v>
      </c>
      <c r="AV42" s="92">
        <f>+'QTR Raw'!P20+'QTR Raw'!P19+'QTR Raw'!P13+'QTR Raw'!P7</f>
        <v>0</v>
      </c>
      <c r="AW42" s="92">
        <f>+'QTR Raw'!Q20+'QTR Raw'!Q19+'QTR Raw'!Q13+'QTR Raw'!Q7</f>
        <v>0</v>
      </c>
      <c r="AX42" s="92">
        <f>+'QTR Raw'!R20+'QTR Raw'!R19+'QTR Raw'!R13+'QTR Raw'!R7</f>
        <v>0</v>
      </c>
      <c r="AY42" s="92">
        <f>+'QTR Raw'!S20+'QTR Raw'!S19+'QTR Raw'!S13+'QTR Raw'!S7</f>
        <v>0</v>
      </c>
      <c r="AZ42" s="92">
        <f>+'QTR Raw'!T20+'QTR Raw'!T19+'QTR Raw'!T13+'QTR Raw'!T7</f>
        <v>0</v>
      </c>
      <c r="BA42" s="92">
        <f>+'QTR Raw'!U20+'QTR Raw'!U19+'QTR Raw'!U13+'QTR Raw'!U7</f>
        <v>0</v>
      </c>
      <c r="BB42" s="92">
        <f>+'QTR Raw'!V20+'QTR Raw'!V19+'QTR Raw'!V13+'QTR Raw'!V7</f>
        <v>0</v>
      </c>
      <c r="BC42" s="92">
        <f>+'QTR Raw'!W20+'QTR Raw'!W19+'QTR Raw'!W13+'QTR Raw'!W7</f>
        <v>0</v>
      </c>
      <c r="BD42" s="92">
        <f>+'QTR Raw'!X20+'QTR Raw'!X19+'QTR Raw'!X13+'QTR Raw'!X7</f>
        <v>0</v>
      </c>
      <c r="BE42" s="92">
        <f>+'QTR Raw'!Y20+'QTR Raw'!Y19+'QTR Raw'!Y13+'QTR Raw'!Y7</f>
        <v>0</v>
      </c>
      <c r="BF42" s="92">
        <f>+'QTR Raw'!Z20+'QTR Raw'!Z19+'QTR Raw'!Z13+'QTR Raw'!Z7</f>
        <v>0</v>
      </c>
      <c r="BG42" s="92">
        <f>+'QTR Raw'!AA20+'QTR Raw'!AA19+'QTR Raw'!AA13+'QTR Raw'!AA7</f>
        <v>0</v>
      </c>
      <c r="BH42" s="92">
        <f>+'QTR Raw'!AB20+'QTR Raw'!AB19+'QTR Raw'!AB13+'QTR Raw'!AB7</f>
        <v>0</v>
      </c>
      <c r="BI42" s="92">
        <f>+'QTR Raw'!AC20+'QTR Raw'!AC19+'QTR Raw'!AC13+'QTR Raw'!AC7</f>
        <v>0</v>
      </c>
      <c r="BJ42" s="92">
        <f>+'QTR Raw'!AD20+'QTR Raw'!AD19+'QTR Raw'!AD13+'QTR Raw'!AD7</f>
        <v>0</v>
      </c>
      <c r="BK42" s="92">
        <f>+'QTR Raw'!AE20+'QTR Raw'!AE19+'QTR Raw'!AE13+'QTR Raw'!AE7</f>
        <v>0</v>
      </c>
      <c r="BL42" s="92">
        <f>+'QTR Raw'!AF20+'QTR Raw'!AF19+'QTR Raw'!AF13+'QTR Raw'!AF7</f>
        <v>0</v>
      </c>
      <c r="BM42" s="92">
        <f>+'QTR Raw'!AG20+'QTR Raw'!AG19+'QTR Raw'!AG13+'QTR Raw'!AG7</f>
        <v>0</v>
      </c>
      <c r="BN42" s="92">
        <f>+'QTR Raw'!AH20+'QTR Raw'!AH19+'QTR Raw'!AH13+'QTR Raw'!AH7</f>
        <v>0</v>
      </c>
      <c r="BO42" s="92">
        <f>+'QTR Raw'!AI20+'QTR Raw'!AI19+'QTR Raw'!AI13+'QTR Raw'!AI7</f>
        <v>0</v>
      </c>
      <c r="BP42" s="92">
        <f>+'QTR Raw'!AJ20+'QTR Raw'!AJ19+'QTR Raw'!AJ13+'QTR Raw'!AJ7</f>
        <v>0</v>
      </c>
      <c r="BQ42" s="92">
        <f>+'QTR Raw'!AK20+'QTR Raw'!AK19+'QTR Raw'!AK13+'QTR Raw'!AK7</f>
        <v>0</v>
      </c>
      <c r="BR42" s="92">
        <f>+'QTR Raw'!AL20+'QTR Raw'!AL19+'QTR Raw'!AL13+'QTR Raw'!AL7</f>
        <v>0</v>
      </c>
      <c r="BS42" s="92">
        <f>+'QTR Raw'!AM20+'QTR Raw'!AM19+'QTR Raw'!AM13+'QTR Raw'!AM7</f>
        <v>0</v>
      </c>
      <c r="BT42" s="92">
        <f>+'QTR Raw'!AN20+'QTR Raw'!AN19+'QTR Raw'!AN13+'QTR Raw'!AN7</f>
        <v>0</v>
      </c>
      <c r="BU42" s="92">
        <f>+'QTR Raw'!AO20+'QTR Raw'!AO19+'QTR Raw'!AO13+'QTR Raw'!AO7</f>
        <v>0</v>
      </c>
      <c r="BV42" s="92">
        <f>+'QTR Raw'!AP20+'QTR Raw'!AP19+'QTR Raw'!AP13+'QTR Raw'!AP7</f>
        <v>0</v>
      </c>
      <c r="BW42" s="92">
        <f>+'QTR Raw'!AQ20+'QTR Raw'!AQ19+'QTR Raw'!AQ13+'QTR Raw'!AQ7</f>
        <v>0</v>
      </c>
      <c r="BX42" s="92">
        <f>+'QTR Raw'!AR20+'QTR Raw'!AR19+'QTR Raw'!AR13+'QTR Raw'!AR7</f>
        <v>0</v>
      </c>
      <c r="BY42" s="92">
        <f>+'QTR Raw'!AS20+'QTR Raw'!AS19+'QTR Raw'!AS13+'QTR Raw'!AS7</f>
        <v>0</v>
      </c>
      <c r="BZ42" s="92">
        <f>+'QTR Raw'!AT20+'QTR Raw'!AT19+'QTR Raw'!AT13+'QTR Raw'!AT7</f>
        <v>0</v>
      </c>
      <c r="CA42" s="92">
        <f>+'QTR Raw'!AU20+'QTR Raw'!AU19+'QTR Raw'!AU13+'QTR Raw'!AU7</f>
        <v>0</v>
      </c>
      <c r="CB42" s="92">
        <f>+'QTR Raw'!AV20+'QTR Raw'!AV19+'QTR Raw'!AV13+'QTR Raw'!AV7</f>
        <v>0</v>
      </c>
      <c r="CC42" s="92">
        <f>+'QTR Raw'!AW20+'QTR Raw'!AW19+'QTR Raw'!AW13+'QTR Raw'!AW7</f>
        <v>0</v>
      </c>
      <c r="CD42" s="92">
        <f>+'QTR Raw'!AX20+'QTR Raw'!AX19+'QTR Raw'!AX13+'QTR Raw'!AX7</f>
        <v>0</v>
      </c>
      <c r="CE42" s="92">
        <f>+'QTR Raw'!AY20+'QTR Raw'!AY19+'QTR Raw'!AY13+'QTR Raw'!AY7</f>
        <v>0</v>
      </c>
      <c r="CF42" s="92">
        <f>+'QTR Raw'!AZ20+'QTR Raw'!AZ19+'QTR Raw'!AZ13+'QTR Raw'!AZ7</f>
        <v>0</v>
      </c>
      <c r="CG42" s="92">
        <f>+'QTR Raw'!BA20+'QTR Raw'!BA19+'QTR Raw'!BA13+'QTR Raw'!BA7</f>
        <v>0</v>
      </c>
      <c r="CH42" s="92">
        <f>+'QTR Raw'!BB20+'QTR Raw'!BB19+'QTR Raw'!BB13+'QTR Raw'!BB7</f>
        <v>0</v>
      </c>
      <c r="CI42" s="92">
        <f>+'QTR Raw'!BC20+'QTR Raw'!BC19+'QTR Raw'!BC13+'QTR Raw'!BC7</f>
        <v>0</v>
      </c>
      <c r="CJ42" s="92">
        <f>+'QTR Raw'!BD20+'QTR Raw'!BD19+'QTR Raw'!BD13+'QTR Raw'!BD7</f>
        <v>0</v>
      </c>
      <c r="CK42" s="92">
        <f>+'QTR Raw'!BE20+'QTR Raw'!BE19+'QTR Raw'!BE13+'QTR Raw'!BE7</f>
        <v>0</v>
      </c>
      <c r="CL42" s="92">
        <f>+'QTR Raw'!BF20+'QTR Raw'!BF19+'QTR Raw'!BF13+'QTR Raw'!BF7</f>
        <v>0</v>
      </c>
      <c r="CM42" s="74"/>
      <c r="CN42" s="74"/>
      <c r="CO42" s="74"/>
      <c r="CP42" s="74"/>
      <c r="CQ42" s="74"/>
      <c r="CR42" s="74"/>
      <c r="CS42" s="74"/>
      <c r="CT42" s="74"/>
      <c r="CU42" s="74"/>
      <c r="CV42" s="74"/>
      <c r="CW42" s="74"/>
      <c r="CX42" s="74"/>
      <c r="CY42" s="74"/>
      <c r="CZ42" s="74"/>
      <c r="DA42" s="74"/>
      <c r="DB42" s="74"/>
      <c r="DE42" s="120"/>
      <c r="DF42" s="92">
        <v>0</v>
      </c>
    </row>
    <row r="43" spans="1:110" s="26" customFormat="1" x14ac:dyDescent="0.2">
      <c r="A43" s="26" t="s">
        <v>431</v>
      </c>
      <c r="B43" s="26">
        <f>+B41-B42</f>
        <v>0</v>
      </c>
      <c r="C43" s="26">
        <f>+C41-C42</f>
        <v>0</v>
      </c>
      <c r="D43" s="26">
        <f t="shared" ref="D43:U43" si="182">+D41-D42</f>
        <v>0</v>
      </c>
      <c r="E43" s="26">
        <f t="shared" si="182"/>
        <v>0</v>
      </c>
      <c r="F43" s="26">
        <f t="shared" si="182"/>
        <v>0</v>
      </c>
      <c r="G43" s="26">
        <f t="shared" si="182"/>
        <v>0</v>
      </c>
      <c r="H43" s="26">
        <f t="shared" si="182"/>
        <v>33.754413999999997</v>
      </c>
      <c r="I43" s="26">
        <f t="shared" si="182"/>
        <v>44.410636199999999</v>
      </c>
      <c r="J43" s="26">
        <f t="shared" si="182"/>
        <v>45.278377300000002</v>
      </c>
      <c r="K43" s="26">
        <f t="shared" si="182"/>
        <v>58.3431049</v>
      </c>
      <c r="L43" s="26">
        <f t="shared" si="182"/>
        <v>77.864999999999995</v>
      </c>
      <c r="M43" s="26">
        <f t="shared" si="182"/>
        <v>109.07599999999999</v>
      </c>
      <c r="N43" s="26">
        <f t="shared" si="182"/>
        <v>134.261</v>
      </c>
      <c r="O43" s="26">
        <f t="shared" si="182"/>
        <v>149.97800000000001</v>
      </c>
      <c r="P43" s="26">
        <f t="shared" si="182"/>
        <v>182.958</v>
      </c>
      <c r="Q43" s="26">
        <f t="shared" si="182"/>
        <v>240.965</v>
      </c>
      <c r="R43" s="26">
        <f t="shared" si="182"/>
        <v>304.387</v>
      </c>
      <c r="S43" s="26">
        <f t="shared" si="182"/>
        <v>356.32</v>
      </c>
      <c r="T43" s="26">
        <f t="shared" si="182"/>
        <v>402.91</v>
      </c>
      <c r="U43" s="26">
        <f t="shared" si="182"/>
        <v>434.26</v>
      </c>
      <c r="V43" s="26">
        <f>+V41-V42</f>
        <v>494.62</v>
      </c>
      <c r="W43" s="26">
        <f>+W41-W42</f>
        <v>588.86</v>
      </c>
      <c r="X43" s="26">
        <f>+X41-X42</f>
        <v>526.66999999999996</v>
      </c>
      <c r="Y43" s="26">
        <f>+Y41-Y42</f>
        <v>571.88</v>
      </c>
      <c r="Z43" s="26">
        <f>+Z41-Z42</f>
        <v>687.35</v>
      </c>
      <c r="AA43" s="26">
        <f>+AA41-AA42</f>
        <v>829.04</v>
      </c>
      <c r="AB43" s="27">
        <f t="shared" ref="AB43:AD43" si="183">+AB41-AB42</f>
        <v>969.11996500000009</v>
      </c>
      <c r="AC43" s="27">
        <f t="shared" si="183"/>
        <v>1146.9551262309999</v>
      </c>
      <c r="AD43" s="27">
        <f t="shared" si="183"/>
        <v>1359.1836076440754</v>
      </c>
      <c r="AE43" s="27">
        <f t="shared" ref="AE43" si="184">+AE41-AE42</f>
        <v>1612.4570773624396</v>
      </c>
      <c r="AI43" s="26">
        <f t="shared" ref="AI43" si="185">+AI41-AI42</f>
        <v>0</v>
      </c>
      <c r="AJ43" s="26">
        <f t="shared" ref="AJ43" si="186">+AJ41-AJ42</f>
        <v>0</v>
      </c>
      <c r="AK43" s="26">
        <f t="shared" ref="AK43:AM43" si="187">+AK41-AK42</f>
        <v>0</v>
      </c>
      <c r="AL43" s="26">
        <f t="shared" si="187"/>
        <v>0</v>
      </c>
      <c r="AM43" s="26">
        <f t="shared" si="187"/>
        <v>0</v>
      </c>
      <c r="AN43" s="26">
        <f t="shared" ref="AN43:AO43" si="188">+AN41-AN42</f>
        <v>0</v>
      </c>
      <c r="AO43" s="26">
        <f t="shared" si="188"/>
        <v>0</v>
      </c>
      <c r="AP43" s="26">
        <f t="shared" ref="AP43:AW43" si="189">+AP41-AP42</f>
        <v>0</v>
      </c>
      <c r="AQ43" s="26">
        <f t="shared" si="189"/>
        <v>0</v>
      </c>
      <c r="AR43" s="26">
        <f t="shared" si="189"/>
        <v>0</v>
      </c>
      <c r="AS43" s="26">
        <f t="shared" si="189"/>
        <v>0</v>
      </c>
      <c r="AT43" s="26">
        <f t="shared" si="189"/>
        <v>0</v>
      </c>
      <c r="AU43" s="26">
        <f t="shared" si="189"/>
        <v>56.994999999999997</v>
      </c>
      <c r="AV43" s="26">
        <f t="shared" si="189"/>
        <v>62.265000000000001</v>
      </c>
      <c r="AW43" s="26">
        <f t="shared" si="189"/>
        <v>56.652000000000001</v>
      </c>
      <c r="AX43" s="26">
        <f t="shared" ref="AX43:CF43" si="190">+AX41-AX42</f>
        <v>65.055000000000007</v>
      </c>
      <c r="AY43" s="26">
        <f t="shared" si="190"/>
        <v>68.745000000000005</v>
      </c>
      <c r="AZ43" s="26">
        <f t="shared" si="190"/>
        <v>78.147999999999996</v>
      </c>
      <c r="BA43" s="26">
        <f t="shared" si="190"/>
        <v>70.378</v>
      </c>
      <c r="BB43" s="26">
        <f t="shared" si="190"/>
        <v>87.116</v>
      </c>
      <c r="BC43" s="26">
        <f t="shared" si="190"/>
        <v>87.76</v>
      </c>
      <c r="BD43" s="26">
        <f t="shared" si="190"/>
        <v>88.036000000000001</v>
      </c>
      <c r="BE43" s="26">
        <f t="shared" si="190"/>
        <v>83.87</v>
      </c>
      <c r="BF43" s="26">
        <f t="shared" si="190"/>
        <v>96.66</v>
      </c>
      <c r="BG43" s="26">
        <f t="shared" si="190"/>
        <v>97.15</v>
      </c>
      <c r="BH43" s="26">
        <f t="shared" si="190"/>
        <v>103.88</v>
      </c>
      <c r="BI43" s="26">
        <f t="shared" si="190"/>
        <v>96.29</v>
      </c>
      <c r="BJ43" s="26">
        <f t="shared" si="190"/>
        <v>105.59</v>
      </c>
      <c r="BK43" s="26">
        <f t="shared" si="190"/>
        <v>109.73</v>
      </c>
      <c r="BL43" s="26">
        <f t="shared" si="190"/>
        <v>116.24</v>
      </c>
      <c r="BM43" s="26">
        <f t="shared" si="190"/>
        <v>105.79</v>
      </c>
      <c r="BN43" s="26">
        <f t="shared" si="190"/>
        <v>101.44</v>
      </c>
      <c r="BO43" s="26">
        <f t="shared" si="190"/>
        <v>56.27</v>
      </c>
      <c r="BP43" s="26">
        <f t="shared" si="190"/>
        <v>153.25</v>
      </c>
      <c r="BQ43" s="26">
        <f t="shared" si="190"/>
        <v>138.27000000000001</v>
      </c>
      <c r="BR43" s="26">
        <f t="shared" si="190"/>
        <v>146.84</v>
      </c>
      <c r="BS43" s="26">
        <f t="shared" si="190"/>
        <v>164.65</v>
      </c>
      <c r="BT43" s="26">
        <f t="shared" si="190"/>
        <v>176.21</v>
      </c>
      <c r="BU43" s="26">
        <f t="shared" si="190"/>
        <v>117.4</v>
      </c>
      <c r="BV43" s="26">
        <f t="shared" si="190"/>
        <v>130.56</v>
      </c>
      <c r="BW43" s="26">
        <f t="shared" si="190"/>
        <v>127.79</v>
      </c>
      <c r="BX43" s="26">
        <f t="shared" si="190"/>
        <v>134.97</v>
      </c>
      <c r="BY43" s="26">
        <f t="shared" si="190"/>
        <v>128.03</v>
      </c>
      <c r="BZ43" s="26">
        <f t="shared" si="190"/>
        <v>135.88</v>
      </c>
      <c r="CA43" s="26">
        <f t="shared" si="190"/>
        <v>134.88999999999999</v>
      </c>
      <c r="CB43" s="26">
        <f t="shared" si="190"/>
        <v>148</v>
      </c>
      <c r="CC43" s="26">
        <f t="shared" si="190"/>
        <v>134.74</v>
      </c>
      <c r="CD43" s="26">
        <f t="shared" si="190"/>
        <v>154.25</v>
      </c>
      <c r="CE43" s="26">
        <f t="shared" si="190"/>
        <v>156.91</v>
      </c>
      <c r="CF43" s="26">
        <f t="shared" si="190"/>
        <v>177.36</v>
      </c>
      <c r="CG43" s="26">
        <f t="shared" ref="CG43:CH43" si="191">+CG41-CG42</f>
        <v>165.92</v>
      </c>
      <c r="CH43" s="26">
        <f t="shared" si="191"/>
        <v>187.16</v>
      </c>
      <c r="CI43" s="26">
        <f t="shared" ref="CI43:CJ43" si="192">+CI41-CI42</f>
        <v>193.03</v>
      </c>
      <c r="CJ43" s="26">
        <f t="shared" si="192"/>
        <v>216.53</v>
      </c>
      <c r="CK43" s="26">
        <f t="shared" ref="CK43:CL43" si="193">+CK41-CK42</f>
        <v>195.53</v>
      </c>
      <c r="CL43" s="26">
        <f t="shared" si="193"/>
        <v>223.95</v>
      </c>
      <c r="CM43" s="27">
        <f t="shared" ref="CM43:DB43" si="194">+CM41-CM42</f>
        <v>224.85269500000004</v>
      </c>
      <c r="CN43" s="27">
        <f t="shared" si="194"/>
        <v>252.52260999999999</v>
      </c>
      <c r="CO43" s="27">
        <f t="shared" si="194"/>
        <v>229.12787500000005</v>
      </c>
      <c r="CP43" s="27">
        <f t="shared" si="194"/>
        <v>262.61678499999999</v>
      </c>
      <c r="CQ43" s="27">
        <f t="shared" si="194"/>
        <v>265.94104621299999</v>
      </c>
      <c r="CR43" s="27">
        <f t="shared" si="194"/>
        <v>298.96232277400003</v>
      </c>
      <c r="CS43" s="27">
        <f t="shared" si="194"/>
        <v>271.04304602499997</v>
      </c>
      <c r="CT43" s="27">
        <f t="shared" si="194"/>
        <v>311.00871121899996</v>
      </c>
      <c r="CU43" s="27">
        <f t="shared" si="194"/>
        <v>314.97588455059429</v>
      </c>
      <c r="CV43" s="27">
        <f t="shared" si="194"/>
        <v>354.38347599849158</v>
      </c>
      <c r="CW43" s="27">
        <f t="shared" si="194"/>
        <v>321.06461112623492</v>
      </c>
      <c r="CX43" s="27">
        <f t="shared" si="194"/>
        <v>368.75963596875459</v>
      </c>
      <c r="CY43" s="27">
        <f t="shared" si="194"/>
        <v>373.49406062267923</v>
      </c>
      <c r="CZ43" s="27">
        <f t="shared" si="194"/>
        <v>420.52308025659983</v>
      </c>
      <c r="DA43" s="27">
        <f t="shared" si="194"/>
        <v>380.76034691804887</v>
      </c>
      <c r="DB43" s="27">
        <f t="shared" si="194"/>
        <v>437.67958956511171</v>
      </c>
      <c r="DE43" s="121"/>
      <c r="DF43" s="26">
        <v>219.93226000000001</v>
      </c>
    </row>
    <row r="44" spans="1:110" s="39" customFormat="1" x14ac:dyDescent="0.2">
      <c r="A44" s="39" t="s">
        <v>484</v>
      </c>
      <c r="C44" s="39" t="e">
        <f t="shared" ref="C44" si="195">C43/B43-1</f>
        <v>#DIV/0!</v>
      </c>
      <c r="D44" s="39" t="e">
        <f t="shared" ref="D44" si="196">D43/C43-1</f>
        <v>#DIV/0!</v>
      </c>
      <c r="E44" s="39" t="e">
        <f t="shared" ref="E44" si="197">E43/D43-1</f>
        <v>#DIV/0!</v>
      </c>
      <c r="F44" s="39" t="e">
        <f t="shared" ref="F44:R44" si="198">F43/E43-1</f>
        <v>#DIV/0!</v>
      </c>
      <c r="G44" s="39" t="e">
        <f t="shared" si="198"/>
        <v>#DIV/0!</v>
      </c>
      <c r="H44" s="39" t="e">
        <f t="shared" si="198"/>
        <v>#DIV/0!</v>
      </c>
      <c r="I44" s="39">
        <f t="shared" si="198"/>
        <v>0.31569862833346773</v>
      </c>
      <c r="J44" s="39">
        <f t="shared" si="198"/>
        <v>1.9539037812748239E-2</v>
      </c>
      <c r="K44" s="39">
        <f>K43/J43-1</f>
        <v>0.28854231045952261</v>
      </c>
      <c r="L44" s="39">
        <f t="shared" si="198"/>
        <v>0.33460500831178752</v>
      </c>
      <c r="M44" s="39">
        <f t="shared" si="198"/>
        <v>0.40083477814165547</v>
      </c>
      <c r="N44" s="39">
        <f t="shared" si="198"/>
        <v>0.23089405552092113</v>
      </c>
      <c r="O44" s="39">
        <f t="shared" si="198"/>
        <v>0.1170630339413532</v>
      </c>
      <c r="P44" s="39">
        <f t="shared" si="198"/>
        <v>0.21989891850804777</v>
      </c>
      <c r="Q44" s="39">
        <f t="shared" si="198"/>
        <v>0.31705090785863432</v>
      </c>
      <c r="R44" s="39">
        <f t="shared" si="198"/>
        <v>0.26320004979976352</v>
      </c>
      <c r="S44" s="39">
        <f t="shared" ref="S44:AA44" si="199">S43/R43-1</f>
        <v>0.17061503940707068</v>
      </c>
      <c r="T44" s="39">
        <f t="shared" si="199"/>
        <v>0.13075325550067363</v>
      </c>
      <c r="U44" s="39">
        <f t="shared" si="199"/>
        <v>7.7808939961778067E-2</v>
      </c>
      <c r="V44" s="39">
        <f t="shared" si="199"/>
        <v>0.13899507207663619</v>
      </c>
      <c r="W44" s="39">
        <f t="shared" si="199"/>
        <v>0.1905301039181595</v>
      </c>
      <c r="X44" s="39">
        <f t="shared" si="199"/>
        <v>-0.10561084128655374</v>
      </c>
      <c r="Y44" s="39">
        <f t="shared" si="199"/>
        <v>8.5841228852981954E-2</v>
      </c>
      <c r="Z44" s="39">
        <f t="shared" si="199"/>
        <v>0.2019129887388964</v>
      </c>
      <c r="AA44" s="39">
        <f t="shared" si="199"/>
        <v>0.20613952135011271</v>
      </c>
      <c r="AB44" s="40">
        <f t="shared" ref="AB44" si="200">AB43/AA43-1</f>
        <v>0.16896647327028869</v>
      </c>
      <c r="AC44" s="40">
        <f t="shared" ref="AC44" si="201">AC43/AB43-1</f>
        <v>0.18350170015432488</v>
      </c>
      <c r="AD44" s="40">
        <f t="shared" ref="AD44" si="202">AD43/AC43-1</f>
        <v>0.18503642955106514</v>
      </c>
      <c r="AE44" s="40">
        <f t="shared" ref="AE44" si="203">AE43/AD43-1</f>
        <v>0.18634235161014967</v>
      </c>
      <c r="AM44" s="39" t="e">
        <f t="shared" ref="AM44:CI44" si="204">+IF(AI43&lt;0,1-AM43/AI43,AM43/AI43-1)</f>
        <v>#DIV/0!</v>
      </c>
      <c r="AN44" s="39" t="e">
        <f t="shared" si="204"/>
        <v>#DIV/0!</v>
      </c>
      <c r="AO44" s="39" t="e">
        <f t="shared" si="204"/>
        <v>#DIV/0!</v>
      </c>
      <c r="AP44" s="39" t="e">
        <f t="shared" si="204"/>
        <v>#DIV/0!</v>
      </c>
      <c r="AQ44" s="39" t="e">
        <f t="shared" si="204"/>
        <v>#DIV/0!</v>
      </c>
      <c r="AR44" s="39" t="e">
        <f t="shared" si="204"/>
        <v>#DIV/0!</v>
      </c>
      <c r="AS44" s="39" t="e">
        <f t="shared" si="204"/>
        <v>#DIV/0!</v>
      </c>
      <c r="AT44" s="39" t="e">
        <f t="shared" si="204"/>
        <v>#DIV/0!</v>
      </c>
      <c r="AU44" s="39" t="e">
        <f t="shared" si="204"/>
        <v>#DIV/0!</v>
      </c>
      <c r="AV44" s="39" t="e">
        <f t="shared" si="204"/>
        <v>#DIV/0!</v>
      </c>
      <c r="AW44" s="39" t="e">
        <f t="shared" si="204"/>
        <v>#DIV/0!</v>
      </c>
      <c r="AX44" s="39" t="e">
        <f t="shared" si="204"/>
        <v>#DIV/0!</v>
      </c>
      <c r="AY44" s="39">
        <f t="shared" si="204"/>
        <v>0.2061584349504344</v>
      </c>
      <c r="AZ44" s="39">
        <f t="shared" si="204"/>
        <v>0.25508712759977503</v>
      </c>
      <c r="BA44" s="39">
        <f t="shared" si="204"/>
        <v>0.24228623879121658</v>
      </c>
      <c r="BB44" s="39">
        <f t="shared" si="204"/>
        <v>0.33911305818153847</v>
      </c>
      <c r="BC44" s="39">
        <f t="shared" si="204"/>
        <v>0.27660193468615901</v>
      </c>
      <c r="BD44" s="39">
        <f t="shared" si="204"/>
        <v>0.12652914981829366</v>
      </c>
      <c r="BE44" s="39">
        <f t="shared" si="204"/>
        <v>0.1917076359089489</v>
      </c>
      <c r="BF44" s="39">
        <f t="shared" si="204"/>
        <v>0.10955507599063319</v>
      </c>
      <c r="BG44" s="39">
        <f t="shared" si="204"/>
        <v>0.10699635369188698</v>
      </c>
      <c r="BH44" s="39">
        <f t="shared" si="204"/>
        <v>0.17997182970602932</v>
      </c>
      <c r="BI44" s="39">
        <f t="shared" si="204"/>
        <v>0.14808632407297018</v>
      </c>
      <c r="BJ44" s="39">
        <f t="shared" si="204"/>
        <v>9.2385681771156802E-2</v>
      </c>
      <c r="BK44" s="39">
        <f t="shared" si="204"/>
        <v>0.12949047864127627</v>
      </c>
      <c r="BL44" s="39">
        <f t="shared" si="204"/>
        <v>0.11898344243357717</v>
      </c>
      <c r="BM44" s="39">
        <f t="shared" si="204"/>
        <v>9.8660297019420584E-2</v>
      </c>
      <c r="BN44" s="39">
        <f t="shared" si="204"/>
        <v>-3.9302964295861442E-2</v>
      </c>
      <c r="BO44" s="39">
        <f t="shared" si="204"/>
        <v>-0.48719584434521102</v>
      </c>
      <c r="BP44" s="39">
        <f t="shared" si="204"/>
        <v>0.3183929800412939</v>
      </c>
      <c r="BQ44" s="39">
        <f t="shared" si="204"/>
        <v>0.30702334814254661</v>
      </c>
      <c r="BR44" s="39">
        <f t="shared" si="204"/>
        <v>0.4475552050473186</v>
      </c>
      <c r="BS44" s="39">
        <f t="shared" si="204"/>
        <v>1.9260707304069662</v>
      </c>
      <c r="BT44" s="39">
        <f t="shared" si="204"/>
        <v>0.14982055464926591</v>
      </c>
      <c r="BU44" s="39">
        <f t="shared" si="204"/>
        <v>-0.15093657337094091</v>
      </c>
      <c r="BV44" s="39">
        <f t="shared" si="204"/>
        <v>-0.11086897303187138</v>
      </c>
      <c r="BW44" s="39">
        <f t="shared" si="204"/>
        <v>-0.22386881263285752</v>
      </c>
      <c r="BX44" s="39">
        <f t="shared" si="204"/>
        <v>-0.23403893082117933</v>
      </c>
      <c r="BY44" s="39">
        <f t="shared" si="204"/>
        <v>9.0545144804088595E-2</v>
      </c>
      <c r="BZ44" s="39">
        <f t="shared" si="204"/>
        <v>4.0747549019607865E-2</v>
      </c>
      <c r="CA44" s="39">
        <f t="shared" si="204"/>
        <v>5.5559902965803154E-2</v>
      </c>
      <c r="CB44" s="39">
        <f t="shared" si="204"/>
        <v>9.6539971845595263E-2</v>
      </c>
      <c r="CC44" s="39">
        <f t="shared" si="204"/>
        <v>5.2409591501991759E-2</v>
      </c>
      <c r="CD44" s="39">
        <f t="shared" si="204"/>
        <v>0.13519281719163967</v>
      </c>
      <c r="CE44" s="39">
        <f t="shared" si="204"/>
        <v>0.16324412484246431</v>
      </c>
      <c r="CF44" s="39">
        <f t="shared" si="204"/>
        <v>0.19837837837837857</v>
      </c>
      <c r="CG44" s="39">
        <f t="shared" si="204"/>
        <v>0.23140863886002649</v>
      </c>
      <c r="CH44" s="39">
        <f t="shared" si="204"/>
        <v>0.21335494327390592</v>
      </c>
      <c r="CI44" s="39">
        <f t="shared" si="204"/>
        <v>0.23019565355936522</v>
      </c>
      <c r="CJ44" s="39">
        <f>+IF(CF43&lt;0,1-CJ43/CF43,CJ43/CF43-1)</f>
        <v>0.22085024808299503</v>
      </c>
      <c r="CK44" s="39">
        <f>+IF(CG43&lt;0,1-CK43/CG43,CK43/CG43-1)</f>
        <v>0.17845949855351995</v>
      </c>
      <c r="CL44" s="39">
        <f>+IF(CH43&lt;0,1-CL43/CH43,CL43/CH43-1)</f>
        <v>0.19656977986749302</v>
      </c>
      <c r="CM44" s="40">
        <f t="shared" ref="CM44:DB44" si="205">+IF(CI43&lt;0,1-CM43/CI43,CM43/CI43-1)</f>
        <v>0.16485880433093314</v>
      </c>
      <c r="CN44" s="40">
        <f t="shared" si="205"/>
        <v>0.16622458781693061</v>
      </c>
      <c r="CO44" s="40">
        <f t="shared" si="205"/>
        <v>0.17182977036771874</v>
      </c>
      <c r="CP44" s="40">
        <f t="shared" si="205"/>
        <v>0.1726581156508149</v>
      </c>
      <c r="CQ44" s="40">
        <f t="shared" si="205"/>
        <v>0.18273452854545491</v>
      </c>
      <c r="CR44" s="40">
        <f t="shared" si="205"/>
        <v>0.1839031870215504</v>
      </c>
      <c r="CS44" s="40">
        <f t="shared" si="205"/>
        <v>0.18293353013028169</v>
      </c>
      <c r="CT44" s="40">
        <f t="shared" si="205"/>
        <v>0.18426821506858349</v>
      </c>
      <c r="CU44" s="40">
        <f t="shared" si="205"/>
        <v>0.18438236231619864</v>
      </c>
      <c r="CV44" s="40">
        <f t="shared" si="205"/>
        <v>0.18537838718354838</v>
      </c>
      <c r="CW44" s="40">
        <f t="shared" si="205"/>
        <v>0.18455210651898124</v>
      </c>
      <c r="CX44" s="40">
        <f t="shared" si="205"/>
        <v>0.18568909058334615</v>
      </c>
      <c r="CY44" s="40">
        <f t="shared" si="205"/>
        <v>0.18578621076206625</v>
      </c>
      <c r="CZ44" s="40">
        <f t="shared" si="205"/>
        <v>0.18663286732474438</v>
      </c>
      <c r="DA44" s="40">
        <f t="shared" si="205"/>
        <v>0.18593060001976669</v>
      </c>
      <c r="DB44" s="40">
        <f t="shared" si="205"/>
        <v>0.18689668519522229</v>
      </c>
      <c r="DE44" s="122"/>
      <c r="DF44" s="39">
        <v>0.17510290660397532</v>
      </c>
    </row>
    <row r="45" spans="1:110" s="39" customFormat="1" x14ac:dyDescent="0.2">
      <c r="A45" s="39" t="s">
        <v>446</v>
      </c>
      <c r="AB45" s="40"/>
      <c r="AC45" s="40"/>
      <c r="AD45" s="40"/>
      <c r="AE45" s="40"/>
      <c r="AJ45" s="39" t="e">
        <f t="shared" ref="AJ45:AL45" si="206">+IF(AI43&lt;0,1-AJ43/AI43,AJ43/AI43-1)</f>
        <v>#DIV/0!</v>
      </c>
      <c r="AK45" s="39" t="e">
        <f t="shared" si="206"/>
        <v>#DIV/0!</v>
      </c>
      <c r="AL45" s="39" t="e">
        <f t="shared" si="206"/>
        <v>#DIV/0!</v>
      </c>
      <c r="AM45" s="39" t="e">
        <f t="shared" ref="AM45:CI45" si="207">+IF(AL43&lt;0,1-AM43/AL43,AM43/AL43-1)</f>
        <v>#DIV/0!</v>
      </c>
      <c r="AN45" s="39" t="e">
        <f t="shared" si="207"/>
        <v>#DIV/0!</v>
      </c>
      <c r="AO45" s="39" t="e">
        <f t="shared" si="207"/>
        <v>#DIV/0!</v>
      </c>
      <c r="AP45" s="39" t="e">
        <f t="shared" si="207"/>
        <v>#DIV/0!</v>
      </c>
      <c r="AQ45" s="39" t="e">
        <f t="shared" si="207"/>
        <v>#DIV/0!</v>
      </c>
      <c r="AR45" s="39" t="e">
        <f t="shared" si="207"/>
        <v>#DIV/0!</v>
      </c>
      <c r="AS45" s="39" t="e">
        <f t="shared" si="207"/>
        <v>#DIV/0!</v>
      </c>
      <c r="AT45" s="39" t="e">
        <f t="shared" si="207"/>
        <v>#DIV/0!</v>
      </c>
      <c r="AU45" s="39" t="e">
        <f t="shared" si="207"/>
        <v>#DIV/0!</v>
      </c>
      <c r="AV45" s="39">
        <f t="shared" si="207"/>
        <v>9.2464251250109708E-2</v>
      </c>
      <c r="AW45" s="39">
        <f t="shared" si="207"/>
        <v>-9.0146952541556247E-2</v>
      </c>
      <c r="AX45" s="39">
        <f t="shared" si="207"/>
        <v>0.14832662571489097</v>
      </c>
      <c r="AY45" s="39">
        <f t="shared" si="207"/>
        <v>5.6721235877334575E-2</v>
      </c>
      <c r="AZ45" s="39">
        <f t="shared" si="207"/>
        <v>0.13678085678958452</v>
      </c>
      <c r="BA45" s="39">
        <f t="shared" si="207"/>
        <v>-9.9426728771049744E-2</v>
      </c>
      <c r="BB45" s="39">
        <f t="shared" si="207"/>
        <v>0.23783000369433638</v>
      </c>
      <c r="BC45" s="39">
        <f t="shared" si="207"/>
        <v>7.3924422608935281E-3</v>
      </c>
      <c r="BD45" s="39">
        <f t="shared" si="207"/>
        <v>3.1449407474930524E-3</v>
      </c>
      <c r="BE45" s="39">
        <f t="shared" si="207"/>
        <v>-4.7321550274887492E-2</v>
      </c>
      <c r="BF45" s="39">
        <f t="shared" si="207"/>
        <v>0.15249791343746266</v>
      </c>
      <c r="BG45" s="39">
        <f t="shared" si="207"/>
        <v>5.0693151251810509E-3</v>
      </c>
      <c r="BH45" s="39">
        <f t="shared" si="207"/>
        <v>6.9274318064848073E-2</v>
      </c>
      <c r="BI45" s="39">
        <f t="shared" si="207"/>
        <v>-7.3065075086638287E-2</v>
      </c>
      <c r="BJ45" s="39">
        <f t="shared" si="207"/>
        <v>9.6583238134801075E-2</v>
      </c>
      <c r="BK45" s="39">
        <f t="shared" si="207"/>
        <v>3.9208258357799064E-2</v>
      </c>
      <c r="BL45" s="39">
        <f t="shared" si="207"/>
        <v>5.9327440080196858E-2</v>
      </c>
      <c r="BM45" s="39">
        <f t="shared" si="207"/>
        <v>-8.9900206469373578E-2</v>
      </c>
      <c r="BN45" s="39">
        <f t="shared" si="207"/>
        <v>-4.1119198411948332E-2</v>
      </c>
      <c r="BO45" s="39">
        <f t="shared" si="207"/>
        <v>-0.44528785488958988</v>
      </c>
      <c r="BP45" s="39">
        <f t="shared" si="207"/>
        <v>1.7234760973875956</v>
      </c>
      <c r="BQ45" s="39">
        <f t="shared" si="207"/>
        <v>-9.7748776508972179E-2</v>
      </c>
      <c r="BR45" s="39">
        <f t="shared" si="207"/>
        <v>6.1980183698560731E-2</v>
      </c>
      <c r="BS45" s="39">
        <f t="shared" si="207"/>
        <v>0.12128847725415426</v>
      </c>
      <c r="BT45" s="39">
        <f t="shared" si="207"/>
        <v>7.0209535378074728E-2</v>
      </c>
      <c r="BU45" s="39">
        <f t="shared" si="207"/>
        <v>-0.33374950343340337</v>
      </c>
      <c r="BV45" s="39">
        <f t="shared" si="207"/>
        <v>0.11209540034071552</v>
      </c>
      <c r="BW45" s="39">
        <f t="shared" si="207"/>
        <v>-2.1216299019607865E-2</v>
      </c>
      <c r="BX45" s="39">
        <f t="shared" si="207"/>
        <v>5.6185930041474208E-2</v>
      </c>
      <c r="BY45" s="39">
        <f t="shared" si="207"/>
        <v>-5.1418833814921849E-2</v>
      </c>
      <c r="BZ45" s="39">
        <f t="shared" si="207"/>
        <v>6.131375458876831E-2</v>
      </c>
      <c r="CA45" s="39">
        <f t="shared" si="207"/>
        <v>-7.2858404474537286E-3</v>
      </c>
      <c r="CB45" s="39">
        <f t="shared" si="207"/>
        <v>9.7190303210023199E-2</v>
      </c>
      <c r="CC45" s="39">
        <f t="shared" si="207"/>
        <v>-8.9594594594594512E-2</v>
      </c>
      <c r="CD45" s="39">
        <f t="shared" si="207"/>
        <v>0.14479738756122895</v>
      </c>
      <c r="CE45" s="39">
        <f t="shared" si="207"/>
        <v>1.7244732576985333E-2</v>
      </c>
      <c r="CF45" s="39">
        <f t="shared" si="207"/>
        <v>0.13032948824166724</v>
      </c>
      <c r="CG45" s="39">
        <f t="shared" si="207"/>
        <v>-6.4501578709968532E-2</v>
      </c>
      <c r="CH45" s="39">
        <f t="shared" si="207"/>
        <v>0.12801350048216009</v>
      </c>
      <c r="CI45" s="39">
        <f t="shared" si="207"/>
        <v>3.1363539217781566E-2</v>
      </c>
      <c r="CJ45" s="39">
        <f>+IF(CI43&lt;0,1-CJ43/CI43,CJ43/CI43-1)</f>
        <v>0.12174273429000682</v>
      </c>
      <c r="CK45" s="39">
        <f>+IF(CJ43&lt;0,1-CK43/CJ43,CK43/CJ43-1)</f>
        <v>-9.6984251604858462E-2</v>
      </c>
      <c r="CL45" s="39">
        <f>+IF(CK43&lt;0,1-CL43/CK43,CL43/CK43-1)</f>
        <v>0.14534853986600504</v>
      </c>
      <c r="CM45" s="40">
        <f t="shared" ref="CM45:DB45" si="208">+IF(CL43&lt;0,1-CM43/CL43,CM43/CL43-1)</f>
        <v>4.0307881223489161E-3</v>
      </c>
      <c r="CN45" s="40">
        <f t="shared" si="208"/>
        <v>0.12305796468216634</v>
      </c>
      <c r="CO45" s="40">
        <f t="shared" si="208"/>
        <v>-9.2644120065129787E-2</v>
      </c>
      <c r="CP45" s="40">
        <f t="shared" si="208"/>
        <v>0.14615816604592502</v>
      </c>
      <c r="CQ45" s="40">
        <f t="shared" si="208"/>
        <v>1.2658220657906449E-2</v>
      </c>
      <c r="CR45" s="40">
        <f t="shared" si="208"/>
        <v>0.12416765682177666</v>
      </c>
      <c r="CS45" s="40">
        <f t="shared" si="208"/>
        <v>-9.3387275326013541E-2</v>
      </c>
      <c r="CT45" s="40">
        <f t="shared" si="208"/>
        <v>0.14745135793048059</v>
      </c>
      <c r="CU45" s="40">
        <f t="shared" si="208"/>
        <v>1.2755827050776158E-2</v>
      </c>
      <c r="CV45" s="40">
        <f t="shared" si="208"/>
        <v>0.12511304319098526</v>
      </c>
      <c r="CW45" s="40">
        <f t="shared" si="208"/>
        <v>-9.4019239408325239E-2</v>
      </c>
      <c r="CX45" s="40">
        <f t="shared" si="208"/>
        <v>0.14855273110049216</v>
      </c>
      <c r="CY45" s="40">
        <f t="shared" si="208"/>
        <v>1.2838782209682487E-2</v>
      </c>
      <c r="CZ45" s="40">
        <f t="shared" si="208"/>
        <v>0.12591637884552997</v>
      </c>
      <c r="DA45" s="40">
        <f t="shared" si="208"/>
        <v>-9.4555412545461404E-2</v>
      </c>
      <c r="DB45" s="40">
        <f t="shared" si="208"/>
        <v>0.14948836744103922</v>
      </c>
      <c r="DE45" s="122"/>
      <c r="DF45" s="39">
        <v>0.12480059325934656</v>
      </c>
    </row>
    <row r="46" spans="1:110" s="23" customFormat="1" outlineLevel="1" x14ac:dyDescent="0.2">
      <c r="A46" s="23" t="s">
        <v>2</v>
      </c>
      <c r="B46" s="23">
        <f>'Annual Raw'!C11</f>
        <v>0</v>
      </c>
      <c r="C46" s="23">
        <f>'Annual Raw'!D11</f>
        <v>0</v>
      </c>
      <c r="D46" s="23">
        <f>'Annual Raw'!E11</f>
        <v>0</v>
      </c>
      <c r="E46" s="23">
        <f>'Annual Raw'!F11</f>
        <v>0</v>
      </c>
      <c r="F46" s="23">
        <f>'Annual Raw'!G11</f>
        <v>0</v>
      </c>
      <c r="G46" s="23">
        <f>'Annual Raw'!H11</f>
        <v>0</v>
      </c>
      <c r="H46" s="23">
        <f>'Annual Raw'!I11</f>
        <v>0</v>
      </c>
      <c r="I46" s="23">
        <f>'Annual Raw'!J11</f>
        <v>0</v>
      </c>
      <c r="J46" s="23">
        <f>'Annual Raw'!K11</f>
        <v>0</v>
      </c>
      <c r="K46" s="23">
        <f>'Annual Raw'!L11</f>
        <v>0</v>
      </c>
      <c r="L46" s="23">
        <f>'Annual Raw'!M11</f>
        <v>-0.51800000000000002</v>
      </c>
      <c r="M46" s="23">
        <f>'Annual Raw'!N11</f>
        <v>0.36099999999999999</v>
      </c>
      <c r="N46" s="23">
        <f>'Annual Raw'!O11</f>
        <v>-4.2000000000000003E-2</v>
      </c>
      <c r="O46" s="23">
        <f>'Annual Raw'!P11</f>
        <v>-9.6000000000000002E-2</v>
      </c>
      <c r="P46" s="23">
        <f>'Annual Raw'!Q11</f>
        <v>-0.10299999999999999</v>
      </c>
      <c r="Q46" s="23">
        <f>'Annual Raw'!R11</f>
        <v>0.68200000000000005</v>
      </c>
      <c r="R46" s="23">
        <f>'Annual Raw'!S11</f>
        <v>-0.36</v>
      </c>
      <c r="S46" s="23">
        <f>'Annual Raw'!T11</f>
        <v>0.37</v>
      </c>
      <c r="T46" s="23">
        <f>'Annual Raw'!U11</f>
        <v>-0.26</v>
      </c>
      <c r="U46" s="23">
        <f>'Annual Raw'!V11</f>
        <v>-0.08</v>
      </c>
      <c r="V46" s="23">
        <f>'Annual Raw'!W11</f>
        <v>0.04</v>
      </c>
      <c r="W46" s="23">
        <f>'Annual Raw'!X11</f>
        <v>-0.88</v>
      </c>
      <c r="X46" s="23">
        <f>'Annual Raw'!Y11</f>
        <v>0.2</v>
      </c>
      <c r="Y46" s="23">
        <f>'Annual Raw'!Z11</f>
        <v>-0.28000000000000003</v>
      </c>
      <c r="Z46" s="23">
        <f>'Annual Raw'!AA11</f>
        <v>0.81</v>
      </c>
      <c r="AA46" s="23">
        <f>'Annual Raw'!AB11</f>
        <v>-0.24</v>
      </c>
      <c r="AB46" s="76">
        <f>+SUM(CM46:CP46)</f>
        <v>0</v>
      </c>
      <c r="AC46" s="76">
        <f>+SUM(CQ46:CT46)</f>
        <v>0</v>
      </c>
      <c r="AD46" s="76">
        <f>+SUM(CU46:CX46)</f>
        <v>0</v>
      </c>
      <c r="AE46" s="76">
        <f>+SUM(CY46:DB46)</f>
        <v>0</v>
      </c>
      <c r="AI46" s="23">
        <f>'QTR Raw'!C10</f>
        <v>0</v>
      </c>
      <c r="AJ46" s="23">
        <f>'QTR Raw'!D10</f>
        <v>0</v>
      </c>
      <c r="AK46" s="23">
        <f>'QTR Raw'!E10</f>
        <v>0</v>
      </c>
      <c r="AL46" s="23">
        <f>'QTR Raw'!F10</f>
        <v>0</v>
      </c>
      <c r="AM46" s="23">
        <f>'QTR Raw'!G10</f>
        <v>0</v>
      </c>
      <c r="AN46" s="23">
        <f>'QTR Raw'!H10</f>
        <v>0</v>
      </c>
      <c r="AO46" s="23">
        <f>'QTR Raw'!I10</f>
        <v>0</v>
      </c>
      <c r="AP46" s="23">
        <f>'QTR Raw'!J10</f>
        <v>0</v>
      </c>
      <c r="AQ46" s="23">
        <f>'QTR Raw'!K10</f>
        <v>0</v>
      </c>
      <c r="AR46" s="23">
        <f>'QTR Raw'!L10</f>
        <v>0</v>
      </c>
      <c r="AS46" s="23">
        <f>'QTR Raw'!M10</f>
        <v>0</v>
      </c>
      <c r="AT46" s="23">
        <f>'QTR Raw'!N10</f>
        <v>0</v>
      </c>
      <c r="AU46" s="23">
        <f>'QTR Raw'!O10</f>
        <v>0.307</v>
      </c>
      <c r="AV46" s="23">
        <f>'QTR Raw'!P10</f>
        <v>9.7000000000000003E-2</v>
      </c>
      <c r="AW46" s="23">
        <f>'QTR Raw'!Q10</f>
        <v>-0.28100000000000003</v>
      </c>
      <c r="AX46" s="23">
        <f>'QTR Raw'!R10</f>
        <v>0.55800000000000005</v>
      </c>
      <c r="AY46" s="23">
        <f>'QTR Raw'!S10</f>
        <v>-9.7000000000000003E-2</v>
      </c>
      <c r="AZ46" s="23">
        <f>'QTR Raw'!T10</f>
        <v>-0.04</v>
      </c>
      <c r="BA46" s="23">
        <f>'QTR Raw'!U10</f>
        <v>-0.108</v>
      </c>
      <c r="BB46" s="23">
        <f>'QTR Raw'!V10</f>
        <v>-0.11600000000000001</v>
      </c>
      <c r="BC46" s="23">
        <f>'QTR Raw'!W10</f>
        <v>-7.0000000000000007E-2</v>
      </c>
      <c r="BD46" s="23">
        <f>'QTR Raw'!X10</f>
        <v>0.3</v>
      </c>
      <c r="BE46" s="23">
        <f>'QTR Raw'!Y10</f>
        <v>-0.06</v>
      </c>
      <c r="BF46" s="23">
        <f>'QTR Raw'!Z10</f>
        <v>0.21</v>
      </c>
      <c r="BG46" s="23">
        <f>'QTR Raw'!AA10</f>
        <v>-0.27</v>
      </c>
      <c r="BH46" s="23">
        <f>'QTR Raw'!AB10</f>
        <v>-0.23</v>
      </c>
      <c r="BI46" s="23">
        <f>'QTR Raw'!AC10</f>
        <v>-0.28000000000000003</v>
      </c>
      <c r="BJ46" s="23">
        <f>'QTR Raw'!AD10</f>
        <v>0.52</v>
      </c>
      <c r="BK46" s="23">
        <f>'QTR Raw'!AE10</f>
        <v>-0.42</v>
      </c>
      <c r="BL46" s="23">
        <f>'QTR Raw'!AF10</f>
        <v>0.59</v>
      </c>
      <c r="BM46" s="23">
        <f>'QTR Raw'!AG10</f>
        <v>-0.22</v>
      </c>
      <c r="BN46" s="23">
        <f>'QTR Raw'!AH10</f>
        <v>-0.03</v>
      </c>
      <c r="BO46" s="23">
        <f>'QTR Raw'!AI10</f>
        <v>-0.18</v>
      </c>
      <c r="BP46" s="23">
        <f>'QTR Raw'!AJ10</f>
        <v>-0.24</v>
      </c>
      <c r="BQ46" s="23">
        <f>'QTR Raw'!AK10</f>
        <v>0.42</v>
      </c>
      <c r="BR46" s="23">
        <f>'QTR Raw'!AL10</f>
        <v>0.28000000000000003</v>
      </c>
      <c r="BS46" s="23">
        <f>'QTR Raw'!AM10</f>
        <v>-0.04</v>
      </c>
      <c r="BT46" s="23">
        <f>'QTR Raw'!AN10</f>
        <v>-0.41</v>
      </c>
      <c r="BU46" s="23">
        <f>'QTR Raw'!AO10</f>
        <v>-1</v>
      </c>
      <c r="BV46" s="23">
        <f>'QTR Raw'!AP10</f>
        <v>0.52</v>
      </c>
      <c r="BW46" s="23">
        <f>'QTR Raw'!AQ10</f>
        <v>-0.22</v>
      </c>
      <c r="BX46" s="23">
        <f>'QTR Raw'!AR10</f>
        <v>-0.71</v>
      </c>
      <c r="BY46" s="23">
        <f>'QTR Raw'!AS10</f>
        <v>0.4</v>
      </c>
      <c r="BZ46" s="23">
        <f>'QTR Raw'!AT10</f>
        <v>0.73</v>
      </c>
      <c r="CA46" s="23">
        <f>'QTR Raw'!AU10</f>
        <v>0.42</v>
      </c>
      <c r="CB46" s="23">
        <f>'QTR Raw'!AV10</f>
        <v>0.18</v>
      </c>
      <c r="CC46" s="23">
        <f>'QTR Raw'!AW10</f>
        <v>-0.27</v>
      </c>
      <c r="CD46" s="23">
        <f>'QTR Raw'!AX10</f>
        <v>-0.61</v>
      </c>
      <c r="CE46" s="23">
        <f>'QTR Raw'!AY10</f>
        <v>0.75</v>
      </c>
      <c r="CF46" s="23">
        <f>'QTR Raw'!AZ10</f>
        <v>-0.41</v>
      </c>
      <c r="CG46" s="23">
        <f>'QTR Raw'!BA10</f>
        <v>0.17</v>
      </c>
      <c r="CH46" s="23">
        <f>'QTR Raw'!BB10</f>
        <v>0.3</v>
      </c>
      <c r="CI46" s="23">
        <f>'QTR Raw'!BC10</f>
        <v>0.15</v>
      </c>
      <c r="CJ46" s="23">
        <f>'QTR Raw'!BD10</f>
        <v>0.04</v>
      </c>
      <c r="CK46" s="23">
        <f>'QTR Raw'!BE10</f>
        <v>0.09</v>
      </c>
      <c r="CL46" s="23">
        <f>'QTR Raw'!BF10</f>
        <v>-0.51</v>
      </c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E46" s="123"/>
      <c r="DF46" s="23">
        <v>-0.22999999999999998</v>
      </c>
    </row>
    <row r="47" spans="1:110" s="23" customFormat="1" outlineLevel="1" x14ac:dyDescent="0.2">
      <c r="A47" s="23" t="s">
        <v>3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0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23">
        <f>'QTR Raw'!C12</f>
        <v>0</v>
      </c>
      <c r="AJ47" s="23">
        <f>'QTR Raw'!D12</f>
        <v>0</v>
      </c>
      <c r="AK47" s="23">
        <f>'QTR Raw'!E12</f>
        <v>0</v>
      </c>
      <c r="AL47" s="23">
        <f>'QTR Raw'!F12</f>
        <v>0</v>
      </c>
      <c r="AM47" s="23">
        <f>'QTR Raw'!G12</f>
        <v>0</v>
      </c>
      <c r="AN47" s="23">
        <f>'QTR Raw'!H12</f>
        <v>0</v>
      </c>
      <c r="AO47" s="23">
        <f>'QTR Raw'!I12</f>
        <v>0</v>
      </c>
      <c r="AP47" s="23">
        <f>'QTR Raw'!J12</f>
        <v>0</v>
      </c>
      <c r="AQ47" s="23">
        <f>'QTR Raw'!K12</f>
        <v>0</v>
      </c>
      <c r="AR47" s="23">
        <f>'QTR Raw'!L12</f>
        <v>0</v>
      </c>
      <c r="AS47" s="23">
        <f>'QTR Raw'!M12</f>
        <v>0</v>
      </c>
      <c r="AT47" s="23">
        <f>'QTR Raw'!N12</f>
        <v>0</v>
      </c>
      <c r="AU47" s="23">
        <f>'QTR Raw'!O12</f>
        <v>1.2709999999999999</v>
      </c>
      <c r="AV47" s="23">
        <f>'QTR Raw'!P12</f>
        <v>1.669</v>
      </c>
      <c r="AW47" s="23">
        <f>'QTR Raw'!Q12</f>
        <v>1.7390000000000001</v>
      </c>
      <c r="AX47" s="23">
        <f>'QTR Raw'!R12</f>
        <v>1.9630000000000001</v>
      </c>
      <c r="AY47" s="23">
        <f>'QTR Raw'!S12</f>
        <v>0.39700000000000002</v>
      </c>
      <c r="AZ47" s="23">
        <f>'QTR Raw'!T12</f>
        <v>0.71899999999999997</v>
      </c>
      <c r="BA47" s="23">
        <f>'QTR Raw'!U12</f>
        <v>0.71299999999999997</v>
      </c>
      <c r="BB47" s="23">
        <f>'QTR Raw'!V12</f>
        <v>0.73199999999999998</v>
      </c>
      <c r="BC47" s="23">
        <f>'QTR Raw'!W12</f>
        <v>0.63</v>
      </c>
      <c r="BD47" s="23">
        <f>'QTR Raw'!X12</f>
        <v>0.39</v>
      </c>
      <c r="BE47" s="23">
        <f>'QTR Raw'!Y12</f>
        <v>0.66</v>
      </c>
      <c r="BF47" s="23">
        <f>'QTR Raw'!Z12</f>
        <v>0.74</v>
      </c>
      <c r="BG47" s="23">
        <f>'QTR Raw'!AA12</f>
        <v>0.7</v>
      </c>
      <c r="BH47" s="23">
        <f>'QTR Raw'!AB12</f>
        <v>0.74</v>
      </c>
      <c r="BI47" s="23">
        <f>'QTR Raw'!AC12</f>
        <v>0.89</v>
      </c>
      <c r="BJ47" s="23">
        <f>'QTR Raw'!AD12</f>
        <v>0</v>
      </c>
      <c r="BK47" s="23">
        <f>'QTR Raw'!AE12</f>
        <v>0.91</v>
      </c>
      <c r="BL47" s="23">
        <f>'QTR Raw'!AF12</f>
        <v>7.0000000000000007E-2</v>
      </c>
      <c r="BM47" s="23">
        <f>'QTR Raw'!AG12</f>
        <v>0.74</v>
      </c>
      <c r="BN47" s="23">
        <f>'QTR Raw'!AH12</f>
        <v>0.53</v>
      </c>
      <c r="BO47" s="23">
        <f>'QTR Raw'!AI12</f>
        <v>0.35</v>
      </c>
      <c r="BP47" s="23">
        <f>'QTR Raw'!AJ12</f>
        <v>0.66</v>
      </c>
      <c r="BQ47" s="23">
        <f>'QTR Raw'!AK12</f>
        <v>0</v>
      </c>
      <c r="BR47" s="23">
        <f>'QTR Raw'!AL12</f>
        <v>0.08</v>
      </c>
      <c r="BS47" s="23">
        <f>'QTR Raw'!AM12</f>
        <v>1.87</v>
      </c>
      <c r="BT47" s="23">
        <f>'QTR Raw'!AN12</f>
        <v>1.3</v>
      </c>
      <c r="BU47" s="23">
        <f>'QTR Raw'!AO12</f>
        <v>0.6</v>
      </c>
      <c r="BV47" s="23">
        <f>'QTR Raw'!AP12</f>
        <v>0.62</v>
      </c>
      <c r="BW47" s="23">
        <f>'QTR Raw'!AQ12</f>
        <v>0.83</v>
      </c>
      <c r="BX47" s="23">
        <f>'QTR Raw'!AR12</f>
        <v>2.11</v>
      </c>
      <c r="BY47" s="23">
        <f>'QTR Raw'!AS12</f>
        <v>1.35</v>
      </c>
      <c r="BZ47" s="23">
        <f>'QTR Raw'!AT12</f>
        <v>1.82</v>
      </c>
      <c r="CA47" s="23">
        <f>'QTR Raw'!AU12</f>
        <v>0.35</v>
      </c>
      <c r="CB47" s="23">
        <f>'QTR Raw'!AV12</f>
        <v>0.38</v>
      </c>
      <c r="CC47" s="23">
        <f>'QTR Raw'!AW12</f>
        <v>0.68</v>
      </c>
      <c r="CD47" s="23">
        <f>'QTR Raw'!AX12</f>
        <v>1.06</v>
      </c>
      <c r="CE47" s="23">
        <f>'QTR Raw'!AY12</f>
        <v>0.06</v>
      </c>
      <c r="CF47" s="23">
        <f>'QTR Raw'!AZ12</f>
        <v>1.28</v>
      </c>
      <c r="CG47" s="23">
        <f>'QTR Raw'!BA12</f>
        <v>0.2</v>
      </c>
      <c r="CH47" s="23">
        <f>'QTR Raw'!BB12</f>
        <v>0.46</v>
      </c>
      <c r="CI47" s="23">
        <f>'QTR Raw'!BC12</f>
        <v>7.0000000000000007E-2</v>
      </c>
      <c r="CJ47" s="23">
        <f>'QTR Raw'!BD12</f>
        <v>0.21</v>
      </c>
      <c r="CK47" s="23">
        <f>'QTR Raw'!BE12</f>
        <v>0.04</v>
      </c>
      <c r="CL47" s="23">
        <f>'QTR Raw'!BF12</f>
        <v>0.77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1.0900000000000001</v>
      </c>
    </row>
    <row r="48" spans="1:110" s="23" customFormat="1" outlineLevel="1" x14ac:dyDescent="0.2">
      <c r="A48" s="23" t="s">
        <v>4</v>
      </c>
      <c r="B48" s="23">
        <f>'Annual Raw'!C12</f>
        <v>0</v>
      </c>
      <c r="C48" s="23">
        <f>'Annual Raw'!D12</f>
        <v>0</v>
      </c>
      <c r="D48" s="23">
        <f>'Annual Raw'!E12</f>
        <v>0</v>
      </c>
      <c r="E48" s="23">
        <f>'Annual Raw'!F12</f>
        <v>0</v>
      </c>
      <c r="F48" s="23">
        <f>'Annual Raw'!G12</f>
        <v>0</v>
      </c>
      <c r="G48" s="23">
        <f>'Annual Raw'!H12</f>
        <v>0</v>
      </c>
      <c r="H48" s="23">
        <f>'Annual Raw'!I12</f>
        <v>11.5097299</v>
      </c>
      <c r="I48" s="23">
        <f>'Annual Raw'!J12</f>
        <v>11.130099700000001</v>
      </c>
      <c r="J48" s="23">
        <f>'Annual Raw'!K12</f>
        <v>16.1211491</v>
      </c>
      <c r="K48" s="23">
        <f>'Annual Raw'!L12</f>
        <v>18.8814253</v>
      </c>
      <c r="L48" s="23">
        <f>'Annual Raw'!M12</f>
        <v>23.956</v>
      </c>
      <c r="M48" s="23">
        <f>'Annual Raw'!N12</f>
        <v>28.706</v>
      </c>
      <c r="N48" s="23">
        <f>'Annual Raw'!O12</f>
        <v>35.633000000000003</v>
      </c>
      <c r="O48" s="23">
        <f>'Annual Raw'!P12</f>
        <v>42.606000000000002</v>
      </c>
      <c r="P48" s="23">
        <f>'Annual Raw'!Q12</f>
        <v>55.932000000000002</v>
      </c>
      <c r="Q48" s="23">
        <f>'Annual Raw'!R12</f>
        <v>69.674999999999997</v>
      </c>
      <c r="R48" s="23">
        <f>'Annual Raw'!S12</f>
        <v>81.784000000000006</v>
      </c>
      <c r="S48" s="23">
        <f>'Annual Raw'!T12</f>
        <v>94.61</v>
      </c>
      <c r="T48" s="23">
        <f>'Annual Raw'!U12</f>
        <v>110.79</v>
      </c>
      <c r="U48" s="23">
        <f>'Annual Raw'!V12</f>
        <v>117.17</v>
      </c>
      <c r="V48" s="23">
        <f>'Annual Raw'!W12</f>
        <v>163.86</v>
      </c>
      <c r="W48" s="23">
        <f>'Annual Raw'!X12</f>
        <v>170.57</v>
      </c>
      <c r="X48" s="23">
        <f>'Annual Raw'!Y12</f>
        <v>163.03</v>
      </c>
      <c r="Y48" s="23">
        <f>'Annual Raw'!Z12</f>
        <v>166.98</v>
      </c>
      <c r="Z48" s="23">
        <f>'Annual Raw'!AA12</f>
        <v>190.27</v>
      </c>
      <c r="AA48" s="23">
        <f>'Annual Raw'!AB12</f>
        <v>219.8</v>
      </c>
      <c r="AB48" s="24">
        <f>+SUM(CM48:CP48)</f>
        <v>251.15758115441776</v>
      </c>
      <c r="AC48" s="24">
        <f>+SUM(CQ48:CT48)</f>
        <v>296.05356138582465</v>
      </c>
      <c r="AD48" s="24">
        <f>+SUM(CU48:CX48)</f>
        <v>350.62470688441113</v>
      </c>
      <c r="AE48" s="24">
        <f>+SUM(CY48:DB48)</f>
        <v>415.93348822908331</v>
      </c>
      <c r="AI48" s="23">
        <f>'QTR Raw'!C11</f>
        <v>0</v>
      </c>
      <c r="AJ48" s="23">
        <f>'QTR Raw'!D11</f>
        <v>0</v>
      </c>
      <c r="AK48" s="23">
        <f>'QTR Raw'!E11</f>
        <v>0</v>
      </c>
      <c r="AL48" s="23">
        <f>'QTR Raw'!F11</f>
        <v>0</v>
      </c>
      <c r="AM48" s="23">
        <f>'QTR Raw'!G11</f>
        <v>0</v>
      </c>
      <c r="AN48" s="23">
        <f>'QTR Raw'!H11</f>
        <v>0</v>
      </c>
      <c r="AO48" s="23">
        <f>'QTR Raw'!I11</f>
        <v>0</v>
      </c>
      <c r="AP48" s="23">
        <f>'QTR Raw'!J11</f>
        <v>0</v>
      </c>
      <c r="AQ48" s="23">
        <f>'QTR Raw'!K11</f>
        <v>0</v>
      </c>
      <c r="AR48" s="23">
        <f>'QTR Raw'!L11</f>
        <v>0</v>
      </c>
      <c r="AS48" s="23">
        <f>'QTR Raw'!M11</f>
        <v>0</v>
      </c>
      <c r="AT48" s="23">
        <f>'QTR Raw'!N11</f>
        <v>0</v>
      </c>
      <c r="AU48" s="23">
        <f>'QTR Raw'!O11</f>
        <v>15.811</v>
      </c>
      <c r="AV48" s="23">
        <f>'QTR Raw'!P11</f>
        <v>16.256</v>
      </c>
      <c r="AW48" s="23">
        <f>'QTR Raw'!Q11</f>
        <v>14.11</v>
      </c>
      <c r="AX48" s="23">
        <f>'QTR Raw'!R11</f>
        <v>16.855</v>
      </c>
      <c r="AY48" s="23">
        <f>'QTR Raw'!S11</f>
        <v>17.974</v>
      </c>
      <c r="AZ48" s="23">
        <f>'QTR Raw'!T11</f>
        <v>20.611000000000001</v>
      </c>
      <c r="BA48" s="23">
        <f>'QTR Raw'!U11</f>
        <v>17.600000000000001</v>
      </c>
      <c r="BB48" s="23">
        <f>'QTR Raw'!V11</f>
        <v>23.038</v>
      </c>
      <c r="BC48" s="23">
        <f>'QTR Raw'!W11</f>
        <v>21.77</v>
      </c>
      <c r="BD48" s="23">
        <f>'QTR Raw'!X11</f>
        <v>25.22</v>
      </c>
      <c r="BE48" s="23">
        <f>'QTR Raw'!Y11</f>
        <v>20.170000000000002</v>
      </c>
      <c r="BF48" s="23">
        <f>'QTR Raw'!Z11</f>
        <v>25.04</v>
      </c>
      <c r="BG48" s="23">
        <f>'QTR Raw'!AA11</f>
        <v>25.17</v>
      </c>
      <c r="BH48" s="23">
        <f>'QTR Raw'!AB11</f>
        <v>27.86</v>
      </c>
      <c r="BI48" s="23">
        <f>'QTR Raw'!AC11</f>
        <v>25.34</v>
      </c>
      <c r="BJ48" s="23">
        <f>'QTR Raw'!AD11</f>
        <v>30.09</v>
      </c>
      <c r="BK48" s="23">
        <f>'QTR Raw'!AE11</f>
        <v>30.37</v>
      </c>
      <c r="BL48" s="23">
        <f>'QTR Raw'!AF11</f>
        <v>30.55</v>
      </c>
      <c r="BM48" s="23">
        <f>'QTR Raw'!AG11</f>
        <v>26.98</v>
      </c>
      <c r="BN48" s="23">
        <f>'QTR Raw'!AH11</f>
        <v>27.02</v>
      </c>
      <c r="BO48" s="23">
        <f>'QTR Raw'!AI11</f>
        <v>25.79</v>
      </c>
      <c r="BP48" s="23">
        <f>'QTR Raw'!AJ11</f>
        <v>50.43</v>
      </c>
      <c r="BQ48" s="23">
        <f>'QTR Raw'!AK11</f>
        <v>42.28</v>
      </c>
      <c r="BR48" s="23">
        <f>'QTR Raw'!AL11</f>
        <v>44.04</v>
      </c>
      <c r="BS48" s="23">
        <f>'QTR Raw'!AM11</f>
        <v>52.39</v>
      </c>
      <c r="BT48" s="23">
        <f>'QTR Raw'!AN11</f>
        <v>42.72</v>
      </c>
      <c r="BU48" s="23">
        <f>'QTR Raw'!AO11</f>
        <v>30.4</v>
      </c>
      <c r="BV48" s="23">
        <f>'QTR Raw'!AP11</f>
        <v>40.75</v>
      </c>
      <c r="BW48" s="23">
        <f>'QTR Raw'!AQ11</f>
        <v>38.89</v>
      </c>
      <c r="BX48" s="23">
        <f>'QTR Raw'!AR11</f>
        <v>39.72</v>
      </c>
      <c r="BY48" s="23">
        <f>'QTR Raw'!AS11</f>
        <v>39.11</v>
      </c>
      <c r="BZ48" s="23">
        <f>'QTR Raw'!AT11</f>
        <v>39.200000000000003</v>
      </c>
      <c r="CA48" s="23">
        <f>'QTR Raw'!AU11</f>
        <v>37.299999999999997</v>
      </c>
      <c r="CB48" s="23">
        <f>'QTR Raw'!AV11</f>
        <v>43.08</v>
      </c>
      <c r="CC48" s="23">
        <f>'QTR Raw'!AW11</f>
        <v>38.01</v>
      </c>
      <c r="CD48" s="23">
        <f>'QTR Raw'!AX11</f>
        <v>46.12</v>
      </c>
      <c r="CE48" s="23">
        <f>'QTR Raw'!AY11</f>
        <v>44.65</v>
      </c>
      <c r="CF48" s="23">
        <f>'QTR Raw'!AZ11</f>
        <v>50.12</v>
      </c>
      <c r="CG48" s="23">
        <f>'QTR Raw'!BA11</f>
        <v>44.79</v>
      </c>
      <c r="CH48" s="23">
        <f>'QTR Raw'!BB11</f>
        <v>48.71</v>
      </c>
      <c r="CI48" s="23">
        <f>'QTR Raw'!BC11</f>
        <v>55.41</v>
      </c>
      <c r="CJ48" s="23">
        <f>'QTR Raw'!BD11</f>
        <v>59.81</v>
      </c>
      <c r="CK48" s="23">
        <f>'QTR Raw'!BE11</f>
        <v>47.07</v>
      </c>
      <c r="CL48" s="23">
        <f>'QTR Raw'!BF11</f>
        <v>56.42</v>
      </c>
      <c r="CM48" s="24">
        <f t="shared" ref="CM48:DB48" si="209">+CM43-CM49</f>
        <v>59.589106212698226</v>
      </c>
      <c r="CN48" s="24">
        <f t="shared" si="209"/>
        <v>65.45867888061079</v>
      </c>
      <c r="CO48" s="24">
        <f t="shared" si="209"/>
        <v>58.354312701602481</v>
      </c>
      <c r="CP48" s="24">
        <f t="shared" si="209"/>
        <v>67.755483359506258</v>
      </c>
      <c r="CQ48" s="24">
        <f t="shared" si="209"/>
        <v>68.939532371885463</v>
      </c>
      <c r="CR48" s="24">
        <f t="shared" si="209"/>
        <v>77.067192420365785</v>
      </c>
      <c r="CS48" s="24">
        <f t="shared" si="209"/>
        <v>69.77273930760083</v>
      </c>
      <c r="CT48" s="24">
        <f t="shared" si="209"/>
        <v>80.274097285972601</v>
      </c>
      <c r="CU48" s="24">
        <f t="shared" si="209"/>
        <v>81.30652438731741</v>
      </c>
      <c r="CV48" s="24">
        <f t="shared" si="209"/>
        <v>91.382203344197251</v>
      </c>
      <c r="CW48" s="24">
        <f t="shared" si="209"/>
        <v>82.796954877100035</v>
      </c>
      <c r="CX48" s="24">
        <f t="shared" si="209"/>
        <v>95.13902427579643</v>
      </c>
      <c r="CY48" s="24">
        <f t="shared" si="209"/>
        <v>96.350087295679486</v>
      </c>
      <c r="CZ48" s="24">
        <f t="shared" si="209"/>
        <v>108.4646704977219</v>
      </c>
      <c r="DA48" s="24">
        <f t="shared" si="209"/>
        <v>98.214983841553021</v>
      </c>
      <c r="DB48" s="24">
        <f t="shared" si="209"/>
        <v>112.9037465941289</v>
      </c>
      <c r="DE48" s="123"/>
      <c r="DF48" s="23">
        <v>58.902422050167843</v>
      </c>
    </row>
    <row r="49" spans="1:110" s="31" customFormat="1" x14ac:dyDescent="0.2">
      <c r="A49" s="31" t="s">
        <v>5</v>
      </c>
      <c r="B49" s="31">
        <f t="shared" ref="B49:T49" si="210">B43-B46-B48-B47</f>
        <v>0</v>
      </c>
      <c r="C49" s="31">
        <f t="shared" si="210"/>
        <v>0</v>
      </c>
      <c r="D49" s="31">
        <f t="shared" si="210"/>
        <v>0</v>
      </c>
      <c r="E49" s="31">
        <f t="shared" si="210"/>
        <v>0</v>
      </c>
      <c r="F49" s="31">
        <f t="shared" si="210"/>
        <v>0</v>
      </c>
      <c r="G49" s="31">
        <f t="shared" si="210"/>
        <v>0</v>
      </c>
      <c r="H49" s="31">
        <f t="shared" si="210"/>
        <v>22.244684099999997</v>
      </c>
      <c r="I49" s="31">
        <f t="shared" si="210"/>
        <v>33.280536499999997</v>
      </c>
      <c r="J49" s="31">
        <f t="shared" si="210"/>
        <v>29.157228200000002</v>
      </c>
      <c r="K49" s="31">
        <f t="shared" si="210"/>
        <v>39.461679599999997</v>
      </c>
      <c r="L49" s="31">
        <f t="shared" si="210"/>
        <v>54.426999999999992</v>
      </c>
      <c r="M49" s="31">
        <f t="shared" si="210"/>
        <v>80.008999999999986</v>
      </c>
      <c r="N49" s="31">
        <f t="shared" si="210"/>
        <v>98.669999999999987</v>
      </c>
      <c r="O49" s="31">
        <f t="shared" si="210"/>
        <v>107.46800000000002</v>
      </c>
      <c r="P49" s="31">
        <f t="shared" si="210"/>
        <v>127.129</v>
      </c>
      <c r="Q49" s="31">
        <f t="shared" si="210"/>
        <v>170.608</v>
      </c>
      <c r="R49" s="31">
        <f t="shared" si="210"/>
        <v>222.96300000000002</v>
      </c>
      <c r="S49" s="31">
        <f t="shared" si="210"/>
        <v>261.33999999999997</v>
      </c>
      <c r="T49" s="31">
        <f t="shared" si="210"/>
        <v>292.38</v>
      </c>
      <c r="U49" s="31">
        <f t="shared" ref="U49:Z49" si="211">U43-U46-U48-U47</f>
        <v>317.16999999999996</v>
      </c>
      <c r="V49" s="31">
        <f t="shared" si="211"/>
        <v>330.71999999999997</v>
      </c>
      <c r="W49" s="31">
        <f t="shared" si="211"/>
        <v>419.17</v>
      </c>
      <c r="X49" s="31">
        <f t="shared" si="211"/>
        <v>363.43999999999994</v>
      </c>
      <c r="Y49" s="31">
        <f t="shared" si="211"/>
        <v>405.17999999999995</v>
      </c>
      <c r="Z49" s="31">
        <f t="shared" si="211"/>
        <v>496.2700000000001</v>
      </c>
      <c r="AA49" s="31">
        <f t="shared" ref="AA49" si="212">AA43-AA46-AA48-AA47</f>
        <v>609.48</v>
      </c>
      <c r="AB49" s="32">
        <f t="shared" ref="AA49:AD49" si="213">AB43-AB46-AB48-AB47</f>
        <v>717.96238384558228</v>
      </c>
      <c r="AC49" s="32">
        <f t="shared" si="213"/>
        <v>850.90156484517524</v>
      </c>
      <c r="AD49" s="32">
        <f t="shared" si="213"/>
        <v>1008.5589007596643</v>
      </c>
      <c r="AE49" s="32">
        <f t="shared" ref="AE49" si="214">AE43-AE46-AE48-AE47</f>
        <v>1196.5235891333564</v>
      </c>
      <c r="AI49" s="31">
        <f t="shared" ref="AI49" si="215">AI43-AI46-AI48-AI47</f>
        <v>0</v>
      </c>
      <c r="AJ49" s="31">
        <f t="shared" ref="AJ49" si="216">AJ43-AJ46-AJ48-AJ47</f>
        <v>0</v>
      </c>
      <c r="AK49" s="31">
        <f t="shared" ref="AK49:AM49" si="217">AK43-AK46-AK48-AK47</f>
        <v>0</v>
      </c>
      <c r="AL49" s="31">
        <f t="shared" si="217"/>
        <v>0</v>
      </c>
      <c r="AM49" s="31">
        <f t="shared" si="217"/>
        <v>0</v>
      </c>
      <c r="AN49" s="31">
        <f t="shared" ref="AN49:AO49" si="218">AN43-AN46-AN48-AN47</f>
        <v>0</v>
      </c>
      <c r="AO49" s="31">
        <f t="shared" si="218"/>
        <v>0</v>
      </c>
      <c r="AP49" s="31">
        <f t="shared" ref="AP49:CD49" si="219">AP43-AP46-AP48-AP47</f>
        <v>0</v>
      </c>
      <c r="AQ49" s="31">
        <f t="shared" si="219"/>
        <v>0</v>
      </c>
      <c r="AR49" s="31">
        <f t="shared" si="219"/>
        <v>0</v>
      </c>
      <c r="AS49" s="31">
        <f t="shared" si="219"/>
        <v>0</v>
      </c>
      <c r="AT49" s="31">
        <f t="shared" si="219"/>
        <v>0</v>
      </c>
      <c r="AU49" s="31">
        <f t="shared" si="219"/>
        <v>39.605999999999995</v>
      </c>
      <c r="AV49" s="31">
        <f t="shared" si="219"/>
        <v>44.243000000000002</v>
      </c>
      <c r="AW49" s="31">
        <f t="shared" si="219"/>
        <v>41.084000000000003</v>
      </c>
      <c r="AX49" s="31">
        <f t="shared" si="219"/>
        <v>45.678999999999995</v>
      </c>
      <c r="AY49" s="31">
        <f t="shared" si="219"/>
        <v>50.470999999999997</v>
      </c>
      <c r="AZ49" s="31">
        <f t="shared" si="219"/>
        <v>56.857999999999997</v>
      </c>
      <c r="BA49" s="31">
        <f t="shared" si="219"/>
        <v>52.173000000000002</v>
      </c>
      <c r="BB49" s="31">
        <f t="shared" si="219"/>
        <v>63.462000000000003</v>
      </c>
      <c r="BC49" s="31">
        <f t="shared" si="219"/>
        <v>65.430000000000007</v>
      </c>
      <c r="BD49" s="31">
        <f t="shared" si="219"/>
        <v>62.126000000000005</v>
      </c>
      <c r="BE49" s="31">
        <f t="shared" si="219"/>
        <v>63.100000000000009</v>
      </c>
      <c r="BF49" s="31">
        <f t="shared" si="219"/>
        <v>70.67</v>
      </c>
      <c r="BG49" s="31">
        <f t="shared" si="219"/>
        <v>71.55</v>
      </c>
      <c r="BH49" s="31">
        <f t="shared" si="219"/>
        <v>75.510000000000005</v>
      </c>
      <c r="BI49" s="31">
        <f t="shared" si="219"/>
        <v>70.34</v>
      </c>
      <c r="BJ49" s="31">
        <f t="shared" si="219"/>
        <v>74.98</v>
      </c>
      <c r="BK49" s="31">
        <f t="shared" si="219"/>
        <v>78.87</v>
      </c>
      <c r="BL49" s="31">
        <f t="shared" si="219"/>
        <v>85.03</v>
      </c>
      <c r="BM49" s="31">
        <f t="shared" si="219"/>
        <v>78.290000000000006</v>
      </c>
      <c r="BN49" s="31">
        <f t="shared" si="219"/>
        <v>73.92</v>
      </c>
      <c r="BO49" s="31">
        <f t="shared" si="219"/>
        <v>30.310000000000002</v>
      </c>
      <c r="BP49" s="31">
        <f t="shared" si="219"/>
        <v>102.4</v>
      </c>
      <c r="BQ49" s="31">
        <f t="shared" si="219"/>
        <v>95.570000000000022</v>
      </c>
      <c r="BR49" s="31">
        <f t="shared" si="219"/>
        <v>102.44000000000001</v>
      </c>
      <c r="BS49" s="31">
        <f t="shared" si="219"/>
        <v>110.42999999999999</v>
      </c>
      <c r="BT49" s="31">
        <f t="shared" si="219"/>
        <v>132.6</v>
      </c>
      <c r="BU49" s="31">
        <f t="shared" si="219"/>
        <v>87.4</v>
      </c>
      <c r="BV49" s="31">
        <f t="shared" si="219"/>
        <v>88.669999999999987</v>
      </c>
      <c r="BW49" s="31">
        <f t="shared" si="219"/>
        <v>88.29000000000002</v>
      </c>
      <c r="BX49" s="31">
        <f t="shared" si="219"/>
        <v>93.850000000000009</v>
      </c>
      <c r="BY49" s="31">
        <f t="shared" si="219"/>
        <v>87.17</v>
      </c>
      <c r="BZ49" s="31">
        <f t="shared" si="219"/>
        <v>94.13000000000001</v>
      </c>
      <c r="CA49" s="31">
        <f t="shared" si="219"/>
        <v>96.820000000000007</v>
      </c>
      <c r="CB49" s="31">
        <f t="shared" si="219"/>
        <v>104.36</v>
      </c>
      <c r="CC49" s="31">
        <f t="shared" si="219"/>
        <v>96.320000000000022</v>
      </c>
      <c r="CD49" s="31">
        <f t="shared" si="219"/>
        <v>107.68</v>
      </c>
      <c r="CE49" s="31">
        <f t="shared" ref="CE49:CF49" si="220">CE43-CE46-CE48-CE47</f>
        <v>111.44999999999999</v>
      </c>
      <c r="CF49" s="31">
        <f t="shared" si="220"/>
        <v>126.37</v>
      </c>
      <c r="CG49" s="31">
        <f t="shared" ref="CG49:CH49" si="221">CG43-CG46-CG48-CG47</f>
        <v>120.76</v>
      </c>
      <c r="CH49" s="31">
        <f t="shared" si="221"/>
        <v>137.68999999999997</v>
      </c>
      <c r="CI49" s="31">
        <f t="shared" ref="CI49:CJ49" si="222">CI43-CI46-CI48-CI47</f>
        <v>137.4</v>
      </c>
      <c r="CJ49" s="31">
        <f t="shared" si="222"/>
        <v>156.47</v>
      </c>
      <c r="CK49" s="31">
        <f t="shared" ref="CK49:CL49" si="223">CK43-CK46-CK48-CK47</f>
        <v>148.33000000000001</v>
      </c>
      <c r="CL49" s="31">
        <f t="shared" si="223"/>
        <v>167.26999999999995</v>
      </c>
      <c r="CM49" s="32">
        <f t="shared" ref="CM49:DB49" si="224">+CM50*CM43</f>
        <v>165.26358878730181</v>
      </c>
      <c r="CN49" s="32">
        <f t="shared" si="224"/>
        <v>187.0639311193892</v>
      </c>
      <c r="CO49" s="32">
        <f t="shared" si="224"/>
        <v>170.77356229839756</v>
      </c>
      <c r="CP49" s="32">
        <f t="shared" si="224"/>
        <v>194.86130164049374</v>
      </c>
      <c r="CQ49" s="32">
        <f t="shared" si="224"/>
        <v>197.00151384111453</v>
      </c>
      <c r="CR49" s="32">
        <f t="shared" si="224"/>
        <v>221.89513035363424</v>
      </c>
      <c r="CS49" s="32">
        <f t="shared" si="224"/>
        <v>201.27030671739914</v>
      </c>
      <c r="CT49" s="32">
        <f t="shared" si="224"/>
        <v>230.73461393302736</v>
      </c>
      <c r="CU49" s="32">
        <f t="shared" si="224"/>
        <v>233.66936016327688</v>
      </c>
      <c r="CV49" s="32">
        <f t="shared" si="224"/>
        <v>263.00127265429433</v>
      </c>
      <c r="CW49" s="32">
        <f t="shared" si="224"/>
        <v>238.26765624913489</v>
      </c>
      <c r="CX49" s="32">
        <f t="shared" si="224"/>
        <v>273.62061169295816</v>
      </c>
      <c r="CY49" s="32">
        <f t="shared" si="224"/>
        <v>277.14397332699974</v>
      </c>
      <c r="CZ49" s="32">
        <f t="shared" si="224"/>
        <v>312.05840975887793</v>
      </c>
      <c r="DA49" s="32">
        <f t="shared" si="224"/>
        <v>282.54536307649585</v>
      </c>
      <c r="DB49" s="32">
        <f t="shared" si="224"/>
        <v>324.77584297098281</v>
      </c>
      <c r="DE49" s="124"/>
      <c r="DF49" s="31">
        <v>161.02983794983217</v>
      </c>
    </row>
    <row r="50" spans="1:110" s="41" customFormat="1" x14ac:dyDescent="0.2">
      <c r="A50" s="41" t="s">
        <v>6</v>
      </c>
      <c r="B50" s="41" t="e">
        <f>B49/B43</f>
        <v>#DIV/0!</v>
      </c>
      <c r="C50" s="41" t="e">
        <f t="shared" ref="C50:U50" si="225">C49/C43</f>
        <v>#DIV/0!</v>
      </c>
      <c r="D50" s="41" t="e">
        <f t="shared" si="225"/>
        <v>#DIV/0!</v>
      </c>
      <c r="E50" s="41" t="e">
        <f t="shared" si="225"/>
        <v>#DIV/0!</v>
      </c>
      <c r="F50" s="41" t="e">
        <f t="shared" si="225"/>
        <v>#DIV/0!</v>
      </c>
      <c r="G50" s="41" t="e">
        <f t="shared" si="225"/>
        <v>#DIV/0!</v>
      </c>
      <c r="H50" s="41">
        <f t="shared" si="225"/>
        <v>0.65901556163884223</v>
      </c>
      <c r="I50" s="41">
        <f t="shared" si="225"/>
        <v>0.74938211535911292</v>
      </c>
      <c r="J50" s="41">
        <f t="shared" si="225"/>
        <v>0.64395479561499214</v>
      </c>
      <c r="K50" s="41">
        <f t="shared" si="225"/>
        <v>0.67637263508065371</v>
      </c>
      <c r="L50" s="41">
        <f t="shared" si="225"/>
        <v>0.69899184485969301</v>
      </c>
      <c r="M50" s="41">
        <f t="shared" si="225"/>
        <v>0.73351608053100581</v>
      </c>
      <c r="N50" s="41">
        <f t="shared" si="225"/>
        <v>0.73491185079807231</v>
      </c>
      <c r="O50" s="41">
        <f t="shared" si="225"/>
        <v>0.71655842856952356</v>
      </c>
      <c r="P50" s="41">
        <f t="shared" si="225"/>
        <v>0.69485346363646305</v>
      </c>
      <c r="Q50" s="41">
        <f t="shared" si="225"/>
        <v>0.70801983690577475</v>
      </c>
      <c r="R50" s="41">
        <f t="shared" si="225"/>
        <v>0.73249843127334613</v>
      </c>
      <c r="S50" s="41">
        <f t="shared" si="225"/>
        <v>0.73344185002245166</v>
      </c>
      <c r="T50" s="41">
        <f t="shared" si="225"/>
        <v>0.72567074532774067</v>
      </c>
      <c r="U50" s="41">
        <f t="shared" si="225"/>
        <v>0.73036890342191307</v>
      </c>
      <c r="V50" s="41">
        <f>V49/V43</f>
        <v>0.66863450729853213</v>
      </c>
      <c r="W50" s="41">
        <f>W49/W43</f>
        <v>0.71183303331861569</v>
      </c>
      <c r="X50" s="41">
        <f>X49/X43</f>
        <v>0.69007158182543138</v>
      </c>
      <c r="Y50" s="41">
        <f>Y49/Y43</f>
        <v>0.70850528082814568</v>
      </c>
      <c r="Z50" s="41">
        <f>Z49/Z43</f>
        <v>0.72200480104750142</v>
      </c>
      <c r="AA50" s="41">
        <f>AA49/AA43</f>
        <v>0.73516356267490113</v>
      </c>
      <c r="AB50" s="42">
        <f t="shared" ref="AA50:AD50" si="226">AB49/AB43</f>
        <v>0.7408395346035227</v>
      </c>
      <c r="AC50" s="42">
        <f t="shared" si="226"/>
        <v>0.74187868852490868</v>
      </c>
      <c r="AD50" s="42">
        <f t="shared" si="226"/>
        <v>0.7420328608199136</v>
      </c>
      <c r="AE50" s="42">
        <f t="shared" ref="AE50" si="227">AE49/AE43</f>
        <v>0.74204988519170867</v>
      </c>
      <c r="AI50" s="41" t="e">
        <f t="shared" ref="AI50" si="228">AI49/AI43</f>
        <v>#DIV/0!</v>
      </c>
      <c r="AJ50" s="41" t="e">
        <f t="shared" ref="AJ50" si="229">AJ49/AJ43</f>
        <v>#DIV/0!</v>
      </c>
      <c r="AK50" s="41" t="e">
        <f t="shared" ref="AK50:AM50" si="230">AK49/AK43</f>
        <v>#DIV/0!</v>
      </c>
      <c r="AL50" s="41" t="e">
        <f t="shared" si="230"/>
        <v>#DIV/0!</v>
      </c>
      <c r="AM50" s="41" t="e">
        <f t="shared" si="230"/>
        <v>#DIV/0!</v>
      </c>
      <c r="AN50" s="41" t="e">
        <f t="shared" ref="AN50:AO50" si="231">AN49/AN43</f>
        <v>#DIV/0!</v>
      </c>
      <c r="AO50" s="41" t="e">
        <f t="shared" si="231"/>
        <v>#DIV/0!</v>
      </c>
      <c r="AP50" s="41" t="e">
        <f t="shared" ref="AP50:CD50" si="232">AP49/AP43</f>
        <v>#DIV/0!</v>
      </c>
      <c r="AQ50" s="41" t="e">
        <f t="shared" si="232"/>
        <v>#DIV/0!</v>
      </c>
      <c r="AR50" s="41" t="e">
        <f t="shared" si="232"/>
        <v>#DIV/0!</v>
      </c>
      <c r="AS50" s="41" t="e">
        <f t="shared" si="232"/>
        <v>#DIV/0!</v>
      </c>
      <c r="AT50" s="41" t="e">
        <f t="shared" si="232"/>
        <v>#DIV/0!</v>
      </c>
      <c r="AU50" s="41">
        <f t="shared" si="232"/>
        <v>0.69490306167207638</v>
      </c>
      <c r="AV50" s="41">
        <f t="shared" si="232"/>
        <v>0.71055970448887817</v>
      </c>
      <c r="AW50" s="41">
        <f t="shared" si="232"/>
        <v>0.72519946339052466</v>
      </c>
      <c r="AX50" s="41">
        <f t="shared" si="232"/>
        <v>0.7021597110137574</v>
      </c>
      <c r="AY50" s="41">
        <f t="shared" si="232"/>
        <v>0.73417703105680399</v>
      </c>
      <c r="AZ50" s="41">
        <f t="shared" si="232"/>
        <v>0.72756820392076571</v>
      </c>
      <c r="BA50" s="41">
        <f t="shared" si="232"/>
        <v>0.74132541419193498</v>
      </c>
      <c r="BB50" s="41">
        <f t="shared" si="232"/>
        <v>0.72847697323109417</v>
      </c>
      <c r="BC50" s="41">
        <f t="shared" si="232"/>
        <v>0.74555606198723801</v>
      </c>
      <c r="BD50" s="41">
        <f t="shared" si="232"/>
        <v>0.70568858194375028</v>
      </c>
      <c r="BE50" s="41">
        <f t="shared" si="232"/>
        <v>0.7523548348634792</v>
      </c>
      <c r="BF50" s="41">
        <f t="shared" si="232"/>
        <v>0.73111938754396855</v>
      </c>
      <c r="BG50" s="41">
        <f t="shared" si="232"/>
        <v>0.73648996397323718</v>
      </c>
      <c r="BH50" s="41">
        <f t="shared" si="232"/>
        <v>0.72689641894493651</v>
      </c>
      <c r="BI50" s="41">
        <f t="shared" si="232"/>
        <v>0.7305016097206356</v>
      </c>
      <c r="BJ50" s="41">
        <f t="shared" si="232"/>
        <v>0.71010512359124922</v>
      </c>
      <c r="BK50" s="41">
        <f t="shared" si="232"/>
        <v>0.71876423949694712</v>
      </c>
      <c r="BL50" s="41">
        <f t="shared" si="232"/>
        <v>0.73150378527185134</v>
      </c>
      <c r="BM50" s="41">
        <f t="shared" si="232"/>
        <v>0.74005104452216652</v>
      </c>
      <c r="BN50" s="41">
        <f t="shared" si="232"/>
        <v>0.72870662460567825</v>
      </c>
      <c r="BO50" s="41">
        <f t="shared" si="232"/>
        <v>0.53865292340501159</v>
      </c>
      <c r="BP50" s="41">
        <f t="shared" si="232"/>
        <v>0.66818923327895596</v>
      </c>
      <c r="BQ50" s="41">
        <f t="shared" si="232"/>
        <v>0.69118391552759106</v>
      </c>
      <c r="BR50" s="41">
        <f t="shared" si="232"/>
        <v>0.69763007354944162</v>
      </c>
      <c r="BS50" s="41">
        <f t="shared" si="232"/>
        <v>0.67069541451563919</v>
      </c>
      <c r="BT50" s="41">
        <f t="shared" si="232"/>
        <v>0.75251120821746775</v>
      </c>
      <c r="BU50" s="41">
        <f t="shared" si="232"/>
        <v>0.74446337308347532</v>
      </c>
      <c r="BV50" s="41">
        <f t="shared" si="232"/>
        <v>0.67915134803921562</v>
      </c>
      <c r="BW50" s="41">
        <f t="shared" si="232"/>
        <v>0.69089913138743264</v>
      </c>
      <c r="BX50" s="41">
        <f t="shared" si="232"/>
        <v>0.69533970511965626</v>
      </c>
      <c r="BY50" s="41">
        <f t="shared" si="232"/>
        <v>0.68085604936343047</v>
      </c>
      <c r="BZ50" s="41">
        <f t="shared" si="232"/>
        <v>0.69274359729172807</v>
      </c>
      <c r="CA50" s="41">
        <f t="shared" si="232"/>
        <v>0.71777003484320567</v>
      </c>
      <c r="CB50" s="41">
        <f t="shared" si="232"/>
        <v>0.70513513513513515</v>
      </c>
      <c r="CC50" s="41">
        <f t="shared" si="232"/>
        <v>0.71485824550987098</v>
      </c>
      <c r="CD50" s="41">
        <f t="shared" si="232"/>
        <v>0.69808752025931931</v>
      </c>
      <c r="CE50" s="41">
        <f t="shared" ref="CE50:CF50" si="233">CE49/CE43</f>
        <v>0.7102797782168121</v>
      </c>
      <c r="CF50" s="41">
        <f t="shared" si="233"/>
        <v>0.71250563824988722</v>
      </c>
      <c r="CG50" s="41">
        <f t="shared" ref="CG50:CH50" si="234">CG49/CG43</f>
        <v>0.72782063645130191</v>
      </c>
      <c r="CH50" s="41">
        <f t="shared" si="234"/>
        <v>0.73568070100448801</v>
      </c>
      <c r="CI50" s="41">
        <f t="shared" ref="CI50:CJ50" si="235">CI49/CI43</f>
        <v>0.71180645495518835</v>
      </c>
      <c r="CJ50" s="41">
        <f t="shared" si="235"/>
        <v>0.72262504041010478</v>
      </c>
      <c r="CK50" s="41">
        <f t="shared" ref="CK50:CL50" si="236">CK49/CK43</f>
        <v>0.75860481767503718</v>
      </c>
      <c r="CL50" s="41">
        <f t="shared" si="236"/>
        <v>0.74690779191783863</v>
      </c>
      <c r="CM50" s="42">
        <f t="shared" ref="CM50:DB50" si="237">AVERAGE(CI50:CL50)</f>
        <v>0.73498602623954223</v>
      </c>
      <c r="CN50" s="42">
        <f t="shared" si="237"/>
        <v>0.7407809190606307</v>
      </c>
      <c r="CO50" s="42">
        <f t="shared" si="237"/>
        <v>0.74531988872326216</v>
      </c>
      <c r="CP50" s="42">
        <f t="shared" si="237"/>
        <v>0.74199865648531849</v>
      </c>
      <c r="CQ50" s="42">
        <f t="shared" si="237"/>
        <v>0.74077137262718828</v>
      </c>
      <c r="CR50" s="42">
        <f t="shared" si="237"/>
        <v>0.74221770922409991</v>
      </c>
      <c r="CS50" s="42">
        <f t="shared" si="237"/>
        <v>0.74257690676496724</v>
      </c>
      <c r="CT50" s="42">
        <f t="shared" si="237"/>
        <v>0.74189116127539345</v>
      </c>
      <c r="CU50" s="42">
        <f t="shared" si="237"/>
        <v>0.74186428747291222</v>
      </c>
      <c r="CV50" s="42">
        <f t="shared" si="237"/>
        <v>0.7421375161843432</v>
      </c>
      <c r="CW50" s="42">
        <f t="shared" si="237"/>
        <v>0.74211746792440403</v>
      </c>
      <c r="CX50" s="42">
        <f t="shared" si="237"/>
        <v>0.74200260821426323</v>
      </c>
      <c r="CY50" s="42">
        <f t="shared" si="237"/>
        <v>0.7420304699489807</v>
      </c>
      <c r="CZ50" s="42">
        <f t="shared" si="237"/>
        <v>0.74207201556799784</v>
      </c>
      <c r="DA50" s="42">
        <f t="shared" si="237"/>
        <v>0.74205564041391148</v>
      </c>
      <c r="DB50" s="42">
        <f t="shared" si="237"/>
        <v>0.74204018353628831</v>
      </c>
      <c r="DE50" s="125"/>
      <c r="DF50" s="41">
        <v>0.73217925351120461</v>
      </c>
    </row>
    <row r="51" spans="1:110" s="39" customFormat="1" x14ac:dyDescent="0.2">
      <c r="A51" s="39" t="s">
        <v>447</v>
      </c>
      <c r="C51" s="39" t="e">
        <f t="shared" ref="C51:AE51" si="238">+IF(B49&lt;0,1-C49/B49,C49/B49-1)</f>
        <v>#DIV/0!</v>
      </c>
      <c r="D51" s="39" t="e">
        <f t="shared" si="238"/>
        <v>#DIV/0!</v>
      </c>
      <c r="E51" s="39" t="e">
        <f t="shared" si="238"/>
        <v>#DIV/0!</v>
      </c>
      <c r="F51" s="39" t="e">
        <f t="shared" si="238"/>
        <v>#DIV/0!</v>
      </c>
      <c r="G51" s="39" t="e">
        <f t="shared" si="238"/>
        <v>#DIV/0!</v>
      </c>
      <c r="H51" s="39" t="e">
        <f t="shared" si="238"/>
        <v>#DIV/0!</v>
      </c>
      <c r="I51" s="39">
        <f t="shared" si="238"/>
        <v>0.49611189578547443</v>
      </c>
      <c r="J51" s="39">
        <f t="shared" si="238"/>
        <v>-0.12389548768241743</v>
      </c>
      <c r="K51" s="39">
        <f t="shared" si="238"/>
        <v>0.3534098416117617</v>
      </c>
      <c r="L51" s="39">
        <f t="shared" si="238"/>
        <v>0.37923678241004199</v>
      </c>
      <c r="M51" s="39">
        <f t="shared" si="238"/>
        <v>0.4700240689363735</v>
      </c>
      <c r="N51" s="39">
        <f t="shared" si="238"/>
        <v>0.23323626092064642</v>
      </c>
      <c r="O51" s="39">
        <f t="shared" si="238"/>
        <v>8.9165906557211239E-2</v>
      </c>
      <c r="P51" s="39">
        <f t="shared" si="238"/>
        <v>0.18294748204116562</v>
      </c>
      <c r="Q51" s="39">
        <f t="shared" si="238"/>
        <v>0.34200693783479763</v>
      </c>
      <c r="R51" s="39">
        <f t="shared" si="238"/>
        <v>0.30687306574134876</v>
      </c>
      <c r="S51" s="39">
        <f t="shared" si="238"/>
        <v>0.17212272888326741</v>
      </c>
      <c r="T51" s="39">
        <f t="shared" si="238"/>
        <v>0.11877248029387011</v>
      </c>
      <c r="U51" s="39">
        <f t="shared" si="238"/>
        <v>8.4786921130036053E-2</v>
      </c>
      <c r="V51" s="39">
        <f t="shared" si="238"/>
        <v>4.2721568874735993E-2</v>
      </c>
      <c r="W51" s="39">
        <f t="shared" si="238"/>
        <v>0.26744678277697154</v>
      </c>
      <c r="X51" s="39">
        <f t="shared" si="238"/>
        <v>-0.13295321707183261</v>
      </c>
      <c r="Y51" s="39">
        <f t="shared" si="238"/>
        <v>0.11484701738939029</v>
      </c>
      <c r="Z51" s="39">
        <f t="shared" si="238"/>
        <v>0.22481366306333017</v>
      </c>
      <c r="AA51" s="39">
        <f t="shared" si="238"/>
        <v>0.22812178854252707</v>
      </c>
      <c r="AB51" s="40">
        <f t="shared" si="238"/>
        <v>0.17799170415039423</v>
      </c>
      <c r="AC51" s="40">
        <f t="shared" si="238"/>
        <v>0.18516176333297318</v>
      </c>
      <c r="AD51" s="40">
        <f t="shared" si="238"/>
        <v>0.18528269594048208</v>
      </c>
      <c r="AE51" s="40">
        <f t="shared" si="238"/>
        <v>0.18636956972182173</v>
      </c>
      <c r="AM51" s="39" t="e">
        <f>+IF(AI49&lt;0,1-AM49/AI49,AM49/AI49-1)</f>
        <v>#DIV/0!</v>
      </c>
      <c r="AN51" s="39" t="e">
        <f t="shared" ref="AN51" si="239">+IF(AJ49&lt;0,1-AN49/AJ49,AN49/AJ49-1)</f>
        <v>#DIV/0!</v>
      </c>
      <c r="AO51" s="39" t="e">
        <f t="shared" ref="AO51" si="240">+IF(AK49&lt;0,1-AO49/AK49,AO49/AK49-1)</f>
        <v>#DIV/0!</v>
      </c>
      <c r="AP51" s="39" t="e">
        <f t="shared" ref="AP51" si="241">+IF(AL49&lt;0,1-AP49/AL49,AP49/AL49-1)</f>
        <v>#DIV/0!</v>
      </c>
      <c r="AQ51" s="39" t="e">
        <f t="shared" ref="AQ51" si="242">+IF(AM49&lt;0,1-AQ49/AM49,AQ49/AM49-1)</f>
        <v>#DIV/0!</v>
      </c>
      <c r="AR51" s="39" t="e">
        <f t="shared" ref="AR51" si="243">+IF(AN49&lt;0,1-AR49/AN49,AR49/AN49-1)</f>
        <v>#DIV/0!</v>
      </c>
      <c r="AS51" s="39" t="e">
        <f t="shared" ref="AS51" si="244">+IF(AO49&lt;0,1-AS49/AO49,AS49/AO49-1)</f>
        <v>#DIV/0!</v>
      </c>
      <c r="AT51" s="39" t="e">
        <f t="shared" ref="AT51" si="245">+IF(AP49&lt;0,1-AT49/AP49,AT49/AP49-1)</f>
        <v>#DIV/0!</v>
      </c>
      <c r="AU51" s="39" t="e">
        <f t="shared" ref="AU51" si="246">+IF(AQ49&lt;0,1-AU49/AQ49,AU49/AQ49-1)</f>
        <v>#DIV/0!</v>
      </c>
      <c r="AV51" s="39" t="e">
        <f t="shared" ref="AV51" si="247">+IF(AR49&lt;0,1-AV49/AR49,AV49/AR49-1)</f>
        <v>#DIV/0!</v>
      </c>
      <c r="AW51" s="39" t="e">
        <f t="shared" ref="AW51" si="248">+IF(AS49&lt;0,1-AW49/AS49,AW49/AS49-1)</f>
        <v>#DIV/0!</v>
      </c>
      <c r="AX51" s="39" t="e">
        <f t="shared" ref="AX51" si="249">+IF(AT49&lt;0,1-AX49/AT49,AX49/AT49-1)</f>
        <v>#DIV/0!</v>
      </c>
      <c r="AY51" s="39">
        <f t="shared" ref="AY51" si="250">+IF(AU49&lt;0,1-AY49/AU49,AY49/AU49-1)</f>
        <v>0.27432712215320909</v>
      </c>
      <c r="AZ51" s="39">
        <f t="shared" ref="AZ51" si="251">+IF(AV49&lt;0,1-AZ49/AV49,AZ49/AV49-1)</f>
        <v>0.28512985104988342</v>
      </c>
      <c r="BA51" s="39">
        <f t="shared" ref="BA51" si="252">+IF(AW49&lt;0,1-BA49/AW49,BA49/AW49-1)</f>
        <v>0.26991042741699922</v>
      </c>
      <c r="BB51" s="39">
        <f t="shared" ref="BB51" si="253">+IF(AX49&lt;0,1-BB49/AX49,BB49/AX49-1)</f>
        <v>0.38930361873070796</v>
      </c>
      <c r="BC51" s="39">
        <f t="shared" ref="BC51" si="254">+IF(AY49&lt;0,1-BC49/AY49,BC49/AY49-1)</f>
        <v>0.29638802480632465</v>
      </c>
      <c r="BD51" s="39">
        <f t="shared" ref="BD51" si="255">+IF(AZ49&lt;0,1-BD49/AZ49,BD49/AZ49-1)</f>
        <v>9.2651869569805534E-2</v>
      </c>
      <c r="BE51" s="39">
        <f t="shared" ref="BE51" si="256">+IF(BA49&lt;0,1-BE49/BA49,BE49/BA49-1)</f>
        <v>0.20943783182872378</v>
      </c>
      <c r="BF51" s="39">
        <f t="shared" ref="BF51" si="257">+IF(BB49&lt;0,1-BF49/BB49,BF49/BB49-1)</f>
        <v>0.11357978002584224</v>
      </c>
      <c r="BG51" s="39">
        <f t="shared" ref="BG51" si="258">+IF(BC49&lt;0,1-BG49/BC49,BG49/BC49-1)</f>
        <v>9.3535075653369937E-2</v>
      </c>
      <c r="BH51" s="39">
        <f t="shared" ref="BH51" si="259">+IF(BD49&lt;0,1-BH49/BD49,BH49/BD49-1)</f>
        <v>0.21543315198145696</v>
      </c>
      <c r="BI51" s="39">
        <f t="shared" ref="BI51" si="260">+IF(BE49&lt;0,1-BI49/BE49,BI49/BE49-1)</f>
        <v>0.11473851030110915</v>
      </c>
      <c r="BJ51" s="39">
        <f t="shared" ref="BJ51" si="261">+IF(BF49&lt;0,1-BJ49/BF49,BJ49/BF49-1)</f>
        <v>6.0987689259940581E-2</v>
      </c>
      <c r="BK51" s="39">
        <f t="shared" ref="BK51" si="262">+IF(BG49&lt;0,1-BK49/BG49,BK49/BG49-1)</f>
        <v>0.10230607966457028</v>
      </c>
      <c r="BL51" s="39">
        <f t="shared" ref="BL51" si="263">+IF(BH49&lt;0,1-BL49/BH49,BL49/BH49-1)</f>
        <v>0.12607601642166588</v>
      </c>
      <c r="BM51" s="39">
        <f t="shared" ref="BM51" si="264">+IF(BI49&lt;0,1-BM49/BI49,BM49/BI49-1)</f>
        <v>0.11302246232584601</v>
      </c>
      <c r="BN51" s="39">
        <f t="shared" ref="BN51" si="265">+IF(BJ49&lt;0,1-BN49/BJ49,BN49/BJ49-1)</f>
        <v>-1.413710322752737E-2</v>
      </c>
      <c r="BO51" s="39">
        <f t="shared" ref="BO51" si="266">+IF(BK49&lt;0,1-BO49/BK49,BO49/BK49-1)</f>
        <v>-0.61569671611512611</v>
      </c>
      <c r="BP51" s="39">
        <f t="shared" ref="BP51" si="267">+IF(BL49&lt;0,1-BP49/BL49,BP49/BL49-1)</f>
        <v>0.20428084205574515</v>
      </c>
      <c r="BQ51" s="39">
        <f t="shared" ref="BQ51" si="268">+IF(BM49&lt;0,1-BQ49/BM49,BQ49/BM49-1)</f>
        <v>0.22071784391365457</v>
      </c>
      <c r="BR51" s="39">
        <f t="shared" ref="BR51" si="269">+IF(BN49&lt;0,1-BR49/BN49,BR49/BN49-1)</f>
        <v>0.38582251082251084</v>
      </c>
      <c r="BS51" s="39">
        <f t="shared" ref="BS51" si="270">+IF(BO49&lt;0,1-BS49/BO49,BS49/BO49-1)</f>
        <v>2.6433520290333217</v>
      </c>
      <c r="BT51" s="39">
        <f t="shared" ref="BT51" si="271">+IF(BP49&lt;0,1-BT49/BP49,BT49/BP49-1)</f>
        <v>0.29492187499999978</v>
      </c>
      <c r="BU51" s="39">
        <f t="shared" ref="BU51" si="272">+IF(BQ49&lt;0,1-BU49/BQ49,BU49/BQ49-1)</f>
        <v>-8.5487077534791345E-2</v>
      </c>
      <c r="BV51" s="39">
        <f t="shared" ref="BV51" si="273">+IF(BR49&lt;0,1-BV49/BR49,BV49/BR49-1)</f>
        <v>-0.13442014837953942</v>
      </c>
      <c r="BW51" s="39">
        <f t="shared" ref="BW51" si="274">+IF(BS49&lt;0,1-BW49/BS49,BW49/BS49-1)</f>
        <v>-0.20048899755501204</v>
      </c>
      <c r="BX51" s="39">
        <f t="shared" ref="BX51" si="275">+IF(BT49&lt;0,1-BX49/BT49,BX49/BT49-1)</f>
        <v>-0.29223227752639502</v>
      </c>
      <c r="BY51" s="39">
        <f t="shared" ref="BY51" si="276">+IF(BU49&lt;0,1-BY49/BU49,BY49/BU49-1)</f>
        <v>-2.6315789473684292E-3</v>
      </c>
      <c r="BZ51" s="39">
        <f t="shared" ref="BZ51" si="277">+IF(BV49&lt;0,1-BZ49/BV49,BZ49/BV49-1)</f>
        <v>6.1576632457426728E-2</v>
      </c>
      <c r="CA51" s="39">
        <f t="shared" ref="CA51" si="278">+IF(BW49&lt;0,1-CA49/BW49,CA49/BW49-1)</f>
        <v>9.6613433004870242E-2</v>
      </c>
      <c r="CB51" s="39">
        <f t="shared" ref="CB51" si="279">+IF(BX49&lt;0,1-CB49/BX49,CB49/BX49-1)</f>
        <v>0.11198721363878517</v>
      </c>
      <c r="CC51" s="39">
        <f t="shared" ref="CC51" si="280">+IF(BY49&lt;0,1-CC49/BY49,CC49/BY49-1)</f>
        <v>0.1049673052655733</v>
      </c>
      <c r="CD51" s="39">
        <f t="shared" ref="CD51" si="281">+IF(BZ49&lt;0,1-CD49/BZ49,CD49/BZ49-1)</f>
        <v>0.14394985658132375</v>
      </c>
      <c r="CE51" s="39">
        <f t="shared" ref="CE51" si="282">+IF(CA49&lt;0,1-CE49/CA49,CE49/CA49-1)</f>
        <v>0.15110514356537874</v>
      </c>
      <c r="CF51" s="39">
        <f t="shared" ref="CF51" si="283">+IF(CB49&lt;0,1-CF49/CB49,CF49/CB49-1)</f>
        <v>0.21090456113453437</v>
      </c>
      <c r="CG51" s="39">
        <f t="shared" ref="CG51" si="284">+IF(CC49&lt;0,1-CG49/CC49,CG49/CC49-1)</f>
        <v>0.25373754152823902</v>
      </c>
      <c r="CH51" s="39">
        <f t="shared" ref="CH51:CL51" si="285">+IF(CD49&lt;0,1-CH49/CD49,CH49/CD49-1)</f>
        <v>0.27869613670133697</v>
      </c>
      <c r="CI51" s="39">
        <f t="shared" si="285"/>
        <v>0.23283983849259782</v>
      </c>
      <c r="CJ51" s="39">
        <f t="shared" si="285"/>
        <v>0.23818944369707995</v>
      </c>
      <c r="CK51" s="39">
        <f t="shared" si="285"/>
        <v>0.22830407419675391</v>
      </c>
      <c r="CL51" s="39">
        <f t="shared" si="285"/>
        <v>0.21483041615222587</v>
      </c>
      <c r="CM51" s="40">
        <f t="shared" ref="CM51" si="286">+CM49/CI49-1</f>
        <v>0.20279176701093027</v>
      </c>
      <c r="CN51" s="40">
        <f t="shared" ref="CN51" si="287">+CN49/CJ49-1</f>
        <v>0.19552585875496398</v>
      </c>
      <c r="CO51" s="40">
        <f t="shared" ref="CO51" si="288">+CO49/CK49-1</f>
        <v>0.15130831455806337</v>
      </c>
      <c r="CP51" s="40">
        <f t="shared" ref="CP51" si="289">+CP49/CL49-1</f>
        <v>0.16495068835113158</v>
      </c>
      <c r="CQ51" s="40">
        <f t="shared" ref="CQ51" si="290">+CQ49/CM49-1</f>
        <v>0.19204426871462998</v>
      </c>
      <c r="CR51" s="40">
        <f t="shared" ref="CR51" si="291">+CR49/CN49-1</f>
        <v>0.18619944008348055</v>
      </c>
      <c r="CS51" s="40">
        <f t="shared" ref="CS51" si="292">+CS49/CO49-1</f>
        <v>0.17858000974245503</v>
      </c>
      <c r="CT51" s="40">
        <f t="shared" ref="CT51" si="293">+CT49/CP49-1</f>
        <v>0.18409664715633234</v>
      </c>
      <c r="CU51" s="40">
        <f t="shared" ref="CU51" si="294">+CU49/CQ49-1</f>
        <v>0.18612976929576108</v>
      </c>
      <c r="CV51" s="40">
        <f t="shared" ref="CV51" si="295">+CV49/CR49-1</f>
        <v>0.18525031277229576</v>
      </c>
      <c r="CW51" s="40">
        <f t="shared" ref="CW51" si="296">+CW49/CS49-1</f>
        <v>0.1838192137486192</v>
      </c>
      <c r="CX51" s="40">
        <f t="shared" ref="CX51" si="297">+CX49/CT49-1</f>
        <v>0.18586720487624286</v>
      </c>
      <c r="CY51" s="40">
        <f t="shared" ref="CY51" si="298">+CY49/CU49-1</f>
        <v>0.18605183466649167</v>
      </c>
      <c r="CZ51" s="40">
        <f t="shared" ref="CZ51" si="299">+CZ49/CV49-1</f>
        <v>0.18652813581273975</v>
      </c>
      <c r="DA51" s="40">
        <f t="shared" ref="DA51" si="300">+DA49/CW49-1</f>
        <v>0.18583179741804212</v>
      </c>
      <c r="DB51" s="40">
        <f t="shared" ref="DB51" si="301">+DB49/CX49-1</f>
        <v>0.18695679013914424</v>
      </c>
      <c r="DE51" s="122"/>
      <c r="DF51" s="39">
        <v>0.16951004393806524</v>
      </c>
    </row>
    <row r="52" spans="1:110" s="39" customFormat="1" x14ac:dyDescent="0.2">
      <c r="A52" s="39" t="s">
        <v>448</v>
      </c>
      <c r="AB52" s="40"/>
      <c r="AC52" s="40"/>
      <c r="AD52" s="40"/>
      <c r="AE52" s="40"/>
      <c r="AJ52" s="39" t="e">
        <f>+IF(AI49&lt;0,1-AJ49/AI49,AJ49/AI49-1)</f>
        <v>#DIV/0!</v>
      </c>
      <c r="AK52" s="39" t="e">
        <f t="shared" ref="AK52" si="302">+IF(AJ49&lt;0,1-AK49/AJ49,AK49/AJ49-1)</f>
        <v>#DIV/0!</v>
      </c>
      <c r="AL52" s="39" t="e">
        <f t="shared" ref="AL52" si="303">+IF(AK49&lt;0,1-AL49/AK49,AL49/AK49-1)</f>
        <v>#DIV/0!</v>
      </c>
      <c r="AM52" s="39" t="e">
        <f t="shared" ref="AM52" si="304">+IF(AL49&lt;0,1-AM49/AL49,AM49/AL49-1)</f>
        <v>#DIV/0!</v>
      </c>
      <c r="AN52" s="39" t="e">
        <f t="shared" ref="AN52" si="305">+IF(AM49&lt;0,1-AN49/AM49,AN49/AM49-1)</f>
        <v>#DIV/0!</v>
      </c>
      <c r="AO52" s="39" t="e">
        <f t="shared" ref="AO52" si="306">+IF(AN49&lt;0,1-AO49/AN49,AO49/AN49-1)</f>
        <v>#DIV/0!</v>
      </c>
      <c r="AP52" s="39" t="e">
        <f t="shared" ref="AP52" si="307">+IF(AO49&lt;0,1-AP49/AO49,AP49/AO49-1)</f>
        <v>#DIV/0!</v>
      </c>
      <c r="AQ52" s="39" t="e">
        <f t="shared" ref="AQ52" si="308">+IF(AP49&lt;0,1-AQ49/AP49,AQ49/AP49-1)</f>
        <v>#DIV/0!</v>
      </c>
      <c r="AR52" s="39" t="e">
        <f t="shared" ref="AR52" si="309">+IF(AQ49&lt;0,1-AR49/AQ49,AR49/AQ49-1)</f>
        <v>#DIV/0!</v>
      </c>
      <c r="AS52" s="39" t="e">
        <f t="shared" ref="AS52" si="310">+IF(AR49&lt;0,1-AS49/AR49,AS49/AR49-1)</f>
        <v>#DIV/0!</v>
      </c>
      <c r="AT52" s="39" t="e">
        <f t="shared" ref="AT52" si="311">+IF(AS49&lt;0,1-AT49/AS49,AT49/AS49-1)</f>
        <v>#DIV/0!</v>
      </c>
      <c r="AU52" s="39" t="e">
        <f t="shared" ref="AU52" si="312">+IF(AT49&lt;0,1-AU49/AT49,AU49/AT49-1)</f>
        <v>#DIV/0!</v>
      </c>
      <c r="AV52" s="39">
        <f t="shared" ref="AV52" si="313">+IF(AU49&lt;0,1-AV49/AU49,AV49/AU49-1)</f>
        <v>0.11707822047164584</v>
      </c>
      <c r="AW52" s="39">
        <f t="shared" ref="AW52" si="314">+IF(AV49&lt;0,1-AW49/AV49,AW49/AV49-1)</f>
        <v>-7.1401125601790127E-2</v>
      </c>
      <c r="AX52" s="39">
        <f t="shared" ref="AX52" si="315">+IF(AW49&lt;0,1-AX49/AW49,AX49/AW49-1)</f>
        <v>0.11184402687177464</v>
      </c>
      <c r="AY52" s="39">
        <f t="shared" ref="AY52" si="316">+IF(AX49&lt;0,1-AY49/AX49,AY49/AX49-1)</f>
        <v>0.10490597429891202</v>
      </c>
      <c r="AZ52" s="39">
        <f t="shared" ref="AZ52" si="317">+IF(AY49&lt;0,1-AZ49/AY49,AZ49/AY49-1)</f>
        <v>0.12654791860672465</v>
      </c>
      <c r="BA52" s="39">
        <f t="shared" ref="BA52" si="318">+IF(AZ49&lt;0,1-BA49/AZ49,BA49/AZ49-1)</f>
        <v>-8.2398255302683854E-2</v>
      </c>
      <c r="BB52" s="39">
        <f t="shared" ref="BB52" si="319">+IF(BA49&lt;0,1-BB49/BA49,BB49/BA49-1)</f>
        <v>0.21637628658501518</v>
      </c>
      <c r="BC52" s="39">
        <f t="shared" ref="BC52" si="320">+IF(BB49&lt;0,1-BC49/BB49,BC49/BB49-1)</f>
        <v>3.1010683558664986E-2</v>
      </c>
      <c r="BD52" s="39">
        <f t="shared" ref="BD52" si="321">+IF(BC49&lt;0,1-BD49/BC49,BD49/BC49-1)</f>
        <v>-5.0496714045544899E-2</v>
      </c>
      <c r="BE52" s="39">
        <f t="shared" ref="BE52" si="322">+IF(BD49&lt;0,1-BE49/BD49,BE49/BD49-1)</f>
        <v>1.5677816051250737E-2</v>
      </c>
      <c r="BF52" s="39">
        <f t="shared" ref="BF52" si="323">+IF(BE49&lt;0,1-BF49/BE49,BF49/BE49-1)</f>
        <v>0.11996830427892213</v>
      </c>
      <c r="BG52" s="39">
        <f t="shared" ref="BG52" si="324">+IF(BF49&lt;0,1-BG49/BF49,BG49/BF49-1)</f>
        <v>1.2452242818734804E-2</v>
      </c>
      <c r="BH52" s="39">
        <f t="shared" ref="BH52" si="325">+IF(BG49&lt;0,1-BH49/BG49,BH49/BG49-1)</f>
        <v>5.5345911949685744E-2</v>
      </c>
      <c r="BI52" s="39">
        <f t="shared" ref="BI52" si="326">+IF(BH49&lt;0,1-BI49/BH49,BI49/BH49-1)</f>
        <v>-6.8467752615547606E-2</v>
      </c>
      <c r="BJ52" s="39">
        <f t="shared" ref="BJ52" si="327">+IF(BI49&lt;0,1-BJ49/BI49,BJ49/BI49-1)</f>
        <v>6.5965311344896138E-2</v>
      </c>
      <c r="BK52" s="39">
        <f t="shared" ref="BK52" si="328">+IF(BJ49&lt;0,1-BK49/BJ49,BK49/BJ49-1)</f>
        <v>5.1880501467057805E-2</v>
      </c>
      <c r="BL52" s="39">
        <f t="shared" ref="BL52" si="329">+IF(BK49&lt;0,1-BL49/BK49,BL49/BK49-1)</f>
        <v>7.8103207810320763E-2</v>
      </c>
      <c r="BM52" s="39">
        <f t="shared" ref="BM52" si="330">+IF(BL49&lt;0,1-BM49/BL49,BM49/BL49-1)</f>
        <v>-7.9266141361872267E-2</v>
      </c>
      <c r="BN52" s="39">
        <f t="shared" ref="BN52" si="331">+IF(BM49&lt;0,1-BN49/BM49,BN49/BM49-1)</f>
        <v>-5.5818112147145271E-2</v>
      </c>
      <c r="BO52" s="39">
        <f t="shared" ref="BO52" si="332">+IF(BN49&lt;0,1-BO49/BN49,BO49/BN49-1)</f>
        <v>-0.58996212121212122</v>
      </c>
      <c r="BP52" s="39">
        <f t="shared" ref="BP52" si="333">+IF(BO49&lt;0,1-BP49/BO49,BP49/BO49-1)</f>
        <v>2.3784229627185747</v>
      </c>
      <c r="BQ52" s="39">
        <f t="shared" ref="BQ52" si="334">+IF(BP49&lt;0,1-BQ49/BP49,BQ49/BP49-1)</f>
        <v>-6.6699218749999845E-2</v>
      </c>
      <c r="BR52" s="39">
        <f t="shared" ref="BR52" si="335">+IF(BQ49&lt;0,1-BR49/BQ49,BR49/BQ49-1)</f>
        <v>7.1884482578214781E-2</v>
      </c>
      <c r="BS52" s="39">
        <f t="shared" ref="BS52" si="336">+IF(BR49&lt;0,1-BS49/BR49,BS49/BR49-1)</f>
        <v>7.799687622022633E-2</v>
      </c>
      <c r="BT52" s="39">
        <f t="shared" ref="BT52" si="337">+IF(BS49&lt;0,1-BT49/BS49,BT49/BS49-1)</f>
        <v>0.20076066286335248</v>
      </c>
      <c r="BU52" s="39">
        <f t="shared" ref="BU52" si="338">+IF(BT49&lt;0,1-BU49/BT49,BU49/BT49-1)</f>
        <v>-0.34087481146304666</v>
      </c>
      <c r="BV52" s="39">
        <f t="shared" ref="BV52" si="339">+IF(BU49&lt;0,1-BV49/BU49,BV49/BU49-1)</f>
        <v>1.4530892448512356E-2</v>
      </c>
      <c r="BW52" s="39">
        <f t="shared" ref="BW52" si="340">+IF(BV49&lt;0,1-BW49/BV49,BW49/BV49-1)</f>
        <v>-4.2855531746922582E-3</v>
      </c>
      <c r="BX52" s="39">
        <f t="shared" ref="BX52" si="341">+IF(BW49&lt;0,1-BX49/BW49,BX49/BW49-1)</f>
        <v>6.2974289273983297E-2</v>
      </c>
      <c r="BY52" s="39">
        <f t="shared" ref="BY52" si="342">+IF(BX49&lt;0,1-BY49/BX49,BY49/BX49-1)</f>
        <v>-7.1177410761854132E-2</v>
      </c>
      <c r="BZ52" s="39">
        <f t="shared" ref="BZ52" si="343">+IF(BY49&lt;0,1-BZ49/BY49,BZ49/BY49-1)</f>
        <v>7.9843983021681941E-2</v>
      </c>
      <c r="CA52" s="39">
        <f t="shared" ref="CA52" si="344">+IF(BZ49&lt;0,1-CA49/BZ49,CA49/BZ49-1)</f>
        <v>2.8577499203229495E-2</v>
      </c>
      <c r="CB52" s="39">
        <f t="shared" ref="CB52" si="345">+IF(CA49&lt;0,1-CB49/CA49,CB49/CA49-1)</f>
        <v>7.7876471803346226E-2</v>
      </c>
      <c r="CC52" s="39">
        <f t="shared" ref="CC52" si="346">+IF(CB49&lt;0,1-CC49/CB49,CC49/CB49-1)</f>
        <v>-7.7041011881946897E-2</v>
      </c>
      <c r="CD52" s="39">
        <f t="shared" ref="CD52" si="347">+IF(CC49&lt;0,1-CD49/CC49,CD49/CC49-1)</f>
        <v>0.117940199335548</v>
      </c>
      <c r="CE52" s="39">
        <f t="shared" ref="CE52" si="348">+IF(CD49&lt;0,1-CE49/CD49,CE49/CD49-1)</f>
        <v>3.5011144130757677E-2</v>
      </c>
      <c r="CF52" s="39">
        <f t="shared" ref="CF52" si="349">+IF(CE49&lt;0,1-CF49/CE49,CF49/CE49-1)</f>
        <v>0.13387169134140886</v>
      </c>
      <c r="CG52" s="39">
        <f t="shared" ref="CG52" si="350">+IF(CF49&lt;0,1-CG49/CF49,CG49/CF49-1)</f>
        <v>-4.4393447811980735E-2</v>
      </c>
      <c r="CH52" s="39">
        <f t="shared" ref="CH52:CL52" si="351">+IF(CG49&lt;0,1-CH49/CG49,CH49/CG49-1)</f>
        <v>0.14019542894998316</v>
      </c>
      <c r="CI52" s="39">
        <f t="shared" si="351"/>
        <v>-2.1061805505117048E-3</v>
      </c>
      <c r="CJ52" s="39">
        <f t="shared" si="351"/>
        <v>0.13879184861717597</v>
      </c>
      <c r="CK52" s="39">
        <f t="shared" si="351"/>
        <v>-5.2022751965232872E-2</v>
      </c>
      <c r="CL52" s="39">
        <f t="shared" si="351"/>
        <v>0.12768826265758748</v>
      </c>
      <c r="CM52" s="40">
        <f t="shared" ref="CM52" si="352">+CM49/CL49-1</f>
        <v>-1.1995045212519484E-2</v>
      </c>
      <c r="CN52" s="40">
        <f t="shared" ref="CN52" si="353">+CN49/CM49-1</f>
        <v>0.13191255552452597</v>
      </c>
      <c r="CO52" s="40">
        <f t="shared" ref="CO52" si="354">+CO49/CN49-1</f>
        <v>-8.708449952649977E-2</v>
      </c>
      <c r="CP52" s="40">
        <f t="shared" ref="CP52" si="355">+CP49/CO49-1</f>
        <v>0.14105075175516313</v>
      </c>
      <c r="CQ52" s="40">
        <f t="shared" ref="CQ52" si="356">+CQ49/CP49-1</f>
        <v>1.0983259285465286E-2</v>
      </c>
      <c r="CR52" s="40">
        <f t="shared" ref="CR52" si="357">+CR49/CQ49-1</f>
        <v>0.12636256456687378</v>
      </c>
      <c r="CS52" s="40">
        <f t="shared" ref="CS52" si="358">+CS49/CR49-1</f>
        <v>-9.2948518533801705E-2</v>
      </c>
      <c r="CT52" s="40">
        <f t="shared" ref="CT52" si="359">+CT49/CS49-1</f>
        <v>0.14639172412549972</v>
      </c>
      <c r="CU52" s="40">
        <f t="shared" ref="CU52" si="360">+CU49/CT49-1</f>
        <v>1.2719141615663121E-2</v>
      </c>
      <c r="CV52" s="40">
        <f t="shared" ref="CV52" si="361">+CV49/CU49-1</f>
        <v>0.12552742246789106</v>
      </c>
      <c r="CW52" s="40">
        <f t="shared" ref="CW52" si="362">+CW49/CV49-1</f>
        <v>-9.4043713764346948E-2</v>
      </c>
      <c r="CX52" s="40">
        <f t="shared" ref="CX52" si="363">+CX49/CW49-1</f>
        <v>0.14837496620547563</v>
      </c>
      <c r="CY52" s="40">
        <f t="shared" ref="CY52" si="364">+CY49/CX49-1</f>
        <v>1.2876813673654341E-2</v>
      </c>
      <c r="CZ52" s="40">
        <f t="shared" ref="CZ52" si="365">+CZ49/CY49-1</f>
        <v>0.12597941789151923</v>
      </c>
      <c r="DA52" s="40">
        <f t="shared" ref="DA52" si="366">+DA49/CZ49-1</f>
        <v>-9.4575392809270187E-2</v>
      </c>
      <c r="DB52" s="40">
        <f t="shared" ref="DB52" si="367">+DB49/DA49-1</f>
        <v>0.14946442381733083</v>
      </c>
      <c r="DE52" s="122"/>
      <c r="DF52" s="39">
        <v>8.5618809073229718E-2</v>
      </c>
    </row>
    <row r="53" spans="1:110" s="23" customFormat="1" outlineLevel="1" x14ac:dyDescent="0.2">
      <c r="A53" s="23" t="s">
        <v>8</v>
      </c>
      <c r="B53" s="23">
        <f>'Annual Raw'!C14</f>
        <v>0</v>
      </c>
      <c r="C53" s="23">
        <f>'Annual Raw'!D14</f>
        <v>0</v>
      </c>
      <c r="D53" s="23">
        <f>'Annual Raw'!E14</f>
        <v>0</v>
      </c>
      <c r="E53" s="23">
        <f>'Annual Raw'!F14</f>
        <v>0</v>
      </c>
      <c r="F53" s="23">
        <f>'Annual Raw'!G14</f>
        <v>0</v>
      </c>
      <c r="G53" s="23">
        <f>'Annual Raw'!H14</f>
        <v>0</v>
      </c>
      <c r="H53" s="23">
        <f>'Annual Raw'!I14</f>
        <v>1.5794923999999999</v>
      </c>
      <c r="I53" s="23">
        <f>'Annual Raw'!J14</f>
        <v>1.7314282000000001</v>
      </c>
      <c r="J53" s="23">
        <f>'Annual Raw'!K14</f>
        <v>2.4461108999999999</v>
      </c>
      <c r="K53" s="23">
        <f>'Annual Raw'!L14</f>
        <v>3.4255765</v>
      </c>
      <c r="L53" s="23">
        <f>'Annual Raw'!M14</f>
        <v>5.3079999999999998</v>
      </c>
      <c r="M53" s="23">
        <f>'Annual Raw'!N14</f>
        <v>7.12</v>
      </c>
      <c r="N53" s="23">
        <f>'Annual Raw'!O14</f>
        <v>9.0280000000000005</v>
      </c>
      <c r="O53" s="23">
        <f>'Annual Raw'!P14</f>
        <v>12.087999999999999</v>
      </c>
      <c r="P53" s="23">
        <f>'Annual Raw'!Q14</f>
        <v>17.481000000000002</v>
      </c>
      <c r="Q53" s="23">
        <f>'Annual Raw'!R14</f>
        <v>25.698</v>
      </c>
      <c r="R53" s="23">
        <f>'Annual Raw'!S14</f>
        <v>32</v>
      </c>
      <c r="S53" s="23">
        <f>'Annual Raw'!T14</f>
        <v>35.340000000000003</v>
      </c>
      <c r="T53" s="23">
        <f>'Annual Raw'!U14</f>
        <v>43.35</v>
      </c>
      <c r="U53" s="23">
        <f>'Annual Raw'!V14</f>
        <v>48.92</v>
      </c>
      <c r="V53" s="23">
        <f>'Annual Raw'!W14</f>
        <v>58.07</v>
      </c>
      <c r="W53" s="23">
        <f>'Annual Raw'!X14</f>
        <v>61.13</v>
      </c>
      <c r="X53" s="23">
        <f>'Annual Raw'!Y14</f>
        <v>106.15</v>
      </c>
      <c r="Y53" s="23">
        <f>'Annual Raw'!Z14</f>
        <v>107.86</v>
      </c>
      <c r="Z53" s="23">
        <f>'Annual Raw'!AA14</f>
        <v>126.77</v>
      </c>
      <c r="AA53" s="23">
        <f>'Annual Raw'!AB14</f>
        <v>138.06</v>
      </c>
      <c r="AB53" s="76">
        <f t="shared" ref="AB53:AB67" si="368">+SUM(CM53:CP53)</f>
        <v>147.7242</v>
      </c>
      <c r="AC53" s="76">
        <f t="shared" ref="AC53:AC67" si="369">+SUM(CQ53:CT53)</f>
        <v>158.06489400000001</v>
      </c>
      <c r="AD53" s="76">
        <f t="shared" ref="AD53:AD67" si="370">+SUM(CU53:CX53)</f>
        <v>169.12943658</v>
      </c>
      <c r="AE53" s="76">
        <f t="shared" ref="AE53:AE67" si="371">+SUM(CY53:DB53)</f>
        <v>180.96849714060005</v>
      </c>
      <c r="AI53" s="23">
        <f>'QTR Raw'!C16</f>
        <v>0</v>
      </c>
      <c r="AJ53" s="23">
        <f>'QTR Raw'!D16</f>
        <v>0</v>
      </c>
      <c r="AK53" s="23">
        <f>'QTR Raw'!E16</f>
        <v>0</v>
      </c>
      <c r="AL53" s="23">
        <f>'QTR Raw'!F16</f>
        <v>0</v>
      </c>
      <c r="AM53" s="23">
        <f>'QTR Raw'!G16</f>
        <v>0</v>
      </c>
      <c r="AN53" s="23">
        <f>'QTR Raw'!H16</f>
        <v>0</v>
      </c>
      <c r="AO53" s="23">
        <f>'QTR Raw'!I16</f>
        <v>0</v>
      </c>
      <c r="AP53" s="23">
        <f>'QTR Raw'!J16</f>
        <v>0</v>
      </c>
      <c r="AQ53" s="23">
        <f>'QTR Raw'!K16</f>
        <v>0</v>
      </c>
      <c r="AR53" s="23">
        <f>'QTR Raw'!L16</f>
        <v>0</v>
      </c>
      <c r="AS53" s="23">
        <f>'QTR Raw'!M16</f>
        <v>0</v>
      </c>
      <c r="AT53" s="23">
        <f>'QTR Raw'!N16</f>
        <v>0</v>
      </c>
      <c r="AU53" s="23">
        <f>'QTR Raw'!O16</f>
        <v>6.4329999999999998</v>
      </c>
      <c r="AV53" s="23">
        <f>'QTR Raw'!P16</f>
        <v>5.5039999999999996</v>
      </c>
      <c r="AW53" s="23">
        <f>'QTR Raw'!Q16</f>
        <v>6.0609999999999999</v>
      </c>
      <c r="AX53" s="23">
        <f>'QTR Raw'!R16</f>
        <v>7.891</v>
      </c>
      <c r="AY53" s="23">
        <f>'QTR Raw'!S16</f>
        <v>7.1609999999999996</v>
      </c>
      <c r="AZ53" s="23">
        <f>'QTR Raw'!T16</f>
        <v>7.5579999999999998</v>
      </c>
      <c r="BA53" s="23">
        <f>'QTR Raw'!U16</f>
        <v>7.5949999999999998</v>
      </c>
      <c r="BB53" s="23">
        <f>'QTR Raw'!V16</f>
        <v>9.6859999999999999</v>
      </c>
      <c r="BC53" s="23">
        <f>'QTR Raw'!W16</f>
        <v>7.38</v>
      </c>
      <c r="BD53" s="23">
        <f>'QTR Raw'!X16</f>
        <v>7.2</v>
      </c>
      <c r="BE53" s="23">
        <f>'QTR Raw'!Y16</f>
        <v>9.4499999999999993</v>
      </c>
      <c r="BF53" s="23">
        <f>'QTR Raw'!Z16</f>
        <v>11.31</v>
      </c>
      <c r="BG53" s="23">
        <f>'QTR Raw'!AA16</f>
        <v>8.9499999999999993</v>
      </c>
      <c r="BH53" s="23">
        <f>'QTR Raw'!AB16</f>
        <v>9.82</v>
      </c>
      <c r="BI53" s="23">
        <f>'QTR Raw'!AC16</f>
        <v>10.47</v>
      </c>
      <c r="BJ53" s="23">
        <f>'QTR Raw'!AD16</f>
        <v>14.11</v>
      </c>
      <c r="BK53" s="23">
        <f>'QTR Raw'!AE16</f>
        <v>11.53</v>
      </c>
      <c r="BL53" s="23">
        <f>'QTR Raw'!AF16</f>
        <v>11.42</v>
      </c>
      <c r="BM53" s="23">
        <f>'QTR Raw'!AG16</f>
        <v>12.4</v>
      </c>
      <c r="BN53" s="23">
        <f>'QTR Raw'!AH16</f>
        <v>13.57</v>
      </c>
      <c r="BO53" s="23">
        <f>'QTR Raw'!AI16</f>
        <v>9.2200000000000006</v>
      </c>
      <c r="BP53" s="23">
        <f>'QTR Raw'!AJ16</f>
        <v>13.1</v>
      </c>
      <c r="BQ53" s="23">
        <f>'QTR Raw'!AK16</f>
        <v>17.22</v>
      </c>
      <c r="BR53" s="23">
        <f>'QTR Raw'!AL16</f>
        <v>18.53</v>
      </c>
      <c r="BS53" s="23">
        <f>'QTR Raw'!AM16</f>
        <v>13.91</v>
      </c>
      <c r="BT53" s="23">
        <f>'QTR Raw'!AN16</f>
        <v>15.02</v>
      </c>
      <c r="BU53" s="23">
        <f>'QTR Raw'!AO16</f>
        <v>14.7</v>
      </c>
      <c r="BV53" s="23">
        <f>'QTR Raw'!AP16</f>
        <v>17.43</v>
      </c>
      <c r="BW53" s="23">
        <f>'QTR Raw'!AQ16</f>
        <v>21.65</v>
      </c>
      <c r="BX53" s="23">
        <f>'QTR Raw'!AR16</f>
        <v>29.17</v>
      </c>
      <c r="BY53" s="23">
        <f>'QTR Raw'!AS16</f>
        <v>27.04</v>
      </c>
      <c r="BZ53" s="23">
        <f>'QTR Raw'!AT16</f>
        <v>28.29</v>
      </c>
      <c r="CA53" s="23">
        <f>'QTR Raw'!AU16</f>
        <v>27.87</v>
      </c>
      <c r="CB53" s="23">
        <f>'QTR Raw'!AV16</f>
        <v>27.06</v>
      </c>
      <c r="CC53" s="23">
        <f>'QTR Raw'!AW16</f>
        <v>26.36</v>
      </c>
      <c r="CD53" s="23">
        <f>'QTR Raw'!AX16</f>
        <v>26.57</v>
      </c>
      <c r="CE53" s="23">
        <f>'QTR Raw'!AY16</f>
        <v>28.72</v>
      </c>
      <c r="CF53" s="23">
        <f>'QTR Raw'!AZ16</f>
        <v>29.49</v>
      </c>
      <c r="CG53" s="23">
        <f>'QTR Raw'!BA16</f>
        <v>35.090000000000003</v>
      </c>
      <c r="CH53" s="23">
        <f>'QTR Raw'!BB16</f>
        <v>33.47</v>
      </c>
      <c r="CI53" s="23">
        <f>'QTR Raw'!BC16</f>
        <v>33</v>
      </c>
      <c r="CJ53" s="23">
        <f>'QTR Raw'!BD16</f>
        <v>33.229999999999997</v>
      </c>
      <c r="CK53" s="23">
        <f>'QTR Raw'!BE16</f>
        <v>35.76</v>
      </c>
      <c r="CL53" s="23">
        <f>'QTR Raw'!BF16</f>
        <v>36.07</v>
      </c>
      <c r="CM53" s="24">
        <f t="shared" ref="CM53:DB53" si="372">CI53*107%</f>
        <v>35.31</v>
      </c>
      <c r="CN53" s="24">
        <f t="shared" si="372"/>
        <v>35.556100000000001</v>
      </c>
      <c r="CO53" s="24">
        <f t="shared" si="372"/>
        <v>38.263199999999998</v>
      </c>
      <c r="CP53" s="24">
        <f t="shared" si="372"/>
        <v>38.594900000000003</v>
      </c>
      <c r="CQ53" s="24">
        <f t="shared" si="372"/>
        <v>37.781700000000008</v>
      </c>
      <c r="CR53" s="24">
        <f t="shared" si="372"/>
        <v>38.045027000000005</v>
      </c>
      <c r="CS53" s="24">
        <f t="shared" si="372"/>
        <v>40.941623999999997</v>
      </c>
      <c r="CT53" s="24">
        <f t="shared" si="372"/>
        <v>41.296543000000007</v>
      </c>
      <c r="CU53" s="24">
        <f t="shared" si="372"/>
        <v>40.42641900000001</v>
      </c>
      <c r="CV53" s="24">
        <f t="shared" si="372"/>
        <v>40.708178890000006</v>
      </c>
      <c r="CW53" s="24">
        <f t="shared" si="372"/>
        <v>43.807537680000003</v>
      </c>
      <c r="CX53" s="24">
        <f t="shared" si="372"/>
        <v>44.187301010000013</v>
      </c>
      <c r="CY53" s="24">
        <f t="shared" si="372"/>
        <v>43.256268330000012</v>
      </c>
      <c r="CZ53" s="24">
        <f t="shared" si="372"/>
        <v>43.557751412300007</v>
      </c>
      <c r="DA53" s="24">
        <f t="shared" si="372"/>
        <v>46.874065317600007</v>
      </c>
      <c r="DB53" s="24">
        <f t="shared" si="372"/>
        <v>47.280412080700017</v>
      </c>
      <c r="DE53" s="123"/>
      <c r="DF53" s="23">
        <v>35.812899999999999</v>
      </c>
    </row>
    <row r="54" spans="1:110" s="23" customFormat="1" outlineLevel="1" x14ac:dyDescent="0.2">
      <c r="A54" s="23" t="s">
        <v>538</v>
      </c>
      <c r="Y54" s="23">
        <v>33.729999999999997</v>
      </c>
      <c r="Z54" s="23">
        <v>45.34</v>
      </c>
      <c r="AA54" s="23">
        <v>45.34</v>
      </c>
      <c r="AB54" s="76">
        <f t="shared" si="368"/>
        <v>0</v>
      </c>
      <c r="AC54" s="76">
        <f t="shared" si="369"/>
        <v>0</v>
      </c>
      <c r="AD54" s="76">
        <f t="shared" si="370"/>
        <v>0</v>
      </c>
      <c r="AE54" s="76">
        <f t="shared" si="371"/>
        <v>0</v>
      </c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E54" s="123"/>
      <c r="DF54" s="23">
        <v>0</v>
      </c>
    </row>
    <row r="55" spans="1:110" s="23" customFormat="1" outlineLevel="1" x14ac:dyDescent="0.2">
      <c r="A55" s="23" t="s">
        <v>542</v>
      </c>
      <c r="P55" s="23">
        <v>1.52</v>
      </c>
      <c r="Q55" s="23">
        <v>2.61</v>
      </c>
      <c r="R55" s="23">
        <v>3.57</v>
      </c>
      <c r="S55" s="23">
        <v>6.76</v>
      </c>
      <c r="T55" s="23">
        <v>10.85</v>
      </c>
      <c r="U55" s="23">
        <v>11.41</v>
      </c>
      <c r="V55" s="23">
        <v>9.1999999999999993</v>
      </c>
      <c r="W55" s="23">
        <v>11.38</v>
      </c>
      <c r="X55" s="23">
        <v>16.93</v>
      </c>
      <c r="Y55" s="23">
        <v>25.57</v>
      </c>
      <c r="Z55" s="23">
        <v>28.6</v>
      </c>
      <c r="AA55" s="23">
        <v>28.6</v>
      </c>
      <c r="AB55" s="76">
        <f t="shared" si="368"/>
        <v>0</v>
      </c>
      <c r="AC55" s="76">
        <f t="shared" si="369"/>
        <v>0</v>
      </c>
      <c r="AD55" s="76">
        <f t="shared" si="370"/>
        <v>0</v>
      </c>
      <c r="AE55" s="76">
        <f t="shared" si="371"/>
        <v>0</v>
      </c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E55" s="123"/>
      <c r="DF55" s="23">
        <v>0</v>
      </c>
    </row>
    <row r="56" spans="1:110" s="23" customFormat="1" outlineLevel="1" x14ac:dyDescent="0.2">
      <c r="A56" s="23" t="s">
        <v>540</v>
      </c>
      <c r="P56" s="23">
        <v>1.71</v>
      </c>
      <c r="Q56" s="23">
        <v>2.58</v>
      </c>
      <c r="R56" s="23">
        <v>3.2</v>
      </c>
      <c r="S56" s="23">
        <v>3.54</v>
      </c>
      <c r="T56" s="23">
        <v>6.59</v>
      </c>
      <c r="U56" s="23">
        <v>8.44</v>
      </c>
      <c r="V56" s="23">
        <v>8.4600000000000009</v>
      </c>
      <c r="W56" s="23">
        <v>11.1</v>
      </c>
      <c r="X56" s="23">
        <v>15.04</v>
      </c>
      <c r="Y56" s="23">
        <v>21.85</v>
      </c>
      <c r="Z56" s="23">
        <v>24.07</v>
      </c>
      <c r="AA56" s="23">
        <v>24.07</v>
      </c>
      <c r="AB56" s="76">
        <f t="shared" si="368"/>
        <v>0</v>
      </c>
      <c r="AC56" s="76">
        <f t="shared" si="369"/>
        <v>0</v>
      </c>
      <c r="AD56" s="76">
        <f t="shared" si="370"/>
        <v>0</v>
      </c>
      <c r="AE56" s="76">
        <f t="shared" si="371"/>
        <v>0</v>
      </c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E56" s="123"/>
      <c r="DF56" s="23">
        <v>0</v>
      </c>
    </row>
    <row r="57" spans="1:110" s="23" customFormat="1" outlineLevel="1" x14ac:dyDescent="0.2">
      <c r="A57" s="23" t="s">
        <v>543</v>
      </c>
      <c r="P57" s="23">
        <v>4.83</v>
      </c>
      <c r="Q57" s="23">
        <v>6.18</v>
      </c>
      <c r="R57" s="23">
        <v>6.9</v>
      </c>
      <c r="S57" s="23">
        <v>10.28</v>
      </c>
      <c r="T57" s="23">
        <v>11.37</v>
      </c>
      <c r="U57" s="23">
        <v>5.75</v>
      </c>
      <c r="V57" s="23">
        <v>5.66</v>
      </c>
      <c r="W57" s="23">
        <v>5.3</v>
      </c>
      <c r="X57" s="23">
        <v>6.44</v>
      </c>
      <c r="Y57" s="23">
        <v>16.739999999999998</v>
      </c>
      <c r="Z57" s="23">
        <v>19.41</v>
      </c>
      <c r="AA57" s="23">
        <v>19.41</v>
      </c>
      <c r="AB57" s="76">
        <f t="shared" si="368"/>
        <v>0</v>
      </c>
      <c r="AC57" s="76">
        <f t="shared" si="369"/>
        <v>0</v>
      </c>
      <c r="AD57" s="76">
        <f t="shared" si="370"/>
        <v>0</v>
      </c>
      <c r="AE57" s="76">
        <f t="shared" si="371"/>
        <v>0</v>
      </c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E57" s="123"/>
      <c r="DF57" s="23">
        <v>0</v>
      </c>
    </row>
    <row r="58" spans="1:110" s="23" customFormat="1" outlineLevel="1" x14ac:dyDescent="0.2">
      <c r="A58" s="23" t="s">
        <v>544</v>
      </c>
      <c r="P58" s="23">
        <v>4.96</v>
      </c>
      <c r="Q58" s="23">
        <v>4.07</v>
      </c>
      <c r="R58" s="23">
        <v>7.02</v>
      </c>
      <c r="S58" s="23">
        <v>9.59</v>
      </c>
      <c r="T58" s="23">
        <v>12.61</v>
      </c>
      <c r="U58" s="23">
        <v>17.760000000000002</v>
      </c>
      <c r="V58" s="23">
        <v>18.23</v>
      </c>
      <c r="W58" s="23">
        <v>16</v>
      </c>
      <c r="X58" s="23">
        <v>12.75</v>
      </c>
      <c r="Y58" s="23">
        <v>13.75</v>
      </c>
      <c r="Z58" s="23">
        <v>17.57</v>
      </c>
      <c r="AA58" s="23">
        <v>17.57</v>
      </c>
      <c r="AB58" s="76">
        <f t="shared" si="368"/>
        <v>0</v>
      </c>
      <c r="AC58" s="76">
        <f t="shared" si="369"/>
        <v>0</v>
      </c>
      <c r="AD58" s="76">
        <f t="shared" si="370"/>
        <v>0</v>
      </c>
      <c r="AE58" s="76">
        <f t="shared" si="371"/>
        <v>0</v>
      </c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E58" s="123"/>
      <c r="DF58" s="23">
        <v>0</v>
      </c>
    </row>
    <row r="59" spans="1:110" s="23" customFormat="1" outlineLevel="1" x14ac:dyDescent="0.2">
      <c r="A59" s="23" t="s">
        <v>7</v>
      </c>
      <c r="B59" s="23">
        <f>'Annual Raw'!C13</f>
        <v>0</v>
      </c>
      <c r="C59" s="23">
        <f>'Annual Raw'!D13</f>
        <v>0</v>
      </c>
      <c r="D59" s="23">
        <f>'Annual Raw'!E13</f>
        <v>0</v>
      </c>
      <c r="E59" s="23">
        <f>'Annual Raw'!F13</f>
        <v>0</v>
      </c>
      <c r="F59" s="23">
        <f>'Annual Raw'!G13</f>
        <v>0</v>
      </c>
      <c r="G59" s="23">
        <f>'Annual Raw'!H13</f>
        <v>0</v>
      </c>
      <c r="H59" s="23">
        <f>'Annual Raw'!I13</f>
        <v>0.39171440000000002</v>
      </c>
      <c r="I59" s="23">
        <f>'Annual Raw'!J13</f>
        <v>0.36457109999999998</v>
      </c>
      <c r="J59" s="23">
        <f>'Annual Raw'!K13</f>
        <v>0.44457770000000002</v>
      </c>
      <c r="K59" s="23">
        <f>'Annual Raw'!L13</f>
        <v>0.4731804</v>
      </c>
      <c r="L59" s="23">
        <f>'Annual Raw'!M13</f>
        <v>0.80700000000000005</v>
      </c>
      <c r="M59" s="23">
        <f>'Annual Raw'!N13</f>
        <v>2.0619999999999998</v>
      </c>
      <c r="N59" s="23">
        <f>'Annual Raw'!O13</f>
        <v>1.9159999999999999</v>
      </c>
      <c r="O59" s="23">
        <f>'Annual Raw'!P13</f>
        <v>2.613</v>
      </c>
      <c r="P59" s="23">
        <f>'Annual Raw'!Q13</f>
        <v>3.9510000000000001</v>
      </c>
      <c r="Q59" s="23">
        <f>'Annual Raw'!R13</f>
        <v>5.3209999999999997</v>
      </c>
      <c r="R59" s="23">
        <f>'Annual Raw'!S13</f>
        <v>6.3529999999999998</v>
      </c>
      <c r="S59" s="23">
        <f>'Annual Raw'!T13</f>
        <v>6.68</v>
      </c>
      <c r="T59" s="23">
        <f>'Annual Raw'!U13</f>
        <v>7.77</v>
      </c>
      <c r="U59" s="23">
        <f>'Annual Raw'!V13</f>
        <v>8.69</v>
      </c>
      <c r="V59" s="23">
        <f>'Annual Raw'!W13</f>
        <v>7.64</v>
      </c>
      <c r="W59" s="23">
        <f>'Annual Raw'!X13</f>
        <v>8.4</v>
      </c>
      <c r="X59" s="23">
        <f>'Annual Raw'!Y13</f>
        <v>10.7</v>
      </c>
      <c r="Y59" s="23">
        <f>'Annual Raw'!Z13</f>
        <v>10.15</v>
      </c>
      <c r="Z59" s="23">
        <f>'Annual Raw'!AA13</f>
        <v>11.52</v>
      </c>
      <c r="AA59" s="23">
        <f>'Annual Raw'!AB13</f>
        <v>11.26</v>
      </c>
      <c r="AB59" s="76">
        <f t="shared" si="368"/>
        <v>0</v>
      </c>
      <c r="AC59" s="76">
        <f t="shared" si="369"/>
        <v>0</v>
      </c>
      <c r="AD59" s="76">
        <f t="shared" si="370"/>
        <v>0</v>
      </c>
      <c r="AE59" s="76">
        <f t="shared" si="371"/>
        <v>0</v>
      </c>
      <c r="AI59" s="23">
        <f>'QTR Raw'!C15</f>
        <v>0</v>
      </c>
      <c r="AJ59" s="23">
        <f>'QTR Raw'!D15</f>
        <v>0</v>
      </c>
      <c r="AK59" s="23">
        <f>'QTR Raw'!E15</f>
        <v>0</v>
      </c>
      <c r="AL59" s="23">
        <f>'QTR Raw'!F15</f>
        <v>0</v>
      </c>
      <c r="AM59" s="23">
        <f>'QTR Raw'!G15</f>
        <v>0</v>
      </c>
      <c r="AN59" s="23">
        <f>'QTR Raw'!H15</f>
        <v>0</v>
      </c>
      <c r="AO59" s="23">
        <f>'QTR Raw'!I15</f>
        <v>0</v>
      </c>
      <c r="AP59" s="23">
        <f>'QTR Raw'!J15</f>
        <v>0</v>
      </c>
      <c r="AQ59" s="23">
        <f>'QTR Raw'!K15</f>
        <v>0</v>
      </c>
      <c r="AR59" s="23">
        <f>'QTR Raw'!L15</f>
        <v>0</v>
      </c>
      <c r="AS59" s="23">
        <f>'QTR Raw'!M15</f>
        <v>0</v>
      </c>
      <c r="AT59" s="23">
        <f>'QTR Raw'!N15</f>
        <v>0</v>
      </c>
      <c r="AU59" s="23">
        <f>'QTR Raw'!O15</f>
        <v>0</v>
      </c>
      <c r="AV59" s="23">
        <f>'QTR Raw'!P15</f>
        <v>0</v>
      </c>
      <c r="AW59" s="23">
        <f>'QTR Raw'!Q15</f>
        <v>0</v>
      </c>
      <c r="AX59" s="23">
        <f>'QTR Raw'!R15</f>
        <v>0</v>
      </c>
      <c r="AY59" s="23">
        <f>'QTR Raw'!S15</f>
        <v>0</v>
      </c>
      <c r="AZ59" s="23">
        <f>'QTR Raw'!T15</f>
        <v>0</v>
      </c>
      <c r="BA59" s="23">
        <f>'QTR Raw'!U15</f>
        <v>0</v>
      </c>
      <c r="BB59" s="23">
        <f>'QTR Raw'!V15</f>
        <v>0</v>
      </c>
      <c r="BC59" s="23">
        <f>'QTR Raw'!W15</f>
        <v>0</v>
      </c>
      <c r="BD59" s="23">
        <f>'QTR Raw'!X15</f>
        <v>0</v>
      </c>
      <c r="BE59" s="23">
        <f>'QTR Raw'!Y15</f>
        <v>0</v>
      </c>
      <c r="BF59" s="23">
        <f>'QTR Raw'!Z15</f>
        <v>0</v>
      </c>
      <c r="BG59" s="23">
        <f>'QTR Raw'!AA15</f>
        <v>0</v>
      </c>
      <c r="BH59" s="23">
        <f>'QTR Raw'!AB15</f>
        <v>0</v>
      </c>
      <c r="BI59" s="23">
        <f>'QTR Raw'!AC15</f>
        <v>0</v>
      </c>
      <c r="BJ59" s="23">
        <f>'QTR Raw'!AD15</f>
        <v>0</v>
      </c>
      <c r="BK59" s="23">
        <f>'QTR Raw'!AE15</f>
        <v>0</v>
      </c>
      <c r="BL59" s="23">
        <f>'QTR Raw'!AF15</f>
        <v>0</v>
      </c>
      <c r="BM59" s="23">
        <f>'QTR Raw'!AG15</f>
        <v>0</v>
      </c>
      <c r="BN59" s="23">
        <f>'QTR Raw'!AH15</f>
        <v>0</v>
      </c>
      <c r="BO59" s="23">
        <f>'QTR Raw'!AI15</f>
        <v>0</v>
      </c>
      <c r="BP59" s="23">
        <f>'QTR Raw'!AJ15</f>
        <v>0</v>
      </c>
      <c r="BQ59" s="23">
        <f>'QTR Raw'!AK15</f>
        <v>0</v>
      </c>
      <c r="BR59" s="23">
        <f>'QTR Raw'!AL15</f>
        <v>0</v>
      </c>
      <c r="BS59" s="23">
        <f>'QTR Raw'!AM15</f>
        <v>0</v>
      </c>
      <c r="BT59" s="23">
        <f>'QTR Raw'!AN15</f>
        <v>0</v>
      </c>
      <c r="BU59" s="23">
        <f>'QTR Raw'!AO15</f>
        <v>0</v>
      </c>
      <c r="BV59" s="23">
        <f>'QTR Raw'!AP15</f>
        <v>0</v>
      </c>
      <c r="BW59" s="23">
        <f>'QTR Raw'!AQ15</f>
        <v>0</v>
      </c>
      <c r="BX59" s="23">
        <f>'QTR Raw'!AR15</f>
        <v>0</v>
      </c>
      <c r="BY59" s="23">
        <f>'QTR Raw'!AS15</f>
        <v>0</v>
      </c>
      <c r="BZ59" s="23">
        <f>'QTR Raw'!AT15</f>
        <v>0</v>
      </c>
      <c r="CA59" s="23">
        <f>'QTR Raw'!AU15</f>
        <v>0</v>
      </c>
      <c r="CB59" s="23">
        <f>'QTR Raw'!AV15</f>
        <v>0</v>
      </c>
      <c r="CC59" s="23">
        <f>'QTR Raw'!AW15</f>
        <v>0</v>
      </c>
      <c r="CD59" s="23">
        <f>'QTR Raw'!AX15</f>
        <v>0</v>
      </c>
      <c r="CE59" s="23">
        <f>'QTR Raw'!AY15</f>
        <v>0</v>
      </c>
      <c r="CF59" s="23">
        <f>'QTR Raw'!AZ15</f>
        <v>0</v>
      </c>
      <c r="CG59" s="23">
        <f>'QTR Raw'!BA15</f>
        <v>0</v>
      </c>
      <c r="CH59" s="23">
        <f>'QTR Raw'!BB15</f>
        <v>0</v>
      </c>
      <c r="CI59" s="23">
        <f>'QTR Raw'!BC15</f>
        <v>0</v>
      </c>
      <c r="CJ59" s="23">
        <f>'QTR Raw'!BD15</f>
        <v>0</v>
      </c>
      <c r="CK59" s="23">
        <f>'QTR Raw'!BE15</f>
        <v>0</v>
      </c>
      <c r="CL59" s="23">
        <f>'QTR Raw'!BF15</f>
        <v>0</v>
      </c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E59" s="123"/>
      <c r="DF59" s="23">
        <v>0</v>
      </c>
    </row>
    <row r="60" spans="1:110" s="23" customFormat="1" outlineLevel="1" x14ac:dyDescent="0.2">
      <c r="A60" s="23" t="s">
        <v>11</v>
      </c>
      <c r="B60" s="23">
        <f>'Annual Raw'!C18+'Annual Raw'!C17</f>
        <v>0</v>
      </c>
      <c r="C60" s="23">
        <f>'Annual Raw'!D18+'Annual Raw'!D17</f>
        <v>0</v>
      </c>
      <c r="D60" s="23">
        <f>'Annual Raw'!E18+'Annual Raw'!E17</f>
        <v>0</v>
      </c>
      <c r="E60" s="23">
        <f>'Annual Raw'!F18+'Annual Raw'!F17</f>
        <v>0</v>
      </c>
      <c r="F60" s="23">
        <f>'Annual Raw'!G18+'Annual Raw'!G17</f>
        <v>0</v>
      </c>
      <c r="G60" s="23">
        <f>'Annual Raw'!H18+'Annual Raw'!H17</f>
        <v>0</v>
      </c>
      <c r="H60" s="23">
        <f>'Annual Raw'!I18+'Annual Raw'!I17</f>
        <v>18.443395600000002</v>
      </c>
      <c r="I60" s="23">
        <f>'Annual Raw'!J18+'Annual Raw'!J17</f>
        <v>4.9117987000000003</v>
      </c>
      <c r="J60" s="23">
        <f>'Annual Raw'!K18+'Annual Raw'!K17</f>
        <v>12.5825383</v>
      </c>
      <c r="K60" s="23">
        <f>'Annual Raw'!L18+'Annual Raw'!L17</f>
        <v>5.4738090000000001</v>
      </c>
      <c r="L60" s="23">
        <f>'Annual Raw'!M18+'Annual Raw'!M17</f>
        <v>9.7769999999999992</v>
      </c>
      <c r="M60" s="23">
        <f>'Annual Raw'!N18+'Annual Raw'!N17</f>
        <v>18.443999999999999</v>
      </c>
      <c r="N60" s="23">
        <f>'Annual Raw'!O18+'Annual Raw'!O17</f>
        <v>19.783999999999999</v>
      </c>
      <c r="O60" s="23">
        <f>'Annual Raw'!P18+'Annual Raw'!P17</f>
        <v>19.981000000000002</v>
      </c>
      <c r="P60" s="23">
        <f>(((((('Annual Raw'!Q18+'Annual Raw'!Q17)-1.52)-4.83)-4.96)-6.47)-3.2)-2.35</f>
        <v>3.8909999999999951</v>
      </c>
      <c r="Q60" s="23">
        <f>(((((('Annual Raw'!R18+'Annual Raw'!R17)-2.61)-6.18)-4.07)-8.72)-7.87)-3.38</f>
        <v>4.7730000000000024</v>
      </c>
      <c r="R60" s="23">
        <f>(((((('Annual Raw'!S18+'Annual Raw'!S17)-3.57)-6.9)-7.02)-12.76)-18.61)-4.01</f>
        <v>5.5530000000000097</v>
      </c>
      <c r="S60" s="23">
        <f>(((((('Annual Raw'!T18+'Annual Raw'!T17)-6.76)-10.28)-9.59)-14.13)-14.76)-4.28</f>
        <v>3.9000000000000048</v>
      </c>
      <c r="T60" s="23">
        <f>(((((('Annual Raw'!U18+'Annual Raw'!U17)-10.85)-11.37)-12.61)-15.06)-15.41)-5.31</f>
        <v>3.719999999999998</v>
      </c>
      <c r="U60" s="23">
        <f>(((((('Annual Raw'!V18+'Annual Raw'!V17)-11.41)-5.75)-17.76)-22.57)-2.19)-3.88</f>
        <v>3.510000000000006</v>
      </c>
      <c r="V60" s="23">
        <f>(((((('Annual Raw'!W18+'Annual Raw'!W17)-9.2)-5.66)-18.23)-34.36)-2.97)-3.6</f>
        <v>2.4899999999999873</v>
      </c>
      <c r="W60" s="23">
        <f>(((((('Annual Raw'!X18+'Annual Raw'!X17)-11.38)-5.3)-16)-37.4)-4.5)-5.1</f>
        <v>4.0100000000000069</v>
      </c>
      <c r="X60" s="23">
        <f>(((((('Annual Raw'!Y18+'Annual Raw'!Y17)-16.93)-6.44)-12.75)-39.21)-6.78)-5.14</f>
        <v>4.6499999999999995</v>
      </c>
      <c r="Y60" s="23">
        <f>(((((('Annual Raw'!Z18+'Annual Raw'!Z17)-25.57)-16.74)-13.75)-0)-5.54)-5.35</f>
        <v>6.2800000000000065</v>
      </c>
      <c r="Z60" s="23">
        <f>(((((('Annual Raw'!AA18+'Annual Raw'!AA17)-28.6)-19.41)-17.57)-0.35)-3.16)-5.75</f>
        <v>7.84</v>
      </c>
      <c r="AA60" s="23">
        <f>(((((('Annual Raw'!AB18+'Annual Raw'!AB17)-28.6)-19.41)-17.57)-0.35)-3.16)-5.75</f>
        <v>23.97000000000001</v>
      </c>
      <c r="AB60" s="76">
        <f t="shared" si="368"/>
        <v>0</v>
      </c>
      <c r="AC60" s="76">
        <f t="shared" si="369"/>
        <v>0</v>
      </c>
      <c r="AD60" s="76">
        <f t="shared" si="370"/>
        <v>0</v>
      </c>
      <c r="AE60" s="76">
        <f t="shared" si="371"/>
        <v>0</v>
      </c>
      <c r="AI60" s="23">
        <f>'QTR Raw'!C18</f>
        <v>0</v>
      </c>
      <c r="AJ60" s="23">
        <f>'QTR Raw'!D18</f>
        <v>0</v>
      </c>
      <c r="AK60" s="23">
        <f>'QTR Raw'!E18</f>
        <v>0</v>
      </c>
      <c r="AL60" s="23">
        <f>'QTR Raw'!F18</f>
        <v>0</v>
      </c>
      <c r="AM60" s="23">
        <f>'QTR Raw'!G18</f>
        <v>0</v>
      </c>
      <c r="AN60" s="23">
        <f>'QTR Raw'!H18</f>
        <v>0</v>
      </c>
      <c r="AO60" s="23">
        <f>'QTR Raw'!I18</f>
        <v>0</v>
      </c>
      <c r="AP60" s="23">
        <f>'QTR Raw'!J18</f>
        <v>0</v>
      </c>
      <c r="AQ60" s="23">
        <f>'QTR Raw'!K18</f>
        <v>0</v>
      </c>
      <c r="AR60" s="23">
        <f>'QTR Raw'!L18</f>
        <v>0</v>
      </c>
      <c r="AS60" s="23">
        <f>'QTR Raw'!M18</f>
        <v>0</v>
      </c>
      <c r="AT60" s="23">
        <f>'QTR Raw'!N18</f>
        <v>0</v>
      </c>
      <c r="AU60" s="23">
        <f>'QTR Raw'!O18</f>
        <v>0</v>
      </c>
      <c r="AV60" s="23">
        <f>'QTR Raw'!P18</f>
        <v>0</v>
      </c>
      <c r="AW60" s="23">
        <f>'QTR Raw'!Q18</f>
        <v>0</v>
      </c>
      <c r="AX60" s="23">
        <f>'QTR Raw'!R18</f>
        <v>0</v>
      </c>
      <c r="AY60" s="23">
        <f>'QTR Raw'!S18</f>
        <v>0</v>
      </c>
      <c r="AZ60" s="23">
        <f>'QTR Raw'!T18</f>
        <v>0</v>
      </c>
      <c r="BA60" s="23">
        <f>'QTR Raw'!U18</f>
        <v>0</v>
      </c>
      <c r="BB60" s="23">
        <f>'QTR Raw'!V18</f>
        <v>0</v>
      </c>
      <c r="BC60" s="23">
        <f>'QTR Raw'!W18</f>
        <v>0</v>
      </c>
      <c r="BD60" s="23">
        <f>'QTR Raw'!X18</f>
        <v>0</v>
      </c>
      <c r="BE60" s="23">
        <f>'QTR Raw'!Y18</f>
        <v>0</v>
      </c>
      <c r="BF60" s="23">
        <f>'QTR Raw'!Z18</f>
        <v>0</v>
      </c>
      <c r="BG60" s="23">
        <f>'QTR Raw'!AA18</f>
        <v>0</v>
      </c>
      <c r="BH60" s="23">
        <f>'QTR Raw'!AB18</f>
        <v>0</v>
      </c>
      <c r="BI60" s="23">
        <f>'QTR Raw'!AC18</f>
        <v>0</v>
      </c>
      <c r="BJ60" s="23">
        <f>'QTR Raw'!AD18</f>
        <v>0</v>
      </c>
      <c r="BK60" s="23">
        <f>'QTR Raw'!AE18</f>
        <v>0</v>
      </c>
      <c r="BL60" s="23">
        <f>'QTR Raw'!AF18</f>
        <v>0</v>
      </c>
      <c r="BM60" s="23">
        <f>'QTR Raw'!AG18</f>
        <v>0</v>
      </c>
      <c r="BN60" s="23">
        <f>'QTR Raw'!AH18</f>
        <v>0</v>
      </c>
      <c r="BO60" s="23">
        <f>'QTR Raw'!AI18</f>
        <v>0</v>
      </c>
      <c r="BP60" s="23">
        <f>'QTR Raw'!AJ18</f>
        <v>0</v>
      </c>
      <c r="BQ60" s="23">
        <f>'QTR Raw'!AK18</f>
        <v>0</v>
      </c>
      <c r="BR60" s="23">
        <f>'QTR Raw'!AL18</f>
        <v>0</v>
      </c>
      <c r="BS60" s="23">
        <f>'QTR Raw'!AM18</f>
        <v>0</v>
      </c>
      <c r="BT60" s="23">
        <f>'QTR Raw'!AN18</f>
        <v>0</v>
      </c>
      <c r="BU60" s="23">
        <f>'QTR Raw'!AO18</f>
        <v>0</v>
      </c>
      <c r="BV60" s="23">
        <f>'QTR Raw'!AP18</f>
        <v>0</v>
      </c>
      <c r="BW60" s="23">
        <f>'QTR Raw'!AQ18</f>
        <v>0</v>
      </c>
      <c r="BX60" s="23">
        <f>'QTR Raw'!AR18</f>
        <v>0</v>
      </c>
      <c r="BY60" s="23">
        <f>'QTR Raw'!AS18</f>
        <v>0</v>
      </c>
      <c r="BZ60" s="23">
        <f>'QTR Raw'!AT18</f>
        <v>0</v>
      </c>
      <c r="CA60" s="23">
        <f>'QTR Raw'!AU18</f>
        <v>0</v>
      </c>
      <c r="CB60" s="23">
        <f>'QTR Raw'!AV18</f>
        <v>0</v>
      </c>
      <c r="CC60" s="23">
        <f>'QTR Raw'!AW18</f>
        <v>0</v>
      </c>
      <c r="CD60" s="23">
        <f>'QTR Raw'!AX18</f>
        <v>0</v>
      </c>
      <c r="CE60" s="23">
        <f>'QTR Raw'!AY18</f>
        <v>0</v>
      </c>
      <c r="CF60" s="23">
        <f>'QTR Raw'!AZ18</f>
        <v>0</v>
      </c>
      <c r="CG60" s="23">
        <f>'QTR Raw'!BA18</f>
        <v>0</v>
      </c>
      <c r="CH60" s="23">
        <f>'QTR Raw'!BB18</f>
        <v>0</v>
      </c>
      <c r="CI60" s="23">
        <f>'QTR Raw'!BC18</f>
        <v>0</v>
      </c>
      <c r="CJ60" s="23">
        <f>'QTR Raw'!BD18</f>
        <v>0</v>
      </c>
      <c r="CK60" s="23">
        <f>'QTR Raw'!BE18</f>
        <v>0</v>
      </c>
      <c r="CL60" s="23">
        <f>'QTR Raw'!BF18</f>
        <v>0</v>
      </c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E60" s="123"/>
      <c r="DF60" s="23">
        <v>0</v>
      </c>
    </row>
    <row r="61" spans="1:110" s="23" customFormat="1" outlineLevel="1" x14ac:dyDescent="0.2">
      <c r="A61" s="23" t="s">
        <v>541</v>
      </c>
      <c r="P61" s="23">
        <v>2.48</v>
      </c>
      <c r="Q61" s="23">
        <v>3.21</v>
      </c>
      <c r="R61" s="23">
        <v>3.51</v>
      </c>
      <c r="S61" s="23">
        <v>1.8</v>
      </c>
      <c r="T61" s="23">
        <v>1.7</v>
      </c>
      <c r="U61" s="23">
        <v>1.47</v>
      </c>
      <c r="V61" s="23">
        <v>1.2</v>
      </c>
      <c r="W61" s="23">
        <v>2.8</v>
      </c>
      <c r="X61" s="23">
        <v>3.41</v>
      </c>
      <c r="Y61" s="23">
        <v>4.0599999999999996</v>
      </c>
      <c r="Z61" s="23">
        <v>6.21</v>
      </c>
      <c r="AA61" s="23">
        <v>6.21</v>
      </c>
      <c r="AB61" s="76">
        <f t="shared" si="368"/>
        <v>0</v>
      </c>
      <c r="AC61" s="76">
        <f t="shared" si="369"/>
        <v>0</v>
      </c>
      <c r="AD61" s="76">
        <f t="shared" si="370"/>
        <v>0</v>
      </c>
      <c r="AE61" s="76">
        <f t="shared" si="371"/>
        <v>0</v>
      </c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E61" s="123"/>
      <c r="DF61" s="23">
        <v>0</v>
      </c>
    </row>
    <row r="62" spans="1:110" s="23" customFormat="1" outlineLevel="1" x14ac:dyDescent="0.2">
      <c r="A62" s="23" t="s">
        <v>547</v>
      </c>
      <c r="P62" s="23">
        <v>2.35</v>
      </c>
      <c r="Q62" s="23">
        <v>3.38</v>
      </c>
      <c r="R62" s="23">
        <v>4.01</v>
      </c>
      <c r="S62" s="23">
        <v>4.28</v>
      </c>
      <c r="T62" s="23">
        <v>5.31</v>
      </c>
      <c r="U62" s="23">
        <v>3.88</v>
      </c>
      <c r="V62" s="23">
        <v>3.6</v>
      </c>
      <c r="W62" s="23">
        <v>5.0999999999999996</v>
      </c>
      <c r="X62" s="23">
        <v>5.14</v>
      </c>
      <c r="Y62" s="23">
        <v>5.35</v>
      </c>
      <c r="Z62" s="23">
        <v>5.75</v>
      </c>
      <c r="AA62" s="23">
        <v>5.75</v>
      </c>
      <c r="AB62" s="76">
        <f t="shared" si="368"/>
        <v>0</v>
      </c>
      <c r="AC62" s="76">
        <f t="shared" si="369"/>
        <v>0</v>
      </c>
      <c r="AD62" s="76">
        <f t="shared" si="370"/>
        <v>0</v>
      </c>
      <c r="AE62" s="76">
        <f t="shared" si="371"/>
        <v>0</v>
      </c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E62" s="123"/>
      <c r="DF62" s="23">
        <v>0</v>
      </c>
    </row>
    <row r="63" spans="1:110" s="23" customFormat="1" outlineLevel="1" x14ac:dyDescent="0.2">
      <c r="A63" s="23" t="s">
        <v>12</v>
      </c>
      <c r="B63" s="23">
        <f>'Annual Raw'!C19-'Annual Raw'!C20</f>
        <v>0</v>
      </c>
      <c r="C63" s="23">
        <f>'Annual Raw'!D19-'Annual Raw'!D20</f>
        <v>0</v>
      </c>
      <c r="D63" s="23">
        <f>'Annual Raw'!E19-'Annual Raw'!E20</f>
        <v>0</v>
      </c>
      <c r="E63" s="23">
        <f>'Annual Raw'!F19-'Annual Raw'!F20</f>
        <v>0</v>
      </c>
      <c r="F63" s="23">
        <f>'Annual Raw'!G19-'Annual Raw'!G20</f>
        <v>0</v>
      </c>
      <c r="G63" s="23">
        <f>'Annual Raw'!H19-'Annual Raw'!H20</f>
        <v>0</v>
      </c>
      <c r="H63" s="23">
        <f>'Annual Raw'!I19-'Annual Raw'!I20</f>
        <v>1.9440900000000001E-2</v>
      </c>
      <c r="I63" s="23">
        <f>'Annual Raw'!J19-'Annual Raw'!J20</f>
        <v>6.9334999999999994E-2</v>
      </c>
      <c r="J63" s="23">
        <f>'Annual Raw'!K19-'Annual Raw'!K20</f>
        <v>0.31898310000000002</v>
      </c>
      <c r="K63" s="23">
        <f>'Annual Raw'!L19-'Annual Raw'!L20</f>
        <v>0.36967830000000002</v>
      </c>
      <c r="L63" s="23">
        <f>'Annual Raw'!M19-'Annual Raw'!M20</f>
        <v>0.19900000000000001</v>
      </c>
      <c r="M63" s="23">
        <f>'Annual Raw'!N19-'Annual Raw'!N20</f>
        <v>6.2E-2</v>
      </c>
      <c r="N63" s="23">
        <f>'Annual Raw'!O19-'Annual Raw'!O20</f>
        <v>0.157</v>
      </c>
      <c r="O63" s="23">
        <f>'Annual Raw'!P19-'Annual Raw'!P20</f>
        <v>0.29399999999999998</v>
      </c>
      <c r="P63" s="23">
        <f>'Annual Raw'!Q19-'Annual Raw'!Q20</f>
        <v>1.595</v>
      </c>
      <c r="Q63" s="23">
        <f>'Annual Raw'!R19-'Annual Raw'!R20</f>
        <v>2.1280000000000001</v>
      </c>
      <c r="R63" s="23">
        <f>'Annual Raw'!S19-'Annual Raw'!S20</f>
        <v>3.964</v>
      </c>
      <c r="S63" s="23">
        <f>'Annual Raw'!T19-'Annual Raw'!T20</f>
        <v>5.56</v>
      </c>
      <c r="T63" s="23">
        <f>'Annual Raw'!U19-'Annual Raw'!U20</f>
        <v>4.41</v>
      </c>
      <c r="U63" s="23">
        <f>'Annual Raw'!V19-'Annual Raw'!V20</f>
        <v>9.01</v>
      </c>
      <c r="V63" s="23">
        <f>'Annual Raw'!W19-'Annual Raw'!W20</f>
        <v>7.58</v>
      </c>
      <c r="W63" s="23">
        <f>'Annual Raw'!X19-'Annual Raw'!X20</f>
        <v>15.5</v>
      </c>
      <c r="X63" s="23">
        <f>'Annual Raw'!Y19-'Annual Raw'!Y20</f>
        <v>12.72</v>
      </c>
      <c r="Y63" s="23">
        <f>'Annual Raw'!Z19-'Annual Raw'!Z20</f>
        <v>13.37</v>
      </c>
      <c r="Z63" s="23">
        <f>'Annual Raw'!AA19-'Annual Raw'!AA20</f>
        <v>5.72</v>
      </c>
      <c r="AA63" s="23">
        <f>'Annual Raw'!AB19-'Annual Raw'!AB20</f>
        <v>18.239999999999998</v>
      </c>
      <c r="AB63" s="76">
        <f t="shared" si="368"/>
        <v>0</v>
      </c>
      <c r="AC63" s="76">
        <f t="shared" si="369"/>
        <v>0</v>
      </c>
      <c r="AD63" s="76">
        <f t="shared" si="370"/>
        <v>0</v>
      </c>
      <c r="AE63" s="76">
        <f t="shared" si="371"/>
        <v>0</v>
      </c>
      <c r="AI63" s="23">
        <f>+'QTR Raw'!C21</f>
        <v>0</v>
      </c>
      <c r="AJ63" s="23">
        <f>+'QTR Raw'!D21</f>
        <v>0</v>
      </c>
      <c r="AK63" s="23">
        <f>+'QTR Raw'!E21</f>
        <v>0</v>
      </c>
      <c r="AL63" s="23">
        <f>+'QTR Raw'!F21</f>
        <v>0</v>
      </c>
      <c r="AM63" s="23">
        <f>+'QTR Raw'!G21</f>
        <v>0</v>
      </c>
      <c r="AN63" s="23">
        <f>+'QTR Raw'!H21</f>
        <v>0</v>
      </c>
      <c r="AO63" s="23">
        <f>+'QTR Raw'!I21</f>
        <v>0</v>
      </c>
      <c r="AP63" s="23">
        <f>+'QTR Raw'!J21</f>
        <v>0</v>
      </c>
      <c r="AQ63" s="23">
        <f>+'QTR Raw'!K21</f>
        <v>0</v>
      </c>
      <c r="AR63" s="23">
        <f>+'QTR Raw'!L21</f>
        <v>0</v>
      </c>
      <c r="AS63" s="23">
        <f>+'QTR Raw'!M21</f>
        <v>0</v>
      </c>
      <c r="AT63" s="23">
        <f>+'QTR Raw'!N21</f>
        <v>0</v>
      </c>
      <c r="AU63" s="23">
        <f>+'QTR Raw'!O21</f>
        <v>0</v>
      </c>
      <c r="AV63" s="23">
        <f>+'QTR Raw'!P21</f>
        <v>0</v>
      </c>
      <c r="AW63" s="23">
        <f>+'QTR Raw'!Q21</f>
        <v>0</v>
      </c>
      <c r="AX63" s="23">
        <f>+'QTR Raw'!R21</f>
        <v>0</v>
      </c>
      <c r="AY63" s="23">
        <f>+'QTR Raw'!S21</f>
        <v>0</v>
      </c>
      <c r="AZ63" s="23">
        <f>+'QTR Raw'!T21</f>
        <v>0</v>
      </c>
      <c r="BA63" s="23">
        <f>+'QTR Raw'!U21</f>
        <v>0</v>
      </c>
      <c r="BB63" s="23">
        <f>+'QTR Raw'!V21</f>
        <v>0</v>
      </c>
      <c r="BC63" s="23">
        <f>+'QTR Raw'!W21</f>
        <v>0</v>
      </c>
      <c r="BD63" s="23">
        <f>+'QTR Raw'!X21</f>
        <v>0</v>
      </c>
      <c r="BE63" s="23">
        <f>+'QTR Raw'!Y21</f>
        <v>0</v>
      </c>
      <c r="BF63" s="23">
        <f>+'QTR Raw'!Z21</f>
        <v>0</v>
      </c>
      <c r="BG63" s="23">
        <f>+'QTR Raw'!AA21</f>
        <v>0</v>
      </c>
      <c r="BH63" s="23">
        <f>+'QTR Raw'!AB21</f>
        <v>0</v>
      </c>
      <c r="BI63" s="23">
        <f>+'QTR Raw'!AC21</f>
        <v>0</v>
      </c>
      <c r="BJ63" s="23">
        <f>+'QTR Raw'!AD21</f>
        <v>0</v>
      </c>
      <c r="BK63" s="23">
        <f>+'QTR Raw'!AE21</f>
        <v>0</v>
      </c>
      <c r="BL63" s="23">
        <f>+'QTR Raw'!AF21</f>
        <v>0</v>
      </c>
      <c r="BM63" s="23">
        <f>+'QTR Raw'!AG21</f>
        <v>0</v>
      </c>
      <c r="BN63" s="23">
        <f>+'QTR Raw'!AH21</f>
        <v>0</v>
      </c>
      <c r="BO63" s="23">
        <f>+'QTR Raw'!AI21</f>
        <v>0</v>
      </c>
      <c r="BP63" s="23">
        <f>+'QTR Raw'!AJ21</f>
        <v>0</v>
      </c>
      <c r="BQ63" s="23">
        <f>+'QTR Raw'!AK21</f>
        <v>0</v>
      </c>
      <c r="BR63" s="23">
        <f>+'QTR Raw'!AL21</f>
        <v>0</v>
      </c>
      <c r="BS63" s="23">
        <f>+'QTR Raw'!AM21</f>
        <v>0</v>
      </c>
      <c r="BT63" s="23">
        <f>+'QTR Raw'!AN21</f>
        <v>0</v>
      </c>
      <c r="BU63" s="23">
        <f>+'QTR Raw'!AO21</f>
        <v>0</v>
      </c>
      <c r="BV63" s="23">
        <f>+'QTR Raw'!AP21</f>
        <v>0</v>
      </c>
      <c r="BW63" s="23">
        <f>+'QTR Raw'!AQ21</f>
        <v>0</v>
      </c>
      <c r="BX63" s="23">
        <f>+'QTR Raw'!AR21</f>
        <v>0</v>
      </c>
      <c r="BY63" s="23">
        <f>+'QTR Raw'!AS21</f>
        <v>0</v>
      </c>
      <c r="BZ63" s="23">
        <f>+'QTR Raw'!AT21</f>
        <v>0</v>
      </c>
      <c r="CA63" s="23">
        <f>+'QTR Raw'!AU21</f>
        <v>0</v>
      </c>
      <c r="CB63" s="23">
        <f>+'QTR Raw'!AV21</f>
        <v>0</v>
      </c>
      <c r="CC63" s="23">
        <f>+'QTR Raw'!AW21</f>
        <v>0</v>
      </c>
      <c r="CD63" s="23">
        <f>+'QTR Raw'!AX21</f>
        <v>0</v>
      </c>
      <c r="CE63" s="23">
        <f>+'QTR Raw'!AY21</f>
        <v>0</v>
      </c>
      <c r="CF63" s="23">
        <f>+'QTR Raw'!AZ21</f>
        <v>0</v>
      </c>
      <c r="CG63" s="23">
        <f>+'QTR Raw'!BA21</f>
        <v>0</v>
      </c>
      <c r="CH63" s="23">
        <f>+'QTR Raw'!BB21</f>
        <v>0</v>
      </c>
      <c r="CI63" s="23">
        <f>+'QTR Raw'!BC21</f>
        <v>0</v>
      </c>
      <c r="CJ63" s="23">
        <f>+'QTR Raw'!BD21</f>
        <v>0</v>
      </c>
      <c r="CK63" s="23">
        <f>+'QTR Raw'!BE21</f>
        <v>0</v>
      </c>
      <c r="CL63" s="23">
        <f>+'QTR Raw'!BF21</f>
        <v>0</v>
      </c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E63" s="123"/>
      <c r="DF63" s="23">
        <v>0</v>
      </c>
    </row>
    <row r="64" spans="1:110" s="23" customFormat="1" outlineLevel="1" x14ac:dyDescent="0.2">
      <c r="A64" s="23" t="s">
        <v>539</v>
      </c>
      <c r="P64" s="23">
        <v>0.02</v>
      </c>
      <c r="Q64" s="23">
        <v>0.02</v>
      </c>
      <c r="R64" s="23">
        <v>0.14000000000000001</v>
      </c>
      <c r="W64" s="23">
        <v>0.82</v>
      </c>
      <c r="X64" s="23">
        <v>0.99</v>
      </c>
      <c r="Y64" s="23">
        <v>2.17</v>
      </c>
      <c r="Z64" s="23">
        <v>3.32</v>
      </c>
      <c r="AA64" s="23">
        <v>3.32</v>
      </c>
      <c r="AB64" s="76">
        <f t="shared" si="368"/>
        <v>0</v>
      </c>
      <c r="AC64" s="76">
        <f t="shared" si="369"/>
        <v>0</v>
      </c>
      <c r="AD64" s="76">
        <f t="shared" si="370"/>
        <v>0</v>
      </c>
      <c r="AE64" s="76">
        <f t="shared" si="371"/>
        <v>0</v>
      </c>
      <c r="CM64" s="24"/>
      <c r="CN64" s="24"/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E64" s="123"/>
      <c r="DF64" s="23">
        <v>0</v>
      </c>
    </row>
    <row r="65" spans="1:110" s="23" customFormat="1" outlineLevel="1" x14ac:dyDescent="0.2">
      <c r="A65" s="23" t="s">
        <v>546</v>
      </c>
      <c r="P65" s="23">
        <v>3.2</v>
      </c>
      <c r="Q65" s="23">
        <v>7.87</v>
      </c>
      <c r="R65" s="23">
        <v>18.61</v>
      </c>
      <c r="S65" s="23">
        <v>14.76</v>
      </c>
      <c r="T65" s="23">
        <v>15.41</v>
      </c>
      <c r="U65" s="23">
        <v>2.19</v>
      </c>
      <c r="V65" s="23">
        <v>2.97</v>
      </c>
      <c r="W65" s="23">
        <v>4.5</v>
      </c>
      <c r="X65" s="23">
        <v>6.78</v>
      </c>
      <c r="Y65" s="23">
        <v>5.54</v>
      </c>
      <c r="Z65" s="23">
        <v>3.16</v>
      </c>
      <c r="AA65" s="23">
        <v>3.16</v>
      </c>
      <c r="AB65" s="76">
        <f t="shared" si="368"/>
        <v>0</v>
      </c>
      <c r="AC65" s="76">
        <f t="shared" si="369"/>
        <v>0</v>
      </c>
      <c r="AD65" s="76">
        <f t="shared" si="370"/>
        <v>0</v>
      </c>
      <c r="AE65" s="76">
        <f t="shared" si="371"/>
        <v>0</v>
      </c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E65" s="123"/>
      <c r="DF65" s="23">
        <v>0</v>
      </c>
    </row>
    <row r="66" spans="1:110" s="23" customFormat="1" outlineLevel="1" x14ac:dyDescent="0.2">
      <c r="A66" s="23" t="s">
        <v>545</v>
      </c>
      <c r="P66" s="23">
        <v>6.47</v>
      </c>
      <c r="Q66" s="23">
        <v>8.7200000000000006</v>
      </c>
      <c r="R66" s="23">
        <v>12.76</v>
      </c>
      <c r="S66" s="23">
        <v>14.13</v>
      </c>
      <c r="T66" s="23">
        <v>15.06</v>
      </c>
      <c r="U66" s="23">
        <v>22.57</v>
      </c>
      <c r="V66" s="23">
        <v>34.36</v>
      </c>
      <c r="W66" s="23">
        <v>37.4</v>
      </c>
      <c r="X66" s="23">
        <v>39.21</v>
      </c>
      <c r="Z66" s="23">
        <v>0.35</v>
      </c>
      <c r="AA66" s="23">
        <v>0.35</v>
      </c>
      <c r="AB66" s="76">
        <f t="shared" si="368"/>
        <v>0</v>
      </c>
      <c r="AC66" s="76">
        <f t="shared" si="369"/>
        <v>0</v>
      </c>
      <c r="AD66" s="76">
        <f t="shared" si="370"/>
        <v>0</v>
      </c>
      <c r="AE66" s="76">
        <f t="shared" si="371"/>
        <v>0</v>
      </c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E66" s="123"/>
      <c r="DF66" s="23">
        <v>0</v>
      </c>
    </row>
    <row r="67" spans="1:110" s="23" customFormat="1" outlineLevel="1" x14ac:dyDescent="0.2">
      <c r="A67" s="23" t="s">
        <v>9</v>
      </c>
      <c r="B67" s="23">
        <f>'Annual Raw'!C15+'Annual Raw'!C16</f>
        <v>0</v>
      </c>
      <c r="C67" s="23">
        <f>'Annual Raw'!D15+'Annual Raw'!D16</f>
        <v>0</v>
      </c>
      <c r="D67" s="23">
        <f>'Annual Raw'!E15+'Annual Raw'!E16</f>
        <v>0</v>
      </c>
      <c r="E67" s="23">
        <f>'Annual Raw'!F15+'Annual Raw'!F16</f>
        <v>0</v>
      </c>
      <c r="F67" s="23">
        <f>'Annual Raw'!G15+'Annual Raw'!G16</f>
        <v>0</v>
      </c>
      <c r="G67" s="23">
        <f>'Annual Raw'!H15+'Annual Raw'!H16</f>
        <v>0</v>
      </c>
      <c r="H67" s="23">
        <f>'Annual Raw'!I15+'Annual Raw'!I16</f>
        <v>0.34543230000000003</v>
      </c>
      <c r="I67" s="23">
        <f>'Annual Raw'!J15+'Annual Raw'!J16</f>
        <v>0.4266916</v>
      </c>
      <c r="J67" s="23">
        <f>'Annual Raw'!K15+'Annual Raw'!K16</f>
        <v>1.3074039</v>
      </c>
      <c r="K67" s="23">
        <f>'Annual Raw'!L15+'Annual Raw'!L16</f>
        <v>1.9332598999999999</v>
      </c>
      <c r="L67" s="23">
        <f>'Annual Raw'!M15+'Annual Raw'!M16</f>
        <v>2.6760000000000002</v>
      </c>
      <c r="M67" s="23">
        <f>'Annual Raw'!N15+'Annual Raw'!N16</f>
        <v>3.254</v>
      </c>
      <c r="N67" s="23">
        <f>'Annual Raw'!O15+'Annual Raw'!O16</f>
        <v>4.2240000000000002</v>
      </c>
      <c r="O67" s="23">
        <f>'Annual Raw'!P15+'Annual Raw'!P16</f>
        <v>3.6509999999999998</v>
      </c>
      <c r="P67" s="23">
        <f>((('Annual Raw'!Q15+'Annual Raw'!Q16)-0.02)-1.71)-2.48</f>
        <v>-9.9999999999988987E-4</v>
      </c>
      <c r="Q67" s="23">
        <f>((('Annual Raw'!R15+'Annual Raw'!R16)-0.02)-2.58)-3.21</f>
        <v>-9.9999999999944578E-4</v>
      </c>
      <c r="R67" s="23">
        <f>((('Annual Raw'!S15+'Annual Raw'!S16)-0.14)-3.2)-3.51</f>
        <v>-5.9999999999993392E-3</v>
      </c>
      <c r="S67" s="23">
        <f>((('Annual Raw'!T15+'Annual Raw'!T16)-0)-3.54)-1.8</f>
        <v>0</v>
      </c>
      <c r="T67" s="23">
        <f>((('Annual Raw'!U15+'Annual Raw'!U16)-0)-6.59)-1.7</f>
        <v>0</v>
      </c>
      <c r="U67" s="23">
        <f>((('Annual Raw'!V15+'Annual Raw'!V16)-0)-8.44)-1.47</f>
        <v>0</v>
      </c>
      <c r="V67" s="23">
        <f>((('Annual Raw'!W15+'Annual Raw'!W16)-0)-8.46)-1.2</f>
        <v>0</v>
      </c>
      <c r="W67" s="23">
        <f>((('Annual Raw'!X15+'Annual Raw'!X16)-0.82)-11.1)-2.8</f>
        <v>0</v>
      </c>
      <c r="X67" s="23">
        <f>((('Annual Raw'!Y15+'Annual Raw'!Y16)-0.99)-15.04)-3.41</f>
        <v>3.5527136788005009E-15</v>
      </c>
      <c r="Y67" s="23">
        <f>(((('Annual Raw'!Z15+'Annual Raw'!Z16)-33.73)-2.17)-21.85)-4.06</f>
        <v>0</v>
      </c>
      <c r="Z67" s="23">
        <f>(((('Annual Raw'!AA15+'Annual Raw'!AA16)-45.34)-3.32)-24.07)-6.21</f>
        <v>7.9999999999992077E-2</v>
      </c>
      <c r="AA67" s="23">
        <f>(((('Annual Raw'!AB15+'Annual Raw'!AB16)-45.34)-3.32)-24.07)-6.21</f>
        <v>18.240000000000002</v>
      </c>
      <c r="AB67" s="76">
        <f t="shared" si="368"/>
        <v>256.10344074351963</v>
      </c>
      <c r="AC67" s="76">
        <f t="shared" si="369"/>
        <v>312.98783387895753</v>
      </c>
      <c r="AD67" s="76">
        <f t="shared" si="370"/>
        <v>388.35508056830423</v>
      </c>
      <c r="AE67" s="76">
        <f t="shared" si="371"/>
        <v>480.18421034896608</v>
      </c>
      <c r="AI67" s="23">
        <f>'QTR Raw'!C14</f>
        <v>0</v>
      </c>
      <c r="AJ67" s="23">
        <f>'QTR Raw'!D14</f>
        <v>0</v>
      </c>
      <c r="AK67" s="23">
        <f>'QTR Raw'!E14</f>
        <v>0</v>
      </c>
      <c r="AL67" s="23">
        <f>'QTR Raw'!F14</f>
        <v>0</v>
      </c>
      <c r="AM67" s="23">
        <f>'QTR Raw'!G14</f>
        <v>0</v>
      </c>
      <c r="AN67" s="23">
        <f>'QTR Raw'!H14</f>
        <v>0</v>
      </c>
      <c r="AO67" s="23">
        <f>'QTR Raw'!I14</f>
        <v>0</v>
      </c>
      <c r="AP67" s="23">
        <f>'QTR Raw'!J14</f>
        <v>0</v>
      </c>
      <c r="AQ67" s="23">
        <f>'QTR Raw'!K14</f>
        <v>0</v>
      </c>
      <c r="AR67" s="23">
        <f>'QTR Raw'!L14</f>
        <v>0</v>
      </c>
      <c r="AS67" s="23">
        <f>'QTR Raw'!M14</f>
        <v>0</v>
      </c>
      <c r="AT67" s="23">
        <f>'QTR Raw'!N14</f>
        <v>0</v>
      </c>
      <c r="AU67" s="23">
        <f>'QTR Raw'!O14</f>
        <v>12.885999999999999</v>
      </c>
      <c r="AV67" s="23">
        <f>'QTR Raw'!P14</f>
        <v>12.644</v>
      </c>
      <c r="AW67" s="23">
        <f>'QTR Raw'!Q14</f>
        <v>12.930999999999999</v>
      </c>
      <c r="AX67" s="23">
        <f>'QTR Raw'!R14</f>
        <v>13.202</v>
      </c>
      <c r="AY67" s="23">
        <f>'QTR Raw'!S14</f>
        <v>16.364000000000001</v>
      </c>
      <c r="AZ67" s="23">
        <f>'QTR Raw'!T14</f>
        <v>18.948</v>
      </c>
      <c r="BA67" s="23">
        <f>'QTR Raw'!U14</f>
        <v>18.302</v>
      </c>
      <c r="BB67" s="23">
        <f>'QTR Raw'!V14</f>
        <v>22.166</v>
      </c>
      <c r="BC67" s="23">
        <f>'QTR Raw'!W14</f>
        <v>21.62</v>
      </c>
      <c r="BD67" s="23">
        <f>'QTR Raw'!X14</f>
        <v>19.23</v>
      </c>
      <c r="BE67" s="23">
        <f>'QTR Raw'!Y14</f>
        <v>18.27</v>
      </c>
      <c r="BF67" s="23">
        <f>'QTR Raw'!Z14</f>
        <v>22.15</v>
      </c>
      <c r="BG67" s="23">
        <f>'QTR Raw'!AA14</f>
        <v>21.4</v>
      </c>
      <c r="BH67" s="23">
        <f>'QTR Raw'!AB14</f>
        <v>22.66</v>
      </c>
      <c r="BI67" s="23">
        <f>'QTR Raw'!AC14</f>
        <v>24.35</v>
      </c>
      <c r="BJ67" s="23">
        <f>'QTR Raw'!AD14</f>
        <v>26.39</v>
      </c>
      <c r="BK67" s="23">
        <f>'QTR Raw'!AE14</f>
        <v>21.73</v>
      </c>
      <c r="BL67" s="23">
        <f>'QTR Raw'!AF14</f>
        <v>21.45</v>
      </c>
      <c r="BM67" s="23">
        <f>'QTR Raw'!AG14</f>
        <v>22.11</v>
      </c>
      <c r="BN67" s="23">
        <f>'QTR Raw'!AH14</f>
        <v>29.38</v>
      </c>
      <c r="BO67" s="23">
        <f>'QTR Raw'!AI14</f>
        <v>12.63</v>
      </c>
      <c r="BP67" s="23">
        <f>'QTR Raw'!AJ14</f>
        <v>27.4</v>
      </c>
      <c r="BQ67" s="23">
        <f>'QTR Raw'!AK14</f>
        <v>28.73</v>
      </c>
      <c r="BR67" s="23">
        <f>'QTR Raw'!AL14</f>
        <v>32.380000000000003</v>
      </c>
      <c r="BS67" s="23">
        <f>'QTR Raw'!AM14</f>
        <v>25.29</v>
      </c>
      <c r="BT67" s="23">
        <f>'QTR Raw'!AN14</f>
        <v>28.29</v>
      </c>
      <c r="BU67" s="23">
        <f>'QTR Raw'!AO14</f>
        <v>35.9</v>
      </c>
      <c r="BV67" s="23">
        <f>'QTR Raw'!AP14</f>
        <v>33.65</v>
      </c>
      <c r="BW67" s="23">
        <f>'QTR Raw'!AQ14</f>
        <v>30.72</v>
      </c>
      <c r="BX67" s="23">
        <f>'QTR Raw'!AR14</f>
        <v>33.1</v>
      </c>
      <c r="BY67" s="23">
        <f>'QTR Raw'!AS14</f>
        <v>32.270000000000003</v>
      </c>
      <c r="BZ67" s="23">
        <f>'QTR Raw'!AT14</f>
        <v>41.15</v>
      </c>
      <c r="CA67" s="23">
        <f>'QTR Raw'!AU14</f>
        <v>34.44</v>
      </c>
      <c r="CB67" s="23">
        <f>'QTR Raw'!AV14</f>
        <v>39.78</v>
      </c>
      <c r="CC67" s="23">
        <f>'QTR Raw'!AW14</f>
        <v>38.369999999999997</v>
      </c>
      <c r="CD67" s="23">
        <f>'QTR Raw'!AX14</f>
        <v>47.3</v>
      </c>
      <c r="CE67" s="23">
        <f>'QTR Raw'!AY14</f>
        <v>40.090000000000003</v>
      </c>
      <c r="CF67" s="23">
        <f>'QTR Raw'!AZ14</f>
        <v>48.59</v>
      </c>
      <c r="CG67" s="23">
        <f>'QTR Raw'!BA14</f>
        <v>43.94</v>
      </c>
      <c r="CH67" s="23">
        <f>'QTR Raw'!BB14</f>
        <v>46.52</v>
      </c>
      <c r="CI67" s="23">
        <f>'QTR Raw'!BC14</f>
        <v>46.63</v>
      </c>
      <c r="CJ67" s="23">
        <f>'QTR Raw'!BD14</f>
        <v>51.89</v>
      </c>
      <c r="CK67" s="23">
        <f>'QTR Raw'!BE14</f>
        <v>54.74</v>
      </c>
      <c r="CL67" s="23">
        <f>'QTR Raw'!BF14</f>
        <v>56.11</v>
      </c>
      <c r="CM67" s="24">
        <f t="shared" ref="CM67:DB67" si="373">+CM68-CM53</f>
        <v>58.188779248727982</v>
      </c>
      <c r="CN67" s="24">
        <f t="shared" si="373"/>
        <v>69.654434942725771</v>
      </c>
      <c r="CO67" s="24">
        <f t="shared" si="373"/>
        <v>58.534483171222405</v>
      </c>
      <c r="CP67" s="24">
        <f t="shared" si="373"/>
        <v>69.725743380843483</v>
      </c>
      <c r="CQ67" s="24">
        <f t="shared" si="373"/>
        <v>71.966486972834986</v>
      </c>
      <c r="CR67" s="24">
        <f t="shared" si="373"/>
        <v>85.097720410020244</v>
      </c>
      <c r="CS67" s="24">
        <f t="shared" si="373"/>
        <v>70.383349917616101</v>
      </c>
      <c r="CT67" s="24">
        <f t="shared" si="373"/>
        <v>85.540276578486242</v>
      </c>
      <c r="CU67" s="24">
        <f t="shared" si="373"/>
        <v>88.960258309318817</v>
      </c>
      <c r="CV67" s="24">
        <f t="shared" si="373"/>
        <v>104.69849696717188</v>
      </c>
      <c r="CW67" s="24">
        <f t="shared" si="373"/>
        <v>87.800352729375078</v>
      </c>
      <c r="CX67" s="24">
        <f t="shared" si="373"/>
        <v>106.89597256243842</v>
      </c>
      <c r="CY67" s="24">
        <f t="shared" si="373"/>
        <v>109.94251886589359</v>
      </c>
      <c r="CZ67" s="24">
        <f t="shared" si="373"/>
        <v>128.86761564078157</v>
      </c>
      <c r="DA67" s="24">
        <f t="shared" si="373"/>
        <v>109.22061900918609</v>
      </c>
      <c r="DB67" s="24">
        <f t="shared" si="373"/>
        <v>132.15345683310483</v>
      </c>
      <c r="DE67" s="123"/>
      <c r="DF67" s="23">
        <v>57.431173107150528</v>
      </c>
    </row>
    <row r="68" spans="1:110" s="22" customFormat="1" x14ac:dyDescent="0.2">
      <c r="A68" s="33" t="s">
        <v>348</v>
      </c>
      <c r="B68" s="22">
        <f t="shared" ref="B68:Y68" si="374">+SUM(B53:B67)</f>
        <v>0</v>
      </c>
      <c r="C68" s="22">
        <f t="shared" si="374"/>
        <v>0</v>
      </c>
      <c r="D68" s="22">
        <f t="shared" si="374"/>
        <v>0</v>
      </c>
      <c r="E68" s="22">
        <f t="shared" si="374"/>
        <v>0</v>
      </c>
      <c r="F68" s="22">
        <f t="shared" si="374"/>
        <v>0</v>
      </c>
      <c r="G68" s="22">
        <f t="shared" si="374"/>
        <v>0</v>
      </c>
      <c r="H68" s="22">
        <f t="shared" si="374"/>
        <v>20.779475600000001</v>
      </c>
      <c r="I68" s="22">
        <f t="shared" si="374"/>
        <v>7.5038245999999997</v>
      </c>
      <c r="J68" s="22">
        <f t="shared" si="374"/>
        <v>17.099613900000001</v>
      </c>
      <c r="K68" s="22">
        <f t="shared" si="374"/>
        <v>11.675504099999999</v>
      </c>
      <c r="L68" s="22">
        <f t="shared" si="374"/>
        <v>18.767000000000003</v>
      </c>
      <c r="M68" s="22">
        <f t="shared" si="374"/>
        <v>30.942</v>
      </c>
      <c r="N68" s="22">
        <f t="shared" si="374"/>
        <v>35.109000000000002</v>
      </c>
      <c r="O68" s="22">
        <f t="shared" si="374"/>
        <v>38.626999999999995</v>
      </c>
      <c r="P68" s="22">
        <f t="shared" si="374"/>
        <v>54.457000000000008</v>
      </c>
      <c r="Q68" s="22">
        <f t="shared" si="374"/>
        <v>76.558999999999997</v>
      </c>
      <c r="R68" s="22">
        <f t="shared" si="374"/>
        <v>107.58400000000002</v>
      </c>
      <c r="S68" s="22">
        <f t="shared" si="374"/>
        <v>116.62</v>
      </c>
      <c r="T68" s="22">
        <f t="shared" si="374"/>
        <v>138.15</v>
      </c>
      <c r="U68" s="22">
        <f t="shared" si="374"/>
        <v>143.6</v>
      </c>
      <c r="V68" s="22">
        <f t="shared" si="374"/>
        <v>159.45999999999998</v>
      </c>
      <c r="W68" s="22">
        <f t="shared" si="374"/>
        <v>183.44</v>
      </c>
      <c r="X68" s="22">
        <f t="shared" si="374"/>
        <v>240.91</v>
      </c>
      <c r="Y68" s="22">
        <f t="shared" si="374"/>
        <v>266.42</v>
      </c>
      <c r="Z68" s="22">
        <f>+SUM(Z53:Z67)</f>
        <v>305.70999999999998</v>
      </c>
      <c r="AA68" s="22">
        <f>+SUM(AA53:AA67)</f>
        <v>363.55000000000007</v>
      </c>
      <c r="AB68" s="21">
        <f t="shared" ref="AA68:AE68" si="375">+SUM(AB53:AB67)</f>
        <v>403.82764074351962</v>
      </c>
      <c r="AC68" s="21">
        <f t="shared" si="375"/>
        <v>471.05272787895751</v>
      </c>
      <c r="AD68" s="21">
        <f t="shared" si="375"/>
        <v>557.48451714830423</v>
      </c>
      <c r="AE68" s="21">
        <f t="shared" si="375"/>
        <v>661.15270748956618</v>
      </c>
      <c r="AI68" s="22">
        <f t="shared" ref="AI68:CI68" si="376">+SUM(AI53:AI67)</f>
        <v>0</v>
      </c>
      <c r="AJ68" s="22">
        <f t="shared" si="376"/>
        <v>0</v>
      </c>
      <c r="AK68" s="22">
        <f t="shared" si="376"/>
        <v>0</v>
      </c>
      <c r="AL68" s="22">
        <f t="shared" si="376"/>
        <v>0</v>
      </c>
      <c r="AM68" s="22">
        <f t="shared" si="376"/>
        <v>0</v>
      </c>
      <c r="AN68" s="22">
        <f t="shared" si="376"/>
        <v>0</v>
      </c>
      <c r="AO68" s="22">
        <f t="shared" si="376"/>
        <v>0</v>
      </c>
      <c r="AP68" s="22">
        <f t="shared" si="376"/>
        <v>0</v>
      </c>
      <c r="AQ68" s="22">
        <f t="shared" si="376"/>
        <v>0</v>
      </c>
      <c r="AR68" s="22">
        <f t="shared" si="376"/>
        <v>0</v>
      </c>
      <c r="AS68" s="22">
        <f t="shared" si="376"/>
        <v>0</v>
      </c>
      <c r="AT68" s="22">
        <f t="shared" si="376"/>
        <v>0</v>
      </c>
      <c r="AU68" s="22">
        <f t="shared" si="376"/>
        <v>19.318999999999999</v>
      </c>
      <c r="AV68" s="22">
        <f t="shared" si="376"/>
        <v>18.148</v>
      </c>
      <c r="AW68" s="22">
        <f t="shared" si="376"/>
        <v>18.991999999999997</v>
      </c>
      <c r="AX68" s="22">
        <f t="shared" si="376"/>
        <v>21.093</v>
      </c>
      <c r="AY68" s="22">
        <f t="shared" si="376"/>
        <v>23.524999999999999</v>
      </c>
      <c r="AZ68" s="22">
        <f t="shared" si="376"/>
        <v>26.506</v>
      </c>
      <c r="BA68" s="22">
        <f t="shared" si="376"/>
        <v>25.896999999999998</v>
      </c>
      <c r="BB68" s="22">
        <f t="shared" si="376"/>
        <v>31.852</v>
      </c>
      <c r="BC68" s="22">
        <f t="shared" si="376"/>
        <v>29</v>
      </c>
      <c r="BD68" s="22">
        <f t="shared" si="376"/>
        <v>26.43</v>
      </c>
      <c r="BE68" s="22">
        <f t="shared" si="376"/>
        <v>27.72</v>
      </c>
      <c r="BF68" s="22">
        <f t="shared" si="376"/>
        <v>33.46</v>
      </c>
      <c r="BG68" s="22">
        <f t="shared" si="376"/>
        <v>30.349999999999998</v>
      </c>
      <c r="BH68" s="22">
        <f t="shared" si="376"/>
        <v>32.480000000000004</v>
      </c>
      <c r="BI68" s="22">
        <f t="shared" si="376"/>
        <v>34.82</v>
      </c>
      <c r="BJ68" s="22">
        <f t="shared" si="376"/>
        <v>40.5</v>
      </c>
      <c r="BK68" s="22">
        <f t="shared" si="376"/>
        <v>33.26</v>
      </c>
      <c r="BL68" s="22">
        <f t="shared" si="376"/>
        <v>32.869999999999997</v>
      </c>
      <c r="BM68" s="22">
        <f t="shared" si="376"/>
        <v>34.51</v>
      </c>
      <c r="BN68" s="22">
        <f t="shared" si="376"/>
        <v>42.95</v>
      </c>
      <c r="BO68" s="22">
        <f t="shared" si="376"/>
        <v>21.85</v>
      </c>
      <c r="BP68" s="22">
        <f t="shared" si="376"/>
        <v>40.5</v>
      </c>
      <c r="BQ68" s="22">
        <f t="shared" si="376"/>
        <v>45.95</v>
      </c>
      <c r="BR68" s="22">
        <f t="shared" si="376"/>
        <v>50.910000000000004</v>
      </c>
      <c r="BS68" s="22">
        <f t="shared" si="376"/>
        <v>39.200000000000003</v>
      </c>
      <c r="BT68" s="22">
        <f t="shared" si="376"/>
        <v>43.31</v>
      </c>
      <c r="BU68" s="22">
        <f t="shared" si="376"/>
        <v>50.599999999999994</v>
      </c>
      <c r="BV68" s="22">
        <f t="shared" si="376"/>
        <v>51.08</v>
      </c>
      <c r="BW68" s="22">
        <f t="shared" si="376"/>
        <v>52.37</v>
      </c>
      <c r="BX68" s="22">
        <f t="shared" si="376"/>
        <v>62.27</v>
      </c>
      <c r="BY68" s="22">
        <f t="shared" si="376"/>
        <v>59.31</v>
      </c>
      <c r="BZ68" s="22">
        <f t="shared" si="376"/>
        <v>69.44</v>
      </c>
      <c r="CA68" s="22">
        <f t="shared" si="376"/>
        <v>62.31</v>
      </c>
      <c r="CB68" s="22">
        <f t="shared" si="376"/>
        <v>66.84</v>
      </c>
      <c r="CC68" s="22">
        <f t="shared" si="376"/>
        <v>64.72999999999999</v>
      </c>
      <c r="CD68" s="22">
        <f t="shared" si="376"/>
        <v>73.87</v>
      </c>
      <c r="CE68" s="22">
        <f t="shared" si="376"/>
        <v>68.81</v>
      </c>
      <c r="CF68" s="22">
        <f t="shared" si="376"/>
        <v>78.08</v>
      </c>
      <c r="CG68" s="22">
        <f t="shared" si="376"/>
        <v>79.03</v>
      </c>
      <c r="CH68" s="22">
        <f t="shared" si="376"/>
        <v>79.990000000000009</v>
      </c>
      <c r="CI68" s="22">
        <f t="shared" si="376"/>
        <v>79.63</v>
      </c>
      <c r="CJ68" s="22">
        <f>+SUM(CJ53:CJ67)</f>
        <v>85.12</v>
      </c>
      <c r="CK68" s="22">
        <f>+SUM(CK53:CK67)</f>
        <v>90.5</v>
      </c>
      <c r="CL68" s="22">
        <f>+SUM(CL53:CL67)</f>
        <v>92.18</v>
      </c>
      <c r="CM68" s="21">
        <f t="shared" ref="CM68:DB68" si="377">CM69*CM43</f>
        <v>93.498779248727985</v>
      </c>
      <c r="CN68" s="21">
        <f t="shared" si="377"/>
        <v>105.21053494272577</v>
      </c>
      <c r="CO68" s="21">
        <f t="shared" si="377"/>
        <v>96.797683171222403</v>
      </c>
      <c r="CP68" s="21">
        <f t="shared" si="377"/>
        <v>108.32064338084349</v>
      </c>
      <c r="CQ68" s="21">
        <f t="shared" si="377"/>
        <v>109.748186972835</v>
      </c>
      <c r="CR68" s="21">
        <f t="shared" si="377"/>
        <v>123.14274741002025</v>
      </c>
      <c r="CS68" s="21">
        <f t="shared" si="377"/>
        <v>111.32497391761611</v>
      </c>
      <c r="CT68" s="21">
        <f t="shared" si="377"/>
        <v>126.83681957848626</v>
      </c>
      <c r="CU68" s="21">
        <f t="shared" si="377"/>
        <v>129.38667730931883</v>
      </c>
      <c r="CV68" s="21">
        <f t="shared" si="377"/>
        <v>145.40667585717188</v>
      </c>
      <c r="CW68" s="21">
        <f t="shared" si="377"/>
        <v>131.60789040937507</v>
      </c>
      <c r="CX68" s="21">
        <f t="shared" si="377"/>
        <v>151.08327357243843</v>
      </c>
      <c r="CY68" s="21">
        <f t="shared" si="377"/>
        <v>153.1987871958936</v>
      </c>
      <c r="CZ68" s="21">
        <f t="shared" si="377"/>
        <v>172.42536705308157</v>
      </c>
      <c r="DA68" s="21">
        <f t="shared" si="377"/>
        <v>156.09468432678611</v>
      </c>
      <c r="DB68" s="21">
        <f t="shared" si="377"/>
        <v>179.43386891380484</v>
      </c>
      <c r="DE68" s="126"/>
      <c r="DF68" s="22">
        <v>93.244073107150527</v>
      </c>
    </row>
    <row r="69" spans="1:110" s="44" customFormat="1" x14ac:dyDescent="0.2">
      <c r="A69" s="43" t="s">
        <v>349</v>
      </c>
      <c r="B69" s="44" t="e">
        <f t="shared" ref="B69:AE69" si="378">B68/B43</f>
        <v>#DIV/0!</v>
      </c>
      <c r="C69" s="44" t="e">
        <f t="shared" si="378"/>
        <v>#DIV/0!</v>
      </c>
      <c r="D69" s="44" t="e">
        <f t="shared" si="378"/>
        <v>#DIV/0!</v>
      </c>
      <c r="E69" s="44" t="e">
        <f t="shared" si="378"/>
        <v>#DIV/0!</v>
      </c>
      <c r="F69" s="44" t="e">
        <f t="shared" si="378"/>
        <v>#DIV/0!</v>
      </c>
      <c r="G69" s="44" t="e">
        <f t="shared" si="378"/>
        <v>#DIV/0!</v>
      </c>
      <c r="H69" s="44">
        <f t="shared" si="378"/>
        <v>0.61560765356495306</v>
      </c>
      <c r="I69" s="44">
        <f t="shared" si="378"/>
        <v>0.1689645824078512</v>
      </c>
      <c r="J69" s="44">
        <f t="shared" si="378"/>
        <v>0.37765518376914098</v>
      </c>
      <c r="K69" s="44">
        <f t="shared" si="378"/>
        <v>0.20011797658029681</v>
      </c>
      <c r="L69" s="44">
        <f t="shared" si="378"/>
        <v>0.24101971360688376</v>
      </c>
      <c r="M69" s="44">
        <f t="shared" si="378"/>
        <v>0.28367376874839562</v>
      </c>
      <c r="N69" s="44">
        <f t="shared" si="378"/>
        <v>0.26149812678290796</v>
      </c>
      <c r="O69" s="44">
        <f t="shared" si="378"/>
        <v>0.25755110749576599</v>
      </c>
      <c r="P69" s="44">
        <f t="shared" si="378"/>
        <v>0.29764754752456851</v>
      </c>
      <c r="Q69" s="44">
        <f t="shared" si="378"/>
        <v>0.31771834083788103</v>
      </c>
      <c r="R69" s="44">
        <f t="shared" si="378"/>
        <v>0.35344479232030285</v>
      </c>
      <c r="S69" s="44">
        <f t="shared" si="378"/>
        <v>0.32729007633587787</v>
      </c>
      <c r="T69" s="44">
        <f t="shared" si="378"/>
        <v>0.34288054404209378</v>
      </c>
      <c r="U69" s="44">
        <f t="shared" si="378"/>
        <v>0.33067747432413763</v>
      </c>
      <c r="V69" s="44">
        <f t="shared" si="378"/>
        <v>0.32238890461364278</v>
      </c>
      <c r="W69" s="44">
        <f t="shared" si="378"/>
        <v>0.31151716876676966</v>
      </c>
      <c r="X69" s="44">
        <f t="shared" si="378"/>
        <v>0.45742115556230661</v>
      </c>
      <c r="Y69" s="44">
        <f t="shared" si="378"/>
        <v>0.46586696509757297</v>
      </c>
      <c r="Z69" s="44">
        <f t="shared" si="378"/>
        <v>0.44476613079217281</v>
      </c>
      <c r="AA69" s="44">
        <f t="shared" ref="AA69" si="379">AA68/AA43</f>
        <v>0.43851925118209023</v>
      </c>
      <c r="AB69" s="52">
        <f t="shared" si="378"/>
        <v>0.41669520320275272</v>
      </c>
      <c r="AC69" s="52">
        <f t="shared" si="378"/>
        <v>0.41069848079138033</v>
      </c>
      <c r="AD69" s="52">
        <f t="shared" si="378"/>
        <v>0.410161301249515</v>
      </c>
      <c r="AE69" s="52">
        <f t="shared" si="378"/>
        <v>0.41002809735006407</v>
      </c>
      <c r="AI69" s="44" t="e">
        <f t="shared" ref="AI69:BN69" si="380">AI68/AI43</f>
        <v>#DIV/0!</v>
      </c>
      <c r="AJ69" s="44" t="e">
        <f t="shared" si="380"/>
        <v>#DIV/0!</v>
      </c>
      <c r="AK69" s="44" t="e">
        <f t="shared" si="380"/>
        <v>#DIV/0!</v>
      </c>
      <c r="AL69" s="44" t="e">
        <f t="shared" si="380"/>
        <v>#DIV/0!</v>
      </c>
      <c r="AM69" s="44" t="e">
        <f t="shared" si="380"/>
        <v>#DIV/0!</v>
      </c>
      <c r="AN69" s="44" t="e">
        <f t="shared" si="380"/>
        <v>#DIV/0!</v>
      </c>
      <c r="AO69" s="44" t="e">
        <f t="shared" si="380"/>
        <v>#DIV/0!</v>
      </c>
      <c r="AP69" s="44" t="e">
        <f t="shared" si="380"/>
        <v>#DIV/0!</v>
      </c>
      <c r="AQ69" s="44" t="e">
        <f t="shared" si="380"/>
        <v>#DIV/0!</v>
      </c>
      <c r="AR69" s="44" t="e">
        <f t="shared" si="380"/>
        <v>#DIV/0!</v>
      </c>
      <c r="AS69" s="44" t="e">
        <f t="shared" si="380"/>
        <v>#DIV/0!</v>
      </c>
      <c r="AT69" s="44" t="e">
        <f t="shared" si="380"/>
        <v>#DIV/0!</v>
      </c>
      <c r="AU69" s="44">
        <f t="shared" si="380"/>
        <v>0.33895955785595228</v>
      </c>
      <c r="AV69" s="44">
        <f t="shared" si="380"/>
        <v>0.29146390428009317</v>
      </c>
      <c r="AW69" s="44">
        <f t="shared" si="380"/>
        <v>0.33523970910117906</v>
      </c>
      <c r="AX69" s="44">
        <f t="shared" si="380"/>
        <v>0.32423334101913764</v>
      </c>
      <c r="AY69" s="44">
        <f t="shared" si="380"/>
        <v>0.34220670594225028</v>
      </c>
      <c r="AZ69" s="44">
        <f t="shared" si="380"/>
        <v>0.33917694630700723</v>
      </c>
      <c r="BA69" s="44">
        <f t="shared" si="380"/>
        <v>0.36797010429395549</v>
      </c>
      <c r="BB69" s="44">
        <f t="shared" si="380"/>
        <v>0.36562743927636715</v>
      </c>
      <c r="BC69" s="44">
        <f t="shared" si="380"/>
        <v>0.33044667274384681</v>
      </c>
      <c r="BD69" s="44">
        <f t="shared" si="380"/>
        <v>0.30021809259848242</v>
      </c>
      <c r="BE69" s="44">
        <f t="shared" si="380"/>
        <v>0.33051150590199113</v>
      </c>
      <c r="BF69" s="44">
        <f t="shared" si="380"/>
        <v>0.34616180426236293</v>
      </c>
      <c r="BG69" s="44">
        <f t="shared" si="380"/>
        <v>0.31240349974266596</v>
      </c>
      <c r="BH69" s="44">
        <f t="shared" si="380"/>
        <v>0.3126684636118599</v>
      </c>
      <c r="BI69" s="44">
        <f t="shared" si="380"/>
        <v>0.36161595181223388</v>
      </c>
      <c r="BJ69" s="44">
        <f t="shared" si="380"/>
        <v>0.38355904915238181</v>
      </c>
      <c r="BK69" s="44">
        <f t="shared" si="380"/>
        <v>0.30310762781372458</v>
      </c>
      <c r="BL69" s="44">
        <f t="shared" si="380"/>
        <v>0.28277701307639364</v>
      </c>
      <c r="BM69" s="44">
        <f t="shared" si="380"/>
        <v>0.32621230740145568</v>
      </c>
      <c r="BN69" s="44">
        <f t="shared" si="380"/>
        <v>0.42340299684542593</v>
      </c>
      <c r="BO69" s="44">
        <f t="shared" ref="BO69:CJ69" si="381">BO68/BO43</f>
        <v>0.38830637995379419</v>
      </c>
      <c r="BP69" s="44">
        <f t="shared" si="381"/>
        <v>0.26427406199021208</v>
      </c>
      <c r="BQ69" s="44">
        <f t="shared" si="381"/>
        <v>0.33232082158096476</v>
      </c>
      <c r="BR69" s="44">
        <f t="shared" si="381"/>
        <v>0.34670389539634977</v>
      </c>
      <c r="BS69" s="44">
        <f t="shared" si="381"/>
        <v>0.23808077740662012</v>
      </c>
      <c r="BT69" s="44">
        <f t="shared" si="381"/>
        <v>0.24578627773679132</v>
      </c>
      <c r="BU69" s="44">
        <f t="shared" si="381"/>
        <v>0.43100511073253828</v>
      </c>
      <c r="BV69" s="44">
        <f t="shared" si="381"/>
        <v>0.39123774509803921</v>
      </c>
      <c r="BW69" s="44">
        <f t="shared" si="381"/>
        <v>0.40981297441114323</v>
      </c>
      <c r="BX69" s="44">
        <f t="shared" si="381"/>
        <v>0.46136178410017042</v>
      </c>
      <c r="BY69" s="44">
        <f t="shared" si="381"/>
        <v>0.4632508005936109</v>
      </c>
      <c r="BZ69" s="44">
        <f t="shared" si="381"/>
        <v>0.51103915219311158</v>
      </c>
      <c r="CA69" s="44">
        <f t="shared" si="381"/>
        <v>0.46193194454740905</v>
      </c>
      <c r="CB69" s="44">
        <f t="shared" si="381"/>
        <v>0.45162162162162167</v>
      </c>
      <c r="CC69" s="44">
        <f t="shared" si="381"/>
        <v>0.48040670921775258</v>
      </c>
      <c r="CD69" s="44">
        <f t="shared" si="381"/>
        <v>0.47889789303079422</v>
      </c>
      <c r="CE69" s="44">
        <f t="shared" si="381"/>
        <v>0.43853164234274428</v>
      </c>
      <c r="CF69" s="44">
        <f t="shared" si="381"/>
        <v>0.44023455119530891</v>
      </c>
      <c r="CG69" s="44">
        <f t="shared" si="381"/>
        <v>0.47631388621022186</v>
      </c>
      <c r="CH69" s="44">
        <f t="shared" si="381"/>
        <v>0.42738833083992311</v>
      </c>
      <c r="CI69" s="44">
        <f t="shared" si="381"/>
        <v>0.41252655027715895</v>
      </c>
      <c r="CJ69" s="44">
        <f t="shared" si="381"/>
        <v>0.39310949983835958</v>
      </c>
      <c r="CK69" s="44">
        <f t="shared" ref="CK69:CL69" si="382">CK68/CK43</f>
        <v>0.46284457627985476</v>
      </c>
      <c r="CL69" s="44">
        <f t="shared" si="382"/>
        <v>0.41160973431569553</v>
      </c>
      <c r="CM69" s="52">
        <f>AVERAGE(CI69:CL69)*0.99</f>
        <v>0.41582236427598951</v>
      </c>
      <c r="CN69" s="52">
        <f t="shared" ref="CN69:CP69" si="383">AVERAGE(CJ69:CM69)*0.99</f>
        <v>0.41663807824070004</v>
      </c>
      <c r="CO69" s="52">
        <f t="shared" si="383"/>
        <v>0.42246140139527932</v>
      </c>
      <c r="CP69" s="52">
        <f t="shared" si="383"/>
        <v>0.41246656561134692</v>
      </c>
      <c r="CQ69" s="52">
        <f>AVERAGE(CM69:CP69)*0.99</f>
        <v>0.4126786313570206</v>
      </c>
      <c r="CR69" s="52">
        <f t="shared" ref="CR69:CT69" si="384">AVERAGE(CN69:CQ69)*0.99</f>
        <v>0.41190055745957582</v>
      </c>
      <c r="CS69" s="52">
        <f t="shared" si="384"/>
        <v>0.41072802106624762</v>
      </c>
      <c r="CT69" s="52">
        <f t="shared" si="384"/>
        <v>0.40782400943481228</v>
      </c>
      <c r="CU69" s="52">
        <f t="shared" ref="CU69:DB69" si="385">AVERAGE(CQ69:CT69)</f>
        <v>0.41078280482941409</v>
      </c>
      <c r="CV69" s="52">
        <f t="shared" si="385"/>
        <v>0.41030884819751245</v>
      </c>
      <c r="CW69" s="52">
        <f t="shared" si="385"/>
        <v>0.40991092088199654</v>
      </c>
      <c r="CX69" s="52">
        <f t="shared" si="385"/>
        <v>0.40970664583593386</v>
      </c>
      <c r="CY69" s="52">
        <f t="shared" si="385"/>
        <v>0.41017730493621429</v>
      </c>
      <c r="CZ69" s="52">
        <f t="shared" si="385"/>
        <v>0.41002592996291426</v>
      </c>
      <c r="DA69" s="52">
        <f t="shared" si="385"/>
        <v>0.40995520040426475</v>
      </c>
      <c r="DB69" s="52">
        <f t="shared" si="385"/>
        <v>0.40996627028483179</v>
      </c>
      <c r="DE69" s="128"/>
      <c r="DF69" s="44">
        <v>0.42396723930882407</v>
      </c>
    </row>
    <row r="70" spans="1:110" s="26" customFormat="1" x14ac:dyDescent="0.2">
      <c r="A70" s="34" t="s">
        <v>13</v>
      </c>
      <c r="B70" s="26">
        <f t="shared" ref="B70:AE70" si="386">B49-B68</f>
        <v>0</v>
      </c>
      <c r="C70" s="26">
        <f t="shared" si="386"/>
        <v>0</v>
      </c>
      <c r="D70" s="26">
        <f t="shared" si="386"/>
        <v>0</v>
      </c>
      <c r="E70" s="26">
        <f t="shared" si="386"/>
        <v>0</v>
      </c>
      <c r="F70" s="26">
        <f t="shared" si="386"/>
        <v>0</v>
      </c>
      <c r="G70" s="26">
        <f t="shared" si="386"/>
        <v>0</v>
      </c>
      <c r="H70" s="26">
        <f t="shared" si="386"/>
        <v>1.4652084999999957</v>
      </c>
      <c r="I70" s="26">
        <f t="shared" si="386"/>
        <v>25.776711899999995</v>
      </c>
      <c r="J70" s="26">
        <f t="shared" si="386"/>
        <v>12.057614300000001</v>
      </c>
      <c r="K70" s="26">
        <f t="shared" si="386"/>
        <v>27.786175499999999</v>
      </c>
      <c r="L70" s="26">
        <f t="shared" si="386"/>
        <v>35.659999999999989</v>
      </c>
      <c r="M70" s="26">
        <f t="shared" si="386"/>
        <v>49.066999999999986</v>
      </c>
      <c r="N70" s="26">
        <f t="shared" si="386"/>
        <v>63.560999999999986</v>
      </c>
      <c r="O70" s="26">
        <f t="shared" si="386"/>
        <v>68.841000000000022</v>
      </c>
      <c r="P70" s="26">
        <f t="shared" si="386"/>
        <v>72.671999999999997</v>
      </c>
      <c r="Q70" s="26">
        <f t="shared" si="386"/>
        <v>94.049000000000007</v>
      </c>
      <c r="R70" s="26">
        <f t="shared" si="386"/>
        <v>115.379</v>
      </c>
      <c r="S70" s="26">
        <f t="shared" si="386"/>
        <v>144.71999999999997</v>
      </c>
      <c r="T70" s="26">
        <f t="shared" si="386"/>
        <v>154.22999999999999</v>
      </c>
      <c r="U70" s="26">
        <f t="shared" si="386"/>
        <v>173.56999999999996</v>
      </c>
      <c r="V70" s="26">
        <f t="shared" si="386"/>
        <v>171.26</v>
      </c>
      <c r="W70" s="26">
        <f t="shared" si="386"/>
        <v>235.73000000000002</v>
      </c>
      <c r="X70" s="26">
        <f t="shared" si="386"/>
        <v>122.52999999999994</v>
      </c>
      <c r="Y70" s="26">
        <f t="shared" si="386"/>
        <v>138.75999999999993</v>
      </c>
      <c r="Z70" s="26">
        <f t="shared" si="386"/>
        <v>190.56000000000012</v>
      </c>
      <c r="AA70" s="26">
        <f t="shared" ref="AA70" si="387">AA49-AA68</f>
        <v>245.92999999999995</v>
      </c>
      <c r="AB70" s="27">
        <f t="shared" si="386"/>
        <v>314.13474310206266</v>
      </c>
      <c r="AC70" s="27">
        <f t="shared" si="386"/>
        <v>379.84883696621773</v>
      </c>
      <c r="AD70" s="27">
        <f t="shared" si="386"/>
        <v>451.07438361136008</v>
      </c>
      <c r="AE70" s="27">
        <f t="shared" si="386"/>
        <v>535.3708816437902</v>
      </c>
      <c r="AI70" s="26">
        <f t="shared" ref="AI70:BN70" si="388">AI49-AI68</f>
        <v>0</v>
      </c>
      <c r="AJ70" s="26">
        <f t="shared" si="388"/>
        <v>0</v>
      </c>
      <c r="AK70" s="26">
        <f t="shared" si="388"/>
        <v>0</v>
      </c>
      <c r="AL70" s="26">
        <f t="shared" si="388"/>
        <v>0</v>
      </c>
      <c r="AM70" s="26">
        <f t="shared" si="388"/>
        <v>0</v>
      </c>
      <c r="AN70" s="26">
        <f t="shared" si="388"/>
        <v>0</v>
      </c>
      <c r="AO70" s="26">
        <f t="shared" si="388"/>
        <v>0</v>
      </c>
      <c r="AP70" s="26">
        <f t="shared" si="388"/>
        <v>0</v>
      </c>
      <c r="AQ70" s="26">
        <f t="shared" si="388"/>
        <v>0</v>
      </c>
      <c r="AR70" s="26">
        <f t="shared" si="388"/>
        <v>0</v>
      </c>
      <c r="AS70" s="26">
        <f t="shared" si="388"/>
        <v>0</v>
      </c>
      <c r="AT70" s="26">
        <f t="shared" si="388"/>
        <v>0</v>
      </c>
      <c r="AU70" s="26">
        <f t="shared" si="388"/>
        <v>20.286999999999995</v>
      </c>
      <c r="AV70" s="26">
        <f t="shared" si="388"/>
        <v>26.095000000000002</v>
      </c>
      <c r="AW70" s="26">
        <f t="shared" si="388"/>
        <v>22.092000000000006</v>
      </c>
      <c r="AX70" s="26">
        <f t="shared" si="388"/>
        <v>24.585999999999995</v>
      </c>
      <c r="AY70" s="26">
        <f t="shared" si="388"/>
        <v>26.945999999999998</v>
      </c>
      <c r="AZ70" s="26">
        <f t="shared" si="388"/>
        <v>30.351999999999997</v>
      </c>
      <c r="BA70" s="26">
        <f t="shared" si="388"/>
        <v>26.276000000000003</v>
      </c>
      <c r="BB70" s="26">
        <f t="shared" si="388"/>
        <v>31.610000000000003</v>
      </c>
      <c r="BC70" s="26">
        <f t="shared" si="388"/>
        <v>36.430000000000007</v>
      </c>
      <c r="BD70" s="26">
        <f t="shared" si="388"/>
        <v>35.696000000000005</v>
      </c>
      <c r="BE70" s="26">
        <f t="shared" si="388"/>
        <v>35.38000000000001</v>
      </c>
      <c r="BF70" s="26">
        <f t="shared" si="388"/>
        <v>37.21</v>
      </c>
      <c r="BG70" s="26">
        <f t="shared" si="388"/>
        <v>41.2</v>
      </c>
      <c r="BH70" s="26">
        <f t="shared" si="388"/>
        <v>43.03</v>
      </c>
      <c r="BI70" s="26">
        <f t="shared" si="388"/>
        <v>35.520000000000003</v>
      </c>
      <c r="BJ70" s="26">
        <f t="shared" si="388"/>
        <v>34.480000000000004</v>
      </c>
      <c r="BK70" s="26">
        <f t="shared" si="388"/>
        <v>45.610000000000007</v>
      </c>
      <c r="BL70" s="26">
        <f t="shared" si="388"/>
        <v>52.160000000000004</v>
      </c>
      <c r="BM70" s="26">
        <f t="shared" si="388"/>
        <v>43.780000000000008</v>
      </c>
      <c r="BN70" s="26">
        <f t="shared" si="388"/>
        <v>30.97</v>
      </c>
      <c r="BO70" s="26">
        <f t="shared" ref="BO70:CT70" si="389">BO49-BO68</f>
        <v>8.4600000000000009</v>
      </c>
      <c r="BP70" s="26">
        <f t="shared" si="389"/>
        <v>61.900000000000006</v>
      </c>
      <c r="BQ70" s="26">
        <f t="shared" si="389"/>
        <v>49.620000000000019</v>
      </c>
      <c r="BR70" s="26">
        <f t="shared" si="389"/>
        <v>51.530000000000008</v>
      </c>
      <c r="BS70" s="26">
        <f t="shared" si="389"/>
        <v>71.22999999999999</v>
      </c>
      <c r="BT70" s="26">
        <f t="shared" si="389"/>
        <v>89.289999999999992</v>
      </c>
      <c r="BU70" s="26">
        <f t="shared" si="389"/>
        <v>36.800000000000011</v>
      </c>
      <c r="BV70" s="26">
        <f t="shared" si="389"/>
        <v>37.589999999999989</v>
      </c>
      <c r="BW70" s="26">
        <f t="shared" si="389"/>
        <v>35.920000000000023</v>
      </c>
      <c r="BX70" s="26">
        <f t="shared" si="389"/>
        <v>31.580000000000005</v>
      </c>
      <c r="BY70" s="26">
        <f t="shared" si="389"/>
        <v>27.86</v>
      </c>
      <c r="BZ70" s="26">
        <f t="shared" si="389"/>
        <v>24.690000000000012</v>
      </c>
      <c r="CA70" s="26">
        <f t="shared" si="389"/>
        <v>34.510000000000005</v>
      </c>
      <c r="CB70" s="26">
        <f t="shared" si="389"/>
        <v>37.519999999999996</v>
      </c>
      <c r="CC70" s="26">
        <f t="shared" si="389"/>
        <v>31.590000000000032</v>
      </c>
      <c r="CD70" s="26">
        <f t="shared" si="389"/>
        <v>33.81</v>
      </c>
      <c r="CE70" s="26">
        <f t="shared" si="389"/>
        <v>42.639999999999986</v>
      </c>
      <c r="CF70" s="26">
        <f t="shared" si="389"/>
        <v>48.290000000000006</v>
      </c>
      <c r="CG70" s="26">
        <f t="shared" si="389"/>
        <v>41.730000000000004</v>
      </c>
      <c r="CH70" s="26">
        <f t="shared" si="389"/>
        <v>57.69999999999996</v>
      </c>
      <c r="CI70" s="26">
        <f t="shared" si="389"/>
        <v>57.77000000000001</v>
      </c>
      <c r="CJ70" s="26">
        <f t="shared" si="389"/>
        <v>71.349999999999994</v>
      </c>
      <c r="CK70" s="26">
        <f t="shared" ref="CK70:CL70" si="390">CK49-CK68</f>
        <v>57.830000000000013</v>
      </c>
      <c r="CL70" s="26">
        <f t="shared" si="390"/>
        <v>75.089999999999947</v>
      </c>
      <c r="CM70" s="27">
        <f t="shared" si="389"/>
        <v>71.764809538573829</v>
      </c>
      <c r="CN70" s="27">
        <f t="shared" si="389"/>
        <v>81.853396176663423</v>
      </c>
      <c r="CO70" s="27">
        <f t="shared" si="389"/>
        <v>73.975879127175162</v>
      </c>
      <c r="CP70" s="27">
        <f t="shared" si="389"/>
        <v>86.540658259650243</v>
      </c>
      <c r="CQ70" s="27">
        <f t="shared" si="389"/>
        <v>87.25332686827953</v>
      </c>
      <c r="CR70" s="27">
        <f t="shared" si="389"/>
        <v>98.752382943613995</v>
      </c>
      <c r="CS70" s="27">
        <f t="shared" si="389"/>
        <v>89.945332799783031</v>
      </c>
      <c r="CT70" s="27">
        <f t="shared" si="389"/>
        <v>103.89779435454111</v>
      </c>
      <c r="CU70" s="27">
        <f t="shared" ref="CU70:DB70" si="391">CU49-CU68</f>
        <v>104.28268285395805</v>
      </c>
      <c r="CV70" s="27">
        <f t="shared" si="391"/>
        <v>117.59459679712245</v>
      </c>
      <c r="CW70" s="27">
        <f t="shared" si="391"/>
        <v>106.65976583975981</v>
      </c>
      <c r="CX70" s="27">
        <f t="shared" si="391"/>
        <v>122.53733812051973</v>
      </c>
      <c r="CY70" s="27">
        <f t="shared" si="391"/>
        <v>123.94518613110614</v>
      </c>
      <c r="CZ70" s="27">
        <f t="shared" si="391"/>
        <v>139.63304270579636</v>
      </c>
      <c r="DA70" s="27">
        <f t="shared" si="391"/>
        <v>126.45067874970974</v>
      </c>
      <c r="DB70" s="27">
        <f t="shared" si="391"/>
        <v>145.34197405717796</v>
      </c>
      <c r="DE70" s="121"/>
      <c r="DF70" s="26">
        <v>67.785764842681644</v>
      </c>
    </row>
    <row r="71" spans="1:110" s="167" customFormat="1" x14ac:dyDescent="0.2">
      <c r="A71" s="164" t="s">
        <v>14</v>
      </c>
      <c r="B71" s="165" t="e">
        <f t="shared" ref="B71:AE71" si="392">B70/B43</f>
        <v>#DIV/0!</v>
      </c>
      <c r="C71" s="165" t="e">
        <f t="shared" si="392"/>
        <v>#DIV/0!</v>
      </c>
      <c r="D71" s="165" t="e">
        <f t="shared" si="392"/>
        <v>#DIV/0!</v>
      </c>
      <c r="E71" s="165" t="e">
        <f t="shared" si="392"/>
        <v>#DIV/0!</v>
      </c>
      <c r="F71" s="165" t="e">
        <f t="shared" si="392"/>
        <v>#DIV/0!</v>
      </c>
      <c r="G71" s="165" t="e">
        <f t="shared" si="392"/>
        <v>#DIV/0!</v>
      </c>
      <c r="H71" s="165">
        <f t="shared" si="392"/>
        <v>4.3407908073889119E-2</v>
      </c>
      <c r="I71" s="165">
        <f t="shared" si="392"/>
        <v>0.58041753295126175</v>
      </c>
      <c r="J71" s="165">
        <f t="shared" si="392"/>
        <v>0.26629961184585121</v>
      </c>
      <c r="K71" s="165">
        <f t="shared" si="392"/>
        <v>0.47625465850035686</v>
      </c>
      <c r="L71" s="165">
        <f t="shared" si="392"/>
        <v>0.45797213125280922</v>
      </c>
      <c r="M71" s="165">
        <f t="shared" si="392"/>
        <v>0.44984231178261019</v>
      </c>
      <c r="N71" s="165">
        <f t="shared" si="392"/>
        <v>0.47341372401516441</v>
      </c>
      <c r="O71" s="165">
        <f t="shared" si="392"/>
        <v>0.45900732107375763</v>
      </c>
      <c r="P71" s="165">
        <f t="shared" si="392"/>
        <v>0.39720591611189454</v>
      </c>
      <c r="Q71" s="165">
        <f t="shared" si="392"/>
        <v>0.39030149606789372</v>
      </c>
      <c r="R71" s="165">
        <f t="shared" si="392"/>
        <v>0.37905363895304334</v>
      </c>
      <c r="S71" s="165">
        <f t="shared" si="392"/>
        <v>0.40615177368657379</v>
      </c>
      <c r="T71" s="165">
        <f t="shared" si="392"/>
        <v>0.38279020128564689</v>
      </c>
      <c r="U71" s="165">
        <f t="shared" si="392"/>
        <v>0.39969142909777544</v>
      </c>
      <c r="V71" s="165">
        <f t="shared" si="392"/>
        <v>0.34624560268488941</v>
      </c>
      <c r="W71" s="165">
        <f t="shared" si="392"/>
        <v>0.40031586455184598</v>
      </c>
      <c r="X71" s="165">
        <f t="shared" si="392"/>
        <v>0.23265042626312482</v>
      </c>
      <c r="Y71" s="165">
        <f t="shared" si="392"/>
        <v>0.24263831573057273</v>
      </c>
      <c r="Z71" s="165">
        <f t="shared" si="392"/>
        <v>0.27723867025532861</v>
      </c>
      <c r="AA71" s="165">
        <f t="shared" ref="AA71" si="393">AA70/AA43</f>
        <v>0.2966443114928109</v>
      </c>
      <c r="AB71" s="166">
        <f t="shared" si="392"/>
        <v>0.32414433140076998</v>
      </c>
      <c r="AC71" s="166">
        <f t="shared" si="392"/>
        <v>0.3311802077335283</v>
      </c>
      <c r="AD71" s="166">
        <f t="shared" si="392"/>
        <v>0.3318715595703986</v>
      </c>
      <c r="AE71" s="166">
        <f t="shared" si="392"/>
        <v>0.3320217878416446</v>
      </c>
      <c r="AI71" s="165" t="e">
        <f t="shared" ref="AI71:BN71" si="394">AI70/AI43</f>
        <v>#DIV/0!</v>
      </c>
      <c r="AJ71" s="165" t="e">
        <f t="shared" si="394"/>
        <v>#DIV/0!</v>
      </c>
      <c r="AK71" s="165" t="e">
        <f t="shared" si="394"/>
        <v>#DIV/0!</v>
      </c>
      <c r="AL71" s="165" t="e">
        <f t="shared" si="394"/>
        <v>#DIV/0!</v>
      </c>
      <c r="AM71" s="165" t="e">
        <f t="shared" si="394"/>
        <v>#DIV/0!</v>
      </c>
      <c r="AN71" s="165" t="e">
        <f t="shared" si="394"/>
        <v>#DIV/0!</v>
      </c>
      <c r="AO71" s="165" t="e">
        <f t="shared" si="394"/>
        <v>#DIV/0!</v>
      </c>
      <c r="AP71" s="165" t="e">
        <f t="shared" si="394"/>
        <v>#DIV/0!</v>
      </c>
      <c r="AQ71" s="165" t="e">
        <f t="shared" si="394"/>
        <v>#DIV/0!</v>
      </c>
      <c r="AR71" s="165" t="e">
        <f t="shared" si="394"/>
        <v>#DIV/0!</v>
      </c>
      <c r="AS71" s="165" t="e">
        <f t="shared" si="394"/>
        <v>#DIV/0!</v>
      </c>
      <c r="AT71" s="165" t="e">
        <f t="shared" si="394"/>
        <v>#DIV/0!</v>
      </c>
      <c r="AU71" s="165">
        <f t="shared" si="394"/>
        <v>0.35594350381612416</v>
      </c>
      <c r="AV71" s="165">
        <f t="shared" si="394"/>
        <v>0.41909580020878506</v>
      </c>
      <c r="AW71" s="165">
        <f t="shared" si="394"/>
        <v>0.38995975428934559</v>
      </c>
      <c r="AX71" s="165">
        <f t="shared" si="394"/>
        <v>0.37792636999461982</v>
      </c>
      <c r="AY71" s="165">
        <f t="shared" si="394"/>
        <v>0.39197032511455371</v>
      </c>
      <c r="AZ71" s="165">
        <f t="shared" si="394"/>
        <v>0.38839125761375848</v>
      </c>
      <c r="BA71" s="165">
        <f t="shared" si="394"/>
        <v>0.37335530989797955</v>
      </c>
      <c r="BB71" s="165">
        <f t="shared" si="394"/>
        <v>0.36284953395472708</v>
      </c>
      <c r="BC71" s="165">
        <f t="shared" si="394"/>
        <v>0.41510938924339114</v>
      </c>
      <c r="BD71" s="165">
        <f t="shared" si="394"/>
        <v>0.40547048934526791</v>
      </c>
      <c r="BE71" s="165">
        <f t="shared" si="394"/>
        <v>0.42184332896148813</v>
      </c>
      <c r="BF71" s="165">
        <f t="shared" si="394"/>
        <v>0.38495758328160568</v>
      </c>
      <c r="BG71" s="165">
        <f t="shared" si="394"/>
        <v>0.42408646423057128</v>
      </c>
      <c r="BH71" s="165">
        <f t="shared" si="394"/>
        <v>0.41422795533307666</v>
      </c>
      <c r="BI71" s="165">
        <f t="shared" si="394"/>
        <v>0.36888565790840172</v>
      </c>
      <c r="BJ71" s="165">
        <f t="shared" si="394"/>
        <v>0.32654607443886735</v>
      </c>
      <c r="BK71" s="165">
        <f t="shared" si="394"/>
        <v>0.41565661168322249</v>
      </c>
      <c r="BL71" s="165">
        <f t="shared" si="394"/>
        <v>0.4487267721954577</v>
      </c>
      <c r="BM71" s="165">
        <f t="shared" si="394"/>
        <v>0.4138387371207109</v>
      </c>
      <c r="BN71" s="165">
        <f t="shared" si="394"/>
        <v>0.30530362776025238</v>
      </c>
      <c r="BO71" s="165">
        <f t="shared" ref="BO71:CT71" si="395">BO70/BO43</f>
        <v>0.15034654345121734</v>
      </c>
      <c r="BP71" s="165">
        <f t="shared" si="395"/>
        <v>0.40391517128874393</v>
      </c>
      <c r="BQ71" s="165">
        <f t="shared" si="395"/>
        <v>0.3588630939466263</v>
      </c>
      <c r="BR71" s="165">
        <f t="shared" si="395"/>
        <v>0.35092617815309185</v>
      </c>
      <c r="BS71" s="165">
        <f t="shared" si="395"/>
        <v>0.43261463710901904</v>
      </c>
      <c r="BT71" s="165">
        <f t="shared" si="395"/>
        <v>0.50672493048067635</v>
      </c>
      <c r="BU71" s="165">
        <f t="shared" si="395"/>
        <v>0.31345826235093704</v>
      </c>
      <c r="BV71" s="165">
        <f t="shared" si="395"/>
        <v>0.28791360294117641</v>
      </c>
      <c r="BW71" s="165">
        <f t="shared" si="395"/>
        <v>0.28108615697628941</v>
      </c>
      <c r="BX71" s="165">
        <f t="shared" si="395"/>
        <v>0.23397792101948586</v>
      </c>
      <c r="BY71" s="165">
        <f t="shared" si="395"/>
        <v>0.21760524876981957</v>
      </c>
      <c r="BZ71" s="165">
        <f t="shared" si="395"/>
        <v>0.18170444509861652</v>
      </c>
      <c r="CA71" s="165">
        <f t="shared" si="395"/>
        <v>0.25583809029579663</v>
      </c>
      <c r="CB71" s="165">
        <f t="shared" si="395"/>
        <v>0.25351351351351348</v>
      </c>
      <c r="CC71" s="165">
        <f t="shared" si="395"/>
        <v>0.23445153629211837</v>
      </c>
      <c r="CD71" s="165">
        <f t="shared" si="395"/>
        <v>0.21918962722852514</v>
      </c>
      <c r="CE71" s="165">
        <f t="shared" si="395"/>
        <v>0.27174813587406788</v>
      </c>
      <c r="CF71" s="165">
        <f t="shared" si="395"/>
        <v>0.27227108705457825</v>
      </c>
      <c r="CG71" s="165">
        <f t="shared" si="395"/>
        <v>0.2515067502410801</v>
      </c>
      <c r="CH71" s="165">
        <f t="shared" si="395"/>
        <v>0.30829237016456484</v>
      </c>
      <c r="CI71" s="165">
        <f t="shared" si="395"/>
        <v>0.2992799046780294</v>
      </c>
      <c r="CJ71" s="165">
        <f t="shared" si="395"/>
        <v>0.3295155405717452</v>
      </c>
      <c r="CK71" s="165">
        <f t="shared" ref="CK71:CL71" si="396">CK70/CK43</f>
        <v>0.29576024139518237</v>
      </c>
      <c r="CL71" s="165">
        <f t="shared" si="396"/>
        <v>0.3352980576021431</v>
      </c>
      <c r="CM71" s="166">
        <f t="shared" si="395"/>
        <v>0.31916366196355272</v>
      </c>
      <c r="CN71" s="166">
        <f t="shared" si="395"/>
        <v>0.32414284081993067</v>
      </c>
      <c r="CO71" s="166">
        <f t="shared" si="395"/>
        <v>0.32285848732798289</v>
      </c>
      <c r="CP71" s="166">
        <f t="shared" si="395"/>
        <v>0.32953209087397156</v>
      </c>
      <c r="CQ71" s="166">
        <f t="shared" si="395"/>
        <v>0.32809274127016774</v>
      </c>
      <c r="CR71" s="166">
        <f t="shared" si="395"/>
        <v>0.33031715176452409</v>
      </c>
      <c r="CS71" s="166">
        <f t="shared" si="395"/>
        <v>0.33184888569871968</v>
      </c>
      <c r="CT71" s="166">
        <f t="shared" si="395"/>
        <v>0.33406715184058111</v>
      </c>
      <c r="CU71" s="166">
        <f t="shared" ref="CU71:DB71" si="397">CU70/CU43</f>
        <v>0.33108148264349813</v>
      </c>
      <c r="CV71" s="166">
        <f t="shared" si="397"/>
        <v>0.33182866798683069</v>
      </c>
      <c r="CW71" s="166">
        <f t="shared" si="397"/>
        <v>0.33220654704240743</v>
      </c>
      <c r="CX71" s="166">
        <f t="shared" si="397"/>
        <v>0.33229596237832942</v>
      </c>
      <c r="CY71" s="166">
        <f t="shared" si="397"/>
        <v>0.3318531650127664</v>
      </c>
      <c r="CZ71" s="166">
        <f t="shared" si="397"/>
        <v>0.33204608560508353</v>
      </c>
      <c r="DA71" s="166">
        <f t="shared" si="397"/>
        <v>0.33210044000964667</v>
      </c>
      <c r="DB71" s="166">
        <f t="shared" si="397"/>
        <v>0.33207391325145641</v>
      </c>
      <c r="DE71" s="168"/>
      <c r="DF71" s="167">
        <v>0.30821201420238048</v>
      </c>
    </row>
    <row r="72" spans="1:110" s="38" customFormat="1" x14ac:dyDescent="0.2">
      <c r="A72" s="39" t="s">
        <v>449</v>
      </c>
      <c r="B72" s="39"/>
      <c r="C72" s="39" t="e">
        <f t="shared" ref="C72:E72" si="398">+IF(B70&lt;0,1-C70/B70,C70/B70-1)</f>
        <v>#DIV/0!</v>
      </c>
      <c r="D72" s="39" t="e">
        <f t="shared" si="398"/>
        <v>#DIV/0!</v>
      </c>
      <c r="E72" s="39" t="e">
        <f t="shared" si="398"/>
        <v>#DIV/0!</v>
      </c>
      <c r="F72" s="39" t="e">
        <f t="shared" ref="F72:Y72" si="399">+IF(E70&lt;0,1-F70/E70,F70/E70-1)</f>
        <v>#DIV/0!</v>
      </c>
      <c r="G72" s="39" t="e">
        <f t="shared" si="399"/>
        <v>#DIV/0!</v>
      </c>
      <c r="H72" s="39" t="e">
        <f t="shared" si="399"/>
        <v>#DIV/0!</v>
      </c>
      <c r="I72" s="39">
        <f t="shared" si="399"/>
        <v>16.592521405656651</v>
      </c>
      <c r="J72" s="39">
        <f t="shared" si="399"/>
        <v>-0.53222837936905354</v>
      </c>
      <c r="K72" s="39">
        <f t="shared" si="399"/>
        <v>1.3044505163844886</v>
      </c>
      <c r="L72" s="39">
        <f t="shared" si="399"/>
        <v>0.2833720135396105</v>
      </c>
      <c r="M72" s="39">
        <f t="shared" si="399"/>
        <v>0.37596747055524404</v>
      </c>
      <c r="N72" s="39">
        <f t="shared" si="399"/>
        <v>0.29539201499989809</v>
      </c>
      <c r="O72" s="39">
        <f t="shared" si="399"/>
        <v>8.3069806957096981E-2</v>
      </c>
      <c r="P72" s="39">
        <f t="shared" si="399"/>
        <v>5.5649976031724835E-2</v>
      </c>
      <c r="Q72" s="39">
        <f t="shared" si="399"/>
        <v>0.29415730955526209</v>
      </c>
      <c r="R72" s="39">
        <f t="shared" si="399"/>
        <v>0.22679666982105062</v>
      </c>
      <c r="S72" s="39">
        <f t="shared" si="399"/>
        <v>0.25430104265074194</v>
      </c>
      <c r="T72" s="39">
        <f t="shared" si="399"/>
        <v>6.5713101160862486E-2</v>
      </c>
      <c r="U72" s="39">
        <f t="shared" si="399"/>
        <v>0.12539713415029485</v>
      </c>
      <c r="V72" s="39">
        <f t="shared" si="399"/>
        <v>-1.3308751512357997E-2</v>
      </c>
      <c r="W72" s="39">
        <f t="shared" si="399"/>
        <v>0.37644517108490039</v>
      </c>
      <c r="X72" s="39">
        <f t="shared" si="399"/>
        <v>-0.48021041021507682</v>
      </c>
      <c r="Y72" s="39">
        <f t="shared" si="399"/>
        <v>0.1324573573818657</v>
      </c>
      <c r="Z72" s="39">
        <f t="shared" ref="Z72:AE72" si="400">+IF(Y70&lt;0,1-Z70/Y70,Z70/Y70-1)</f>
        <v>0.37330642836552475</v>
      </c>
      <c r="AA72" s="39">
        <f t="shared" si="400"/>
        <v>0.29056465155331557</v>
      </c>
      <c r="AB72" s="40">
        <f t="shared" si="400"/>
        <v>0.27733396943058075</v>
      </c>
      <c r="AC72" s="40">
        <f t="shared" si="400"/>
        <v>0.20919078614238007</v>
      </c>
      <c r="AD72" s="40">
        <f t="shared" si="400"/>
        <v>0.18751024016292273</v>
      </c>
      <c r="AE72" s="40">
        <f t="shared" si="400"/>
        <v>0.18687937310370284</v>
      </c>
      <c r="AI72" s="39"/>
      <c r="AJ72" s="39"/>
      <c r="AK72" s="39"/>
      <c r="AL72" s="39"/>
      <c r="AM72" s="39" t="e">
        <f>+IF(AI70&lt;0,1-AM70/AI70,AM70/AI70-1)</f>
        <v>#DIV/0!</v>
      </c>
      <c r="AN72" s="39" t="e">
        <f t="shared" ref="AN72" si="401">+IF(AJ70&lt;0,1-AN70/AJ70,AN70/AJ70-1)</f>
        <v>#DIV/0!</v>
      </c>
      <c r="AO72" s="39" t="e">
        <f t="shared" ref="AO72" si="402">+IF(AK70&lt;0,1-AO70/AK70,AO70/AK70-1)</f>
        <v>#DIV/0!</v>
      </c>
      <c r="AP72" s="39" t="e">
        <f t="shared" ref="AP72" si="403">+IF(AL70&lt;0,1-AP70/AL70,AP70/AL70-1)</f>
        <v>#DIV/0!</v>
      </c>
      <c r="AQ72" s="39" t="e">
        <f t="shared" ref="AQ72" si="404">+IF(AM70&lt;0,1-AQ70/AM70,AQ70/AM70-1)</f>
        <v>#DIV/0!</v>
      </c>
      <c r="AR72" s="39" t="e">
        <f t="shared" ref="AR72" si="405">+IF(AN70&lt;0,1-AR70/AN70,AR70/AN70-1)</f>
        <v>#DIV/0!</v>
      </c>
      <c r="AS72" s="39" t="e">
        <f t="shared" ref="AS72" si="406">+IF(AO70&lt;0,1-AS70/AO70,AS70/AO70-1)</f>
        <v>#DIV/0!</v>
      </c>
      <c r="AT72" s="39" t="e">
        <f t="shared" ref="AT72" si="407">+IF(AP70&lt;0,1-AT70/AP70,AT70/AP70-1)</f>
        <v>#DIV/0!</v>
      </c>
      <c r="AU72" s="39" t="e">
        <f t="shared" ref="AU72" si="408">+IF(AQ70&lt;0,1-AU70/AQ70,AU70/AQ70-1)</f>
        <v>#DIV/0!</v>
      </c>
      <c r="AV72" s="39" t="e">
        <f t="shared" ref="AV72" si="409">+IF(AR70&lt;0,1-AV70/AR70,AV70/AR70-1)</f>
        <v>#DIV/0!</v>
      </c>
      <c r="AW72" s="39" t="e">
        <f t="shared" ref="AW72" si="410">+IF(AS70&lt;0,1-AW70/AS70,AW70/AS70-1)</f>
        <v>#DIV/0!</v>
      </c>
      <c r="AX72" s="39" t="e">
        <f t="shared" ref="AX72" si="411">+IF(AT70&lt;0,1-AX70/AT70,AX70/AT70-1)</f>
        <v>#DIV/0!</v>
      </c>
      <c r="AY72" s="39">
        <f t="shared" ref="AY72" si="412">+IF(AU70&lt;0,1-AY70/AU70,AY70/AU70-1)</f>
        <v>0.32823975945186601</v>
      </c>
      <c r="AZ72" s="39">
        <f t="shared" ref="AZ72" si="413">+IF(AV70&lt;0,1-AZ70/AV70,AZ70/AV70-1)</f>
        <v>0.16313470013412501</v>
      </c>
      <c r="BA72" s="39">
        <f t="shared" ref="BA72" si="414">+IF(AW70&lt;0,1-BA70/AW70,BA70/AW70-1)</f>
        <v>0.18938982437081275</v>
      </c>
      <c r="BB72" s="39">
        <f t="shared" ref="BB72" si="415">+IF(AX70&lt;0,1-BB70/AX70,BB70/AX70-1)</f>
        <v>0.28569104368339748</v>
      </c>
      <c r="BC72" s="39">
        <f t="shared" ref="BC72" si="416">+IF(AY70&lt;0,1-BC70/AY70,BC70/AY70-1)</f>
        <v>0.35196318563052076</v>
      </c>
      <c r="BD72" s="39">
        <f t="shared" ref="BD72" si="417">+IF(AZ70&lt;0,1-BD70/AZ70,BD70/AZ70-1)</f>
        <v>0.17606747496046427</v>
      </c>
      <c r="BE72" s="39">
        <f t="shared" ref="BE72" si="418">+IF(BA70&lt;0,1-BE70/BA70,BE70/BA70-1)</f>
        <v>0.34647587151773496</v>
      </c>
      <c r="BF72" s="39">
        <f t="shared" ref="BF72" si="419">+IF(BB70&lt;0,1-BF70/BB70,BF70/BB70-1)</f>
        <v>0.17715912685858903</v>
      </c>
      <c r="BG72" s="39">
        <f t="shared" ref="BG72" si="420">+IF(BC70&lt;0,1-BG70/BC70,BG70/BC70-1)</f>
        <v>0.13093604172385387</v>
      </c>
      <c r="BH72" s="39">
        <f t="shared" ref="BH72" si="421">+IF(BD70&lt;0,1-BH70/BD70,BH70/BD70-1)</f>
        <v>0.20545719408337049</v>
      </c>
      <c r="BI72" s="39">
        <f t="shared" ref="BI72" si="422">+IF(BE70&lt;0,1-BI70/BE70,BI70/BE70-1)</f>
        <v>3.957037874505076E-3</v>
      </c>
      <c r="BJ72" s="39">
        <f t="shared" ref="BJ72" si="423">+IF(BF70&lt;0,1-BJ70/BF70,BJ70/BF70-1)</f>
        <v>-7.3367374361730686E-2</v>
      </c>
      <c r="BK72" s="39">
        <f t="shared" ref="BK72" si="424">+IF(BG70&lt;0,1-BK70/BG70,BK70/BG70-1)</f>
        <v>0.10703883495145639</v>
      </c>
      <c r="BL72" s="39">
        <f t="shared" ref="BL72" si="425">+IF(BH70&lt;0,1-BL70/BH70,BL70/BH70-1)</f>
        <v>0.21217755054613074</v>
      </c>
      <c r="BM72" s="39">
        <f t="shared" ref="BM72" si="426">+IF(BI70&lt;0,1-BM70/BI70,BM70/BI70-1)</f>
        <v>0.23254504504504525</v>
      </c>
      <c r="BN72" s="39">
        <f t="shared" ref="BN72" si="427">+IF(BJ70&lt;0,1-BN70/BJ70,BN70/BJ70-1)</f>
        <v>-0.1017981438515082</v>
      </c>
      <c r="BO72" s="39">
        <f t="shared" ref="BO72" si="428">+IF(BK70&lt;0,1-BO70/BK70,BO70/BK70-1)</f>
        <v>-0.81451436088577067</v>
      </c>
      <c r="BP72" s="39">
        <f t="shared" ref="BP72" si="429">+IF(BL70&lt;0,1-BP70/BL70,BP70/BL70-1)</f>
        <v>0.18673312883435589</v>
      </c>
      <c r="BQ72" s="39">
        <f t="shared" ref="BQ72" si="430">+IF(BM70&lt;0,1-BQ70/BM70,BQ70/BM70-1)</f>
        <v>0.13339424394700794</v>
      </c>
      <c r="BR72" s="39">
        <f t="shared" ref="BR72" si="431">+IF(BN70&lt;0,1-BR70/BN70,BR70/BN70-1)</f>
        <v>0.66386825960607077</v>
      </c>
      <c r="BS72" s="39">
        <f t="shared" ref="BS72" si="432">+IF(BO70&lt;0,1-BS70/BO70,BS70/BO70-1)</f>
        <v>7.4196217494089822</v>
      </c>
      <c r="BT72" s="39">
        <f t="shared" ref="BT72" si="433">+IF(BP70&lt;0,1-BT70/BP70,BT70/BP70-1)</f>
        <v>0.44248788368335989</v>
      </c>
      <c r="BU72" s="39">
        <f t="shared" ref="BU72" si="434">+IF(BQ70&lt;0,1-BU70/BQ70,BU70/BQ70-1)</f>
        <v>-0.25836356307940356</v>
      </c>
      <c r="BV72" s="39">
        <f t="shared" ref="BV72" si="435">+IF(BR70&lt;0,1-BV70/BR70,BV70/BR70-1)</f>
        <v>-0.27052202600426967</v>
      </c>
      <c r="BW72" s="39">
        <f t="shared" ref="BW72" si="436">+IF(BS70&lt;0,1-BW70/BS70,BW70/BS70-1)</f>
        <v>-0.49571809630773511</v>
      </c>
      <c r="BX72" s="39">
        <f t="shared" ref="BX72" si="437">+IF(BT70&lt;0,1-BX70/BT70,BX70/BT70-1)</f>
        <v>-0.64632097659312349</v>
      </c>
      <c r="BY72" s="39">
        <f t="shared" ref="BY72" si="438">+IF(BU70&lt;0,1-BY70/BU70,BY70/BU70-1)</f>
        <v>-0.24293478260869594</v>
      </c>
      <c r="BZ72" s="39">
        <f t="shared" ref="BZ72" si="439">+IF(BV70&lt;0,1-BZ70/BV70,BZ70/BV70-1)</f>
        <v>-0.34317637669592926</v>
      </c>
      <c r="CA72" s="39">
        <f t="shared" ref="CA72" si="440">+IF(BW70&lt;0,1-CA70/BW70,CA70/BW70-1)</f>
        <v>-3.9253897550111883E-2</v>
      </c>
      <c r="CB72" s="39">
        <f t="shared" ref="CB72" si="441">+IF(BX70&lt;0,1-CB70/BX70,CB70/BX70-1)</f>
        <v>0.18809373020899267</v>
      </c>
      <c r="CC72" s="39">
        <f t="shared" ref="CC72" si="442">+IF(BY70&lt;0,1-CC70/BY70,CC70/BY70-1)</f>
        <v>0.13388370423546414</v>
      </c>
      <c r="CD72" s="39">
        <f t="shared" ref="CD72" si="443">+IF(BZ70&lt;0,1-CD70/BZ70,CD70/BZ70-1)</f>
        <v>0.36938031591737497</v>
      </c>
      <c r="CE72" s="39">
        <f t="shared" ref="CE72" si="444">+IF(CA70&lt;0,1-CE70/CA70,CE70/CA70-1)</f>
        <v>0.23558388872790448</v>
      </c>
      <c r="CF72" s="39">
        <f t="shared" ref="CF72" si="445">+IF(CB70&lt;0,1-CF70/CB70,CF70/CB70-1)</f>
        <v>0.28704690831556534</v>
      </c>
      <c r="CG72" s="39">
        <f t="shared" ref="CG72" si="446">+IF(CC70&lt;0,1-CG70/CC70,CG70/CC70-1)</f>
        <v>0.32098765432098642</v>
      </c>
      <c r="CH72" s="39">
        <f t="shared" ref="CH72:CL72" si="447">+IF(CD70&lt;0,1-CH70/CD70,CH70/CD70-1)</f>
        <v>0.70659568175095999</v>
      </c>
      <c r="CI72" s="39">
        <f t="shared" si="447"/>
        <v>0.3548311444652914</v>
      </c>
      <c r="CJ72" s="39">
        <f t="shared" si="447"/>
        <v>0.47753158003727458</v>
      </c>
      <c r="CK72" s="39">
        <f t="shared" si="447"/>
        <v>0.38581356338365702</v>
      </c>
      <c r="CL72" s="39">
        <f t="shared" si="447"/>
        <v>0.30138648180242633</v>
      </c>
      <c r="CM72" s="40">
        <f t="shared" ref="CM72" si="448">+CM70/CI70-1</f>
        <v>0.24225046803832129</v>
      </c>
      <c r="CN72" s="40">
        <f t="shared" ref="CN72" si="449">+CN70/CJ70-1</f>
        <v>0.14720947689787578</v>
      </c>
      <c r="CO72" s="40">
        <f t="shared" ref="CO72" si="450">+CO70/CK70-1</f>
        <v>0.27919555813894426</v>
      </c>
      <c r="CP72" s="40">
        <f t="shared" ref="CP72" si="451">+CP70/CL70-1</f>
        <v>0.15249245251898125</v>
      </c>
      <c r="CQ72" s="40">
        <f t="shared" ref="CQ72" si="452">+CQ70/CM70-1</f>
        <v>0.21582329040224879</v>
      </c>
      <c r="CR72" s="40">
        <f t="shared" ref="CR72" si="453">+CR70/CN70-1</f>
        <v>0.20645431413105508</v>
      </c>
      <c r="CS72" s="40">
        <f t="shared" ref="CS72" si="454">+CS70/CO70-1</f>
        <v>0.21587379374233717</v>
      </c>
      <c r="CT72" s="40">
        <f t="shared" ref="CT72" si="455">+CT70/CP70-1</f>
        <v>0.20056625918899051</v>
      </c>
      <c r="CU72" s="40">
        <f t="shared" ref="CU72" si="456">+CU70/CQ70-1</f>
        <v>0.19517142322133574</v>
      </c>
      <c r="CV72" s="40">
        <f t="shared" ref="CV72" si="457">+CV70/CR70-1</f>
        <v>0.19080262462392472</v>
      </c>
      <c r="CW72" s="40">
        <f t="shared" ref="CW72" si="458">+CW70/CS70-1</f>
        <v>0.18582879755620962</v>
      </c>
      <c r="CX72" s="40">
        <f t="shared" ref="CX72" si="459">+CX70/CT70-1</f>
        <v>0.17940268974693541</v>
      </c>
      <c r="CY72" s="40">
        <f t="shared" ref="CY72" si="460">+CY70/CU70-1</f>
        <v>0.18855003284374927</v>
      </c>
      <c r="CZ72" s="40">
        <f t="shared" ref="CZ72" si="461">+CZ70/CV70-1</f>
        <v>0.18741036160611402</v>
      </c>
      <c r="DA72" s="40">
        <f t="shared" ref="DA72" si="462">+DA70/CW70-1</f>
        <v>0.18555181285211875</v>
      </c>
      <c r="DB72" s="40">
        <f t="shared" ref="DB72" si="463">+DB70/CX70-1</f>
        <v>0.1861035688096071</v>
      </c>
      <c r="DE72" s="122"/>
      <c r="DF72" s="38">
        <v>0.17479661772411936</v>
      </c>
    </row>
    <row r="73" spans="1:110" s="38" customFormat="1" x14ac:dyDescent="0.2">
      <c r="A73" s="39" t="s">
        <v>450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40"/>
      <c r="AC73" s="40"/>
      <c r="AD73" s="40"/>
      <c r="AE73" s="40"/>
      <c r="AI73" s="39"/>
      <c r="AJ73" s="39" t="e">
        <f>+IF(AI70&lt;0,1-AJ70/AI70,AJ70/AI70-1)</f>
        <v>#DIV/0!</v>
      </c>
      <c r="AK73" s="39" t="e">
        <f t="shared" ref="AK73:AM73" si="464">+IF(AJ70&lt;0,1-AK70/AJ70,AK70/AJ70-1)</f>
        <v>#DIV/0!</v>
      </c>
      <c r="AL73" s="39" t="e">
        <f t="shared" si="464"/>
        <v>#DIV/0!</v>
      </c>
      <c r="AM73" s="39" t="e">
        <f t="shared" si="464"/>
        <v>#DIV/0!</v>
      </c>
      <c r="AN73" s="39" t="e">
        <f t="shared" ref="AN73" si="465">+IF(AM70&lt;0,1-AN70/AM70,AN70/AM70-1)</f>
        <v>#DIV/0!</v>
      </c>
      <c r="AO73" s="39" t="e">
        <f t="shared" ref="AO73" si="466">+IF(AN70&lt;0,1-AO70/AN70,AO70/AN70-1)</f>
        <v>#DIV/0!</v>
      </c>
      <c r="AP73" s="39" t="e">
        <f t="shared" ref="AP73" si="467">+IF(AO70&lt;0,1-AP70/AO70,AP70/AO70-1)</f>
        <v>#DIV/0!</v>
      </c>
      <c r="AQ73" s="39" t="e">
        <f t="shared" ref="AQ73" si="468">+IF(AP70&lt;0,1-AQ70/AP70,AQ70/AP70-1)</f>
        <v>#DIV/0!</v>
      </c>
      <c r="AR73" s="39" t="e">
        <f t="shared" ref="AR73" si="469">+IF(AQ70&lt;0,1-AR70/AQ70,AR70/AQ70-1)</f>
        <v>#DIV/0!</v>
      </c>
      <c r="AS73" s="39" t="e">
        <f t="shared" ref="AS73" si="470">+IF(AR70&lt;0,1-AS70/AR70,AS70/AR70-1)</f>
        <v>#DIV/0!</v>
      </c>
      <c r="AT73" s="39" t="e">
        <f t="shared" ref="AT73" si="471">+IF(AS70&lt;0,1-AT70/AS70,AT70/AS70-1)</f>
        <v>#DIV/0!</v>
      </c>
      <c r="AU73" s="39" t="e">
        <f t="shared" ref="AU73" si="472">+IF(AT70&lt;0,1-AU70/AT70,AU70/AT70-1)</f>
        <v>#DIV/0!</v>
      </c>
      <c r="AV73" s="39">
        <f t="shared" ref="AV73" si="473">+IF(AU70&lt;0,1-AV70/AU70,AV70/AU70-1)</f>
        <v>0.28629171390545705</v>
      </c>
      <c r="AW73" s="39">
        <f t="shared" ref="AW73" si="474">+IF(AV70&lt;0,1-AW70/AV70,AW70/AV70-1)</f>
        <v>-0.15340103468097321</v>
      </c>
      <c r="AX73" s="39">
        <f t="shared" ref="AX73" si="475">+IF(AW70&lt;0,1-AX70/AW70,AX70/AW70-1)</f>
        <v>0.11289154445047922</v>
      </c>
      <c r="AY73" s="39">
        <f t="shared" ref="AY73" si="476">+IF(AX70&lt;0,1-AY70/AX70,AY70/AX70-1)</f>
        <v>9.5989587570161961E-2</v>
      </c>
      <c r="AZ73" s="39">
        <f t="shared" ref="AZ73" si="477">+IF(AY70&lt;0,1-AZ70/AY70,AZ70/AY70-1)</f>
        <v>0.12640095004824459</v>
      </c>
      <c r="BA73" s="39">
        <f t="shared" ref="BA73" si="478">+IF(AZ70&lt;0,1-BA70/AZ70,BA70/AZ70-1)</f>
        <v>-0.13429098576700027</v>
      </c>
      <c r="BB73" s="39">
        <f t="shared" ref="BB73" si="479">+IF(BA70&lt;0,1-BB70/BA70,BB70/BA70-1)</f>
        <v>0.2029989343887959</v>
      </c>
      <c r="BC73" s="39">
        <f t="shared" ref="BC73" si="480">+IF(BB70&lt;0,1-BC70/BB70,BC70/BB70-1)</f>
        <v>0.15248339133185707</v>
      </c>
      <c r="BD73" s="39">
        <f t="shared" ref="BD73" si="481">+IF(BC70&lt;0,1-BD70/BC70,BD70/BC70-1)</f>
        <v>-2.0148229481196878E-2</v>
      </c>
      <c r="BE73" s="39">
        <f t="shared" ref="BE73" si="482">+IF(BD70&lt;0,1-BE70/BD70,BE70/BD70-1)</f>
        <v>-8.8525324966381991E-3</v>
      </c>
      <c r="BF73" s="39">
        <f t="shared" ref="BF73" si="483">+IF(BE70&lt;0,1-BF70/BE70,BF70/BE70-1)</f>
        <v>5.1724137931034253E-2</v>
      </c>
      <c r="BG73" s="39">
        <f t="shared" ref="BG73" si="484">+IF(BF70&lt;0,1-BG70/BF70,BG70/BF70-1)</f>
        <v>0.10722923945176044</v>
      </c>
      <c r="BH73" s="39">
        <f t="shared" ref="BH73" si="485">+IF(BG70&lt;0,1-BH70/BG70,BH70/BG70-1)</f>
        <v>4.4417475728155242E-2</v>
      </c>
      <c r="BI73" s="39">
        <f t="shared" ref="BI73" si="486">+IF(BH70&lt;0,1-BI70/BH70,BI70/BH70-1)</f>
        <v>-0.17452939809435275</v>
      </c>
      <c r="BJ73" s="39">
        <f t="shared" ref="BJ73" si="487">+IF(BI70&lt;0,1-BJ70/BI70,BJ70/BI70-1)</f>
        <v>-2.9279279279279202E-2</v>
      </c>
      <c r="BK73" s="39">
        <f t="shared" ref="BK73" si="488">+IF(BJ70&lt;0,1-BK70/BJ70,BK70/BJ70-1)</f>
        <v>0.32279582366589321</v>
      </c>
      <c r="BL73" s="39">
        <f t="shared" ref="BL73" si="489">+IF(BK70&lt;0,1-BL70/BK70,BL70/BK70-1)</f>
        <v>0.14360885770664322</v>
      </c>
      <c r="BM73" s="39">
        <f t="shared" ref="BM73" si="490">+IF(BL70&lt;0,1-BM70/BL70,BM70/BL70-1)</f>
        <v>-0.16065950920245387</v>
      </c>
      <c r="BN73" s="39">
        <f t="shared" ref="BN73" si="491">+IF(BM70&lt;0,1-BN70/BM70,BN70/BM70-1)</f>
        <v>-0.29259936043855661</v>
      </c>
      <c r="BO73" s="39">
        <f t="shared" ref="BO73" si="492">+IF(BN70&lt;0,1-BO70/BN70,BO70/BN70-1)</f>
        <v>-0.72683241846948654</v>
      </c>
      <c r="BP73" s="39">
        <f t="shared" ref="BP73" si="493">+IF(BO70&lt;0,1-BP70/BO70,BP70/BO70-1)</f>
        <v>6.3167848699763596</v>
      </c>
      <c r="BQ73" s="39">
        <f t="shared" ref="BQ73" si="494">+IF(BP70&lt;0,1-BQ70/BP70,BQ70/BP70-1)</f>
        <v>-0.19838449111470091</v>
      </c>
      <c r="BR73" s="39">
        <f t="shared" ref="BR73" si="495">+IF(BQ70&lt;0,1-BR70/BQ70,BR70/BQ70-1)</f>
        <v>3.8492543329302409E-2</v>
      </c>
      <c r="BS73" s="39">
        <f t="shared" ref="BS73" si="496">+IF(BR70&lt;0,1-BS70/BR70,BS70/BR70-1)</f>
        <v>0.38230157189986369</v>
      </c>
      <c r="BT73" s="39">
        <f t="shared" ref="BT73" si="497">+IF(BS70&lt;0,1-BT70/BS70,BT70/BS70-1)</f>
        <v>0.25354485469605503</v>
      </c>
      <c r="BU73" s="39">
        <f t="shared" ref="BU73" si="498">+IF(BT70&lt;0,1-BU70/BT70,BU70/BT70-1)</f>
        <v>-0.58785978273042883</v>
      </c>
      <c r="BV73" s="39">
        <f t="shared" ref="BV73" si="499">+IF(BU70&lt;0,1-BV70/BU70,BV70/BU70-1)</f>
        <v>2.1467391304347272E-2</v>
      </c>
      <c r="BW73" s="39">
        <f t="shared" ref="BW73" si="500">+IF(BV70&lt;0,1-BW70/BV70,BW70/BV70-1)</f>
        <v>-4.4426709231177641E-2</v>
      </c>
      <c r="BX73" s="39">
        <f t="shared" ref="BX73" si="501">+IF(BW70&lt;0,1-BX70/BW70,BX70/BW70-1)</f>
        <v>-0.12082405345211622</v>
      </c>
      <c r="BY73" s="39">
        <f t="shared" ref="BY73" si="502">+IF(BX70&lt;0,1-BY70/BX70,BY70/BX70-1)</f>
        <v>-0.11779607346421805</v>
      </c>
      <c r="BZ73" s="39">
        <f t="shared" ref="BZ73" si="503">+IF(BY70&lt;0,1-BZ70/BY70,BZ70/BY70-1)</f>
        <v>-0.1137832017228998</v>
      </c>
      <c r="CA73" s="39">
        <f t="shared" ref="CA73" si="504">+IF(BZ70&lt;0,1-CA70/BZ70,CA70/BZ70-1)</f>
        <v>0.39773187525313847</v>
      </c>
      <c r="CB73" s="39">
        <f t="shared" ref="CB73" si="505">+IF(CA70&lt;0,1-CB70/CA70,CB70/CA70-1)</f>
        <v>8.722109533468525E-2</v>
      </c>
      <c r="CC73" s="39">
        <f t="shared" ref="CC73" si="506">+IF(CB70&lt;0,1-CC70/CB70,CC70/CB70-1)</f>
        <v>-0.15804904051172619</v>
      </c>
      <c r="CD73" s="39">
        <f t="shared" ref="CD73" si="507">+IF(CC70&lt;0,1-CD70/CC70,CD70/CC70-1)</f>
        <v>7.0275403608735854E-2</v>
      </c>
      <c r="CE73" s="39">
        <f t="shared" ref="CE73" si="508">+IF(CD70&lt;0,1-CE70/CD70,CE70/CD70-1)</f>
        <v>0.26116533569949674</v>
      </c>
      <c r="CF73" s="39">
        <f t="shared" ref="CF73" si="509">+IF(CE70&lt;0,1-CF70/CE70,CF70/CE70-1)</f>
        <v>0.13250469043152013</v>
      </c>
      <c r="CG73" s="39">
        <f t="shared" ref="CG73" si="510">+IF(CF70&lt;0,1-CG70/CF70,CG70/CF70-1)</f>
        <v>-0.13584593083454133</v>
      </c>
      <c r="CH73" s="39">
        <f t="shared" ref="CH73:CI73" si="511">+IF(CG70&lt;0,1-CH70/CG70,CH70/CG70-1)</f>
        <v>0.38269829858614801</v>
      </c>
      <c r="CI73" s="39">
        <f t="shared" si="511"/>
        <v>1.2131715771239726E-3</v>
      </c>
      <c r="CJ73" s="39">
        <f>+IF(CI70&gt;1,CJ70/CI70-1,1-CJ70/CI70)</f>
        <v>0.23507010559113706</v>
      </c>
      <c r="CK73" s="39">
        <f>+IF(CJ70&gt;1,CK70/CJ70-1,1-CK70/CJ70)</f>
        <v>-0.18948843728100884</v>
      </c>
      <c r="CL73" s="39">
        <f>+IF(CK70&gt;1,CL70/CK70-1,1-CL70/CK70)</f>
        <v>0.29846100639806217</v>
      </c>
      <c r="CM73" s="40">
        <f t="shared" ref="CM73" si="512">+CM70/CL70-1</f>
        <v>-4.4282733538768437E-2</v>
      </c>
      <c r="CN73" s="40">
        <f t="shared" ref="CN73" si="513">+CN70/CM70-1</f>
        <v>0.14057846321834022</v>
      </c>
      <c r="CO73" s="40">
        <f t="shared" ref="CO73" si="514">+CO70/CN70-1</f>
        <v>-9.62393427450009E-2</v>
      </c>
      <c r="CP73" s="40">
        <f t="shared" ref="CP73" si="515">+CP70/CO70-1</f>
        <v>0.16984967641782833</v>
      </c>
      <c r="CQ73" s="40">
        <f t="shared" ref="CQ73" si="516">+CQ70/CP70-1</f>
        <v>8.2350726578834799E-3</v>
      </c>
      <c r="CR73" s="40">
        <f t="shared" ref="CR73" si="517">+CR70/CQ70-1</f>
        <v>0.13178931380683978</v>
      </c>
      <c r="CS73" s="40">
        <f t="shared" ref="CS73" si="518">+CS70/CR70-1</f>
        <v>-8.9183165826587141E-2</v>
      </c>
      <c r="CT73" s="40">
        <f t="shared" ref="CT73" si="519">+CT70/CS70-1</f>
        <v>0.15512157352084111</v>
      </c>
      <c r="CU73" s="40">
        <f t="shared" ref="CU73" si="520">+CU70/CT70-1</f>
        <v>3.7044915323567462E-3</v>
      </c>
      <c r="CV73" s="40">
        <f t="shared" ref="CV73" si="521">+CV70/CU70-1</f>
        <v>0.12765220052697512</v>
      </c>
      <c r="CW73" s="40">
        <f t="shared" ref="CW73" si="522">+CW70/CV70-1</f>
        <v>-9.2987528808213149E-2</v>
      </c>
      <c r="CX73" s="40">
        <f t="shared" ref="CX73" si="523">+CX70/CW70-1</f>
        <v>0.14886187078840551</v>
      </c>
      <c r="CY73" s="40">
        <f t="shared" ref="CY73" si="524">+CY70/CX70-1</f>
        <v>1.1489134921486066E-2</v>
      </c>
      <c r="CZ73" s="40">
        <f t="shared" ref="CZ73" si="525">+CZ70/CY70-1</f>
        <v>0.12657092271494919</v>
      </c>
      <c r="DA73" s="40">
        <f t="shared" ref="DA73" si="526">+DA70/CZ70-1</f>
        <v>-9.4407195464912719E-2</v>
      </c>
      <c r="DB73" s="40">
        <f t="shared" ref="DB73" si="527">+DB70/DA70-1</f>
        <v>0.14939655124240758</v>
      </c>
      <c r="DE73" s="122"/>
      <c r="DF73" s="38">
        <v>0.17215571230644344</v>
      </c>
    </row>
    <row r="74" spans="1:110" s="23" customFormat="1" x14ac:dyDescent="0.2">
      <c r="A74" s="23" t="s">
        <v>15</v>
      </c>
      <c r="B74" s="23">
        <f>'Annual Raw'!C27</f>
        <v>0</v>
      </c>
      <c r="C74" s="23">
        <f>'Annual Raw'!D27</f>
        <v>0</v>
      </c>
      <c r="D74" s="23">
        <f>'Annual Raw'!E27</f>
        <v>0</v>
      </c>
      <c r="E74" s="23">
        <f>'Annual Raw'!F27</f>
        <v>0</v>
      </c>
      <c r="F74" s="23">
        <f>'Annual Raw'!G27</f>
        <v>0</v>
      </c>
      <c r="G74" s="23">
        <f>'Annual Raw'!H27</f>
        <v>0</v>
      </c>
      <c r="H74" s="23">
        <f>'Annual Raw'!I27</f>
        <v>0.94966980000000001</v>
      </c>
      <c r="I74" s="23">
        <f>'Annual Raw'!J27</f>
        <v>1.2822612</v>
      </c>
      <c r="J74" s="23">
        <f>'Annual Raw'!K27</f>
        <v>1.3697505000000001</v>
      </c>
      <c r="K74" s="23">
        <f>'Annual Raw'!L27</f>
        <v>1.4215859</v>
      </c>
      <c r="L74" s="23">
        <f>'Annual Raw'!M27</f>
        <v>1.3089999999999999</v>
      </c>
      <c r="M74" s="23">
        <f>'Annual Raw'!N27</f>
        <v>2.0910000000000002</v>
      </c>
      <c r="N74" s="23">
        <f>'Annual Raw'!O27</f>
        <v>3.3149999999999999</v>
      </c>
      <c r="O74" s="23">
        <f>'Annual Raw'!P27</f>
        <v>6.3620000000000001</v>
      </c>
      <c r="P74" s="23">
        <f>'Annual Raw'!Q27</f>
        <v>12.865</v>
      </c>
      <c r="Q74" s="23">
        <f>'Annual Raw'!R27</f>
        <v>18.236999999999998</v>
      </c>
      <c r="R74" s="23">
        <f>'Annual Raw'!S27</f>
        <v>18.050999999999998</v>
      </c>
      <c r="S74" s="23">
        <f>'Annual Raw'!T27</f>
        <v>20.100000000000001</v>
      </c>
      <c r="T74" s="23">
        <f>'Annual Raw'!U27</f>
        <v>26.17</v>
      </c>
      <c r="U74" s="23">
        <f>'Annual Raw'!V27</f>
        <v>31.91</v>
      </c>
      <c r="V74" s="23">
        <f>'Annual Raw'!W27</f>
        <v>30.28</v>
      </c>
      <c r="W74" s="23">
        <f>'Annual Raw'!X27</f>
        <v>33.869999999999997</v>
      </c>
      <c r="X74" s="23">
        <f>'Annual Raw'!Y27</f>
        <v>38.71</v>
      </c>
      <c r="Y74" s="23">
        <f>'Annual Raw'!Z27</f>
        <v>47.01</v>
      </c>
      <c r="Z74" s="23">
        <f>'Annual Raw'!AA27</f>
        <v>55.26</v>
      </c>
      <c r="AA74" s="23">
        <f>'Annual Raw'!AB27</f>
        <v>58.58</v>
      </c>
      <c r="AB74" s="76">
        <f>+SUM(CM74:CP74)</f>
        <v>61.318820944191835</v>
      </c>
      <c r="AC74" s="76">
        <f>+SUM(CQ74:CT74)</f>
        <v>60.85167747297632</v>
      </c>
      <c r="AD74" s="76">
        <f>+SUM(CU74:CX74)</f>
        <v>60.550002273750529</v>
      </c>
      <c r="AE74" s="76">
        <f>+SUM(CY74:DB74)</f>
        <v>60.35518433999858</v>
      </c>
      <c r="AI74" s="23">
        <f>'QTR Raw'!C28</f>
        <v>0</v>
      </c>
      <c r="AJ74" s="23">
        <f>'QTR Raw'!D28</f>
        <v>0</v>
      </c>
      <c r="AK74" s="23">
        <f>'QTR Raw'!E28</f>
        <v>0</v>
      </c>
      <c r="AL74" s="23">
        <f>'QTR Raw'!F28</f>
        <v>0</v>
      </c>
      <c r="AM74" s="23">
        <f>'QTR Raw'!G28</f>
        <v>0</v>
      </c>
      <c r="AN74" s="23">
        <f>'QTR Raw'!H28</f>
        <v>0</v>
      </c>
      <c r="AO74" s="23">
        <f>'QTR Raw'!I28</f>
        <v>0</v>
      </c>
      <c r="AP74" s="23">
        <f>'QTR Raw'!J28</f>
        <v>0</v>
      </c>
      <c r="AQ74" s="23">
        <f>'QTR Raw'!K28</f>
        <v>0</v>
      </c>
      <c r="AR74" s="23">
        <f>'QTR Raw'!L28</f>
        <v>0</v>
      </c>
      <c r="AS74" s="23">
        <f>'QTR Raw'!M28</f>
        <v>0</v>
      </c>
      <c r="AT74" s="23">
        <f>'QTR Raw'!N28</f>
        <v>0</v>
      </c>
      <c r="AU74" s="23">
        <f>'QTR Raw'!O28</f>
        <v>4.5540000000000003</v>
      </c>
      <c r="AV74" s="23">
        <f>'QTR Raw'!P28</f>
        <v>4.0179999999999998</v>
      </c>
      <c r="AW74" s="23">
        <f>'QTR Raw'!Q28</f>
        <v>4.6379999999999999</v>
      </c>
      <c r="AX74" s="23">
        <f>'QTR Raw'!R28</f>
        <v>5.0270000000000001</v>
      </c>
      <c r="AY74" s="23">
        <f>'QTR Raw'!S28</f>
        <v>4.1319999999999997</v>
      </c>
      <c r="AZ74" s="23">
        <f>'QTR Raw'!T28</f>
        <v>4.3250000000000002</v>
      </c>
      <c r="BA74" s="23">
        <f>'QTR Raw'!U28</f>
        <v>4.6639999999999997</v>
      </c>
      <c r="BB74" s="23">
        <f>'QTR Raw'!V28</f>
        <v>4.93</v>
      </c>
      <c r="BC74" s="23">
        <f>'QTR Raw'!W28</f>
        <v>4.42</v>
      </c>
      <c r="BD74" s="23">
        <f>'QTR Raw'!X28</f>
        <v>4.9400000000000004</v>
      </c>
      <c r="BE74" s="23">
        <f>'QTR Raw'!Y28</f>
        <v>5.14</v>
      </c>
      <c r="BF74" s="23">
        <f>'QTR Raw'!Z28</f>
        <v>5.6</v>
      </c>
      <c r="BG74" s="23">
        <f>'QTR Raw'!AA28</f>
        <v>5.68</v>
      </c>
      <c r="BH74" s="23">
        <f>'QTR Raw'!AB28</f>
        <v>6.61</v>
      </c>
      <c r="BI74" s="23">
        <f>'QTR Raw'!AC28</f>
        <v>6.89</v>
      </c>
      <c r="BJ74" s="23">
        <f>'QTR Raw'!AD28</f>
        <v>6.99</v>
      </c>
      <c r="BK74" s="23">
        <f>'QTR Raw'!AE28</f>
        <v>7.35</v>
      </c>
      <c r="BL74" s="23">
        <f>'QTR Raw'!AF28</f>
        <v>8.23</v>
      </c>
      <c r="BM74" s="23">
        <f>'QTR Raw'!AG28</f>
        <v>7.84</v>
      </c>
      <c r="BN74" s="23">
        <f>'QTR Raw'!AH28</f>
        <v>8.49</v>
      </c>
      <c r="BO74" s="23">
        <f>'QTR Raw'!AI28</f>
        <v>6.97</v>
      </c>
      <c r="BP74" s="23">
        <f>'QTR Raw'!AJ28</f>
        <v>7.64</v>
      </c>
      <c r="BQ74" s="23">
        <f>'QTR Raw'!AK28</f>
        <v>7.84</v>
      </c>
      <c r="BR74" s="23">
        <f>'QTR Raw'!AL28</f>
        <v>7.81</v>
      </c>
      <c r="BS74" s="23">
        <f>'QTR Raw'!AM28</f>
        <v>7.29</v>
      </c>
      <c r="BT74" s="23">
        <f>'QTR Raw'!AN28</f>
        <v>8.16</v>
      </c>
      <c r="BU74" s="23">
        <f>'QTR Raw'!AO28</f>
        <v>8.8000000000000007</v>
      </c>
      <c r="BV74" s="23">
        <f>'QTR Raw'!AP28</f>
        <v>9.67</v>
      </c>
      <c r="BW74" s="23">
        <f>'QTR Raw'!AQ28</f>
        <v>8.61</v>
      </c>
      <c r="BX74" s="23">
        <f>'QTR Raw'!AR28</f>
        <v>9.15</v>
      </c>
      <c r="BY74" s="23">
        <f>'QTR Raw'!AS28</f>
        <v>10.15</v>
      </c>
      <c r="BZ74" s="23">
        <f>'QTR Raw'!AT28</f>
        <v>10.8</v>
      </c>
      <c r="CA74" s="23">
        <f>'QTR Raw'!AU28</f>
        <v>9.83</v>
      </c>
      <c r="CB74" s="23">
        <f>'QTR Raw'!AV28</f>
        <v>10.65</v>
      </c>
      <c r="CC74" s="23">
        <f>'QTR Raw'!AW28</f>
        <v>13.47</v>
      </c>
      <c r="CD74" s="23">
        <f>'QTR Raw'!AX28</f>
        <v>13.06</v>
      </c>
      <c r="CE74" s="23">
        <f>'QTR Raw'!AY28</f>
        <v>11.36</v>
      </c>
      <c r="CF74" s="23">
        <f>'QTR Raw'!AZ28</f>
        <v>13.07</v>
      </c>
      <c r="CG74" s="23">
        <f>'QTR Raw'!BA28</f>
        <v>17.059999999999999</v>
      </c>
      <c r="CH74" s="23">
        <f>'QTR Raw'!BB28</f>
        <v>13.77</v>
      </c>
      <c r="CI74" s="23">
        <f>'QTR Raw'!BC28</f>
        <v>11.41</v>
      </c>
      <c r="CJ74" s="23">
        <f>'QTR Raw'!BD28</f>
        <v>11.51</v>
      </c>
      <c r="CK74" s="23">
        <f>'QTR Raw'!BE28</f>
        <v>21.63</v>
      </c>
      <c r="CL74" s="23">
        <f>'QTR Raw'!BF28</f>
        <v>14.03</v>
      </c>
      <c r="CM74" s="24">
        <f t="shared" ref="CM74:DB74" si="528">CM75*CL176</f>
        <v>15.38557056392087</v>
      </c>
      <c r="CN74" s="24">
        <f t="shared" si="528"/>
        <v>15.345641755153453</v>
      </c>
      <c r="CO74" s="24">
        <f t="shared" si="528"/>
        <v>15.309847882812127</v>
      </c>
      <c r="CP74" s="24">
        <f t="shared" si="528"/>
        <v>15.277760742305382</v>
      </c>
      <c r="CQ74" s="24">
        <f t="shared" si="528"/>
        <v>15.248996472933186</v>
      </c>
      <c r="CR74" s="24">
        <f t="shared" si="528"/>
        <v>15.223210965734689</v>
      </c>
      <c r="CS74" s="24">
        <f t="shared" si="528"/>
        <v>15.200095746888678</v>
      </c>
      <c r="CT74" s="24">
        <f t="shared" si="528"/>
        <v>15.179374287419767</v>
      </c>
      <c r="CU74" s="24">
        <f t="shared" si="528"/>
        <v>15.160798695062967</v>
      </c>
      <c r="CV74" s="24">
        <f t="shared" si="528"/>
        <v>15.144146748711229</v>
      </c>
      <c r="CW74" s="24">
        <f t="shared" si="528"/>
        <v>15.12921923996884</v>
      </c>
      <c r="CX74" s="24">
        <f t="shared" si="528"/>
        <v>15.115837590007496</v>
      </c>
      <c r="CY74" s="24">
        <f t="shared" si="528"/>
        <v>15.10384171321531</v>
      </c>
      <c r="CZ74" s="24">
        <f t="shared" si="528"/>
        <v>15.093088102081481</v>
      </c>
      <c r="DA74" s="24">
        <f t="shared" si="528"/>
        <v>15.083448110405939</v>
      </c>
      <c r="DB74" s="24">
        <f t="shared" si="528"/>
        <v>15.074806414295848</v>
      </c>
      <c r="DE74" s="123"/>
      <c r="DF74" s="23">
        <v>18.652106167653237</v>
      </c>
    </row>
    <row r="75" spans="1:110" s="46" customFormat="1" x14ac:dyDescent="0.2">
      <c r="A75" s="46" t="s">
        <v>483</v>
      </c>
      <c r="B75" s="46" t="e">
        <f t="shared" ref="B75:D75" si="529">+B74/B176</f>
        <v>#DIV/0!</v>
      </c>
      <c r="C75" s="46" t="e">
        <f t="shared" si="529"/>
        <v>#DIV/0!</v>
      </c>
      <c r="D75" s="46" t="e">
        <f t="shared" si="529"/>
        <v>#DIV/0!</v>
      </c>
      <c r="E75" s="46" t="e">
        <f t="shared" ref="E75:AE75" si="530">+E74/E176</f>
        <v>#DIV/0!</v>
      </c>
      <c r="F75" s="46" t="e">
        <f t="shared" si="530"/>
        <v>#DIV/0!</v>
      </c>
      <c r="G75" s="46" t="e">
        <f t="shared" si="530"/>
        <v>#DIV/0!</v>
      </c>
      <c r="H75" s="46">
        <f t="shared" si="530"/>
        <v>6.8733365265654198E-2</v>
      </c>
      <c r="I75" s="46">
        <f t="shared" si="530"/>
        <v>7.3112208518610611E-2</v>
      </c>
      <c r="J75" s="46">
        <f t="shared" si="530"/>
        <v>6.9855946406792491E-2</v>
      </c>
      <c r="K75" s="46">
        <f t="shared" si="530"/>
        <v>9.4643048464718535E-2</v>
      </c>
      <c r="L75" s="46">
        <f t="shared" si="530"/>
        <v>7.9802475156983479E-2</v>
      </c>
      <c r="M75" s="46">
        <f t="shared" si="530"/>
        <v>0.10649893042681065</v>
      </c>
      <c r="N75" s="46">
        <f t="shared" si="530"/>
        <v>4.4192339994400968E-2</v>
      </c>
      <c r="O75" s="46">
        <f t="shared" si="530"/>
        <v>7.285261144892187E-2</v>
      </c>
      <c r="P75" s="46">
        <f t="shared" si="530"/>
        <v>8.5386979232346852E-2</v>
      </c>
      <c r="Q75" s="46">
        <f t="shared" si="530"/>
        <v>0.11978718512923249</v>
      </c>
      <c r="R75" s="46">
        <f t="shared" si="530"/>
        <v>0.11890442721541913</v>
      </c>
      <c r="S75" s="46">
        <f t="shared" si="530"/>
        <v>0.10474751159518474</v>
      </c>
      <c r="T75" s="46">
        <f t="shared" si="530"/>
        <v>0.13961801109688438</v>
      </c>
      <c r="U75" s="46">
        <f t="shared" si="530"/>
        <v>0.18902908595462362</v>
      </c>
      <c r="V75" s="46">
        <f t="shared" si="530"/>
        <v>0.19819348082209717</v>
      </c>
      <c r="W75" s="46">
        <f t="shared" si="530"/>
        <v>0.18340824172848869</v>
      </c>
      <c r="X75" s="46">
        <f t="shared" si="530"/>
        <v>0.1999380197303858</v>
      </c>
      <c r="Y75" s="46">
        <f t="shared" si="530"/>
        <v>0.23289571463958381</v>
      </c>
      <c r="Z75" s="46">
        <f t="shared" si="530"/>
        <v>0.29584024840730222</v>
      </c>
      <c r="AA75" s="46">
        <f t="shared" ref="AA75" si="531">+AA74/AA176</f>
        <v>0.28250385802469136</v>
      </c>
      <c r="AB75" s="110">
        <f t="shared" si="530"/>
        <v>0.41642329343218376</v>
      </c>
      <c r="AC75" s="110">
        <f t="shared" si="530"/>
        <v>0.41565494974412082</v>
      </c>
      <c r="AD75" s="110">
        <f t="shared" si="530"/>
        <v>0.41515399477261278</v>
      </c>
      <c r="AE75" s="110">
        <f t="shared" si="530"/>
        <v>0.41482847183976862</v>
      </c>
      <c r="AI75" s="46" t="e">
        <f t="shared" ref="AI75:BN75" si="532">+AI74/AH176</f>
        <v>#DIV/0!</v>
      </c>
      <c r="AJ75" s="46" t="e">
        <f t="shared" si="532"/>
        <v>#DIV/0!</v>
      </c>
      <c r="AK75" s="46" t="e">
        <f t="shared" si="532"/>
        <v>#DIV/0!</v>
      </c>
      <c r="AL75" s="46" t="e">
        <f t="shared" si="532"/>
        <v>#DIV/0!</v>
      </c>
      <c r="AM75" s="46" t="e">
        <f t="shared" si="532"/>
        <v>#DIV/0!</v>
      </c>
      <c r="AN75" s="46" t="e">
        <f t="shared" si="532"/>
        <v>#DIV/0!</v>
      </c>
      <c r="AO75" s="46" t="e">
        <f t="shared" si="532"/>
        <v>#DIV/0!</v>
      </c>
      <c r="AP75" s="46" t="e">
        <f t="shared" si="532"/>
        <v>#DIV/0!</v>
      </c>
      <c r="AQ75" s="46" t="e">
        <f t="shared" si="532"/>
        <v>#DIV/0!</v>
      </c>
      <c r="AR75" s="46" t="e">
        <f t="shared" si="532"/>
        <v>#DIV/0!</v>
      </c>
      <c r="AS75" s="46" t="e">
        <f t="shared" si="532"/>
        <v>#DIV/0!</v>
      </c>
      <c r="AT75" s="46" t="e">
        <f t="shared" si="532"/>
        <v>#DIV/0!</v>
      </c>
      <c r="AU75" s="46" t="e">
        <f t="shared" si="532"/>
        <v>#DIV/0!</v>
      </c>
      <c r="AV75" s="46" t="e">
        <f t="shared" si="532"/>
        <v>#DIV/0!</v>
      </c>
      <c r="AW75" s="46" t="e">
        <f t="shared" si="532"/>
        <v>#DIV/0!</v>
      </c>
      <c r="AX75" s="46" t="e">
        <f t="shared" si="532"/>
        <v>#DIV/0!</v>
      </c>
      <c r="AY75" s="46">
        <f t="shared" si="532"/>
        <v>2.707377801074564E-2</v>
      </c>
      <c r="AZ75" s="46">
        <f t="shared" si="532"/>
        <v>2.8338356702922292E-2</v>
      </c>
      <c r="BA75" s="46">
        <f t="shared" si="532"/>
        <v>2.9416402293268411E-2</v>
      </c>
      <c r="BB75" s="46">
        <f t="shared" si="532"/>
        <v>3.1094095906049158E-2</v>
      </c>
      <c r="BC75" s="46">
        <f t="shared" si="532"/>
        <v>2.9115149758581392E-2</v>
      </c>
      <c r="BD75" s="46">
        <f t="shared" si="532"/>
        <v>3.2540461494885091E-2</v>
      </c>
      <c r="BE75" s="46">
        <f t="shared" si="532"/>
        <v>3.2924446721967773E-2</v>
      </c>
      <c r="BF75" s="46">
        <f t="shared" si="532"/>
        <v>3.5870992537552444E-2</v>
      </c>
      <c r="BG75" s="46">
        <f t="shared" si="532"/>
        <v>2.9600291833863153E-2</v>
      </c>
      <c r="BH75" s="46">
        <f t="shared" si="532"/>
        <v>3.4446818489759765E-2</v>
      </c>
      <c r="BI75" s="46">
        <f t="shared" si="532"/>
        <v>3.7976078928512368E-2</v>
      </c>
      <c r="BJ75" s="46">
        <f t="shared" si="532"/>
        <v>3.852725569090007E-2</v>
      </c>
      <c r="BK75" s="46">
        <f t="shared" si="532"/>
        <v>3.9212548015364918E-2</v>
      </c>
      <c r="BL75" s="46">
        <f t="shared" si="532"/>
        <v>4.3907383696116097E-2</v>
      </c>
      <c r="BM75" s="46">
        <f t="shared" si="532"/>
        <v>4.7197640117994093E-2</v>
      </c>
      <c r="BN75" s="46">
        <f t="shared" si="532"/>
        <v>5.1110709770633915E-2</v>
      </c>
      <c r="BO75" s="46">
        <f t="shared" ref="BO75:CL75" si="533">+BO74/BN176</f>
        <v>4.8362475714682204E-2</v>
      </c>
      <c r="BP75" s="46">
        <f t="shared" si="533"/>
        <v>5.301137940605051E-2</v>
      </c>
      <c r="BQ75" s="46">
        <f t="shared" si="533"/>
        <v>5.3577530239868783E-2</v>
      </c>
      <c r="BR75" s="46">
        <f t="shared" si="533"/>
        <v>5.3372514180277449E-2</v>
      </c>
      <c r="BS75" s="46">
        <f t="shared" si="533"/>
        <v>5.5956401596561255E-2</v>
      </c>
      <c r="BT75" s="46">
        <f t="shared" si="533"/>
        <v>6.2634326066932755E-2</v>
      </c>
      <c r="BU75" s="46">
        <f t="shared" si="533"/>
        <v>6.4901541411608532E-2</v>
      </c>
      <c r="BV75" s="46">
        <f t="shared" si="533"/>
        <v>7.1317943801165282E-2</v>
      </c>
      <c r="BW75" s="46">
        <f t="shared" si="533"/>
        <v>5.7239728759473474E-2</v>
      </c>
      <c r="BX75" s="46">
        <f t="shared" si="533"/>
        <v>6.0829676904666938E-2</v>
      </c>
      <c r="BY75" s="46">
        <f t="shared" si="533"/>
        <v>6.9678039404132641E-2</v>
      </c>
      <c r="BZ75" s="46">
        <f t="shared" si="533"/>
        <v>7.4140179858584482E-2</v>
      </c>
      <c r="CA75" s="46">
        <f t="shared" si="533"/>
        <v>6.2124755103330598E-2</v>
      </c>
      <c r="CB75" s="46">
        <f t="shared" si="533"/>
        <v>6.7307084623649122E-2</v>
      </c>
      <c r="CC75" s="46">
        <f t="shared" si="533"/>
        <v>8.5681572419057314E-2</v>
      </c>
      <c r="CD75" s="46">
        <f t="shared" si="533"/>
        <v>8.3073595827237445E-2</v>
      </c>
      <c r="CE75" s="46">
        <f t="shared" si="533"/>
        <v>6.7167267782179393E-2</v>
      </c>
      <c r="CF75" s="46">
        <f t="shared" si="533"/>
        <v>7.7277833619109559E-2</v>
      </c>
      <c r="CG75" s="46">
        <f t="shared" si="533"/>
        <v>0.10736987853231796</v>
      </c>
      <c r="CH75" s="46">
        <f t="shared" si="533"/>
        <v>8.6663729624268368E-2</v>
      </c>
      <c r="CI75" s="46">
        <f t="shared" si="533"/>
        <v>6.1084640505380358E-2</v>
      </c>
      <c r="CJ75" s="46">
        <f t="shared" si="533"/>
        <v>6.5628920059299781E-2</v>
      </c>
      <c r="CK75" s="46">
        <f t="shared" si="533"/>
        <v>0.13767424097765896</v>
      </c>
      <c r="CL75" s="46">
        <f t="shared" si="533"/>
        <v>0.10355772069678179</v>
      </c>
      <c r="CM75" s="47">
        <f t="shared" ref="CM75" si="534">CL75</f>
        <v>0.10355772069678179</v>
      </c>
      <c r="CN75" s="47">
        <f t="shared" ref="CN75" si="535">CM75</f>
        <v>0.10355772069678179</v>
      </c>
      <c r="CO75" s="47">
        <f t="shared" ref="CO75" si="536">CN75</f>
        <v>0.10355772069678179</v>
      </c>
      <c r="CP75" s="47">
        <f t="shared" ref="CP75" si="537">CO75</f>
        <v>0.10355772069678179</v>
      </c>
      <c r="CQ75" s="47">
        <f t="shared" ref="CQ75" si="538">CP75</f>
        <v>0.10355772069678179</v>
      </c>
      <c r="CR75" s="47">
        <f t="shared" ref="CR75" si="539">CQ75</f>
        <v>0.10355772069678179</v>
      </c>
      <c r="CS75" s="47">
        <f t="shared" ref="CS75" si="540">CR75</f>
        <v>0.10355772069678179</v>
      </c>
      <c r="CT75" s="47">
        <f t="shared" ref="CT75" si="541">CS75</f>
        <v>0.10355772069678179</v>
      </c>
      <c r="CU75" s="47">
        <f t="shared" ref="CU75" si="542">CT75</f>
        <v>0.10355772069678179</v>
      </c>
      <c r="CV75" s="47">
        <f t="shared" ref="CV75" si="543">CU75</f>
        <v>0.10355772069678179</v>
      </c>
      <c r="CW75" s="47">
        <f t="shared" ref="CW75" si="544">CV75</f>
        <v>0.10355772069678179</v>
      </c>
      <c r="CX75" s="47">
        <f t="shared" ref="CX75" si="545">CW75</f>
        <v>0.10355772069678179</v>
      </c>
      <c r="CY75" s="47">
        <f t="shared" ref="CY75" si="546">CX75</f>
        <v>0.10355772069678179</v>
      </c>
      <c r="CZ75" s="47">
        <f t="shared" ref="CZ75" si="547">CY75</f>
        <v>0.10355772069678179</v>
      </c>
      <c r="DA75" s="47">
        <f t="shared" ref="DA75" si="548">CZ75</f>
        <v>0.10355772069678179</v>
      </c>
      <c r="DB75" s="47">
        <f t="shared" ref="DB75" si="549">DA75</f>
        <v>0.10355772069678179</v>
      </c>
      <c r="DE75" s="130"/>
      <c r="DF75" s="46">
        <v>0.13767424097765896</v>
      </c>
    </row>
    <row r="76" spans="1:110" s="26" customFormat="1" x14ac:dyDescent="0.2">
      <c r="A76" s="34" t="s">
        <v>16</v>
      </c>
      <c r="B76" s="26">
        <f>B70-B74</f>
        <v>0</v>
      </c>
      <c r="C76" s="26">
        <f t="shared" ref="C76:T76" si="550">C70-C74</f>
        <v>0</v>
      </c>
      <c r="D76" s="26">
        <f>D70-D74</f>
        <v>0</v>
      </c>
      <c r="E76" s="26">
        <f t="shared" si="550"/>
        <v>0</v>
      </c>
      <c r="F76" s="26">
        <f t="shared" si="550"/>
        <v>0</v>
      </c>
      <c r="G76" s="26">
        <f t="shared" si="550"/>
        <v>0</v>
      </c>
      <c r="H76" s="26">
        <f t="shared" si="550"/>
        <v>0.51553869999999569</v>
      </c>
      <c r="I76" s="26">
        <f t="shared" si="550"/>
        <v>24.494450699999994</v>
      </c>
      <c r="J76" s="26">
        <f t="shared" si="550"/>
        <v>10.687863800000001</v>
      </c>
      <c r="K76" s="26">
        <f t="shared" si="550"/>
        <v>26.364589599999999</v>
      </c>
      <c r="L76" s="26">
        <f t="shared" si="550"/>
        <v>34.350999999999992</v>
      </c>
      <c r="M76" s="26">
        <f t="shared" si="550"/>
        <v>46.975999999999985</v>
      </c>
      <c r="N76" s="26">
        <f t="shared" si="550"/>
        <v>60.245999999999988</v>
      </c>
      <c r="O76" s="26">
        <f t="shared" si="550"/>
        <v>62.479000000000021</v>
      </c>
      <c r="P76" s="26">
        <f t="shared" si="550"/>
        <v>59.806999999999995</v>
      </c>
      <c r="Q76" s="26">
        <f t="shared" si="550"/>
        <v>75.812000000000012</v>
      </c>
      <c r="R76" s="26">
        <f t="shared" si="550"/>
        <v>97.328000000000003</v>
      </c>
      <c r="S76" s="26">
        <f t="shared" si="550"/>
        <v>124.61999999999998</v>
      </c>
      <c r="T76" s="26">
        <f t="shared" si="550"/>
        <v>128.06</v>
      </c>
      <c r="U76" s="26">
        <f t="shared" ref="U76:Z76" si="551">U70-U74</f>
        <v>141.65999999999997</v>
      </c>
      <c r="V76" s="26">
        <f t="shared" si="551"/>
        <v>140.97999999999999</v>
      </c>
      <c r="W76" s="26">
        <f t="shared" si="551"/>
        <v>201.86</v>
      </c>
      <c r="X76" s="26">
        <f t="shared" si="551"/>
        <v>83.819999999999936</v>
      </c>
      <c r="Y76" s="26">
        <f t="shared" si="551"/>
        <v>91.749999999999943</v>
      </c>
      <c r="Z76" s="26">
        <f t="shared" si="551"/>
        <v>135.30000000000013</v>
      </c>
      <c r="AA76" s="26">
        <f t="shared" ref="AA76" si="552">AA70-AA74</f>
        <v>187.34999999999997</v>
      </c>
      <c r="AB76" s="27">
        <f t="shared" ref="AA76:AD76" si="553">AB70-AB74</f>
        <v>252.81592215787083</v>
      </c>
      <c r="AC76" s="27">
        <f t="shared" si="553"/>
        <v>318.99715949324138</v>
      </c>
      <c r="AD76" s="27">
        <f t="shared" si="553"/>
        <v>390.52438133760955</v>
      </c>
      <c r="AE76" s="27">
        <f t="shared" ref="AE76" si="554">AE70-AE74</f>
        <v>475.01569730379163</v>
      </c>
      <c r="AI76" s="26">
        <f t="shared" ref="AI76" si="555">AI70-AI74</f>
        <v>0</v>
      </c>
      <c r="AJ76" s="26">
        <f t="shared" ref="AJ76" si="556">AJ70-AJ74</f>
        <v>0</v>
      </c>
      <c r="AK76" s="26">
        <f t="shared" ref="AK76:AM76" si="557">AK70-AK74</f>
        <v>0</v>
      </c>
      <c r="AL76" s="26">
        <f t="shared" si="557"/>
        <v>0</v>
      </c>
      <c r="AM76" s="26">
        <f t="shared" si="557"/>
        <v>0</v>
      </c>
      <c r="AN76" s="26">
        <f t="shared" ref="AN76:AO76" si="558">AN70-AN74</f>
        <v>0</v>
      </c>
      <c r="AO76" s="26">
        <f t="shared" si="558"/>
        <v>0</v>
      </c>
      <c r="AP76" s="26">
        <f t="shared" ref="AP76:CD76" si="559">AP70-AP74</f>
        <v>0</v>
      </c>
      <c r="AQ76" s="26">
        <f t="shared" si="559"/>
        <v>0</v>
      </c>
      <c r="AR76" s="26">
        <f t="shared" si="559"/>
        <v>0</v>
      </c>
      <c r="AS76" s="26">
        <f t="shared" si="559"/>
        <v>0</v>
      </c>
      <c r="AT76" s="26">
        <f t="shared" si="559"/>
        <v>0</v>
      </c>
      <c r="AU76" s="26">
        <f t="shared" si="559"/>
        <v>15.732999999999995</v>
      </c>
      <c r="AV76" s="26">
        <f t="shared" si="559"/>
        <v>22.077000000000002</v>
      </c>
      <c r="AW76" s="26">
        <f t="shared" si="559"/>
        <v>17.454000000000008</v>
      </c>
      <c r="AX76" s="26">
        <f t="shared" si="559"/>
        <v>19.558999999999994</v>
      </c>
      <c r="AY76" s="26">
        <f t="shared" si="559"/>
        <v>22.814</v>
      </c>
      <c r="AZ76" s="26">
        <f t="shared" si="559"/>
        <v>26.026999999999997</v>
      </c>
      <c r="BA76" s="26">
        <f t="shared" si="559"/>
        <v>21.612000000000002</v>
      </c>
      <c r="BB76" s="26">
        <f t="shared" si="559"/>
        <v>26.680000000000003</v>
      </c>
      <c r="BC76" s="26">
        <f t="shared" si="559"/>
        <v>32.010000000000005</v>
      </c>
      <c r="BD76" s="26">
        <f t="shared" si="559"/>
        <v>30.756000000000004</v>
      </c>
      <c r="BE76" s="26">
        <f t="shared" si="559"/>
        <v>30.240000000000009</v>
      </c>
      <c r="BF76" s="26">
        <f t="shared" si="559"/>
        <v>31.61</v>
      </c>
      <c r="BG76" s="26">
        <f t="shared" si="559"/>
        <v>35.520000000000003</v>
      </c>
      <c r="BH76" s="26">
        <f t="shared" si="559"/>
        <v>36.42</v>
      </c>
      <c r="BI76" s="26">
        <f t="shared" si="559"/>
        <v>28.630000000000003</v>
      </c>
      <c r="BJ76" s="26">
        <f t="shared" si="559"/>
        <v>27.490000000000002</v>
      </c>
      <c r="BK76" s="26">
        <f t="shared" si="559"/>
        <v>38.260000000000005</v>
      </c>
      <c r="BL76" s="26">
        <f t="shared" si="559"/>
        <v>43.930000000000007</v>
      </c>
      <c r="BM76" s="26">
        <f t="shared" si="559"/>
        <v>35.940000000000012</v>
      </c>
      <c r="BN76" s="26">
        <f t="shared" si="559"/>
        <v>22.479999999999997</v>
      </c>
      <c r="BO76" s="26">
        <f t="shared" si="559"/>
        <v>1.4900000000000011</v>
      </c>
      <c r="BP76" s="26">
        <f t="shared" si="559"/>
        <v>54.260000000000005</v>
      </c>
      <c r="BQ76" s="26">
        <f t="shared" si="559"/>
        <v>41.780000000000015</v>
      </c>
      <c r="BR76" s="26">
        <f t="shared" si="559"/>
        <v>43.720000000000006</v>
      </c>
      <c r="BS76" s="26">
        <f t="shared" si="559"/>
        <v>63.939999999999991</v>
      </c>
      <c r="BT76" s="26">
        <f t="shared" si="559"/>
        <v>81.13</v>
      </c>
      <c r="BU76" s="26">
        <f t="shared" si="559"/>
        <v>28.000000000000011</v>
      </c>
      <c r="BV76" s="26">
        <f t="shared" si="559"/>
        <v>27.919999999999987</v>
      </c>
      <c r="BW76" s="26">
        <f t="shared" si="559"/>
        <v>27.310000000000024</v>
      </c>
      <c r="BX76" s="26">
        <f t="shared" si="559"/>
        <v>22.430000000000007</v>
      </c>
      <c r="BY76" s="26">
        <f t="shared" si="559"/>
        <v>17.71</v>
      </c>
      <c r="BZ76" s="26">
        <f t="shared" si="559"/>
        <v>13.890000000000011</v>
      </c>
      <c r="CA76" s="26">
        <f t="shared" si="559"/>
        <v>24.680000000000007</v>
      </c>
      <c r="CB76" s="26">
        <f t="shared" si="559"/>
        <v>26.869999999999997</v>
      </c>
      <c r="CC76" s="26">
        <f t="shared" si="559"/>
        <v>18.120000000000033</v>
      </c>
      <c r="CD76" s="26">
        <f t="shared" si="559"/>
        <v>20.75</v>
      </c>
      <c r="CE76" s="26">
        <f t="shared" ref="CE76:CF76" si="560">CE70-CE74</f>
        <v>31.279999999999987</v>
      </c>
      <c r="CF76" s="26">
        <f t="shared" si="560"/>
        <v>35.220000000000006</v>
      </c>
      <c r="CG76" s="26">
        <f t="shared" ref="CG76:CH76" si="561">CG70-CG74</f>
        <v>24.670000000000005</v>
      </c>
      <c r="CH76" s="26">
        <f t="shared" si="561"/>
        <v>43.929999999999964</v>
      </c>
      <c r="CI76" s="26">
        <f t="shared" ref="CI76:CJ76" si="562">CI70-CI74</f>
        <v>46.360000000000014</v>
      </c>
      <c r="CJ76" s="26">
        <f t="shared" si="562"/>
        <v>59.839999999999996</v>
      </c>
      <c r="CK76" s="26">
        <f t="shared" ref="CK76:CL76" si="563">CK70-CK74</f>
        <v>36.200000000000017</v>
      </c>
      <c r="CL76" s="26">
        <f t="shared" si="563"/>
        <v>61.059999999999945</v>
      </c>
      <c r="CM76" s="27">
        <f t="shared" ref="CM76:DB76" si="564">CM70-CM74</f>
        <v>56.379238974652957</v>
      </c>
      <c r="CN76" s="27">
        <f t="shared" si="564"/>
        <v>66.507754421509972</v>
      </c>
      <c r="CO76" s="27">
        <f t="shared" si="564"/>
        <v>58.666031244363033</v>
      </c>
      <c r="CP76" s="27">
        <f t="shared" si="564"/>
        <v>71.262897517344868</v>
      </c>
      <c r="CQ76" s="27">
        <f t="shared" si="564"/>
        <v>72.004330395346344</v>
      </c>
      <c r="CR76" s="27">
        <f t="shared" si="564"/>
        <v>83.529171977879301</v>
      </c>
      <c r="CS76" s="27">
        <f t="shared" si="564"/>
        <v>74.745237052894353</v>
      </c>
      <c r="CT76" s="27">
        <f t="shared" si="564"/>
        <v>88.718420067121343</v>
      </c>
      <c r="CU76" s="27">
        <f t="shared" si="564"/>
        <v>89.121884158895085</v>
      </c>
      <c r="CV76" s="27">
        <f t="shared" si="564"/>
        <v>102.45045004841123</v>
      </c>
      <c r="CW76" s="27">
        <f t="shared" si="564"/>
        <v>91.530546599790966</v>
      </c>
      <c r="CX76" s="27">
        <f t="shared" si="564"/>
        <v>107.42150053051223</v>
      </c>
      <c r="CY76" s="27">
        <f t="shared" si="564"/>
        <v>108.84134441789084</v>
      </c>
      <c r="CZ76" s="27">
        <f t="shared" si="564"/>
        <v>124.53995460371488</v>
      </c>
      <c r="DA76" s="27">
        <f t="shared" si="564"/>
        <v>111.3672306393038</v>
      </c>
      <c r="DB76" s="27">
        <f t="shared" si="564"/>
        <v>130.26716764288213</v>
      </c>
      <c r="DE76" s="121"/>
      <c r="DF76" s="26">
        <v>49.133658675028407</v>
      </c>
    </row>
    <row r="77" spans="1:110" s="23" customFormat="1" x14ac:dyDescent="0.2">
      <c r="A77" s="23" t="s">
        <v>17</v>
      </c>
      <c r="B77" s="23">
        <f>'Annual Raw'!C23</f>
        <v>0</v>
      </c>
      <c r="C77" s="23">
        <f>'Annual Raw'!D23</f>
        <v>0</v>
      </c>
      <c r="D77" s="23">
        <f>'Annual Raw'!E23</f>
        <v>0</v>
      </c>
      <c r="E77" s="23">
        <f>'Annual Raw'!F23</f>
        <v>0</v>
      </c>
      <c r="F77" s="23">
        <f>'Annual Raw'!G23</f>
        <v>0</v>
      </c>
      <c r="G77" s="23">
        <f>'Annual Raw'!H23</f>
        <v>0</v>
      </c>
      <c r="H77" s="23">
        <f>'Annual Raw'!I23</f>
        <v>2.8232943000000001</v>
      </c>
      <c r="I77" s="23">
        <f>'Annual Raw'!J23</f>
        <v>6.6917267999999996</v>
      </c>
      <c r="J77" s="23">
        <f>'Annual Raw'!K23</f>
        <v>1.1172517</v>
      </c>
      <c r="K77" s="23">
        <f>'Annual Raw'!L23</f>
        <v>6.8136329</v>
      </c>
      <c r="L77" s="23">
        <f>'Annual Raw'!M23</f>
        <v>3.3420000000000001</v>
      </c>
      <c r="M77" s="23">
        <f>'Annual Raw'!N23</f>
        <v>5.109</v>
      </c>
      <c r="N77" s="23">
        <f>'Annual Raw'!O23</f>
        <v>17.725000000000001</v>
      </c>
      <c r="O77" s="23">
        <f>'Annual Raw'!P23</f>
        <v>6.5759999999999996</v>
      </c>
      <c r="P77" s="23">
        <f>'Annual Raw'!Q23</f>
        <v>8.109</v>
      </c>
      <c r="Q77" s="23">
        <f>'Annual Raw'!R23</f>
        <v>6.5419999999999998</v>
      </c>
      <c r="R77" s="23">
        <f>'Annual Raw'!S23</f>
        <v>12.242000000000001</v>
      </c>
      <c r="S77" s="23">
        <f>'Annual Raw'!T23</f>
        <v>23</v>
      </c>
      <c r="T77" s="23">
        <f>'Annual Raw'!U23</f>
        <v>9.9499999999999993</v>
      </c>
      <c r="U77" s="23">
        <f>'Annual Raw'!V23</f>
        <v>6.67</v>
      </c>
      <c r="V77" s="23">
        <f>'Annual Raw'!W23</f>
        <v>12.43</v>
      </c>
      <c r="W77" s="23">
        <f>'Annual Raw'!X23</f>
        <v>29.25</v>
      </c>
      <c r="X77" s="23">
        <f>'Annual Raw'!Y23</f>
        <v>8.42</v>
      </c>
      <c r="Y77" s="23">
        <f>'Annual Raw'!Z23</f>
        <v>9.3699999999999992</v>
      </c>
      <c r="Z77" s="23">
        <f>'Annual Raw'!AA23</f>
        <v>15.32</v>
      </c>
      <c r="AA77" s="23">
        <f>'Annual Raw'!AB23</f>
        <v>34.270000000000003</v>
      </c>
      <c r="AB77" s="76">
        <f t="shared" ref="AB77:AB78" si="565">+SUM(CM77:CP77)</f>
        <v>0</v>
      </c>
      <c r="AC77" s="76">
        <f t="shared" ref="AC77:AC78" si="566">+SUM(CQ77:CT77)</f>
        <v>0</v>
      </c>
      <c r="AD77" s="76">
        <f t="shared" ref="AD77:AD78" si="567">+SUM(CU77:CX77)</f>
        <v>0</v>
      </c>
      <c r="AE77" s="76">
        <f t="shared" ref="AE77:AE78" si="568">+SUM(CY77:DB77)</f>
        <v>0</v>
      </c>
      <c r="AI77" s="23">
        <f>'QTR Raw'!C23</f>
        <v>0</v>
      </c>
      <c r="AJ77" s="23">
        <f>'QTR Raw'!D23</f>
        <v>0</v>
      </c>
      <c r="AK77" s="23">
        <f>'QTR Raw'!E23</f>
        <v>0</v>
      </c>
      <c r="AL77" s="23">
        <f>'QTR Raw'!F23</f>
        <v>0</v>
      </c>
      <c r="AM77" s="23">
        <f>'QTR Raw'!G23</f>
        <v>0</v>
      </c>
      <c r="AN77" s="23">
        <f>'QTR Raw'!H23</f>
        <v>0</v>
      </c>
      <c r="AO77" s="23">
        <f>'QTR Raw'!I23</f>
        <v>0</v>
      </c>
      <c r="AP77" s="23">
        <f>'QTR Raw'!J23</f>
        <v>0</v>
      </c>
      <c r="AQ77" s="23">
        <f>'QTR Raw'!K23</f>
        <v>0</v>
      </c>
      <c r="AR77" s="23">
        <f>'QTR Raw'!L23</f>
        <v>0</v>
      </c>
      <c r="AS77" s="23">
        <f>'QTR Raw'!M23</f>
        <v>0</v>
      </c>
      <c r="AT77" s="23">
        <f>'QTR Raw'!N23</f>
        <v>0</v>
      </c>
      <c r="AU77" s="23">
        <f>'QTR Raw'!O23</f>
        <v>0.92100000000000004</v>
      </c>
      <c r="AV77" s="23">
        <f>'QTR Raw'!P23</f>
        <v>2.8039999999999998</v>
      </c>
      <c r="AW77" s="23">
        <f>'QTR Raw'!Q23</f>
        <v>0.99099999999999999</v>
      </c>
      <c r="AX77" s="23">
        <f>'QTR Raw'!R23</f>
        <v>2.266</v>
      </c>
      <c r="AY77" s="23">
        <f>'QTR Raw'!S23</f>
        <v>3.0760000000000001</v>
      </c>
      <c r="AZ77" s="23">
        <f>'QTR Raw'!T23</f>
        <v>3.097</v>
      </c>
      <c r="BA77" s="23">
        <f>'QTR Raw'!U23</f>
        <v>3.907</v>
      </c>
      <c r="BB77" s="23">
        <f>'QTR Raw'!V23</f>
        <v>2.1619999999999999</v>
      </c>
      <c r="BC77" s="23">
        <f>'QTR Raw'!W23</f>
        <v>4.76</v>
      </c>
      <c r="BD77" s="23">
        <f>'QTR Raw'!X23</f>
        <v>3.68</v>
      </c>
      <c r="BE77" s="23">
        <f>'QTR Raw'!Y23</f>
        <v>3.67</v>
      </c>
      <c r="BF77" s="23">
        <f>'QTR Raw'!Z23</f>
        <v>10.88</v>
      </c>
      <c r="BG77" s="23">
        <f>'QTR Raw'!AA23</f>
        <v>2.2599999999999998</v>
      </c>
      <c r="BH77" s="23">
        <f>'QTR Raw'!AB23</f>
        <v>2.4</v>
      </c>
      <c r="BI77" s="23">
        <f>'QTR Raw'!AC23</f>
        <v>3.34</v>
      </c>
      <c r="BJ77" s="23">
        <f>'QTR Raw'!AD23</f>
        <v>1.95</v>
      </c>
      <c r="BK77" s="23">
        <f>'QTR Raw'!AE23</f>
        <v>2.36</v>
      </c>
      <c r="BL77" s="23">
        <f>'QTR Raw'!AF23</f>
        <v>2.46</v>
      </c>
      <c r="BM77" s="23">
        <f>'QTR Raw'!AG23</f>
        <v>0.85</v>
      </c>
      <c r="BN77" s="23">
        <f>'QTR Raw'!AH23</f>
        <v>2.06</v>
      </c>
      <c r="BO77" s="23">
        <f>'QTR Raw'!AI23</f>
        <v>1.22</v>
      </c>
      <c r="BP77" s="23">
        <f>'QTR Raw'!AJ23</f>
        <v>4.99</v>
      </c>
      <c r="BQ77" s="23">
        <f>'QTR Raw'!AK23</f>
        <v>2.58</v>
      </c>
      <c r="BR77" s="23">
        <f>'QTR Raw'!AL23</f>
        <v>3.64</v>
      </c>
      <c r="BS77" s="23">
        <f>'QTR Raw'!AM23</f>
        <v>10.49</v>
      </c>
      <c r="BT77" s="23">
        <f>'QTR Raw'!AN23</f>
        <v>15.19</v>
      </c>
      <c r="BU77" s="23">
        <f>'QTR Raw'!AO23</f>
        <v>1.4</v>
      </c>
      <c r="BV77" s="23">
        <f>'QTR Raw'!AP23</f>
        <v>2.15</v>
      </c>
      <c r="BW77" s="23">
        <f>'QTR Raw'!AQ23</f>
        <v>1</v>
      </c>
      <c r="BX77" s="23">
        <f>'QTR Raw'!AR23</f>
        <v>1.62</v>
      </c>
      <c r="BY77" s="23">
        <f>'QTR Raw'!AS23</f>
        <v>2.1</v>
      </c>
      <c r="BZ77" s="23">
        <f>'QTR Raw'!AT23</f>
        <v>3.7</v>
      </c>
      <c r="CA77" s="23">
        <f>'QTR Raw'!AU23</f>
        <v>0.98</v>
      </c>
      <c r="CB77" s="23">
        <f>'QTR Raw'!AV23</f>
        <v>2.17</v>
      </c>
      <c r="CC77" s="23">
        <f>'QTR Raw'!AW23</f>
        <v>2.73</v>
      </c>
      <c r="CD77" s="23">
        <f>'QTR Raw'!AX23</f>
        <v>3.49</v>
      </c>
      <c r="CE77" s="23">
        <f>'QTR Raw'!AY23</f>
        <v>3.62</v>
      </c>
      <c r="CF77" s="23">
        <f>'QTR Raw'!AZ23</f>
        <v>2.61</v>
      </c>
      <c r="CG77" s="23">
        <f>'QTR Raw'!BA23</f>
        <v>4.01</v>
      </c>
      <c r="CH77" s="23">
        <f>'QTR Raw'!BB23</f>
        <v>4.59</v>
      </c>
      <c r="CI77" s="23">
        <f>'QTR Raw'!BC23</f>
        <v>4.6500000000000004</v>
      </c>
      <c r="CJ77" s="23">
        <f>'QTR Raw'!BD23</f>
        <v>3.05</v>
      </c>
      <c r="CK77" s="23">
        <f>'QTR Raw'!BE23</f>
        <v>4.9800000000000004</v>
      </c>
      <c r="CL77" s="23">
        <f>'QTR Raw'!BF23</f>
        <v>4.3099999999999996</v>
      </c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E77" s="123"/>
      <c r="DF77" s="23">
        <v>16.989999999999998</v>
      </c>
    </row>
    <row r="78" spans="1:110" s="23" customFormat="1" x14ac:dyDescent="0.2">
      <c r="A78" s="23" t="s">
        <v>18</v>
      </c>
      <c r="B78" s="23">
        <f>'Annual Raw'!C25</f>
        <v>0</v>
      </c>
      <c r="C78" s="23">
        <f>'Annual Raw'!D25</f>
        <v>0</v>
      </c>
      <c r="D78" s="23">
        <f>'Annual Raw'!E25</f>
        <v>0</v>
      </c>
      <c r="E78" s="23">
        <f>'Annual Raw'!F25</f>
        <v>0</v>
      </c>
      <c r="F78" s="23">
        <f>'Annual Raw'!G25</f>
        <v>0</v>
      </c>
      <c r="G78" s="23">
        <f>'Annual Raw'!H25</f>
        <v>0</v>
      </c>
      <c r="H78" s="23">
        <f>'Annual Raw'!I25</f>
        <v>5.4201199999999998E-2</v>
      </c>
      <c r="I78" s="23">
        <f>'Annual Raw'!J25</f>
        <v>6.2412200000000001E-2</v>
      </c>
      <c r="J78" s="23">
        <f>'Annual Raw'!K25</f>
        <v>3.2881899999999999E-2</v>
      </c>
      <c r="K78" s="23">
        <f>'Annual Raw'!L25</f>
        <v>4.3159000000000003E-2</v>
      </c>
      <c r="L78" s="23">
        <f>'Annual Raw'!M25</f>
        <v>6.6000000000000003E-2</v>
      </c>
      <c r="M78" s="23">
        <f>'Annual Raw'!N25</f>
        <v>7.1999999999999995E-2</v>
      </c>
      <c r="N78" s="23">
        <f>'Annual Raw'!O25</f>
        <v>9.7000000000000003E-2</v>
      </c>
      <c r="O78" s="23">
        <f>'Annual Raw'!P25</f>
        <v>0.16</v>
      </c>
      <c r="P78" s="23">
        <f>'Annual Raw'!Q25</f>
        <v>0.3</v>
      </c>
      <c r="Q78" s="23">
        <f>'Annual Raw'!R25</f>
        <v>0.55100000000000005</v>
      </c>
      <c r="R78" s="23">
        <f>'Annual Raw'!S25</f>
        <v>0.46300000000000002</v>
      </c>
      <c r="S78" s="23">
        <f>'Annual Raw'!T25</f>
        <v>0.44</v>
      </c>
      <c r="T78" s="23">
        <f>'Annual Raw'!U25</f>
        <v>0.61</v>
      </c>
      <c r="U78" s="23">
        <f>'Annual Raw'!V25</f>
        <v>1.85</v>
      </c>
      <c r="V78" s="23">
        <f>'Annual Raw'!W25</f>
        <v>0.87</v>
      </c>
      <c r="W78" s="23">
        <f>'Annual Raw'!X25</f>
        <v>3.21</v>
      </c>
      <c r="X78" s="23">
        <f>'Annual Raw'!Y25</f>
        <v>4.83</v>
      </c>
      <c r="Y78" s="23">
        <f>'Annual Raw'!Z25</f>
        <v>5.53</v>
      </c>
      <c r="Z78" s="23">
        <f>'Annual Raw'!AA25</f>
        <v>3.74</v>
      </c>
      <c r="AA78" s="23">
        <f>'Annual Raw'!AB25</f>
        <v>3.96</v>
      </c>
      <c r="AB78" s="76">
        <f t="shared" si="565"/>
        <v>-12.988802040784012</v>
      </c>
      <c r="AC78" s="76">
        <f t="shared" si="566"/>
        <v>-19.642468709408153</v>
      </c>
      <c r="AD78" s="76">
        <f t="shared" si="567"/>
        <v>-29.979455354425411</v>
      </c>
      <c r="AE78" s="76">
        <f t="shared" si="568"/>
        <v>-42.802844123240348</v>
      </c>
      <c r="AI78" s="23">
        <f>'QTR Raw'!C25</f>
        <v>0</v>
      </c>
      <c r="AJ78" s="23">
        <f>'QTR Raw'!D25</f>
        <v>0</v>
      </c>
      <c r="AK78" s="23">
        <f>'QTR Raw'!E25</f>
        <v>0</v>
      </c>
      <c r="AL78" s="23">
        <f>'QTR Raw'!F25</f>
        <v>0</v>
      </c>
      <c r="AM78" s="23">
        <f>'QTR Raw'!G25</f>
        <v>0</v>
      </c>
      <c r="AN78" s="23">
        <f>'QTR Raw'!H25</f>
        <v>0</v>
      </c>
      <c r="AO78" s="23">
        <f>'QTR Raw'!I25</f>
        <v>0</v>
      </c>
      <c r="AP78" s="23">
        <f>'QTR Raw'!J25</f>
        <v>0</v>
      </c>
      <c r="AQ78" s="23">
        <f>'QTR Raw'!K25</f>
        <v>0</v>
      </c>
      <c r="AR78" s="23">
        <f>'QTR Raw'!L25</f>
        <v>0</v>
      </c>
      <c r="AS78" s="23">
        <f>'QTR Raw'!M25</f>
        <v>0</v>
      </c>
      <c r="AT78" s="23">
        <f>'QTR Raw'!N25</f>
        <v>0</v>
      </c>
      <c r="AU78" s="23">
        <f>'QTR Raw'!O25</f>
        <v>0</v>
      </c>
      <c r="AV78" s="23">
        <f>'QTR Raw'!P25</f>
        <v>0</v>
      </c>
      <c r="AW78" s="23">
        <f>'QTR Raw'!Q25</f>
        <v>0</v>
      </c>
      <c r="AX78" s="23">
        <f>'QTR Raw'!R25</f>
        <v>0</v>
      </c>
      <c r="AY78" s="23">
        <f>'QTR Raw'!S25</f>
        <v>8.2000000000000003E-2</v>
      </c>
      <c r="AZ78" s="23">
        <f>'QTR Raw'!T25</f>
        <v>0</v>
      </c>
      <c r="BA78" s="23">
        <f>'QTR Raw'!U25</f>
        <v>8.5999999999999993E-2</v>
      </c>
      <c r="BB78" s="23">
        <f>'QTR Raw'!V25</f>
        <v>0.1</v>
      </c>
      <c r="BC78" s="23">
        <f>'QTR Raw'!W25</f>
        <v>0.09</v>
      </c>
      <c r="BD78" s="23">
        <f>'QTR Raw'!X25</f>
        <v>0.09</v>
      </c>
      <c r="BE78" s="23">
        <f>'QTR Raw'!Y25</f>
        <v>0.1</v>
      </c>
      <c r="BF78" s="23">
        <f>'QTR Raw'!Z25</f>
        <v>0.15</v>
      </c>
      <c r="BG78" s="23">
        <f>'QTR Raw'!AA25</f>
        <v>0.11</v>
      </c>
      <c r="BH78" s="23">
        <f>'QTR Raw'!AB25</f>
        <v>0.15</v>
      </c>
      <c r="BI78" s="23">
        <f>'QTR Raw'!AC25</f>
        <v>0.15</v>
      </c>
      <c r="BJ78" s="23">
        <f>'QTR Raw'!AD25</f>
        <v>0.2</v>
      </c>
      <c r="BK78" s="23">
        <f>'QTR Raw'!AE25</f>
        <v>0.47</v>
      </c>
      <c r="BL78" s="23">
        <f>'QTR Raw'!AF25</f>
        <v>0.61</v>
      </c>
      <c r="BM78" s="23">
        <f>'QTR Raw'!AG25</f>
        <v>0.39</v>
      </c>
      <c r="BN78" s="23">
        <f>'QTR Raw'!AH25</f>
        <v>0.38</v>
      </c>
      <c r="BO78" s="23">
        <f>'QTR Raw'!AI25</f>
        <v>0.32</v>
      </c>
      <c r="BP78" s="23">
        <f>'QTR Raw'!AJ25</f>
        <v>0.34</v>
      </c>
      <c r="BQ78" s="23">
        <f>'QTR Raw'!AK25</f>
        <v>0.3</v>
      </c>
      <c r="BR78" s="23">
        <f>'QTR Raw'!AL25</f>
        <v>-0.09</v>
      </c>
      <c r="BS78" s="23">
        <f>'QTR Raw'!AM25</f>
        <v>0.62</v>
      </c>
      <c r="BT78" s="23">
        <f>'QTR Raw'!AN25</f>
        <v>0.69</v>
      </c>
      <c r="BU78" s="23">
        <f>'QTR Raw'!AO25</f>
        <v>0.5</v>
      </c>
      <c r="BV78" s="23">
        <f>'QTR Raw'!AP25</f>
        <v>0.56999999999999995</v>
      </c>
      <c r="BW78" s="23">
        <f>'QTR Raw'!AQ25</f>
        <v>0.56000000000000005</v>
      </c>
      <c r="BX78" s="23">
        <f>'QTR Raw'!AR25</f>
        <v>0.54</v>
      </c>
      <c r="BY78" s="23">
        <f>'QTR Raw'!AS25</f>
        <v>0.57999999999999996</v>
      </c>
      <c r="BZ78" s="23">
        <f>'QTR Raw'!AT25</f>
        <v>0.67</v>
      </c>
      <c r="CA78" s="23">
        <f>'QTR Raw'!AU25</f>
        <v>0.88</v>
      </c>
      <c r="CB78" s="23">
        <f>'QTR Raw'!AV25</f>
        <v>1.1299999999999999</v>
      </c>
      <c r="CC78" s="23">
        <f>'QTR Raw'!AW25</f>
        <v>1.07</v>
      </c>
      <c r="CD78" s="23">
        <f>'QTR Raw'!AX25</f>
        <v>1.1200000000000001</v>
      </c>
      <c r="CE78" s="23">
        <f>'QTR Raw'!AY25</f>
        <v>0.99</v>
      </c>
      <c r="CF78" s="23">
        <f>'QTR Raw'!AZ25</f>
        <v>0.76</v>
      </c>
      <c r="CG78" s="23">
        <f>'QTR Raw'!BA25</f>
        <v>0.6</v>
      </c>
      <c r="CH78" s="23">
        <f>'QTR Raw'!BB25</f>
        <v>0.7</v>
      </c>
      <c r="CI78" s="23">
        <f>'QTR Raw'!BC25</f>
        <v>0.78</v>
      </c>
      <c r="CJ78" s="23">
        <f>'QTR Raw'!BD25</f>
        <v>0.59</v>
      </c>
      <c r="CK78" s="23">
        <f>'QTR Raw'!BE25</f>
        <v>-0.09</v>
      </c>
      <c r="CL78" s="23">
        <f>'QTR Raw'!BF25</f>
        <v>1.52</v>
      </c>
      <c r="CM78" s="24">
        <f t="shared" ref="CM78:DB78" si="569">CM79*CL219</f>
        <v>-2.4856480798851148</v>
      </c>
      <c r="CN78" s="24">
        <f t="shared" si="569"/>
        <v>-2.9751658649387358</v>
      </c>
      <c r="CO78" s="24">
        <f t="shared" si="569"/>
        <v>-3.4654591459288628</v>
      </c>
      <c r="CP78" s="24">
        <f t="shared" si="569"/>
        <v>-4.0625289500312984</v>
      </c>
      <c r="CQ78" s="24">
        <f t="shared" si="569"/>
        <v>-4.0494527273261118</v>
      </c>
      <c r="CR78" s="24">
        <f t="shared" si="569"/>
        <v>-4.6024907429964355</v>
      </c>
      <c r="CS78" s="24">
        <f t="shared" si="569"/>
        <v>-5.1587066260034673</v>
      </c>
      <c r="CT78" s="24">
        <f t="shared" si="569"/>
        <v>-5.8318186130821381</v>
      </c>
      <c r="CU78" s="24">
        <f t="shared" si="569"/>
        <v>-6.4153565599203457</v>
      </c>
      <c r="CV78" s="24">
        <f t="shared" si="569"/>
        <v>-7.1117518504155894</v>
      </c>
      <c r="CW78" s="24">
        <f t="shared" si="569"/>
        <v>-7.8091649600762212</v>
      </c>
      <c r="CX78" s="24">
        <f t="shared" si="569"/>
        <v>-8.6431819840132569</v>
      </c>
      <c r="CY78" s="24">
        <f t="shared" si="569"/>
        <v>-9.3647604404757612</v>
      </c>
      <c r="CZ78" s="24">
        <f t="shared" si="569"/>
        <v>-10.228351079042049</v>
      </c>
      <c r="DA78" s="24">
        <f t="shared" si="569"/>
        <v>-11.091933662357967</v>
      </c>
      <c r="DB78" s="24">
        <f t="shared" si="569"/>
        <v>-12.117798941364567</v>
      </c>
      <c r="DE78" s="123"/>
      <c r="DF78" s="23">
        <v>-3.6983397104327342</v>
      </c>
    </row>
    <row r="79" spans="1:110" s="46" customFormat="1" x14ac:dyDescent="0.2">
      <c r="A79" s="46" t="s">
        <v>482</v>
      </c>
      <c r="B79" s="46" t="e">
        <f t="shared" ref="B79:D79" si="570">+B78/B170</f>
        <v>#DIV/0!</v>
      </c>
      <c r="C79" s="46" t="e">
        <f t="shared" si="570"/>
        <v>#DIV/0!</v>
      </c>
      <c r="D79" s="46" t="e">
        <f t="shared" si="570"/>
        <v>#DIV/0!</v>
      </c>
      <c r="E79" s="46" t="e">
        <f t="shared" ref="E79:AE79" si="571">+E78/E170</f>
        <v>#DIV/0!</v>
      </c>
      <c r="F79" s="46" t="e">
        <f t="shared" si="571"/>
        <v>#DIV/0!</v>
      </c>
      <c r="G79" s="46" t="e">
        <f t="shared" si="571"/>
        <v>#DIV/0!</v>
      </c>
      <c r="H79" s="46">
        <f t="shared" si="571"/>
        <v>2.1680480000000001E-3</v>
      </c>
      <c r="I79" s="46">
        <f t="shared" si="571"/>
        <v>2.4964879999999998E-3</v>
      </c>
      <c r="J79" s="46" t="e">
        <f t="shared" si="571"/>
        <v>#DIV/0!</v>
      </c>
      <c r="K79" s="46" t="e">
        <f t="shared" si="571"/>
        <v>#DIV/0!</v>
      </c>
      <c r="L79" s="46">
        <f t="shared" si="571"/>
        <v>2.64E-3</v>
      </c>
      <c r="M79" s="46">
        <f t="shared" si="571"/>
        <v>2.8799999999999997E-3</v>
      </c>
      <c r="N79" s="46">
        <f t="shared" si="571"/>
        <v>3.8800000000000002E-3</v>
      </c>
      <c r="O79" s="46">
        <f t="shared" si="571"/>
        <v>6.4000000000000003E-3</v>
      </c>
      <c r="P79" s="46" t="e">
        <f t="shared" si="571"/>
        <v>#DIV/0!</v>
      </c>
      <c r="Q79" s="46" t="e">
        <f t="shared" si="571"/>
        <v>#DIV/0!</v>
      </c>
      <c r="R79" s="46">
        <f t="shared" si="571"/>
        <v>6.3862068965517244E-2</v>
      </c>
      <c r="S79" s="46" t="e">
        <f t="shared" si="571"/>
        <v>#DIV/0!</v>
      </c>
      <c r="T79" s="46">
        <f t="shared" si="571"/>
        <v>0.24399999999999999</v>
      </c>
      <c r="U79" s="46">
        <f t="shared" si="571"/>
        <v>0.74</v>
      </c>
      <c r="V79" s="46" t="e">
        <f t="shared" si="571"/>
        <v>#DIV/0!</v>
      </c>
      <c r="W79" s="46" t="e">
        <f t="shared" si="571"/>
        <v>#DIV/0!</v>
      </c>
      <c r="X79" s="46" t="e">
        <f t="shared" si="571"/>
        <v>#DIV/0!</v>
      </c>
      <c r="Y79" s="46">
        <f t="shared" si="571"/>
        <v>0.25601851851851853</v>
      </c>
      <c r="Z79" s="46" t="e">
        <f t="shared" si="571"/>
        <v>#DIV/0!</v>
      </c>
      <c r="AA79" s="46" t="e">
        <f t="shared" ref="AA79" si="572">+AA78/AA170</f>
        <v>#DIV/0!</v>
      </c>
      <c r="AB79" s="110" t="e">
        <f t="shared" si="571"/>
        <v>#DIV/0!</v>
      </c>
      <c r="AC79" s="110" t="e">
        <f t="shared" si="571"/>
        <v>#DIV/0!</v>
      </c>
      <c r="AD79" s="110" t="e">
        <f t="shared" si="571"/>
        <v>#DIV/0!</v>
      </c>
      <c r="AE79" s="110" t="e">
        <f t="shared" si="571"/>
        <v>#DIV/0!</v>
      </c>
      <c r="AI79" s="46" t="e">
        <f t="shared" ref="AI79:BN79" si="573">(AI78-AI77)/AH219</f>
        <v>#DIV/0!</v>
      </c>
      <c r="AJ79" s="46" t="e">
        <f t="shared" si="573"/>
        <v>#DIV/0!</v>
      </c>
      <c r="AK79" s="46" t="e">
        <f t="shared" si="573"/>
        <v>#DIV/0!</v>
      </c>
      <c r="AL79" s="46" t="e">
        <f t="shared" si="573"/>
        <v>#DIV/0!</v>
      </c>
      <c r="AM79" s="46" t="e">
        <f t="shared" si="573"/>
        <v>#DIV/0!</v>
      </c>
      <c r="AN79" s="46" t="e">
        <f t="shared" si="573"/>
        <v>#DIV/0!</v>
      </c>
      <c r="AO79" s="46" t="e">
        <f t="shared" si="573"/>
        <v>#DIV/0!</v>
      </c>
      <c r="AP79" s="46" t="e">
        <f t="shared" si="573"/>
        <v>#DIV/0!</v>
      </c>
      <c r="AQ79" s="46" t="e">
        <f t="shared" si="573"/>
        <v>#DIV/0!</v>
      </c>
      <c r="AR79" s="46" t="e">
        <f t="shared" si="573"/>
        <v>#DIV/0!</v>
      </c>
      <c r="AS79" s="46" t="e">
        <f t="shared" si="573"/>
        <v>#DIV/0!</v>
      </c>
      <c r="AT79" s="46" t="e">
        <f t="shared" si="573"/>
        <v>#DIV/0!</v>
      </c>
      <c r="AU79" s="46" t="e">
        <f t="shared" si="573"/>
        <v>#DIV/0!</v>
      </c>
      <c r="AV79" s="46" t="e">
        <f t="shared" si="573"/>
        <v>#DIV/0!</v>
      </c>
      <c r="AW79" s="46" t="e">
        <f t="shared" si="573"/>
        <v>#DIV/0!</v>
      </c>
      <c r="AX79" s="46">
        <f t="shared" si="573"/>
        <v>0.20954318476049552</v>
      </c>
      <c r="AY79" s="46">
        <f t="shared" si="573"/>
        <v>2.9374251908247162E-2</v>
      </c>
      <c r="AZ79" s="46">
        <f t="shared" si="573"/>
        <v>2.6226819519922496E-2</v>
      </c>
      <c r="BA79" s="46">
        <f t="shared" si="573"/>
        <v>3.2394533369506241E-2</v>
      </c>
      <c r="BB79" s="46">
        <f t="shared" si="573"/>
        <v>1.5954929170500995E-2</v>
      </c>
      <c r="BC79" s="46">
        <f t="shared" si="573"/>
        <v>4.0274938983898646E-2</v>
      </c>
      <c r="BD79" s="46">
        <f t="shared" si="573"/>
        <v>2.6048654733375715E-2</v>
      </c>
      <c r="BE79" s="46">
        <f t="shared" si="573"/>
        <v>2.8180576715107788E-2</v>
      </c>
      <c r="BF79" s="46">
        <f t="shared" si="573"/>
        <v>7.1985458311666403E-2</v>
      </c>
      <c r="BG79" s="46">
        <f t="shared" si="573"/>
        <v>1.9203286888174347E-2</v>
      </c>
      <c r="BH79" s="46">
        <f t="shared" si="573"/>
        <v>1.6634987132351564E-2</v>
      </c>
      <c r="BI79" s="46">
        <f t="shared" si="573"/>
        <v>4.0735538245434806E-2</v>
      </c>
      <c r="BJ79" s="46">
        <f t="shared" si="573"/>
        <v>1.7342710398229901E-2</v>
      </c>
      <c r="BK79" s="46">
        <f t="shared" si="573"/>
        <v>2.3122094445803768E-2</v>
      </c>
      <c r="BL79" s="46">
        <f t="shared" si="573"/>
        <v>1.7079214904579081E-2</v>
      </c>
      <c r="BM79" s="46">
        <f t="shared" si="573"/>
        <v>1.1167759164845836E-2</v>
      </c>
      <c r="BN79" s="46">
        <f t="shared" si="573"/>
        <v>2.3512116078407034E-2</v>
      </c>
      <c r="BO79" s="46">
        <f t="shared" ref="BO79:CL79" si="574">(BO78-BO77)/BN219</f>
        <v>1.1597938144329897E-2</v>
      </c>
      <c r="BP79" s="46">
        <f t="shared" si="574"/>
        <v>5.4930898742338433E-2</v>
      </c>
      <c r="BQ79" s="46">
        <f t="shared" si="574"/>
        <v>2.6691641301802859E-2</v>
      </c>
      <c r="BR79" s="46">
        <f t="shared" si="574"/>
        <v>3.0552840166227221E-2</v>
      </c>
      <c r="BS79" s="46">
        <f t="shared" si="574"/>
        <v>8.2099484278822174E-2</v>
      </c>
      <c r="BT79" s="46">
        <f t="shared" si="574"/>
        <v>8.5003626840841146E-2</v>
      </c>
      <c r="BU79" s="46">
        <f t="shared" si="574"/>
        <v>8.0877066858375275E-3</v>
      </c>
      <c r="BV79" s="46">
        <f t="shared" si="574"/>
        <v>9.2653911825462017E-3</v>
      </c>
      <c r="BW79" s="46">
        <f t="shared" si="574"/>
        <v>3.1627372052903963E-3</v>
      </c>
      <c r="BX79" s="46">
        <f t="shared" si="574"/>
        <v>6.6258851834273911E-3</v>
      </c>
      <c r="BY79" s="46">
        <f t="shared" si="574"/>
        <v>1.4501049418049992E-2</v>
      </c>
      <c r="BZ79" s="46">
        <f t="shared" si="574"/>
        <v>2.432582298861E-2</v>
      </c>
      <c r="CA79" s="46">
        <f t="shared" si="574"/>
        <v>6.6326192213305032E-4</v>
      </c>
      <c r="CB79" s="46">
        <f t="shared" si="574"/>
        <v>6.1641690348982524E-3</v>
      </c>
      <c r="CC79" s="46">
        <f t="shared" si="574"/>
        <v>2.2007158955322813E-2</v>
      </c>
      <c r="CD79" s="46">
        <f t="shared" si="574"/>
        <v>2.4423826842671401E-2</v>
      </c>
      <c r="CE79" s="46">
        <f t="shared" si="574"/>
        <v>1.6963364293085655E-2</v>
      </c>
      <c r="CF79" s="46">
        <f t="shared" si="574"/>
        <v>1.0373875132304739E-2</v>
      </c>
      <c r="CG79" s="46">
        <f t="shared" si="574"/>
        <v>2.4810826542491268E-2</v>
      </c>
      <c r="CH79" s="46">
        <f t="shared" si="574"/>
        <v>2.4383343814752257E-2</v>
      </c>
      <c r="CI79" s="46">
        <f t="shared" si="574"/>
        <v>2.017306088407006E-2</v>
      </c>
      <c r="CJ79" s="46">
        <f t="shared" si="574"/>
        <v>1.0210374493653621E-2</v>
      </c>
      <c r="CK79" s="46">
        <f t="shared" si="574"/>
        <v>2.6349981809677254E-2</v>
      </c>
      <c r="CL79" s="46">
        <f t="shared" si="574"/>
        <v>1.1315888554516594E-2</v>
      </c>
      <c r="CM79" s="47">
        <f t="shared" ref="CM79" si="575">+CL79</f>
        <v>1.1315888554516594E-2</v>
      </c>
      <c r="CN79" s="47">
        <f t="shared" ref="CN79" si="576">+CM79</f>
        <v>1.1315888554516594E-2</v>
      </c>
      <c r="CO79" s="47">
        <f t="shared" ref="CO79" si="577">+CN79</f>
        <v>1.1315888554516594E-2</v>
      </c>
      <c r="CP79" s="47">
        <f t="shared" ref="CP79" si="578">+CO79</f>
        <v>1.1315888554516594E-2</v>
      </c>
      <c r="CQ79" s="47">
        <v>0.01</v>
      </c>
      <c r="CR79" s="47">
        <f t="shared" ref="CR79" si="579">+CQ79</f>
        <v>0.01</v>
      </c>
      <c r="CS79" s="47">
        <f t="shared" ref="CS79" si="580">+CR79</f>
        <v>0.01</v>
      </c>
      <c r="CT79" s="47">
        <f t="shared" ref="CT79" si="581">+CS79</f>
        <v>0.01</v>
      </c>
      <c r="CU79" s="47">
        <f t="shared" ref="CU79" si="582">+CT79</f>
        <v>0.01</v>
      </c>
      <c r="CV79" s="47">
        <f t="shared" ref="CV79" si="583">+CU79</f>
        <v>0.01</v>
      </c>
      <c r="CW79" s="47">
        <f t="shared" ref="CW79" si="584">+CV79</f>
        <v>0.01</v>
      </c>
      <c r="CX79" s="47">
        <f t="shared" ref="CX79" si="585">+CW79</f>
        <v>0.01</v>
      </c>
      <c r="CY79" s="47">
        <f t="shared" ref="CY79" si="586">+CX79</f>
        <v>0.01</v>
      </c>
      <c r="CZ79" s="47">
        <f t="shared" ref="CZ79" si="587">+CY79</f>
        <v>0.01</v>
      </c>
      <c r="DA79" s="47">
        <f t="shared" ref="DA79" si="588">+CZ79</f>
        <v>0.01</v>
      </c>
      <c r="DB79" s="47">
        <f t="shared" ref="DB79" si="589">+DA79</f>
        <v>0.01</v>
      </c>
      <c r="DE79" s="130"/>
      <c r="DF79" s="46">
        <v>1.4999999999999999E-2</v>
      </c>
    </row>
    <row r="80" spans="1:110" s="26" customFormat="1" x14ac:dyDescent="0.2">
      <c r="A80" s="26" t="s">
        <v>20</v>
      </c>
      <c r="B80" s="26">
        <f>B76+B77-B78</f>
        <v>0</v>
      </c>
      <c r="C80" s="26">
        <f t="shared" ref="C80:T80" si="590">C76+C77-C78</f>
        <v>0</v>
      </c>
      <c r="D80" s="26">
        <f>D76+D77-D78</f>
        <v>0</v>
      </c>
      <c r="E80" s="26">
        <f t="shared" si="590"/>
        <v>0</v>
      </c>
      <c r="F80" s="26">
        <f t="shared" si="590"/>
        <v>0</v>
      </c>
      <c r="G80" s="26">
        <f t="shared" si="590"/>
        <v>0</v>
      </c>
      <c r="H80" s="26">
        <f t="shared" si="590"/>
        <v>3.2846317999999957</v>
      </c>
      <c r="I80" s="26">
        <f t="shared" si="590"/>
        <v>31.123765299999992</v>
      </c>
      <c r="J80" s="26">
        <f t="shared" si="590"/>
        <v>11.772233600000002</v>
      </c>
      <c r="K80" s="26">
        <f t="shared" si="590"/>
        <v>33.135063499999994</v>
      </c>
      <c r="L80" s="26">
        <f t="shared" si="590"/>
        <v>37.626999999999988</v>
      </c>
      <c r="M80" s="26">
        <f t="shared" si="590"/>
        <v>52.012999999999984</v>
      </c>
      <c r="N80" s="26">
        <f t="shared" si="590"/>
        <v>77.873999999999995</v>
      </c>
      <c r="O80" s="26">
        <f t="shared" si="590"/>
        <v>68.895000000000024</v>
      </c>
      <c r="P80" s="26">
        <f t="shared" si="590"/>
        <v>67.616</v>
      </c>
      <c r="Q80" s="26">
        <f t="shared" si="590"/>
        <v>81.803000000000011</v>
      </c>
      <c r="R80" s="26">
        <f t="shared" si="590"/>
        <v>109.10700000000001</v>
      </c>
      <c r="S80" s="26">
        <f t="shared" si="590"/>
        <v>147.17999999999998</v>
      </c>
      <c r="T80" s="26">
        <f t="shared" si="590"/>
        <v>137.39999999999998</v>
      </c>
      <c r="U80" s="26">
        <f t="shared" ref="U80:Z80" si="591">U76+U77-U78</f>
        <v>146.47999999999996</v>
      </c>
      <c r="V80" s="26">
        <f t="shared" si="591"/>
        <v>152.54</v>
      </c>
      <c r="W80" s="26">
        <f t="shared" si="591"/>
        <v>227.9</v>
      </c>
      <c r="X80" s="26">
        <f t="shared" si="591"/>
        <v>87.40999999999994</v>
      </c>
      <c r="Y80" s="26">
        <f t="shared" si="591"/>
        <v>95.589999999999947</v>
      </c>
      <c r="Z80" s="26">
        <f t="shared" si="591"/>
        <v>146.88000000000011</v>
      </c>
      <c r="AA80" s="26">
        <f t="shared" ref="AA80" si="592">AA76+AA77-AA78</f>
        <v>217.65999999999997</v>
      </c>
      <c r="AB80" s="27">
        <f t="shared" ref="AB80:AD80" si="593">AB76+AB77-AB78</f>
        <v>265.80472419865487</v>
      </c>
      <c r="AC80" s="27">
        <f t="shared" si="593"/>
        <v>338.63962820264953</v>
      </c>
      <c r="AD80" s="27">
        <f t="shared" si="593"/>
        <v>420.50383669203495</v>
      </c>
      <c r="AE80" s="27">
        <f t="shared" ref="AE80" si="594">AE76+AE77-AE78</f>
        <v>517.81854142703196</v>
      </c>
      <c r="AI80" s="26">
        <f>AI76+AI77-AI78</f>
        <v>0</v>
      </c>
      <c r="AJ80" s="26">
        <f t="shared" ref="AJ80" si="595">AJ76+AJ77-AJ78</f>
        <v>0</v>
      </c>
      <c r="AK80" s="26">
        <f t="shared" ref="AK80:AM80" si="596">AK76+AK77-AK78</f>
        <v>0</v>
      </c>
      <c r="AL80" s="26">
        <f t="shared" si="596"/>
        <v>0</v>
      </c>
      <c r="AM80" s="26">
        <f t="shared" si="596"/>
        <v>0</v>
      </c>
      <c r="AN80" s="26">
        <f t="shared" ref="AN80:AO80" si="597">AN76+AN77-AN78</f>
        <v>0</v>
      </c>
      <c r="AO80" s="26">
        <f t="shared" si="597"/>
        <v>0</v>
      </c>
      <c r="AP80" s="26">
        <f t="shared" ref="AP80:CD80" si="598">AP76+AP77-AP78</f>
        <v>0</v>
      </c>
      <c r="AQ80" s="26">
        <f t="shared" si="598"/>
        <v>0</v>
      </c>
      <c r="AR80" s="26">
        <f t="shared" si="598"/>
        <v>0</v>
      </c>
      <c r="AS80" s="26">
        <f t="shared" si="598"/>
        <v>0</v>
      </c>
      <c r="AT80" s="26">
        <f t="shared" si="598"/>
        <v>0</v>
      </c>
      <c r="AU80" s="26">
        <f t="shared" si="598"/>
        <v>16.653999999999996</v>
      </c>
      <c r="AV80" s="26">
        <f t="shared" si="598"/>
        <v>24.881</v>
      </c>
      <c r="AW80" s="26">
        <f t="shared" si="598"/>
        <v>18.445000000000007</v>
      </c>
      <c r="AX80" s="26">
        <f t="shared" si="598"/>
        <v>21.824999999999996</v>
      </c>
      <c r="AY80" s="26">
        <f t="shared" si="598"/>
        <v>25.808</v>
      </c>
      <c r="AZ80" s="26">
        <f t="shared" si="598"/>
        <v>29.123999999999999</v>
      </c>
      <c r="BA80" s="26">
        <f t="shared" si="598"/>
        <v>25.433000000000003</v>
      </c>
      <c r="BB80" s="26">
        <f t="shared" si="598"/>
        <v>28.742000000000001</v>
      </c>
      <c r="BC80" s="26">
        <f t="shared" si="598"/>
        <v>36.68</v>
      </c>
      <c r="BD80" s="26">
        <f t="shared" si="598"/>
        <v>34.346000000000004</v>
      </c>
      <c r="BE80" s="26">
        <f t="shared" si="598"/>
        <v>33.810000000000009</v>
      </c>
      <c r="BF80" s="26">
        <f t="shared" si="598"/>
        <v>42.34</v>
      </c>
      <c r="BG80" s="26">
        <f t="shared" si="598"/>
        <v>37.67</v>
      </c>
      <c r="BH80" s="26">
        <f t="shared" si="598"/>
        <v>38.67</v>
      </c>
      <c r="BI80" s="26">
        <f t="shared" si="598"/>
        <v>31.820000000000004</v>
      </c>
      <c r="BJ80" s="26">
        <f t="shared" si="598"/>
        <v>29.240000000000002</v>
      </c>
      <c r="BK80" s="26">
        <f t="shared" si="598"/>
        <v>40.150000000000006</v>
      </c>
      <c r="BL80" s="26">
        <f t="shared" si="598"/>
        <v>45.780000000000008</v>
      </c>
      <c r="BM80" s="26">
        <f t="shared" si="598"/>
        <v>36.400000000000013</v>
      </c>
      <c r="BN80" s="26">
        <f t="shared" si="598"/>
        <v>24.159999999999997</v>
      </c>
      <c r="BO80" s="26">
        <f t="shared" si="598"/>
        <v>2.390000000000001</v>
      </c>
      <c r="BP80" s="26">
        <f t="shared" si="598"/>
        <v>58.910000000000004</v>
      </c>
      <c r="BQ80" s="26">
        <f t="shared" si="598"/>
        <v>44.060000000000016</v>
      </c>
      <c r="BR80" s="26">
        <f t="shared" si="598"/>
        <v>47.45000000000001</v>
      </c>
      <c r="BS80" s="26">
        <f t="shared" si="598"/>
        <v>73.809999999999988</v>
      </c>
      <c r="BT80" s="26">
        <f t="shared" si="598"/>
        <v>95.63</v>
      </c>
      <c r="BU80" s="26">
        <f t="shared" si="598"/>
        <v>28.900000000000009</v>
      </c>
      <c r="BV80" s="26">
        <f t="shared" si="598"/>
        <v>29.499999999999986</v>
      </c>
      <c r="BW80" s="26">
        <f t="shared" si="598"/>
        <v>27.750000000000025</v>
      </c>
      <c r="BX80" s="26">
        <f t="shared" si="598"/>
        <v>23.510000000000009</v>
      </c>
      <c r="BY80" s="26">
        <f t="shared" si="598"/>
        <v>19.230000000000004</v>
      </c>
      <c r="BZ80" s="26">
        <f t="shared" si="598"/>
        <v>16.920000000000009</v>
      </c>
      <c r="CA80" s="26">
        <f t="shared" si="598"/>
        <v>24.780000000000008</v>
      </c>
      <c r="CB80" s="26">
        <f t="shared" si="598"/>
        <v>27.91</v>
      </c>
      <c r="CC80" s="26">
        <f t="shared" si="598"/>
        <v>19.780000000000033</v>
      </c>
      <c r="CD80" s="26">
        <f t="shared" si="598"/>
        <v>23.12</v>
      </c>
      <c r="CE80" s="26">
        <f t="shared" ref="CE80:CF80" si="599">CE76+CE77-CE78</f>
        <v>33.909999999999982</v>
      </c>
      <c r="CF80" s="26">
        <f t="shared" si="599"/>
        <v>37.070000000000007</v>
      </c>
      <c r="CG80" s="26">
        <f t="shared" ref="CG80:CH80" si="600">CG76+CG77-CG78</f>
        <v>28.080000000000005</v>
      </c>
      <c r="CH80" s="26">
        <f t="shared" si="600"/>
        <v>47.819999999999965</v>
      </c>
      <c r="CI80" s="26">
        <f t="shared" ref="CI80:CJ80" si="601">CI76+CI77-CI78</f>
        <v>50.230000000000011</v>
      </c>
      <c r="CJ80" s="26">
        <f t="shared" si="601"/>
        <v>62.29999999999999</v>
      </c>
      <c r="CK80" s="26">
        <f t="shared" ref="CK80:CL80" si="602">CK76+CK77-CK78</f>
        <v>41.270000000000024</v>
      </c>
      <c r="CL80" s="26">
        <f t="shared" si="602"/>
        <v>63.849999999999945</v>
      </c>
      <c r="CM80" s="27">
        <f t="shared" ref="CM80:DB80" si="603">CM76+CM77-CM78</f>
        <v>58.864887054538073</v>
      </c>
      <c r="CN80" s="27">
        <f t="shared" si="603"/>
        <v>69.482920286448703</v>
      </c>
      <c r="CO80" s="27">
        <f t="shared" si="603"/>
        <v>62.131490390291894</v>
      </c>
      <c r="CP80" s="27">
        <f t="shared" si="603"/>
        <v>75.325426467376161</v>
      </c>
      <c r="CQ80" s="27">
        <f t="shared" si="603"/>
        <v>76.053783122672456</v>
      </c>
      <c r="CR80" s="27">
        <f t="shared" si="603"/>
        <v>88.131662720875738</v>
      </c>
      <c r="CS80" s="27">
        <f t="shared" si="603"/>
        <v>79.903943678897818</v>
      </c>
      <c r="CT80" s="27">
        <f t="shared" si="603"/>
        <v>94.550238680203478</v>
      </c>
      <c r="CU80" s="27">
        <f t="shared" si="603"/>
        <v>95.537240718815426</v>
      </c>
      <c r="CV80" s="27">
        <f t="shared" si="603"/>
        <v>109.56220189882681</v>
      </c>
      <c r="CW80" s="27">
        <f t="shared" si="603"/>
        <v>99.339711559867183</v>
      </c>
      <c r="CX80" s="27">
        <f t="shared" si="603"/>
        <v>116.06468251452549</v>
      </c>
      <c r="CY80" s="27">
        <f t="shared" si="603"/>
        <v>118.2061048583666</v>
      </c>
      <c r="CZ80" s="27">
        <f t="shared" si="603"/>
        <v>134.76830568275693</v>
      </c>
      <c r="DA80" s="27">
        <f t="shared" si="603"/>
        <v>122.45916430166176</v>
      </c>
      <c r="DB80" s="27">
        <f t="shared" si="603"/>
        <v>142.38496658424668</v>
      </c>
      <c r="DE80" s="121"/>
      <c r="DF80" s="26">
        <v>52.831998385461141</v>
      </c>
    </row>
    <row r="81" spans="1:110" s="23" customFormat="1" x14ac:dyDescent="0.2">
      <c r="A81" s="23" t="s">
        <v>21</v>
      </c>
      <c r="B81" s="23">
        <f>'Annual Raw'!C30</f>
        <v>0</v>
      </c>
      <c r="C81" s="23">
        <f>'Annual Raw'!D30</f>
        <v>0</v>
      </c>
      <c r="D81" s="23">
        <f>'Annual Raw'!E30</f>
        <v>0</v>
      </c>
      <c r="E81" s="23">
        <f>'Annual Raw'!F30</f>
        <v>0</v>
      </c>
      <c r="F81" s="23">
        <f>'Annual Raw'!G30</f>
        <v>0</v>
      </c>
      <c r="G81" s="23">
        <f>'Annual Raw'!H30</f>
        <v>0</v>
      </c>
      <c r="H81" s="23">
        <f>'Annual Raw'!I30</f>
        <v>0.97333510000000001</v>
      </c>
      <c r="I81" s="23">
        <f>'Annual Raw'!J30</f>
        <v>9.2206065000000006</v>
      </c>
      <c r="J81" s="23">
        <f>'Annual Raw'!K30</f>
        <v>4.1088893999999998</v>
      </c>
      <c r="K81" s="23">
        <f>'Annual Raw'!L30</f>
        <v>9.9990962000000003</v>
      </c>
      <c r="L81" s="23">
        <f>'Annual Raw'!M30</f>
        <v>12.802</v>
      </c>
      <c r="M81" s="23">
        <f>'Annual Raw'!N30</f>
        <v>17.07</v>
      </c>
      <c r="N81" s="23">
        <f>'Annual Raw'!O30</f>
        <v>21.055</v>
      </c>
      <c r="O81" s="23">
        <f>'Annual Raw'!P30</f>
        <v>22.739000000000001</v>
      </c>
      <c r="P81" s="23">
        <f>'Annual Raw'!Q30</f>
        <v>23.577999999999999</v>
      </c>
      <c r="Q81" s="23">
        <f>'Annual Raw'!R30</f>
        <v>30.003</v>
      </c>
      <c r="R81" s="23">
        <f>'Annual Raw'!S30</f>
        <v>38.829000000000001</v>
      </c>
      <c r="S81" s="23">
        <f>'Annual Raw'!T30</f>
        <v>51.71</v>
      </c>
      <c r="T81" s="23">
        <f>'Annual Raw'!U30</f>
        <v>52.92</v>
      </c>
      <c r="U81" s="23">
        <f>'Annual Raw'!V30</f>
        <v>52.01</v>
      </c>
      <c r="V81" s="23">
        <f>'Annual Raw'!W30</f>
        <v>39.32</v>
      </c>
      <c r="W81" s="23">
        <f>'Annual Raw'!X30</f>
        <v>51.58</v>
      </c>
      <c r="X81" s="23">
        <f>'Annual Raw'!Y30</f>
        <v>24.23</v>
      </c>
      <c r="Y81" s="23">
        <f>'Annual Raw'!Z30</f>
        <v>26.49</v>
      </c>
      <c r="Z81" s="23">
        <f>'Annual Raw'!AA30</f>
        <v>54.69</v>
      </c>
      <c r="AA81" s="23">
        <f>'Annual Raw'!AB30</f>
        <v>50.03</v>
      </c>
      <c r="AB81" s="24">
        <f>+SUM(CM81:CP81)</f>
        <v>66.451181049663717</v>
      </c>
      <c r="AC81" s="24">
        <f>+SUM(CQ81:CT81)</f>
        <v>84.659907050662383</v>
      </c>
      <c r="AD81" s="24">
        <f>+SUM(CU81:CX81)</f>
        <v>105.12595917300872</v>
      </c>
      <c r="AE81" s="24">
        <f>+SUM(CY81:DB81)</f>
        <v>129.45463535675799</v>
      </c>
      <c r="AI81" s="23">
        <f>'QTR Raw'!C29</f>
        <v>0</v>
      </c>
      <c r="AJ81" s="23">
        <f>'QTR Raw'!D29</f>
        <v>0</v>
      </c>
      <c r="AK81" s="23">
        <f>'QTR Raw'!E29</f>
        <v>0</v>
      </c>
      <c r="AL81" s="23">
        <f>'QTR Raw'!F29</f>
        <v>0</v>
      </c>
      <c r="AM81" s="23">
        <f>'QTR Raw'!G29</f>
        <v>0</v>
      </c>
      <c r="AN81" s="23">
        <f>'QTR Raw'!H29</f>
        <v>0</v>
      </c>
      <c r="AO81" s="23">
        <f>'QTR Raw'!I29</f>
        <v>0</v>
      </c>
      <c r="AP81" s="23">
        <f>'QTR Raw'!J29</f>
        <v>0</v>
      </c>
      <c r="AQ81" s="23">
        <f>'QTR Raw'!K29</f>
        <v>0</v>
      </c>
      <c r="AR81" s="23">
        <f>'QTR Raw'!L29</f>
        <v>0</v>
      </c>
      <c r="AS81" s="23">
        <f>'QTR Raw'!M29</f>
        <v>0</v>
      </c>
      <c r="AT81" s="23">
        <f>'QTR Raw'!N29</f>
        <v>0</v>
      </c>
      <c r="AU81" s="23">
        <f>'QTR Raw'!O29</f>
        <v>5.8390000000000004</v>
      </c>
      <c r="AV81" s="23">
        <f>'QTR Raw'!P29</f>
        <v>8.6449999999999996</v>
      </c>
      <c r="AW81" s="23">
        <f>'QTR Raw'!Q29</f>
        <v>7.6310000000000002</v>
      </c>
      <c r="AX81" s="23">
        <f>'QTR Raw'!R29</f>
        <v>7.8890000000000002</v>
      </c>
      <c r="AY81" s="23">
        <f>'QTR Raw'!S29</f>
        <v>8.73</v>
      </c>
      <c r="AZ81" s="23">
        <f>'QTR Raw'!T29</f>
        <v>11.43</v>
      </c>
      <c r="BA81" s="23">
        <f>'QTR Raw'!U29</f>
        <v>9.3780000000000001</v>
      </c>
      <c r="BB81" s="23">
        <f>'QTR Raw'!V29</f>
        <v>9.3030000000000008</v>
      </c>
      <c r="BC81" s="23">
        <f>'QTR Raw'!W29</f>
        <v>12.62</v>
      </c>
      <c r="BD81" s="23">
        <f>'QTR Raw'!X29</f>
        <v>9.5500000000000007</v>
      </c>
      <c r="BE81" s="23">
        <f>'QTR Raw'!Y29</f>
        <v>12.34</v>
      </c>
      <c r="BF81" s="23">
        <f>'QTR Raw'!Z29</f>
        <v>17.21</v>
      </c>
      <c r="BG81" s="23">
        <f>'QTR Raw'!AA29</f>
        <v>14.23</v>
      </c>
      <c r="BH81" s="23">
        <f>'QTR Raw'!AB29</f>
        <v>13.86</v>
      </c>
      <c r="BI81" s="23">
        <f>'QTR Raw'!AC29</f>
        <v>11.84</v>
      </c>
      <c r="BJ81" s="23">
        <f>'QTR Raw'!AD29</f>
        <v>12.99</v>
      </c>
      <c r="BK81" s="23">
        <f>'QTR Raw'!AE29</f>
        <v>12.86</v>
      </c>
      <c r="BL81" s="23">
        <f>'QTR Raw'!AF29</f>
        <v>11</v>
      </c>
      <c r="BM81" s="23">
        <f>'QTR Raw'!AG29</f>
        <v>8.99</v>
      </c>
      <c r="BN81" s="23">
        <f>'QTR Raw'!AH29</f>
        <v>19.16</v>
      </c>
      <c r="BO81" s="23">
        <f>'QTR Raw'!AI29</f>
        <v>1.9</v>
      </c>
      <c r="BP81" s="23">
        <f>'QTR Raw'!AJ29</f>
        <v>15.81</v>
      </c>
      <c r="BQ81" s="23">
        <f>'QTR Raw'!AK29</f>
        <v>11.73</v>
      </c>
      <c r="BR81" s="23">
        <f>'QTR Raw'!AL29</f>
        <v>9.8800000000000008</v>
      </c>
      <c r="BS81" s="23">
        <f>'QTR Raw'!AM29</f>
        <v>17.940000000000001</v>
      </c>
      <c r="BT81" s="23">
        <f>'QTR Raw'!AN29</f>
        <v>17.71</v>
      </c>
      <c r="BU81" s="23">
        <f>'QTR Raw'!AO29</f>
        <v>7.2</v>
      </c>
      <c r="BV81" s="23">
        <f>'QTR Raw'!AP29</f>
        <v>8.7799999999999994</v>
      </c>
      <c r="BW81" s="23">
        <f>'QTR Raw'!AQ29</f>
        <v>6.28</v>
      </c>
      <c r="BX81" s="23">
        <f>'QTR Raw'!AR29</f>
        <v>8.18</v>
      </c>
      <c r="BY81" s="23">
        <f>'QTR Raw'!AS29</f>
        <v>5.0199999999999996</v>
      </c>
      <c r="BZ81" s="23">
        <f>'QTR Raw'!AT29</f>
        <v>4.75</v>
      </c>
      <c r="CA81" s="23">
        <f>'QTR Raw'!AU29</f>
        <v>7.65</v>
      </c>
      <c r="CB81" s="23">
        <f>'QTR Raw'!AV29</f>
        <v>7.94</v>
      </c>
      <c r="CC81" s="23">
        <f>'QTR Raw'!AW29</f>
        <v>5.17</v>
      </c>
      <c r="CD81" s="23">
        <f>'QTR Raw'!AX29</f>
        <v>5.72</v>
      </c>
      <c r="CE81" s="23">
        <f>'QTR Raw'!AY29</f>
        <v>9.61</v>
      </c>
      <c r="CF81" s="23">
        <f>'QTR Raw'!AZ29</f>
        <v>10.36</v>
      </c>
      <c r="CG81" s="23">
        <f>'QTR Raw'!BA29</f>
        <v>8.9700000000000006</v>
      </c>
      <c r="CH81" s="23">
        <f>'QTR Raw'!BB29</f>
        <v>25.62</v>
      </c>
      <c r="CI81" s="23">
        <f>'QTR Raw'!BC29</f>
        <v>12.19</v>
      </c>
      <c r="CJ81" s="23">
        <f>'QTR Raw'!BD29</f>
        <v>14.77</v>
      </c>
      <c r="CK81" s="23">
        <f>'QTR Raw'!BE29</f>
        <v>7.34</v>
      </c>
      <c r="CL81" s="23">
        <f>'QTR Raw'!BF29</f>
        <v>15.73</v>
      </c>
      <c r="CM81" s="24">
        <f t="shared" ref="CM81:DB81" si="604">+CM80*CM82</f>
        <v>14.716221763634518</v>
      </c>
      <c r="CN81" s="24">
        <f t="shared" si="604"/>
        <v>17.370730071612176</v>
      </c>
      <c r="CO81" s="24">
        <f t="shared" si="604"/>
        <v>15.532872597572974</v>
      </c>
      <c r="CP81" s="24">
        <f t="shared" si="604"/>
        <v>18.83135661684404</v>
      </c>
      <c r="CQ81" s="24">
        <f t="shared" si="604"/>
        <v>19.013445780668114</v>
      </c>
      <c r="CR81" s="24">
        <f t="shared" si="604"/>
        <v>22.032915680218935</v>
      </c>
      <c r="CS81" s="24">
        <f t="shared" si="604"/>
        <v>19.975985919724454</v>
      </c>
      <c r="CT81" s="24">
        <f t="shared" si="604"/>
        <v>23.637559670050869</v>
      </c>
      <c r="CU81" s="24">
        <f t="shared" si="604"/>
        <v>23.884310179703856</v>
      </c>
      <c r="CV81" s="24">
        <f t="shared" si="604"/>
        <v>27.390550474706703</v>
      </c>
      <c r="CW81" s="24">
        <f t="shared" si="604"/>
        <v>24.834927889966796</v>
      </c>
      <c r="CX81" s="24">
        <f t="shared" si="604"/>
        <v>29.016170628631372</v>
      </c>
      <c r="CY81" s="24">
        <f t="shared" si="604"/>
        <v>29.55152621459165</v>
      </c>
      <c r="CZ81" s="24">
        <f t="shared" si="604"/>
        <v>33.692076420689233</v>
      </c>
      <c r="DA81" s="24">
        <f t="shared" si="604"/>
        <v>30.61479107541544</v>
      </c>
      <c r="DB81" s="24">
        <f t="shared" si="604"/>
        <v>35.596241646061671</v>
      </c>
      <c r="DE81" s="123"/>
      <c r="DF81" s="23">
        <v>13.207999596365285</v>
      </c>
    </row>
    <row r="82" spans="1:110" s="90" customFormat="1" x14ac:dyDescent="0.2">
      <c r="A82" s="90" t="s">
        <v>106</v>
      </c>
      <c r="B82" s="90" t="e">
        <f t="shared" ref="B82:E82" si="605">B81/B80</f>
        <v>#DIV/0!</v>
      </c>
      <c r="C82" s="90" t="e">
        <f t="shared" si="605"/>
        <v>#DIV/0!</v>
      </c>
      <c r="D82" s="90" t="e">
        <f t="shared" si="605"/>
        <v>#DIV/0!</v>
      </c>
      <c r="E82" s="90" t="e">
        <f t="shared" si="605"/>
        <v>#DIV/0!</v>
      </c>
      <c r="F82" s="90" t="e">
        <f t="shared" ref="F82:T82" si="606">F81/F80</f>
        <v>#DIV/0!</v>
      </c>
      <c r="G82" s="90" t="e">
        <f t="shared" si="606"/>
        <v>#DIV/0!</v>
      </c>
      <c r="H82" s="90">
        <f t="shared" si="606"/>
        <v>0.29633004831774484</v>
      </c>
      <c r="I82" s="90">
        <f t="shared" si="606"/>
        <v>0.29625613774950305</v>
      </c>
      <c r="J82" s="90">
        <f t="shared" si="606"/>
        <v>0.34903226860873704</v>
      </c>
      <c r="K82" s="90">
        <f t="shared" si="606"/>
        <v>0.30176782971911315</v>
      </c>
      <c r="L82" s="90">
        <f t="shared" si="606"/>
        <v>0.34023440614452399</v>
      </c>
      <c r="M82" s="90">
        <f t="shared" si="606"/>
        <v>0.32818718397323754</v>
      </c>
      <c r="N82" s="90">
        <f t="shared" si="606"/>
        <v>0.270372653260395</v>
      </c>
      <c r="O82" s="90">
        <f t="shared" si="606"/>
        <v>0.33005297917120247</v>
      </c>
      <c r="P82" s="90">
        <f t="shared" si="606"/>
        <v>0.34870444865120681</v>
      </c>
      <c r="Q82" s="90">
        <f t="shared" si="606"/>
        <v>0.36677138980232993</v>
      </c>
      <c r="R82" s="90">
        <f t="shared" si="606"/>
        <v>0.35588000769886435</v>
      </c>
      <c r="S82" s="90">
        <f t="shared" si="606"/>
        <v>0.35133849707840747</v>
      </c>
      <c r="T82" s="90">
        <f t="shared" si="606"/>
        <v>0.38515283842794767</v>
      </c>
      <c r="U82" s="90">
        <f t="shared" ref="U82:Z82" si="607">U81/U80</f>
        <v>0.35506553795740042</v>
      </c>
      <c r="V82" s="90">
        <f t="shared" si="607"/>
        <v>0.25776845417595384</v>
      </c>
      <c r="W82" s="90">
        <f t="shared" si="607"/>
        <v>0.22632733655111889</v>
      </c>
      <c r="X82" s="90">
        <f t="shared" si="607"/>
        <v>0.27719940510239122</v>
      </c>
      <c r="Y82" s="90">
        <f t="shared" si="607"/>
        <v>0.27712103776545677</v>
      </c>
      <c r="Z82" s="90">
        <f t="shared" si="607"/>
        <v>0.3723447712418298</v>
      </c>
      <c r="AA82" s="90">
        <f t="shared" ref="AA82" si="608">AA81/AA80</f>
        <v>0.22985390057888455</v>
      </c>
      <c r="AB82" s="91">
        <f t="shared" ref="AA82:AD82" si="609">AB81/AB80</f>
        <v>0.25</v>
      </c>
      <c r="AC82" s="91">
        <f t="shared" si="609"/>
        <v>0.25</v>
      </c>
      <c r="AD82" s="91">
        <f t="shared" si="609"/>
        <v>0.24999999999999997</v>
      </c>
      <c r="AE82" s="91">
        <f t="shared" ref="AE82" si="610">AE81/AE80</f>
        <v>0.25</v>
      </c>
      <c r="AI82" s="90" t="e">
        <f t="shared" ref="AI82" si="611">AI81/AI80</f>
        <v>#DIV/0!</v>
      </c>
      <c r="AJ82" s="90" t="e">
        <f t="shared" ref="AJ82" si="612">AJ81/AJ80</f>
        <v>#DIV/0!</v>
      </c>
      <c r="AK82" s="90" t="e">
        <f t="shared" ref="AK82:AM82" si="613">AK81/AK80</f>
        <v>#DIV/0!</v>
      </c>
      <c r="AL82" s="90" t="e">
        <f t="shared" si="613"/>
        <v>#DIV/0!</v>
      </c>
      <c r="AM82" s="90" t="e">
        <f t="shared" si="613"/>
        <v>#DIV/0!</v>
      </c>
      <c r="AN82" s="90" t="e">
        <f t="shared" ref="AN82:AO82" si="614">AN81/AN80</f>
        <v>#DIV/0!</v>
      </c>
      <c r="AO82" s="90" t="e">
        <f t="shared" si="614"/>
        <v>#DIV/0!</v>
      </c>
      <c r="AP82" s="90" t="e">
        <f t="shared" ref="AP82:CD82" si="615">AP81/AP80</f>
        <v>#DIV/0!</v>
      </c>
      <c r="AQ82" s="90" t="e">
        <f t="shared" si="615"/>
        <v>#DIV/0!</v>
      </c>
      <c r="AR82" s="90" t="e">
        <f t="shared" si="615"/>
        <v>#DIV/0!</v>
      </c>
      <c r="AS82" s="90" t="e">
        <f t="shared" si="615"/>
        <v>#DIV/0!</v>
      </c>
      <c r="AT82" s="90" t="e">
        <f t="shared" si="615"/>
        <v>#DIV/0!</v>
      </c>
      <c r="AU82" s="90">
        <f t="shared" si="615"/>
        <v>0.35060646091029191</v>
      </c>
      <c r="AV82" s="90">
        <f t="shared" si="615"/>
        <v>0.34745388047104214</v>
      </c>
      <c r="AW82" s="90">
        <f t="shared" si="615"/>
        <v>0.41371645432366477</v>
      </c>
      <c r="AX82" s="90">
        <f t="shared" si="615"/>
        <v>0.36146620847651784</v>
      </c>
      <c r="AY82" s="90">
        <f t="shared" si="615"/>
        <v>0.33826720396776194</v>
      </c>
      <c r="AZ82" s="90">
        <f t="shared" si="615"/>
        <v>0.39245982694684795</v>
      </c>
      <c r="BA82" s="90">
        <f t="shared" si="615"/>
        <v>0.36873353517084101</v>
      </c>
      <c r="BB82" s="90">
        <f t="shared" si="615"/>
        <v>0.32367267413541162</v>
      </c>
      <c r="BC82" s="90">
        <f t="shared" si="615"/>
        <v>0.34405670665212645</v>
      </c>
      <c r="BD82" s="90">
        <f t="shared" si="615"/>
        <v>0.27805275723519479</v>
      </c>
      <c r="BE82" s="90">
        <f t="shared" si="615"/>
        <v>0.36498077491866299</v>
      </c>
      <c r="BF82" s="90">
        <f t="shared" si="615"/>
        <v>0.4064714218233349</v>
      </c>
      <c r="BG82" s="90">
        <f t="shared" si="615"/>
        <v>0.37775418104592512</v>
      </c>
      <c r="BH82" s="90">
        <f t="shared" si="615"/>
        <v>0.35841737781225752</v>
      </c>
      <c r="BI82" s="90">
        <f t="shared" si="615"/>
        <v>0.37209302325581389</v>
      </c>
      <c r="BJ82" s="90">
        <f t="shared" si="615"/>
        <v>0.44425444596443225</v>
      </c>
      <c r="BK82" s="90">
        <f t="shared" si="615"/>
        <v>0.32029887920298872</v>
      </c>
      <c r="BL82" s="90">
        <f t="shared" si="615"/>
        <v>0.24027959807776317</v>
      </c>
      <c r="BM82" s="90">
        <f t="shared" si="615"/>
        <v>0.24697802197802191</v>
      </c>
      <c r="BN82" s="90">
        <f t="shared" si="615"/>
        <v>0.79304635761589415</v>
      </c>
      <c r="BO82" s="90">
        <f t="shared" si="615"/>
        <v>0.79497907949790758</v>
      </c>
      <c r="BP82" s="90">
        <f t="shared" si="615"/>
        <v>0.26837548803259209</v>
      </c>
      <c r="BQ82" s="90">
        <f t="shared" si="615"/>
        <v>0.26622787108488416</v>
      </c>
      <c r="BR82" s="90">
        <f t="shared" si="615"/>
        <v>0.20821917808219176</v>
      </c>
      <c r="BS82" s="90">
        <f t="shared" si="615"/>
        <v>0.24305649640970065</v>
      </c>
      <c r="BT82" s="90">
        <f t="shared" si="615"/>
        <v>0.18519293108857054</v>
      </c>
      <c r="BU82" s="90">
        <f t="shared" si="615"/>
        <v>0.24913494809688574</v>
      </c>
      <c r="BV82" s="90">
        <f t="shared" si="615"/>
        <v>0.29762711864406793</v>
      </c>
      <c r="BW82" s="90">
        <f t="shared" si="615"/>
        <v>0.2263063063063061</v>
      </c>
      <c r="BX82" s="90">
        <f t="shared" si="615"/>
        <v>0.3479370480646532</v>
      </c>
      <c r="BY82" s="90">
        <f t="shared" si="615"/>
        <v>0.26105044201768063</v>
      </c>
      <c r="BZ82" s="90">
        <f t="shared" si="615"/>
        <v>0.28073286052009444</v>
      </c>
      <c r="CA82" s="90">
        <f t="shared" si="615"/>
        <v>0.30871670702179166</v>
      </c>
      <c r="CB82" s="90">
        <f t="shared" si="615"/>
        <v>0.28448584736653532</v>
      </c>
      <c r="CC82" s="90">
        <f t="shared" si="615"/>
        <v>0.26137512639029281</v>
      </c>
      <c r="CD82" s="90">
        <f t="shared" si="615"/>
        <v>0.24740484429065743</v>
      </c>
      <c r="CE82" s="90">
        <f t="shared" ref="CE82:CF82" si="616">CE81/CE80</f>
        <v>0.28339722795635519</v>
      </c>
      <c r="CF82" s="90">
        <f t="shared" si="616"/>
        <v>0.27947127056919335</v>
      </c>
      <c r="CG82" s="90">
        <f t="shared" ref="CG82:CH82" si="617">CG81/CG80</f>
        <v>0.31944444444444442</v>
      </c>
      <c r="CH82" s="90">
        <f t="shared" si="617"/>
        <v>0.53575909661229648</v>
      </c>
      <c r="CI82" s="90">
        <f t="shared" ref="CI82:CJ82" si="618">CI81/CI80</f>
        <v>0.24268365518614368</v>
      </c>
      <c r="CJ82" s="90">
        <f t="shared" si="618"/>
        <v>0.2370786516853933</v>
      </c>
      <c r="CK82" s="90">
        <f t="shared" ref="CK82:CL82" si="619">CK81/CK80</f>
        <v>0.17785316210322258</v>
      </c>
      <c r="CL82" s="90">
        <f t="shared" si="619"/>
        <v>0.24635865309318739</v>
      </c>
      <c r="CM82" s="91">
        <v>0.25</v>
      </c>
      <c r="CN82" s="91">
        <v>0.25</v>
      </c>
      <c r="CO82" s="91">
        <v>0.25</v>
      </c>
      <c r="CP82" s="91">
        <v>0.25</v>
      </c>
      <c r="CQ82" s="91">
        <v>0.25</v>
      </c>
      <c r="CR82" s="91">
        <v>0.25</v>
      </c>
      <c r="CS82" s="91">
        <v>0.25</v>
      </c>
      <c r="CT82" s="91">
        <v>0.25</v>
      </c>
      <c r="CU82" s="91">
        <v>0.25</v>
      </c>
      <c r="CV82" s="91">
        <v>0.25</v>
      </c>
      <c r="CW82" s="91">
        <v>0.25</v>
      </c>
      <c r="CX82" s="91">
        <v>0.25</v>
      </c>
      <c r="CY82" s="91">
        <v>0.25</v>
      </c>
      <c r="CZ82" s="91">
        <v>0.25</v>
      </c>
      <c r="DA82" s="91">
        <v>0.25</v>
      </c>
      <c r="DB82" s="91">
        <v>0.25</v>
      </c>
      <c r="DE82" s="127"/>
      <c r="DF82" s="90">
        <v>0.25</v>
      </c>
    </row>
    <row r="83" spans="1:110" s="26" customFormat="1" x14ac:dyDescent="0.2">
      <c r="A83" s="26" t="s">
        <v>22</v>
      </c>
      <c r="B83" s="26">
        <f t="shared" ref="B83:E83" si="620">B80-B81</f>
        <v>0</v>
      </c>
      <c r="C83" s="26">
        <f t="shared" si="620"/>
        <v>0</v>
      </c>
      <c r="D83" s="26">
        <f t="shared" si="620"/>
        <v>0</v>
      </c>
      <c r="E83" s="26">
        <f t="shared" si="620"/>
        <v>0</v>
      </c>
      <c r="F83" s="26">
        <f t="shared" ref="F83:T83" si="621">F80-F81</f>
        <v>0</v>
      </c>
      <c r="G83" s="26">
        <f t="shared" si="621"/>
        <v>0</v>
      </c>
      <c r="H83" s="26">
        <f t="shared" si="621"/>
        <v>2.3112966999999958</v>
      </c>
      <c r="I83" s="26">
        <f t="shared" si="621"/>
        <v>21.903158799999993</v>
      </c>
      <c r="J83" s="26">
        <f t="shared" si="621"/>
        <v>7.6633442000000018</v>
      </c>
      <c r="K83" s="26">
        <f t="shared" si="621"/>
        <v>23.135967299999994</v>
      </c>
      <c r="L83" s="26">
        <f t="shared" si="621"/>
        <v>24.824999999999989</v>
      </c>
      <c r="M83" s="26">
        <f t="shared" si="621"/>
        <v>34.942999999999984</v>
      </c>
      <c r="N83" s="26">
        <f t="shared" si="621"/>
        <v>56.818999999999996</v>
      </c>
      <c r="O83" s="26">
        <f t="shared" si="621"/>
        <v>46.15600000000002</v>
      </c>
      <c r="P83" s="26">
        <f t="shared" si="621"/>
        <v>44.037999999999997</v>
      </c>
      <c r="Q83" s="26">
        <f t="shared" si="621"/>
        <v>51.800000000000011</v>
      </c>
      <c r="R83" s="26">
        <f t="shared" si="621"/>
        <v>70.27800000000002</v>
      </c>
      <c r="S83" s="26">
        <f t="shared" si="621"/>
        <v>95.46999999999997</v>
      </c>
      <c r="T83" s="26">
        <f t="shared" si="621"/>
        <v>84.479999999999976</v>
      </c>
      <c r="U83" s="26">
        <f t="shared" ref="U83:Z83" si="622">U80-U81</f>
        <v>94.46999999999997</v>
      </c>
      <c r="V83" s="26">
        <f t="shared" si="622"/>
        <v>113.22</v>
      </c>
      <c r="W83" s="26">
        <f t="shared" si="622"/>
        <v>176.32</v>
      </c>
      <c r="X83" s="26">
        <f t="shared" si="622"/>
        <v>63.179999999999936</v>
      </c>
      <c r="Y83" s="26">
        <f t="shared" si="622"/>
        <v>69.099999999999952</v>
      </c>
      <c r="Z83" s="26">
        <f t="shared" si="622"/>
        <v>92.190000000000111</v>
      </c>
      <c r="AA83" s="26">
        <f t="shared" ref="AA83" si="623">AA80-AA81</f>
        <v>167.62999999999997</v>
      </c>
      <c r="AB83" s="27">
        <f t="shared" ref="AA83:AD83" si="624">AB80-AB81</f>
        <v>199.35354314899115</v>
      </c>
      <c r="AC83" s="27">
        <f t="shared" si="624"/>
        <v>253.97972115198715</v>
      </c>
      <c r="AD83" s="27">
        <f t="shared" si="624"/>
        <v>315.37787751902624</v>
      </c>
      <c r="AE83" s="27">
        <f t="shared" ref="AE83" si="625">AE80-AE81</f>
        <v>388.36390607027397</v>
      </c>
      <c r="AI83" s="26">
        <f>AI80-AI81</f>
        <v>0</v>
      </c>
      <c r="AJ83" s="26">
        <f t="shared" ref="AJ83" si="626">AJ80-AJ81</f>
        <v>0</v>
      </c>
      <c r="AK83" s="26">
        <f t="shared" ref="AK83:AM83" si="627">AK80-AK81</f>
        <v>0</v>
      </c>
      <c r="AL83" s="26">
        <f t="shared" si="627"/>
        <v>0</v>
      </c>
      <c r="AM83" s="26">
        <f t="shared" si="627"/>
        <v>0</v>
      </c>
      <c r="AN83" s="26">
        <f t="shared" ref="AN83:AO83" si="628">AN80-AN81</f>
        <v>0</v>
      </c>
      <c r="AO83" s="26">
        <f t="shared" si="628"/>
        <v>0</v>
      </c>
      <c r="AP83" s="26">
        <f t="shared" ref="AP83:CD83" si="629">AP80-AP81</f>
        <v>0</v>
      </c>
      <c r="AQ83" s="26">
        <f t="shared" si="629"/>
        <v>0</v>
      </c>
      <c r="AR83" s="26">
        <f t="shared" si="629"/>
        <v>0</v>
      </c>
      <c r="AS83" s="26">
        <f t="shared" si="629"/>
        <v>0</v>
      </c>
      <c r="AT83" s="26">
        <f t="shared" si="629"/>
        <v>0</v>
      </c>
      <c r="AU83" s="26">
        <f t="shared" si="629"/>
        <v>10.814999999999996</v>
      </c>
      <c r="AV83" s="26">
        <f t="shared" si="629"/>
        <v>16.236000000000001</v>
      </c>
      <c r="AW83" s="26">
        <f t="shared" si="629"/>
        <v>10.814000000000007</v>
      </c>
      <c r="AX83" s="26">
        <f t="shared" si="629"/>
        <v>13.935999999999996</v>
      </c>
      <c r="AY83" s="26">
        <f t="shared" si="629"/>
        <v>17.077999999999999</v>
      </c>
      <c r="AZ83" s="26">
        <f t="shared" si="629"/>
        <v>17.693999999999999</v>
      </c>
      <c r="BA83" s="26">
        <f t="shared" si="629"/>
        <v>16.055000000000003</v>
      </c>
      <c r="BB83" s="26">
        <f t="shared" si="629"/>
        <v>19.439</v>
      </c>
      <c r="BC83" s="26">
        <f t="shared" si="629"/>
        <v>24.060000000000002</v>
      </c>
      <c r="BD83" s="26">
        <f t="shared" si="629"/>
        <v>24.796000000000003</v>
      </c>
      <c r="BE83" s="26">
        <f t="shared" si="629"/>
        <v>21.47000000000001</v>
      </c>
      <c r="BF83" s="26">
        <f t="shared" si="629"/>
        <v>25.130000000000003</v>
      </c>
      <c r="BG83" s="26">
        <f t="shared" si="629"/>
        <v>23.44</v>
      </c>
      <c r="BH83" s="26">
        <f t="shared" si="629"/>
        <v>24.810000000000002</v>
      </c>
      <c r="BI83" s="26">
        <f t="shared" si="629"/>
        <v>19.980000000000004</v>
      </c>
      <c r="BJ83" s="26">
        <f t="shared" si="629"/>
        <v>16.25</v>
      </c>
      <c r="BK83" s="26">
        <f t="shared" si="629"/>
        <v>27.290000000000006</v>
      </c>
      <c r="BL83" s="26">
        <f t="shared" si="629"/>
        <v>34.780000000000008</v>
      </c>
      <c r="BM83" s="26">
        <f t="shared" si="629"/>
        <v>27.410000000000011</v>
      </c>
      <c r="BN83" s="26">
        <f t="shared" si="629"/>
        <v>4.9999999999999964</v>
      </c>
      <c r="BO83" s="26">
        <f t="shared" si="629"/>
        <v>0.4900000000000011</v>
      </c>
      <c r="BP83" s="26">
        <f t="shared" si="629"/>
        <v>43.1</v>
      </c>
      <c r="BQ83" s="26">
        <f t="shared" si="629"/>
        <v>32.330000000000013</v>
      </c>
      <c r="BR83" s="26">
        <f t="shared" si="629"/>
        <v>37.570000000000007</v>
      </c>
      <c r="BS83" s="26">
        <f t="shared" si="629"/>
        <v>55.86999999999999</v>
      </c>
      <c r="BT83" s="26">
        <f t="shared" si="629"/>
        <v>77.919999999999987</v>
      </c>
      <c r="BU83" s="26">
        <f t="shared" si="629"/>
        <v>21.70000000000001</v>
      </c>
      <c r="BV83" s="26">
        <f t="shared" si="629"/>
        <v>20.719999999999985</v>
      </c>
      <c r="BW83" s="26">
        <f t="shared" si="629"/>
        <v>21.470000000000024</v>
      </c>
      <c r="BX83" s="26">
        <f t="shared" si="629"/>
        <v>15.330000000000009</v>
      </c>
      <c r="BY83" s="26">
        <f t="shared" si="629"/>
        <v>14.210000000000004</v>
      </c>
      <c r="BZ83" s="26">
        <f t="shared" si="629"/>
        <v>12.170000000000009</v>
      </c>
      <c r="CA83" s="26">
        <f t="shared" si="629"/>
        <v>17.13000000000001</v>
      </c>
      <c r="CB83" s="26">
        <f t="shared" si="629"/>
        <v>19.97</v>
      </c>
      <c r="CC83" s="26">
        <f t="shared" si="629"/>
        <v>14.610000000000033</v>
      </c>
      <c r="CD83" s="26">
        <f t="shared" si="629"/>
        <v>17.400000000000002</v>
      </c>
      <c r="CE83" s="26">
        <f t="shared" ref="CE83:CF83" si="630">CE80-CE81</f>
        <v>24.299999999999983</v>
      </c>
      <c r="CF83" s="26">
        <f t="shared" si="630"/>
        <v>26.710000000000008</v>
      </c>
      <c r="CG83" s="26">
        <f t="shared" ref="CG83:CH83" si="631">CG80-CG81</f>
        <v>19.110000000000007</v>
      </c>
      <c r="CH83" s="26">
        <f t="shared" si="631"/>
        <v>22.199999999999964</v>
      </c>
      <c r="CI83" s="26">
        <f t="shared" ref="CI83:CJ83" si="632">CI80-CI81</f>
        <v>38.040000000000013</v>
      </c>
      <c r="CJ83" s="26">
        <f t="shared" si="632"/>
        <v>47.529999999999987</v>
      </c>
      <c r="CK83" s="26">
        <f t="shared" ref="CK83:CL83" si="633">CK80-CK81</f>
        <v>33.930000000000021</v>
      </c>
      <c r="CL83" s="26">
        <f t="shared" si="633"/>
        <v>48.119999999999948</v>
      </c>
      <c r="CM83" s="27">
        <f t="shared" ref="CM83:DB83" si="634">CM80-CM81</f>
        <v>44.148665290903551</v>
      </c>
      <c r="CN83" s="27">
        <f t="shared" si="634"/>
        <v>52.112190214836531</v>
      </c>
      <c r="CO83" s="27">
        <f t="shared" si="634"/>
        <v>46.598617792718919</v>
      </c>
      <c r="CP83" s="27">
        <f t="shared" si="634"/>
        <v>56.494069850532121</v>
      </c>
      <c r="CQ83" s="27">
        <f t="shared" si="634"/>
        <v>57.040337342004342</v>
      </c>
      <c r="CR83" s="27">
        <f t="shared" si="634"/>
        <v>66.098747040656804</v>
      </c>
      <c r="CS83" s="27">
        <f t="shared" si="634"/>
        <v>59.927957759173367</v>
      </c>
      <c r="CT83" s="27">
        <f t="shared" si="634"/>
        <v>70.912679010152601</v>
      </c>
      <c r="CU83" s="27">
        <f t="shared" si="634"/>
        <v>71.652930539111566</v>
      </c>
      <c r="CV83" s="27">
        <f t="shared" si="634"/>
        <v>82.171651424120114</v>
      </c>
      <c r="CW83" s="27">
        <f t="shared" si="634"/>
        <v>74.504783669900391</v>
      </c>
      <c r="CX83" s="27">
        <f t="shared" si="634"/>
        <v>87.048511885894115</v>
      </c>
      <c r="CY83" s="27">
        <f t="shared" si="634"/>
        <v>88.654578643774954</v>
      </c>
      <c r="CZ83" s="27">
        <f t="shared" si="634"/>
        <v>101.0762292620677</v>
      </c>
      <c r="DA83" s="27">
        <f t="shared" si="634"/>
        <v>91.844373226246319</v>
      </c>
      <c r="DB83" s="27">
        <f t="shared" si="634"/>
        <v>106.78872493818501</v>
      </c>
      <c r="DE83" s="121"/>
      <c r="DF83" s="26">
        <v>39.623998789095857</v>
      </c>
    </row>
    <row r="84" spans="1:110" s="45" customFormat="1" x14ac:dyDescent="0.2">
      <c r="A84" s="45" t="s">
        <v>107</v>
      </c>
      <c r="B84" s="45" t="e">
        <f t="shared" ref="B84:AE84" si="635">+B83/B43</f>
        <v>#DIV/0!</v>
      </c>
      <c r="C84" s="45" t="e">
        <f t="shared" si="635"/>
        <v>#DIV/0!</v>
      </c>
      <c r="D84" s="45" t="e">
        <f t="shared" si="635"/>
        <v>#DIV/0!</v>
      </c>
      <c r="E84" s="45" t="e">
        <f t="shared" si="635"/>
        <v>#DIV/0!</v>
      </c>
      <c r="F84" s="45" t="e">
        <f t="shared" si="635"/>
        <v>#DIV/0!</v>
      </c>
      <c r="G84" s="45" t="e">
        <f t="shared" si="635"/>
        <v>#DIV/0!</v>
      </c>
      <c r="H84" s="45">
        <f t="shared" si="635"/>
        <v>6.8473909812209924E-2</v>
      </c>
      <c r="I84" s="45">
        <f t="shared" si="635"/>
        <v>0.49319624022859626</v>
      </c>
      <c r="J84" s="45">
        <f t="shared" si="635"/>
        <v>0.16924953271238369</v>
      </c>
      <c r="K84" s="45">
        <f t="shared" si="635"/>
        <v>0.39655015514952469</v>
      </c>
      <c r="L84" s="45">
        <f t="shared" si="635"/>
        <v>0.31882103640916959</v>
      </c>
      <c r="M84" s="45">
        <f t="shared" si="635"/>
        <v>0.32035461513073438</v>
      </c>
      <c r="N84" s="45">
        <f t="shared" si="635"/>
        <v>0.42319809922464452</v>
      </c>
      <c r="O84" s="45">
        <f t="shared" si="635"/>
        <v>0.30775180359786114</v>
      </c>
      <c r="P84" s="45">
        <f t="shared" si="635"/>
        <v>0.24070005137791187</v>
      </c>
      <c r="Q84" s="45">
        <f t="shared" si="635"/>
        <v>0.21496897889735028</v>
      </c>
      <c r="R84" s="45">
        <f t="shared" si="635"/>
        <v>0.23088371053954349</v>
      </c>
      <c r="S84" s="45">
        <f t="shared" si="635"/>
        <v>0.26793331836551404</v>
      </c>
      <c r="T84" s="45">
        <f t="shared" si="635"/>
        <v>0.20967461716015975</v>
      </c>
      <c r="U84" s="45">
        <f t="shared" si="635"/>
        <v>0.21754248606825397</v>
      </c>
      <c r="V84" s="45">
        <f t="shared" si="635"/>
        <v>0.22890299623953742</v>
      </c>
      <c r="W84" s="45">
        <f t="shared" si="635"/>
        <v>0.29942600957782833</v>
      </c>
      <c r="X84" s="45">
        <f t="shared" si="635"/>
        <v>0.11996126606793617</v>
      </c>
      <c r="Y84" s="45">
        <f t="shared" si="635"/>
        <v>0.12082954465971874</v>
      </c>
      <c r="Z84" s="45">
        <f t="shared" si="635"/>
        <v>0.13412380883101782</v>
      </c>
      <c r="AA84" s="45">
        <f t="shared" ref="AA84" si="636">+AA83/AA43</f>
        <v>0.20219772266718128</v>
      </c>
      <c r="AB84" s="48">
        <f t="shared" si="635"/>
        <v>0.20570574371459899</v>
      </c>
      <c r="AC84" s="48">
        <f t="shared" si="635"/>
        <v>0.22143823707086771</v>
      </c>
      <c r="AD84" s="48">
        <f t="shared" si="635"/>
        <v>0.23203478598868824</v>
      </c>
      <c r="AE84" s="48">
        <f t="shared" si="635"/>
        <v>0.24085224439309499</v>
      </c>
      <c r="AI84" s="45" t="e">
        <f t="shared" ref="AI84:BN84" si="637">+AI83/AI43</f>
        <v>#DIV/0!</v>
      </c>
      <c r="AJ84" s="45" t="e">
        <f t="shared" si="637"/>
        <v>#DIV/0!</v>
      </c>
      <c r="AK84" s="45" t="e">
        <f t="shared" si="637"/>
        <v>#DIV/0!</v>
      </c>
      <c r="AL84" s="45" t="e">
        <f t="shared" si="637"/>
        <v>#DIV/0!</v>
      </c>
      <c r="AM84" s="45" t="e">
        <f t="shared" si="637"/>
        <v>#DIV/0!</v>
      </c>
      <c r="AN84" s="45" t="e">
        <f t="shared" si="637"/>
        <v>#DIV/0!</v>
      </c>
      <c r="AO84" s="45" t="e">
        <f t="shared" si="637"/>
        <v>#DIV/0!</v>
      </c>
      <c r="AP84" s="45" t="e">
        <f t="shared" si="637"/>
        <v>#DIV/0!</v>
      </c>
      <c r="AQ84" s="45" t="e">
        <f t="shared" si="637"/>
        <v>#DIV/0!</v>
      </c>
      <c r="AR84" s="45" t="e">
        <f t="shared" si="637"/>
        <v>#DIV/0!</v>
      </c>
      <c r="AS84" s="45" t="e">
        <f t="shared" si="637"/>
        <v>#DIV/0!</v>
      </c>
      <c r="AT84" s="45" t="e">
        <f t="shared" si="637"/>
        <v>#DIV/0!</v>
      </c>
      <c r="AU84" s="45">
        <f t="shared" si="637"/>
        <v>0.18975348714799536</v>
      </c>
      <c r="AV84" s="45">
        <f t="shared" si="637"/>
        <v>0.26075644423030597</v>
      </c>
      <c r="AW84" s="45">
        <f t="shared" si="637"/>
        <v>0.1908846995693004</v>
      </c>
      <c r="AX84" s="45">
        <f t="shared" si="637"/>
        <v>0.21421873799093066</v>
      </c>
      <c r="AY84" s="45">
        <f t="shared" si="637"/>
        <v>0.24842534002472905</v>
      </c>
      <c r="AZ84" s="45">
        <f t="shared" si="637"/>
        <v>0.2264165429697497</v>
      </c>
      <c r="BA84" s="45">
        <f t="shared" si="637"/>
        <v>0.2281252664184831</v>
      </c>
      <c r="BB84" s="45">
        <f t="shared" si="637"/>
        <v>0.22313926259240552</v>
      </c>
      <c r="BC84" s="45">
        <f t="shared" si="637"/>
        <v>0.27415679124886055</v>
      </c>
      <c r="BD84" s="45">
        <f t="shared" si="637"/>
        <v>0.28165750374846654</v>
      </c>
      <c r="BE84" s="45">
        <f t="shared" si="637"/>
        <v>0.25599141528556107</v>
      </c>
      <c r="BF84" s="45">
        <f t="shared" si="637"/>
        <v>0.25998344713428517</v>
      </c>
      <c r="BG84" s="45">
        <f t="shared" si="637"/>
        <v>0.24127637673700464</v>
      </c>
      <c r="BH84" s="45">
        <f t="shared" si="637"/>
        <v>0.23883326915671932</v>
      </c>
      <c r="BI84" s="45">
        <f t="shared" si="637"/>
        <v>0.20749818257347599</v>
      </c>
      <c r="BJ84" s="45">
        <f t="shared" si="637"/>
        <v>0.15389714935126431</v>
      </c>
      <c r="BK84" s="45">
        <f t="shared" si="637"/>
        <v>0.24870135787842892</v>
      </c>
      <c r="BL84" s="45">
        <f t="shared" si="637"/>
        <v>0.29920853406744674</v>
      </c>
      <c r="BM84" s="45">
        <f t="shared" si="637"/>
        <v>0.25909821344172423</v>
      </c>
      <c r="BN84" s="45">
        <f t="shared" si="637"/>
        <v>4.9290220820189239E-2</v>
      </c>
      <c r="BO84" s="45">
        <f t="shared" ref="BO84:CT84" si="638">+BO83/BO43</f>
        <v>8.7080149280256095E-3</v>
      </c>
      <c r="BP84" s="45">
        <f t="shared" si="638"/>
        <v>0.28123980424143558</v>
      </c>
      <c r="BQ84" s="45">
        <f t="shared" si="638"/>
        <v>0.23381789252910978</v>
      </c>
      <c r="BR84" s="45">
        <f t="shared" si="638"/>
        <v>0.25585671479160998</v>
      </c>
      <c r="BS84" s="45">
        <f t="shared" si="638"/>
        <v>0.33932584269662913</v>
      </c>
      <c r="BT84" s="45">
        <f t="shared" si="638"/>
        <v>0.44219964814709711</v>
      </c>
      <c r="BU84" s="45">
        <f t="shared" si="638"/>
        <v>0.18483816013628629</v>
      </c>
      <c r="BV84" s="45">
        <f t="shared" si="638"/>
        <v>0.15870098039215674</v>
      </c>
      <c r="BW84" s="45">
        <f t="shared" si="638"/>
        <v>0.16801001643321092</v>
      </c>
      <c r="BX84" s="45">
        <f t="shared" si="638"/>
        <v>0.11358079573238504</v>
      </c>
      <c r="BY84" s="45">
        <f t="shared" si="638"/>
        <v>0.11098961180973213</v>
      </c>
      <c r="BZ84" s="45">
        <f t="shared" si="638"/>
        <v>8.9564321460111937E-2</v>
      </c>
      <c r="CA84" s="45">
        <f t="shared" si="638"/>
        <v>0.12699236414856557</v>
      </c>
      <c r="CB84" s="45">
        <f t="shared" si="638"/>
        <v>0.13493243243243241</v>
      </c>
      <c r="CC84" s="45">
        <f t="shared" si="638"/>
        <v>0.10843105239720968</v>
      </c>
      <c r="CD84" s="45">
        <f t="shared" si="638"/>
        <v>0.1128038897893031</v>
      </c>
      <c r="CE84" s="45">
        <f t="shared" si="638"/>
        <v>0.15486584666369246</v>
      </c>
      <c r="CF84" s="45">
        <f t="shared" si="638"/>
        <v>0.15059765448804693</v>
      </c>
      <c r="CG84" s="45">
        <f t="shared" si="638"/>
        <v>0.1151759884281582</v>
      </c>
      <c r="CH84" s="45">
        <f t="shared" si="638"/>
        <v>0.11861508869416523</v>
      </c>
      <c r="CI84" s="45">
        <f t="shared" si="638"/>
        <v>0.19706781329327056</v>
      </c>
      <c r="CJ84" s="45">
        <f t="shared" si="638"/>
        <v>0.2195076894656629</v>
      </c>
      <c r="CK84" s="45">
        <f t="shared" ref="CK84:CL84" si="639">+CK83/CK43</f>
        <v>0.17352835881961859</v>
      </c>
      <c r="CL84" s="45">
        <f t="shared" si="639"/>
        <v>0.21486939048894821</v>
      </c>
      <c r="CM84" s="48">
        <f t="shared" si="638"/>
        <v>0.19634483496363495</v>
      </c>
      <c r="CN84" s="48">
        <f t="shared" si="638"/>
        <v>0.20636643275165156</v>
      </c>
      <c r="CO84" s="48">
        <f t="shared" si="638"/>
        <v>0.20337384874153314</v>
      </c>
      <c r="CP84" s="48">
        <f t="shared" si="638"/>
        <v>0.2151197984185669</v>
      </c>
      <c r="CQ84" s="48">
        <f t="shared" si="638"/>
        <v>0.2144848948827518</v>
      </c>
      <c r="CR84" s="48">
        <f t="shared" si="638"/>
        <v>0.22109390383156749</v>
      </c>
      <c r="CS84" s="48">
        <f t="shared" si="638"/>
        <v>0.22110125545757717</v>
      </c>
      <c r="CT84" s="48">
        <f t="shared" si="638"/>
        <v>0.22800865844628612</v>
      </c>
      <c r="CU84" s="48">
        <f t="shared" ref="CU84:DB84" si="640">+CU83/CU43</f>
        <v>0.22748703648009605</v>
      </c>
      <c r="CV84" s="48">
        <f t="shared" si="640"/>
        <v>0.23187213002129331</v>
      </c>
      <c r="CW84" s="48">
        <f t="shared" si="640"/>
        <v>0.23205542151952366</v>
      </c>
      <c r="CX84" s="48">
        <f t="shared" si="640"/>
        <v>0.23605759252151401</v>
      </c>
      <c r="CY84" s="48">
        <f t="shared" si="640"/>
        <v>0.23736543091467754</v>
      </c>
      <c r="CZ84" s="48">
        <f t="shared" si="640"/>
        <v>0.24035833942905532</v>
      </c>
      <c r="DA84" s="48">
        <f t="shared" si="640"/>
        <v>0.24121307265752126</v>
      </c>
      <c r="DB84" s="48">
        <f t="shared" si="640"/>
        <v>0.24398835925680859</v>
      </c>
      <c r="DE84" s="129"/>
      <c r="DF84" s="45">
        <v>0.18016455971077575</v>
      </c>
    </row>
    <row r="85" spans="1:110" s="39" customFormat="1" x14ac:dyDescent="0.2">
      <c r="A85" s="39" t="s">
        <v>451</v>
      </c>
      <c r="C85" s="39" t="e">
        <f t="shared" ref="C85:E85" si="641">+IF(B83&lt;0,1-C83/B83,C83/B83-1)</f>
        <v>#DIV/0!</v>
      </c>
      <c r="D85" s="39" t="e">
        <f t="shared" si="641"/>
        <v>#DIV/0!</v>
      </c>
      <c r="E85" s="39" t="e">
        <f t="shared" si="641"/>
        <v>#DIV/0!</v>
      </c>
      <c r="F85" s="39" t="e">
        <f t="shared" ref="F85:AE85" si="642">+IF(E83&lt;0,1-F83/E83,F83/E83-1)</f>
        <v>#DIV/0!</v>
      </c>
      <c r="G85" s="39" t="e">
        <f t="shared" si="642"/>
        <v>#DIV/0!</v>
      </c>
      <c r="H85" s="39" t="e">
        <f t="shared" si="642"/>
        <v>#DIV/0!</v>
      </c>
      <c r="I85" s="39">
        <f t="shared" si="642"/>
        <v>8.4765673312301413</v>
      </c>
      <c r="J85" s="39">
        <f t="shared" si="642"/>
        <v>-0.65012607222662311</v>
      </c>
      <c r="K85" s="39">
        <f t="shared" si="642"/>
        <v>2.0190432135359373</v>
      </c>
      <c r="L85" s="39">
        <f t="shared" si="642"/>
        <v>7.3004628598346777E-2</v>
      </c>
      <c r="M85" s="39">
        <f t="shared" si="642"/>
        <v>0.40757301107754285</v>
      </c>
      <c r="N85" s="39">
        <f t="shared" si="642"/>
        <v>0.6260481355350147</v>
      </c>
      <c r="O85" s="39">
        <f t="shared" si="642"/>
        <v>-0.18766609760819397</v>
      </c>
      <c r="P85" s="39">
        <f t="shared" si="642"/>
        <v>-4.5887858566600714E-2</v>
      </c>
      <c r="Q85" s="39">
        <f t="shared" si="642"/>
        <v>0.17625686906762383</v>
      </c>
      <c r="R85" s="39">
        <f t="shared" si="642"/>
        <v>0.35671814671814683</v>
      </c>
      <c r="S85" s="39">
        <f t="shared" si="642"/>
        <v>0.35846210762969832</v>
      </c>
      <c r="T85" s="39">
        <f t="shared" si="642"/>
        <v>-0.11511469571593169</v>
      </c>
      <c r="U85" s="39">
        <f t="shared" si="642"/>
        <v>0.11825284090909083</v>
      </c>
      <c r="V85" s="39">
        <f t="shared" si="642"/>
        <v>0.19847570657351588</v>
      </c>
      <c r="W85" s="39">
        <f t="shared" si="642"/>
        <v>0.55732202791026308</v>
      </c>
      <c r="X85" s="39">
        <f t="shared" si="642"/>
        <v>-0.64167422867513646</v>
      </c>
      <c r="Y85" s="39">
        <f t="shared" si="642"/>
        <v>9.3700538144982914E-2</v>
      </c>
      <c r="Z85" s="39">
        <f t="shared" ref="Z85:AA85" si="643">+IF(Y83&lt;0,1-Z83/Y83,Z83/Y83-1)</f>
        <v>0.33415340086830936</v>
      </c>
      <c r="AA85" s="39">
        <f t="shared" si="643"/>
        <v>0.81831001193187736</v>
      </c>
      <c r="AB85" s="40">
        <f t="shared" si="642"/>
        <v>0.18924740887067459</v>
      </c>
      <c r="AC85" s="40">
        <f t="shared" si="642"/>
        <v>0.27401658952291585</v>
      </c>
      <c r="AD85" s="40">
        <f t="shared" si="642"/>
        <v>0.24174432544674329</v>
      </c>
      <c r="AE85" s="40">
        <f t="shared" si="642"/>
        <v>0.23142405905387142</v>
      </c>
      <c r="AM85" s="39" t="e">
        <f>+IF(AI83&lt;0,1-AM83/AI83,AM83/AI83-1)</f>
        <v>#DIV/0!</v>
      </c>
      <c r="AN85" s="39" t="e">
        <f t="shared" ref="AN85" si="644">+IF(AJ83&lt;0,1-AN83/AJ83,AN83/AJ83-1)</f>
        <v>#DIV/0!</v>
      </c>
      <c r="AO85" s="39" t="e">
        <f t="shared" ref="AO85" si="645">+IF(AK83&lt;0,1-AO83/AK83,AO83/AK83-1)</f>
        <v>#DIV/0!</v>
      </c>
      <c r="AP85" s="39" t="e">
        <f t="shared" ref="AP85" si="646">+IF(AL83&lt;0,1-AP83/AL83,AP83/AL83-1)</f>
        <v>#DIV/0!</v>
      </c>
      <c r="AQ85" s="39" t="e">
        <f t="shared" ref="AQ85" si="647">+IF(AM83&lt;0,1-AQ83/AM83,AQ83/AM83-1)</f>
        <v>#DIV/0!</v>
      </c>
      <c r="AR85" s="39" t="e">
        <f t="shared" ref="AR85" si="648">+IF(AN83&lt;0,1-AR83/AN83,AR83/AN83-1)</f>
        <v>#DIV/0!</v>
      </c>
      <c r="AS85" s="39" t="e">
        <f t="shared" ref="AS85" si="649">+IF(AO83&lt;0,1-AS83/AO83,AS83/AO83-1)</f>
        <v>#DIV/0!</v>
      </c>
      <c r="AT85" s="39" t="e">
        <f t="shared" ref="AT85" si="650">+IF(AP83&lt;0,1-AT83/AP83,AT83/AP83-1)</f>
        <v>#DIV/0!</v>
      </c>
      <c r="AU85" s="39" t="e">
        <f t="shared" ref="AU85" si="651">+IF(AQ83&lt;0,1-AU83/AQ83,AU83/AQ83-1)</f>
        <v>#DIV/0!</v>
      </c>
      <c r="AV85" s="39" t="e">
        <f t="shared" ref="AV85" si="652">+IF(AR83&lt;0,1-AV83/AR83,AV83/AR83-1)</f>
        <v>#DIV/0!</v>
      </c>
      <c r="AW85" s="39" t="e">
        <f t="shared" ref="AW85" si="653">+IF(AS83&lt;0,1-AW83/AS83,AW83/AS83-1)</f>
        <v>#DIV/0!</v>
      </c>
      <c r="AX85" s="39" t="e">
        <f t="shared" ref="AX85" si="654">+IF(AT83&lt;0,1-AX83/AT83,AX83/AT83-1)</f>
        <v>#DIV/0!</v>
      </c>
      <c r="AY85" s="39">
        <f t="shared" ref="AY85" si="655">+IF(AU83&lt;0,1-AY83/AU83,AY83/AU83-1)</f>
        <v>0.57910309754970002</v>
      </c>
      <c r="AZ85" s="39">
        <f t="shared" ref="AZ85" si="656">+IF(AV83&lt;0,1-AZ83/AV83,AZ83/AV83-1)</f>
        <v>8.9800443458979862E-2</v>
      </c>
      <c r="BA85" s="39">
        <f t="shared" ref="BA85" si="657">+IF(AW83&lt;0,1-BA83/AW83,BA83/AW83-1)</f>
        <v>0.48464952838912456</v>
      </c>
      <c r="BB85" s="39">
        <f t="shared" ref="BB85" si="658">+IF(AX83&lt;0,1-BB83/AX83,BB83/AX83-1)</f>
        <v>0.39487657864523573</v>
      </c>
      <c r="BC85" s="39">
        <f t="shared" ref="BC85" si="659">+IF(AY83&lt;0,1-BC83/AY83,BC83/AY83-1)</f>
        <v>0.40883007377913128</v>
      </c>
      <c r="BD85" s="39">
        <f t="shared" ref="BD85" si="660">+IF(AZ83&lt;0,1-BD83/AZ83,BD83/AZ83-1)</f>
        <v>0.40137899853057557</v>
      </c>
      <c r="BE85" s="39">
        <f t="shared" ref="BE85" si="661">+IF(BA83&lt;0,1-BE83/BA83,BE83/BA83-1)</f>
        <v>0.33727810650887613</v>
      </c>
      <c r="BF85" s="39">
        <f t="shared" ref="BF85" si="662">+IF(BB83&lt;0,1-BF83/BB83,BF83/BB83-1)</f>
        <v>0.29276197335253884</v>
      </c>
      <c r="BG85" s="39">
        <f t="shared" ref="BG85" si="663">+IF(BC83&lt;0,1-BG83/BC83,BG83/BC83-1)</f>
        <v>-2.5768911055694121E-2</v>
      </c>
      <c r="BH85" s="39">
        <f t="shared" ref="BH85" si="664">+IF(BD83&lt;0,1-BH83/BD83,BH83/BD83-1)</f>
        <v>5.6460719470874388E-4</v>
      </c>
      <c r="BI85" s="39">
        <f t="shared" ref="BI85" si="665">+IF(BE83&lt;0,1-BI83/BE83,BI83/BE83-1)</f>
        <v>-6.9399161620866567E-2</v>
      </c>
      <c r="BJ85" s="39">
        <f t="shared" ref="BJ85" si="666">+IF(BF83&lt;0,1-BJ83/BF83,BJ83/BF83-1)</f>
        <v>-0.35336251492240356</v>
      </c>
      <c r="BK85" s="39">
        <f t="shared" ref="BK85" si="667">+IF(BG83&lt;0,1-BK83/BG83,BK83/BG83-1)</f>
        <v>0.16424914675767943</v>
      </c>
      <c r="BL85" s="39">
        <f t="shared" ref="BL85" si="668">+IF(BH83&lt;0,1-BL83/BH83,BL83/BH83-1)</f>
        <v>0.40185409109230164</v>
      </c>
      <c r="BM85" s="39">
        <f t="shared" ref="BM85" si="669">+IF(BI83&lt;0,1-BM83/BI83,BM83/BI83-1)</f>
        <v>0.3718718718718721</v>
      </c>
      <c r="BN85" s="39">
        <f t="shared" ref="BN85" si="670">+IF(BJ83&lt;0,1-BN83/BJ83,BN83/BJ83-1)</f>
        <v>-0.69230769230769251</v>
      </c>
      <c r="BO85" s="39">
        <f t="shared" ref="BO85" si="671">+IF(BK83&lt;0,1-BO83/BK83,BO83/BK83-1)</f>
        <v>-0.98204470502015384</v>
      </c>
      <c r="BP85" s="39">
        <f t="shared" ref="BP85" si="672">+IF(BL83&lt;0,1-BP83/BL83,BP83/BL83-1)</f>
        <v>0.23921794134560059</v>
      </c>
      <c r="BQ85" s="39">
        <f t="shared" ref="BQ85" si="673">+IF(BM83&lt;0,1-BQ83/BM83,BQ83/BM83-1)</f>
        <v>0.17949653411163813</v>
      </c>
      <c r="BR85" s="39">
        <f t="shared" ref="BR85" si="674">+IF(BN83&lt;0,1-BR83/BN83,BR83/BN83-1)</f>
        <v>6.5140000000000065</v>
      </c>
      <c r="BS85" s="39">
        <f t="shared" ref="BS85" si="675">+IF(BO83&lt;0,1-BS83/BO83,BS83/BO83-1)</f>
        <v>113.02040816326503</v>
      </c>
      <c r="BT85" s="39">
        <f t="shared" ref="BT85" si="676">+IF(BP83&lt;0,1-BT83/BP83,BT83/BP83-1)</f>
        <v>0.80788863109048692</v>
      </c>
      <c r="BU85" s="39">
        <f t="shared" ref="BU85" si="677">+IF(BQ83&lt;0,1-BU83/BQ83,BU83/BQ83-1)</f>
        <v>-0.32879678317352301</v>
      </c>
      <c r="BV85" s="39">
        <f t="shared" ref="BV85" si="678">+IF(BR83&lt;0,1-BV83/BR83,BV83/BR83-1)</f>
        <v>-0.44849614053766351</v>
      </c>
      <c r="BW85" s="39">
        <f t="shared" ref="BW85" si="679">+IF(BS83&lt;0,1-BW83/BS83,BW83/BS83-1)</f>
        <v>-0.61571505280114502</v>
      </c>
      <c r="BX85" s="39">
        <f t="shared" ref="BX85" si="680">+IF(BT83&lt;0,1-BX83/BT83,BX83/BT83-1)</f>
        <v>-0.80325975359342905</v>
      </c>
      <c r="BY85" s="39">
        <f t="shared" ref="BY85" si="681">+IF(BU83&lt;0,1-BY83/BU83,BY83/BU83-1)</f>
        <v>-0.34516129032258069</v>
      </c>
      <c r="BZ85" s="39">
        <f t="shared" ref="BZ85" si="682">+IF(BV83&lt;0,1-BZ83/BV83,BZ83/BV83-1)</f>
        <v>-0.41264478764478674</v>
      </c>
      <c r="CA85" s="39">
        <f t="shared" ref="CA85" si="683">+IF(BW83&lt;0,1-CA83/BW83,CA83/BW83-1)</f>
        <v>-0.20214252445272518</v>
      </c>
      <c r="CB85" s="39">
        <f t="shared" ref="CB85" si="684">+IF(BX83&lt;0,1-CB83/BX83,CB83/BX83-1)</f>
        <v>0.30267449445531547</v>
      </c>
      <c r="CC85" s="39">
        <f t="shared" ref="CC85" si="685">+IF(BY83&lt;0,1-CC83/BY83,CC83/BY83-1)</f>
        <v>2.8149190710769156E-2</v>
      </c>
      <c r="CD85" s="39">
        <f t="shared" ref="CD85" si="686">+IF(BZ83&lt;0,1-CD83/BZ83,CD83/BZ83-1)</f>
        <v>0.4297452752670492</v>
      </c>
      <c r="CE85" s="39">
        <f t="shared" ref="CE85" si="687">+IF(CA83&lt;0,1-CE83/CA83,CE83/CA83-1)</f>
        <v>0.4185639229422049</v>
      </c>
      <c r="CF85" s="39">
        <f t="shared" ref="CF85" si="688">+IF(CB83&lt;0,1-CF83/CB83,CF83/CB83-1)</f>
        <v>0.33750625938908407</v>
      </c>
      <c r="CG85" s="39">
        <f t="shared" ref="CG85" si="689">+IF(CC83&lt;0,1-CG83/CC83,CG83/CC83-1)</f>
        <v>0.30800821355235897</v>
      </c>
      <c r="CH85" s="39">
        <f t="shared" ref="CH85:CL85" si="690">+IF(CD83&lt;0,1-CH83/CD83,CH83/CD83-1)</f>
        <v>0.27586206896551491</v>
      </c>
      <c r="CI85" s="39">
        <f t="shared" si="690"/>
        <v>0.56543209876543377</v>
      </c>
      <c r="CJ85" s="39">
        <f t="shared" si="690"/>
        <v>0.7794833395731926</v>
      </c>
      <c r="CK85" s="39">
        <f t="shared" si="690"/>
        <v>0.77551020408163307</v>
      </c>
      <c r="CL85" s="39">
        <f t="shared" si="690"/>
        <v>1.167567567567569</v>
      </c>
      <c r="CM85" s="40">
        <f t="shared" ref="CM85" si="691">+CM83/CI83-1</f>
        <v>0.16058531258947251</v>
      </c>
      <c r="CN85" s="40">
        <f t="shared" ref="CN85" si="692">+CN83/CJ83-1</f>
        <v>9.6406274244404511E-2</v>
      </c>
      <c r="CO85" s="40">
        <f t="shared" ref="CO85" si="693">+CO83/CK83-1</f>
        <v>0.37337511914880306</v>
      </c>
      <c r="CP85" s="40">
        <f t="shared" ref="CP85" si="694">+CP83/CL83-1</f>
        <v>0.17402472673591407</v>
      </c>
      <c r="CQ85" s="40">
        <f t="shared" ref="CQ85" si="695">+CQ83/CM83-1</f>
        <v>0.29200592965053929</v>
      </c>
      <c r="CR85" s="40">
        <f t="shared" ref="CR85" si="696">+CR83/CN83-1</f>
        <v>0.26839318724006067</v>
      </c>
      <c r="CS85" s="40">
        <f t="shared" ref="CS85" si="697">+CS83/CO83-1</f>
        <v>0.28604582276981549</v>
      </c>
      <c r="CT85" s="40">
        <f t="shared" ref="CT85" si="698">+CT83/CP83-1</f>
        <v>0.25522341013434113</v>
      </c>
      <c r="CU85" s="40">
        <f t="shared" ref="CU85" si="699">+CU83/CQ83-1</f>
        <v>0.25617999258125979</v>
      </c>
      <c r="CV85" s="40">
        <f t="shared" ref="CV85" si="700">+CV83/CR83-1</f>
        <v>0.24316503871967488</v>
      </c>
      <c r="CW85" s="40">
        <f t="shared" ref="CW85" si="701">+CW83/CS83-1</f>
        <v>0.24323915674392738</v>
      </c>
      <c r="CX85" s="40">
        <f t="shared" ref="CX85" si="702">+CX83/CT83-1</f>
        <v>0.22754510337187139</v>
      </c>
      <c r="CY85" s="40">
        <f t="shared" ref="CY85" si="703">+CY83/CU83-1</f>
        <v>0.23727777742995571</v>
      </c>
      <c r="CZ85" s="40">
        <f t="shared" ref="CZ85" si="704">+CZ83/CV83-1</f>
        <v>0.23006204098751337</v>
      </c>
      <c r="DA85" s="40">
        <f t="shared" ref="DA85" si="705">+DA83/CW83-1</f>
        <v>0.23273122479182562</v>
      </c>
      <c r="DB85" s="40">
        <f t="shared" ref="DB85" si="706">+DB83/CX83-1</f>
        <v>0.2267725504390814</v>
      </c>
      <c r="DE85" s="122"/>
      <c r="DF85" s="39">
        <v>0.78486481031963606</v>
      </c>
    </row>
    <row r="86" spans="1:110" s="39" customFormat="1" x14ac:dyDescent="0.2">
      <c r="A86" s="39" t="s">
        <v>452</v>
      </c>
      <c r="AB86" s="40"/>
      <c r="AC86" s="40"/>
      <c r="AD86" s="40"/>
      <c r="AE86" s="40"/>
      <c r="AJ86" s="39" t="e">
        <f>+IF(AI83&lt;0,1-AJ83/AI83,AJ83/AI83-1)</f>
        <v>#DIV/0!</v>
      </c>
      <c r="AK86" s="39" t="e">
        <f t="shared" ref="AK86:AM86" si="707">+IF(AJ83&lt;0,1-AK83/AJ83,AK83/AJ83-1)</f>
        <v>#DIV/0!</v>
      </c>
      <c r="AL86" s="39" t="e">
        <f t="shared" si="707"/>
        <v>#DIV/0!</v>
      </c>
      <c r="AM86" s="39" t="e">
        <f t="shared" si="707"/>
        <v>#DIV/0!</v>
      </c>
      <c r="AN86" s="39" t="e">
        <f t="shared" ref="AN86" si="708">+IF(AM83&lt;0,1-AN83/AM83,AN83/AM83-1)</f>
        <v>#DIV/0!</v>
      </c>
      <c r="AO86" s="39" t="e">
        <f t="shared" ref="AO86" si="709">+IF(AN83&lt;0,1-AO83/AN83,AO83/AN83-1)</f>
        <v>#DIV/0!</v>
      </c>
      <c r="AP86" s="39" t="e">
        <f t="shared" ref="AP86" si="710">+IF(AO83&lt;0,1-AP83/AO83,AP83/AO83-1)</f>
        <v>#DIV/0!</v>
      </c>
      <c r="AQ86" s="39" t="e">
        <f t="shared" ref="AQ86" si="711">+IF(AP83&lt;0,1-AQ83/AP83,AQ83/AP83-1)</f>
        <v>#DIV/0!</v>
      </c>
      <c r="AR86" s="39" t="e">
        <f t="shared" ref="AR86" si="712">+IF(AQ83&lt;0,1-AR83/AQ83,AR83/AQ83-1)</f>
        <v>#DIV/0!</v>
      </c>
      <c r="AS86" s="39" t="e">
        <f t="shared" ref="AS86" si="713">+IF(AR83&lt;0,1-AS83/AR83,AS83/AR83-1)</f>
        <v>#DIV/0!</v>
      </c>
      <c r="AT86" s="39" t="e">
        <f t="shared" ref="AT86" si="714">+IF(AS83&lt;0,1-AT83/AS83,AT83/AS83-1)</f>
        <v>#DIV/0!</v>
      </c>
      <c r="AU86" s="39" t="e">
        <f t="shared" ref="AU86" si="715">+IF(AT83&lt;0,1-AU83/AT83,AU83/AT83-1)</f>
        <v>#DIV/0!</v>
      </c>
      <c r="AV86" s="39">
        <f t="shared" ref="AV86" si="716">+IF(AU83&lt;0,1-AV83/AU83,AV83/AU83-1)</f>
        <v>0.50124826629681052</v>
      </c>
      <c r="AW86" s="39">
        <f t="shared" ref="AW86" si="717">+IF(AV83&lt;0,1-AW83/AV83,AW83/AV83-1)</f>
        <v>-0.33394924858339448</v>
      </c>
      <c r="AX86" s="39">
        <f t="shared" ref="AX86" si="718">+IF(AW83&lt;0,1-AX83/AW83,AX83/AW83-1)</f>
        <v>0.28869983354910178</v>
      </c>
      <c r="AY86" s="39">
        <f t="shared" ref="AY86" si="719">+IF(AX83&lt;0,1-AY83/AX83,AY83/AX83-1)</f>
        <v>0.22545924225028724</v>
      </c>
      <c r="AZ86" s="39">
        <f t="shared" ref="AZ86" si="720">+IF(AY83&lt;0,1-AZ83/AY83,AZ83/AY83-1)</f>
        <v>3.6069797400164028E-2</v>
      </c>
      <c r="BA86" s="39">
        <f t="shared" ref="BA86" si="721">+IF(AZ83&lt;0,1-BA83/AZ83,BA83/AZ83-1)</f>
        <v>-9.2630270148072569E-2</v>
      </c>
      <c r="BB86" s="39">
        <f t="shared" ref="BB86" si="722">+IF(BA83&lt;0,1-BB83/BA83,BB83/BA83-1)</f>
        <v>0.21077545935845499</v>
      </c>
      <c r="BC86" s="39">
        <f t="shared" ref="BC86" si="723">+IF(BB83&lt;0,1-BC83/BB83,BC83/BB83-1)</f>
        <v>0.23771798960851909</v>
      </c>
      <c r="BD86" s="39">
        <f t="shared" ref="BD86" si="724">+IF(BC83&lt;0,1-BD83/BC83,BD83/BC83-1)</f>
        <v>3.0590191188694993E-2</v>
      </c>
      <c r="BE86" s="39">
        <f t="shared" ref="BE86" si="725">+IF(BD83&lt;0,1-BE83/BD83,BE83/BD83-1)</f>
        <v>-0.13413453782868179</v>
      </c>
      <c r="BF86" s="39">
        <f t="shared" ref="BF86" si="726">+IF(BE83&lt;0,1-BF83/BE83,BF83/BE83-1)</f>
        <v>0.17047042384722833</v>
      </c>
      <c r="BG86" s="39">
        <f t="shared" ref="BG86" si="727">+IF(BF83&lt;0,1-BG83/BF83,BG83/BF83-1)</f>
        <v>-6.7250298448070067E-2</v>
      </c>
      <c r="BH86" s="39">
        <f t="shared" ref="BH86" si="728">+IF(BG83&lt;0,1-BH83/BG83,BH83/BG83-1)</f>
        <v>5.8447098976109224E-2</v>
      </c>
      <c r="BI86" s="39">
        <f t="shared" ref="BI86" si="729">+IF(BH83&lt;0,1-BI83/BH83,BI83/BH83-1)</f>
        <v>-0.19467956469165648</v>
      </c>
      <c r="BJ86" s="39">
        <f t="shared" ref="BJ86" si="730">+IF(BI83&lt;0,1-BJ83/BI83,BJ83/BI83-1)</f>
        <v>-0.18668668668668686</v>
      </c>
      <c r="BK86" s="39">
        <f t="shared" ref="BK86" si="731">+IF(BJ83&lt;0,1-BK83/BJ83,BK83/BJ83-1)</f>
        <v>0.6793846153846157</v>
      </c>
      <c r="BL86" s="39">
        <f t="shared" ref="BL86" si="732">+IF(BK83&lt;0,1-BL83/BK83,BL83/BK83-1)</f>
        <v>0.27445950897764759</v>
      </c>
      <c r="BM86" s="39">
        <f t="shared" ref="BM86" si="733">+IF(BL83&lt;0,1-BM83/BL83,BM83/BL83-1)</f>
        <v>-0.21190339275445647</v>
      </c>
      <c r="BN86" s="39">
        <f t="shared" ref="BN86" si="734">+IF(BM83&lt;0,1-BN83/BM83,BN83/BM83-1)</f>
        <v>-0.81758482305727853</v>
      </c>
      <c r="BO86" s="39">
        <f t="shared" ref="BO86" si="735">+IF(BN83&lt;0,1-BO83/BN83,BO83/BN83-1)</f>
        <v>-0.90199999999999969</v>
      </c>
      <c r="BP86" s="39">
        <f t="shared" ref="BP86" si="736">+IF(BO83&lt;0,1-BP83/BO83,BP83/BO83-1)</f>
        <v>86.959183673469198</v>
      </c>
      <c r="BQ86" s="39">
        <f t="shared" ref="BQ86" si="737">+IF(BP83&lt;0,1-BQ83/BP83,BQ83/BP83-1)</f>
        <v>-0.24988399071925727</v>
      </c>
      <c r="BR86" s="39">
        <f t="shared" ref="BR86" si="738">+IF(BQ83&lt;0,1-BR83/BQ83,BR83/BQ83-1)</f>
        <v>0.16207856480049476</v>
      </c>
      <c r="BS86" s="39">
        <f t="shared" ref="BS86" si="739">+IF(BR83&lt;0,1-BS83/BR83,BS83/BR83-1)</f>
        <v>0.48709076390737227</v>
      </c>
      <c r="BT86" s="39">
        <f t="shared" ref="BT86" si="740">+IF(BS83&lt;0,1-BT83/BS83,BT83/BS83-1)</f>
        <v>0.39466618936817621</v>
      </c>
      <c r="BU86" s="39">
        <f t="shared" ref="BU86" si="741">+IF(BT83&lt;0,1-BU83/BT83,BU83/BT83-1)</f>
        <v>-0.72150924024640639</v>
      </c>
      <c r="BV86" s="39">
        <f t="shared" ref="BV86" si="742">+IF(BU83&lt;0,1-BV83/BU83,BV83/BU83-1)</f>
        <v>-4.516129032258176E-2</v>
      </c>
      <c r="BW86" s="39">
        <f t="shared" ref="BW86" si="743">+IF(BV83&lt;0,1-BW83/BV83,BW83/BV83-1)</f>
        <v>3.6196911196913151E-2</v>
      </c>
      <c r="BX86" s="39">
        <f t="shared" ref="BX86" si="744">+IF(BW83&lt;0,1-BX83/BW83,BX83/BW83-1)</f>
        <v>-0.28598043782021465</v>
      </c>
      <c r="BY86" s="39">
        <f t="shared" ref="BY86" si="745">+IF(BX83&lt;0,1-BY83/BX83,BY83/BX83-1)</f>
        <v>-7.3059360730593825E-2</v>
      </c>
      <c r="BZ86" s="39">
        <f t="shared" ref="BZ86" si="746">+IF(BY83&lt;0,1-BZ83/BY83,BZ83/BY83-1)</f>
        <v>-0.14356087262491168</v>
      </c>
      <c r="CA86" s="39">
        <f t="shared" ref="CA86" si="747">+IF(BZ83&lt;0,1-CA83/BZ83,CA83/BZ83-1)</f>
        <v>0.40755957271980248</v>
      </c>
      <c r="CB86" s="39">
        <f t="shared" ref="CB86" si="748">+IF(CA83&lt;0,1-CB83/CA83,CB83/CA83-1)</f>
        <v>0.16579100992410911</v>
      </c>
      <c r="CC86" s="39">
        <f t="shared" ref="CC86" si="749">+IF(CB83&lt;0,1-CC83/CB83,CC83/CB83-1)</f>
        <v>-0.26840260390585713</v>
      </c>
      <c r="CD86" s="39">
        <f t="shared" ref="CD86" si="750">+IF(CC83&lt;0,1-CD83/CC83,CD83/CC83-1)</f>
        <v>0.19096509240246151</v>
      </c>
      <c r="CE86" s="39">
        <f t="shared" ref="CE86" si="751">+IF(CD83&lt;0,1-CE83/CD83,CE83/CD83-1)</f>
        <v>0.39655172413792994</v>
      </c>
      <c r="CF86" s="39">
        <f t="shared" ref="CF86" si="752">+IF(CE83&lt;0,1-CF83/CE83,CF83/CE83-1)</f>
        <v>9.9176954732511424E-2</v>
      </c>
      <c r="CG86" s="39">
        <f t="shared" ref="CG86" si="753">+IF(CF83&lt;0,1-CG83/CF83,CG83/CF83-1)</f>
        <v>-0.28453762635716962</v>
      </c>
      <c r="CH86" s="39">
        <f t="shared" ref="CH86:CL86" si="754">+IF(CG83&lt;0,1-CH83/CG83,CH83/CG83-1)</f>
        <v>0.16169544740973074</v>
      </c>
      <c r="CI86" s="39">
        <f t="shared" si="754"/>
        <v>0.71351351351351688</v>
      </c>
      <c r="CJ86" s="39">
        <f t="shared" si="754"/>
        <v>0.24947423764458376</v>
      </c>
      <c r="CK86" s="39">
        <f t="shared" si="754"/>
        <v>-0.28613507258573467</v>
      </c>
      <c r="CL86" s="39">
        <f t="shared" si="754"/>
        <v>0.41821396993810556</v>
      </c>
      <c r="CM86" s="40">
        <f t="shared" ref="CM86" si="755">+CM83/CL83-1</f>
        <v>-8.2529815234754778E-2</v>
      </c>
      <c r="CN86" s="40">
        <f t="shared" ref="CN86" si="756">+CN83/CM83-1</f>
        <v>0.18037974356551589</v>
      </c>
      <c r="CO86" s="40">
        <f t="shared" ref="CO86" si="757">+CO83/CN83-1</f>
        <v>-0.10580197069797836</v>
      </c>
      <c r="CP86" s="40">
        <f t="shared" ref="CP86" si="758">+CP83/CO83-1</f>
        <v>0.21235505529006016</v>
      </c>
      <c r="CQ86" s="40">
        <f t="shared" ref="CQ86" si="759">+CQ83/CP83-1</f>
        <v>9.6694660681642119E-3</v>
      </c>
      <c r="CR86" s="40">
        <f t="shared" ref="CR86" si="760">+CR83/CQ83-1</f>
        <v>0.15880708496409746</v>
      </c>
      <c r="CS86" s="40">
        <f t="shared" ref="CS86" si="761">+CS83/CR83-1</f>
        <v>-9.3357129412571682E-2</v>
      </c>
      <c r="CT86" s="40">
        <f t="shared" ref="CT86" si="762">+CT83/CS83-1</f>
        <v>0.18329877509129311</v>
      </c>
      <c r="CU86" s="40">
        <f t="shared" ref="CU86" si="763">+CU83/CT83-1</f>
        <v>1.0438916415116406E-2</v>
      </c>
      <c r="CV86" s="40">
        <f t="shared" ref="CV86" si="764">+CV83/CU83-1</f>
        <v>0.14680098644767825</v>
      </c>
      <c r="CW86" s="40">
        <f t="shared" ref="CW86" si="765">+CW83/CV83-1</f>
        <v>-9.3303074982003409E-2</v>
      </c>
      <c r="CX86" s="40">
        <f t="shared" ref="CX86" si="766">+CX83/CW83-1</f>
        <v>0.16836138027820802</v>
      </c>
      <c r="CY86" s="40">
        <f t="shared" ref="CY86" si="767">+CY83/CX83-1</f>
        <v>1.8450249442358402E-2</v>
      </c>
      <c r="CZ86" s="40">
        <f t="shared" ref="CZ86" si="768">+CZ83/CY83-1</f>
        <v>0.14011290571019996</v>
      </c>
      <c r="DA86" s="40">
        <f t="shared" ref="DA86" si="769">+DA83/CZ83-1</f>
        <v>-9.133558011830134E-2</v>
      </c>
      <c r="DB86" s="40">
        <f t="shared" ref="DB86" si="770">+DB83/DA83-1</f>
        <v>0.1627138515619817</v>
      </c>
      <c r="DE86" s="122"/>
      <c r="DF86" s="39">
        <v>0.16781605626571872</v>
      </c>
    </row>
    <row r="87" spans="1:110" s="75" customFormat="1" x14ac:dyDescent="0.2">
      <c r="A87" s="23" t="s">
        <v>23</v>
      </c>
      <c r="B87" s="75">
        <f>'Annual Raw'!C32</f>
        <v>0</v>
      </c>
      <c r="C87" s="75">
        <f>'Annual Raw'!D32</f>
        <v>0</v>
      </c>
      <c r="D87" s="75">
        <f>'Annual Raw'!E32</f>
        <v>0</v>
      </c>
      <c r="E87" s="75">
        <f>'Annual Raw'!F32</f>
        <v>0</v>
      </c>
      <c r="F87" s="75">
        <f>'Annual Raw'!G32</f>
        <v>0</v>
      </c>
      <c r="G87" s="75">
        <f>'Annual Raw'!H32</f>
        <v>0</v>
      </c>
      <c r="H87" s="75">
        <f>'Annual Raw'!I32</f>
        <v>0</v>
      </c>
      <c r="I87" s="75">
        <f>'Annual Raw'!J32</f>
        <v>0</v>
      </c>
      <c r="J87" s="75">
        <f>'Annual Raw'!K32</f>
        <v>0</v>
      </c>
      <c r="K87" s="75">
        <f>'Annual Raw'!L32</f>
        <v>0</v>
      </c>
      <c r="L87" s="75">
        <f>'Annual Raw'!M32</f>
        <v>0</v>
      </c>
      <c r="M87" s="75">
        <f>'Annual Raw'!N32</f>
        <v>0</v>
      </c>
      <c r="N87" s="75">
        <f>'Annual Raw'!O32</f>
        <v>0</v>
      </c>
      <c r="O87" s="75">
        <f>'Annual Raw'!P32</f>
        <v>0</v>
      </c>
      <c r="P87" s="75">
        <f>'Annual Raw'!Q32</f>
        <v>1.179</v>
      </c>
      <c r="Q87" s="75">
        <f>'Annual Raw'!R32</f>
        <v>0</v>
      </c>
      <c r="R87" s="75">
        <f>'Annual Raw'!S32</f>
        <v>0</v>
      </c>
      <c r="S87" s="75">
        <f>'Annual Raw'!T32</f>
        <v>0</v>
      </c>
      <c r="T87" s="75">
        <f>'Annual Raw'!U32</f>
        <v>0</v>
      </c>
      <c r="U87" s="75">
        <f>'Annual Raw'!V32</f>
        <v>0</v>
      </c>
      <c r="V87" s="75">
        <f>'Annual Raw'!W32</f>
        <v>0</v>
      </c>
      <c r="W87" s="75">
        <f>'Annual Raw'!X32</f>
        <v>0</v>
      </c>
      <c r="X87" s="75">
        <f>'Annual Raw'!Y32</f>
        <v>0.13</v>
      </c>
      <c r="Y87" s="75">
        <f>'Annual Raw'!Z32</f>
        <v>1.27</v>
      </c>
      <c r="Z87" s="75">
        <f>'Annual Raw'!AA32</f>
        <v>0.76</v>
      </c>
      <c r="AA87" s="75">
        <f>'Annual Raw'!AB32</f>
        <v>0.19</v>
      </c>
      <c r="AB87" s="76">
        <f t="shared" ref="AB87:AB88" si="771">+SUM(CM87:CP87)</f>
        <v>-6.36</v>
      </c>
      <c r="AC87" s="76">
        <f t="shared" ref="AC87:AC88" si="772">+SUM(CQ87:CT87)</f>
        <v>-6.36</v>
      </c>
      <c r="AD87" s="76">
        <f t="shared" ref="AD87:AD88" si="773">+SUM(CU87:CX87)</f>
        <v>-6.36</v>
      </c>
      <c r="AE87" s="76">
        <f t="shared" ref="AE87:AE88" si="774">+SUM(CY87:DB87)</f>
        <v>-6.36</v>
      </c>
      <c r="AI87" s="75">
        <f>'QTR Raw'!C34</f>
        <v>0</v>
      </c>
      <c r="AJ87" s="75">
        <f>'QTR Raw'!D34</f>
        <v>0</v>
      </c>
      <c r="AK87" s="75">
        <f>'QTR Raw'!E34</f>
        <v>0</v>
      </c>
      <c r="AL87" s="75">
        <f>'QTR Raw'!F34</f>
        <v>0</v>
      </c>
      <c r="AM87" s="75">
        <f>'QTR Raw'!G34</f>
        <v>0</v>
      </c>
      <c r="AN87" s="75">
        <f>'QTR Raw'!H34</f>
        <v>0</v>
      </c>
      <c r="AO87" s="75">
        <f>'QTR Raw'!I34</f>
        <v>0</v>
      </c>
      <c r="AP87" s="75">
        <f>'QTR Raw'!J34</f>
        <v>0</v>
      </c>
      <c r="AQ87" s="75">
        <f>'QTR Raw'!K34</f>
        <v>0</v>
      </c>
      <c r="AR87" s="75">
        <f>'QTR Raw'!L34</f>
        <v>0</v>
      </c>
      <c r="AS87" s="75">
        <f>'QTR Raw'!M34</f>
        <v>0</v>
      </c>
      <c r="AT87" s="75">
        <f>'QTR Raw'!N34</f>
        <v>0</v>
      </c>
      <c r="AU87" s="75">
        <f>'QTR Raw'!O34</f>
        <v>0.94899999999999995</v>
      </c>
      <c r="AV87" s="75">
        <f>'QTR Raw'!P34</f>
        <v>0.33100000000000002</v>
      </c>
      <c r="AW87" s="75">
        <f>'QTR Raw'!Q34</f>
        <v>0</v>
      </c>
      <c r="AX87" s="75">
        <f>'QTR Raw'!R34</f>
        <v>0</v>
      </c>
      <c r="AY87" s="75">
        <f>'QTR Raw'!S34</f>
        <v>0</v>
      </c>
      <c r="AZ87" s="75">
        <f>'QTR Raw'!T34</f>
        <v>0</v>
      </c>
      <c r="BA87" s="75">
        <f>'QTR Raw'!U34</f>
        <v>0</v>
      </c>
      <c r="BB87" s="75">
        <f>'QTR Raw'!V34</f>
        <v>0</v>
      </c>
      <c r="BC87" s="75">
        <f>'QTR Raw'!W34</f>
        <v>0</v>
      </c>
      <c r="BD87" s="75">
        <f>'QTR Raw'!X34</f>
        <v>0</v>
      </c>
      <c r="BE87" s="75">
        <f>'QTR Raw'!Y34</f>
        <v>0</v>
      </c>
      <c r="BF87" s="75">
        <f>'QTR Raw'!Z34</f>
        <v>0</v>
      </c>
      <c r="BG87" s="75">
        <f>'QTR Raw'!AA34</f>
        <v>0</v>
      </c>
      <c r="BH87" s="75">
        <f>'QTR Raw'!AB34</f>
        <v>0</v>
      </c>
      <c r="BI87" s="75">
        <f>'QTR Raw'!AC34</f>
        <v>0</v>
      </c>
      <c r="BJ87" s="75">
        <f>'QTR Raw'!AD34</f>
        <v>0</v>
      </c>
      <c r="BK87" s="75">
        <f>'QTR Raw'!AE34</f>
        <v>0</v>
      </c>
      <c r="BL87" s="75">
        <f>'QTR Raw'!AF34</f>
        <v>0</v>
      </c>
      <c r="BM87" s="75">
        <f>'QTR Raw'!AG34</f>
        <v>0</v>
      </c>
      <c r="BN87" s="75">
        <f>'QTR Raw'!AH34</f>
        <v>0</v>
      </c>
      <c r="BO87" s="75">
        <f>'QTR Raw'!AI34</f>
        <v>0</v>
      </c>
      <c r="BP87" s="75">
        <f>'QTR Raw'!AJ34</f>
        <v>0</v>
      </c>
      <c r="BQ87" s="75">
        <f>'QTR Raw'!AK34</f>
        <v>0</v>
      </c>
      <c r="BR87" s="75">
        <f>'QTR Raw'!AL34</f>
        <v>0</v>
      </c>
      <c r="BS87" s="75">
        <f>'QTR Raw'!AM34</f>
        <v>0</v>
      </c>
      <c r="BT87" s="75">
        <f>'QTR Raw'!AN34</f>
        <v>0</v>
      </c>
      <c r="BU87" s="75">
        <f>'QTR Raw'!AO34</f>
        <v>0</v>
      </c>
      <c r="BV87" s="75">
        <f>'QTR Raw'!AP34</f>
        <v>0</v>
      </c>
      <c r="BW87" s="75">
        <f>'QTR Raw'!AQ34</f>
        <v>0</v>
      </c>
      <c r="BX87" s="75">
        <f>'QTR Raw'!AR34</f>
        <v>0</v>
      </c>
      <c r="BY87" s="75">
        <f>'QTR Raw'!AS34</f>
        <v>0.02</v>
      </c>
      <c r="BZ87" s="75">
        <f>'QTR Raw'!AT34</f>
        <v>0.11</v>
      </c>
      <c r="CA87" s="75">
        <f>'QTR Raw'!AU34</f>
        <v>0.05</v>
      </c>
      <c r="CB87" s="75">
        <f>'QTR Raw'!AV34</f>
        <v>0.01</v>
      </c>
      <c r="CC87" s="75">
        <f>'QTR Raw'!AW34</f>
        <v>0.61</v>
      </c>
      <c r="CD87" s="75">
        <f>'QTR Raw'!AX34</f>
        <v>0.6</v>
      </c>
      <c r="CE87" s="75">
        <f>'QTR Raw'!AY34</f>
        <v>0.23</v>
      </c>
      <c r="CF87" s="75">
        <f>'QTR Raw'!AZ34</f>
        <v>0.25</v>
      </c>
      <c r="CG87" s="75">
        <f>'QTR Raw'!BA34</f>
        <v>0.16</v>
      </c>
      <c r="CH87" s="75">
        <f>'QTR Raw'!BB34</f>
        <v>0.13</v>
      </c>
      <c r="CI87" s="75">
        <f>'QTR Raw'!BC34</f>
        <v>0.64</v>
      </c>
      <c r="CJ87" s="75">
        <f>'QTR Raw'!BD34</f>
        <v>0.18</v>
      </c>
      <c r="CK87" s="75">
        <f>'QTR Raw'!BE34</f>
        <v>0.96</v>
      </c>
      <c r="CL87" s="75">
        <f>'QTR Raw'!BF34</f>
        <v>-1.59</v>
      </c>
      <c r="CM87" s="76">
        <f t="shared" ref="CM87:CM88" si="775">+CL87</f>
        <v>-1.59</v>
      </c>
      <c r="CN87" s="76">
        <f t="shared" ref="CN87:CN88" si="776">+CM87</f>
        <v>-1.59</v>
      </c>
      <c r="CO87" s="76">
        <f t="shared" ref="CO87:CO88" si="777">+CN87</f>
        <v>-1.59</v>
      </c>
      <c r="CP87" s="76">
        <f t="shared" ref="CP87:CP88" si="778">+CO87</f>
        <v>-1.59</v>
      </c>
      <c r="CQ87" s="76">
        <f t="shared" ref="CQ87:CQ88" si="779">+CP87</f>
        <v>-1.59</v>
      </c>
      <c r="CR87" s="76">
        <f t="shared" ref="CR87:CR88" si="780">+CQ87</f>
        <v>-1.59</v>
      </c>
      <c r="CS87" s="76">
        <f t="shared" ref="CS87:CS88" si="781">+CR87</f>
        <v>-1.59</v>
      </c>
      <c r="CT87" s="76">
        <f t="shared" ref="CT87:CT88" si="782">+CS87</f>
        <v>-1.59</v>
      </c>
      <c r="CU87" s="76">
        <f t="shared" ref="CU87:CU88" si="783">+CT87</f>
        <v>-1.59</v>
      </c>
      <c r="CV87" s="76">
        <f t="shared" ref="CV87:CV88" si="784">+CU87</f>
        <v>-1.59</v>
      </c>
      <c r="CW87" s="76">
        <f t="shared" ref="CW87:CW88" si="785">+CV87</f>
        <v>-1.59</v>
      </c>
      <c r="CX87" s="76">
        <f t="shared" ref="CX87:CX88" si="786">+CW87</f>
        <v>-1.59</v>
      </c>
      <c r="CY87" s="76">
        <f t="shared" ref="CY87:CY88" si="787">+CX87</f>
        <v>-1.59</v>
      </c>
      <c r="CZ87" s="76">
        <f t="shared" ref="CZ87:CZ88" si="788">+CY87</f>
        <v>-1.59</v>
      </c>
      <c r="DA87" s="76">
        <f t="shared" ref="DA87:DA88" si="789">+CZ87</f>
        <v>-1.59</v>
      </c>
      <c r="DB87" s="76">
        <f t="shared" ref="DB87:DB88" si="790">+DA87</f>
        <v>-1.59</v>
      </c>
      <c r="DE87" s="131"/>
      <c r="DF87" s="75">
        <v>0.96</v>
      </c>
    </row>
    <row r="88" spans="1:110" s="75" customFormat="1" x14ac:dyDescent="0.2">
      <c r="A88" s="23" t="s">
        <v>24</v>
      </c>
      <c r="B88" s="75">
        <f>'Annual Raw'!C33+'Annual Raw'!C28</f>
        <v>0</v>
      </c>
      <c r="C88" s="75">
        <f>'Annual Raw'!D33+'Annual Raw'!D28</f>
        <v>0</v>
      </c>
      <c r="D88" s="75">
        <f>'Annual Raw'!E33+'Annual Raw'!E28</f>
        <v>0</v>
      </c>
      <c r="E88" s="75">
        <f>'Annual Raw'!F33+'Annual Raw'!F28</f>
        <v>0</v>
      </c>
      <c r="F88" s="75">
        <f>'Annual Raw'!G33+'Annual Raw'!G28</f>
        <v>0</v>
      </c>
      <c r="G88" s="75">
        <f>'Annual Raw'!H33+'Annual Raw'!H28</f>
        <v>0</v>
      </c>
      <c r="H88" s="75">
        <f>'Annual Raw'!I33+'Annual Raw'!I28</f>
        <v>0</v>
      </c>
      <c r="I88" s="75">
        <f>'Annual Raw'!J33+'Annual Raw'!J28</f>
        <v>0</v>
      </c>
      <c r="J88" s="75">
        <f>'Annual Raw'!K33+'Annual Raw'!K28</f>
        <v>0</v>
      </c>
      <c r="K88" s="75">
        <f>'Annual Raw'!L33+'Annual Raw'!L28</f>
        <v>0</v>
      </c>
      <c r="L88" s="75">
        <f>'Annual Raw'!M33+'Annual Raw'!M28</f>
        <v>0</v>
      </c>
      <c r="M88" s="75">
        <f>'Annual Raw'!N33+'Annual Raw'!N28</f>
        <v>0</v>
      </c>
      <c r="N88" s="75">
        <f>'Annual Raw'!O33+'Annual Raw'!O28</f>
        <v>0</v>
      </c>
      <c r="O88" s="75">
        <f>'Annual Raw'!P33+'Annual Raw'!P28</f>
        <v>0</v>
      </c>
      <c r="P88" s="75">
        <f>'Annual Raw'!Q33+'Annual Raw'!Q28</f>
        <v>0</v>
      </c>
      <c r="Q88" s="75">
        <f>'Annual Raw'!R33+'Annual Raw'!R28</f>
        <v>0</v>
      </c>
      <c r="R88" s="75">
        <f>'Annual Raw'!S33+'Annual Raw'!S28</f>
        <v>0</v>
      </c>
      <c r="S88" s="75">
        <f>'Annual Raw'!T33+'Annual Raw'!T28</f>
        <v>0</v>
      </c>
      <c r="T88" s="75">
        <f>'Annual Raw'!U33+'Annual Raw'!U28</f>
        <v>0.66</v>
      </c>
      <c r="U88" s="75">
        <f>'Annual Raw'!V33+'Annual Raw'!V28</f>
        <v>0.51</v>
      </c>
      <c r="V88" s="75">
        <f>'Annual Raw'!W33+'Annual Raw'!W28</f>
        <v>-7.0000000000000007E-2</v>
      </c>
      <c r="W88" s="75">
        <f>'Annual Raw'!X33+'Annual Raw'!X28</f>
        <v>-0.18</v>
      </c>
      <c r="X88" s="75">
        <f>'Annual Raw'!Y33+'Annual Raw'!Y28</f>
        <v>1.18</v>
      </c>
      <c r="Y88" s="75">
        <f>'Annual Raw'!Z33+'Annual Raw'!Z28</f>
        <v>0.39</v>
      </c>
      <c r="Z88" s="75">
        <f>'Annual Raw'!AA33+'Annual Raw'!AA28</f>
        <v>-1.44</v>
      </c>
      <c r="AA88" s="75">
        <f>'Annual Raw'!AB33+'Annual Raw'!AB28</f>
        <v>1.39</v>
      </c>
      <c r="AB88" s="76">
        <f t="shared" si="771"/>
        <v>2.3199999999999998</v>
      </c>
      <c r="AC88" s="76">
        <f t="shared" si="772"/>
        <v>2.3199999999999998</v>
      </c>
      <c r="AD88" s="76">
        <f t="shared" si="773"/>
        <v>2.3199999999999998</v>
      </c>
      <c r="AE88" s="76">
        <f t="shared" si="774"/>
        <v>2.3199999999999998</v>
      </c>
      <c r="AI88" s="75">
        <f>'QTR Raw'!C35</f>
        <v>0</v>
      </c>
      <c r="AJ88" s="75">
        <f>'QTR Raw'!D35</f>
        <v>0</v>
      </c>
      <c r="AK88" s="75">
        <f>'QTR Raw'!E35</f>
        <v>0</v>
      </c>
      <c r="AL88" s="75">
        <f>'QTR Raw'!F35</f>
        <v>0</v>
      </c>
      <c r="AM88" s="75">
        <f>'QTR Raw'!G35</f>
        <v>0</v>
      </c>
      <c r="AN88" s="75">
        <f>'QTR Raw'!H35</f>
        <v>0</v>
      </c>
      <c r="AO88" s="75">
        <f>'QTR Raw'!I35</f>
        <v>0</v>
      </c>
      <c r="AP88" s="75">
        <f>'QTR Raw'!J35</f>
        <v>0</v>
      </c>
      <c r="AQ88" s="75">
        <f>'QTR Raw'!K35</f>
        <v>0</v>
      </c>
      <c r="AR88" s="75">
        <f>'QTR Raw'!L35</f>
        <v>0</v>
      </c>
      <c r="AS88" s="75">
        <f>'QTR Raw'!M35</f>
        <v>0</v>
      </c>
      <c r="AT88" s="75">
        <f>'QTR Raw'!N35</f>
        <v>0</v>
      </c>
      <c r="AU88" s="75">
        <f>'QTR Raw'!O35</f>
        <v>0</v>
      </c>
      <c r="AV88" s="75">
        <f>'QTR Raw'!P35</f>
        <v>0</v>
      </c>
      <c r="AW88" s="75">
        <f>'QTR Raw'!Q35</f>
        <v>0</v>
      </c>
      <c r="AX88" s="75">
        <f>'QTR Raw'!R35</f>
        <v>0</v>
      </c>
      <c r="AY88" s="75">
        <f>'QTR Raw'!S35</f>
        <v>0</v>
      </c>
      <c r="AZ88" s="75">
        <f>'QTR Raw'!T35</f>
        <v>0</v>
      </c>
      <c r="BA88" s="75">
        <f>'QTR Raw'!U35</f>
        <v>0</v>
      </c>
      <c r="BB88" s="75">
        <f>'QTR Raw'!V35</f>
        <v>0</v>
      </c>
      <c r="BC88" s="75">
        <f>'QTR Raw'!W35</f>
        <v>0</v>
      </c>
      <c r="BD88" s="75">
        <f>'QTR Raw'!X35</f>
        <v>0</v>
      </c>
      <c r="BE88" s="75">
        <f>'QTR Raw'!Y35</f>
        <v>0</v>
      </c>
      <c r="BF88" s="75">
        <f>'QTR Raw'!Z35</f>
        <v>0</v>
      </c>
      <c r="BG88" s="75">
        <f>'QTR Raw'!AA35</f>
        <v>-0.04</v>
      </c>
      <c r="BH88" s="75">
        <f>'QTR Raw'!AB35</f>
        <v>0.45</v>
      </c>
      <c r="BI88" s="75">
        <f>'QTR Raw'!AC35</f>
        <v>0.17</v>
      </c>
      <c r="BJ88" s="75">
        <f>'QTR Raw'!AD35</f>
        <v>0.08</v>
      </c>
      <c r="BK88" s="75">
        <f>'QTR Raw'!AE35</f>
        <v>0.18</v>
      </c>
      <c r="BL88" s="75">
        <f>'QTR Raw'!AF35</f>
        <v>0.27</v>
      </c>
      <c r="BM88" s="75">
        <f>'QTR Raw'!AG35</f>
        <v>0.08</v>
      </c>
      <c r="BN88" s="75">
        <f>'QTR Raw'!AH35</f>
        <v>-0.02</v>
      </c>
      <c r="BO88" s="75">
        <f>'QTR Raw'!AI35</f>
        <v>-0.26</v>
      </c>
      <c r="BP88" s="75">
        <f>'QTR Raw'!AJ35</f>
        <v>-0.05</v>
      </c>
      <c r="BQ88" s="75">
        <f>'QTR Raw'!AK35</f>
        <v>0.06</v>
      </c>
      <c r="BR88" s="75">
        <f>'QTR Raw'!AL35</f>
        <v>0.18</v>
      </c>
      <c r="BS88" s="75">
        <f>'QTR Raw'!AM35</f>
        <v>-0.28999999999999998</v>
      </c>
      <c r="BT88" s="75">
        <f>'QTR Raw'!AN35</f>
        <v>-0.19</v>
      </c>
      <c r="BU88" s="75">
        <f>'QTR Raw'!AO35</f>
        <v>-0.2</v>
      </c>
      <c r="BV88" s="75">
        <f>'QTR Raw'!AP35</f>
        <v>0.52</v>
      </c>
      <c r="BW88" s="75">
        <f>'QTR Raw'!AQ35</f>
        <v>0.26</v>
      </c>
      <c r="BX88" s="75">
        <f>'QTR Raw'!AR35</f>
        <v>0.1</v>
      </c>
      <c r="BY88" s="75">
        <f>'QTR Raw'!AS35</f>
        <v>0.49</v>
      </c>
      <c r="BZ88" s="75">
        <f>'QTR Raw'!AT35</f>
        <v>0.32</v>
      </c>
      <c r="CA88" s="75">
        <f>'QTR Raw'!AU35</f>
        <v>0.12</v>
      </c>
      <c r="CB88" s="75">
        <f>'QTR Raw'!AV35</f>
        <v>0.36</v>
      </c>
      <c r="CC88" s="75">
        <f>'QTR Raw'!AW35</f>
        <v>0.13</v>
      </c>
      <c r="CD88" s="75">
        <f>'QTR Raw'!AX35</f>
        <v>-0.22</v>
      </c>
      <c r="CE88" s="75">
        <f>'QTR Raw'!AY35</f>
        <v>-0.36</v>
      </c>
      <c r="CF88" s="75">
        <f>'QTR Raw'!AZ35</f>
        <v>-0.28999999999999998</v>
      </c>
      <c r="CG88" s="75">
        <f>'QTR Raw'!BA35</f>
        <v>-0.16</v>
      </c>
      <c r="CH88" s="75">
        <f>'QTR Raw'!BB35</f>
        <v>-0.63</v>
      </c>
      <c r="CI88" s="75">
        <f>'QTR Raw'!BC35</f>
        <v>0.25</v>
      </c>
      <c r="CJ88" s="75">
        <f>'QTR Raw'!BD35</f>
        <v>0.28000000000000003</v>
      </c>
      <c r="CK88" s="75">
        <f>'QTR Raw'!BE35</f>
        <v>0.28000000000000003</v>
      </c>
      <c r="CL88" s="75">
        <f>'QTR Raw'!BF35</f>
        <v>0.57999999999999996</v>
      </c>
      <c r="CM88" s="76">
        <f t="shared" si="775"/>
        <v>0.57999999999999996</v>
      </c>
      <c r="CN88" s="76">
        <f t="shared" si="776"/>
        <v>0.57999999999999996</v>
      </c>
      <c r="CO88" s="76">
        <f t="shared" si="777"/>
        <v>0.57999999999999996</v>
      </c>
      <c r="CP88" s="76">
        <f t="shared" si="778"/>
        <v>0.57999999999999996</v>
      </c>
      <c r="CQ88" s="76">
        <f t="shared" si="779"/>
        <v>0.57999999999999996</v>
      </c>
      <c r="CR88" s="76">
        <f t="shared" si="780"/>
        <v>0.57999999999999996</v>
      </c>
      <c r="CS88" s="76">
        <f t="shared" si="781"/>
        <v>0.57999999999999996</v>
      </c>
      <c r="CT88" s="76">
        <f t="shared" si="782"/>
        <v>0.57999999999999996</v>
      </c>
      <c r="CU88" s="76">
        <f t="shared" si="783"/>
        <v>0.57999999999999996</v>
      </c>
      <c r="CV88" s="76">
        <f t="shared" si="784"/>
        <v>0.57999999999999996</v>
      </c>
      <c r="CW88" s="76">
        <f t="shared" si="785"/>
        <v>0.57999999999999996</v>
      </c>
      <c r="CX88" s="76">
        <f t="shared" si="786"/>
        <v>0.57999999999999996</v>
      </c>
      <c r="CY88" s="76">
        <f t="shared" si="787"/>
        <v>0.57999999999999996</v>
      </c>
      <c r="CZ88" s="76">
        <f t="shared" si="788"/>
        <v>0.57999999999999996</v>
      </c>
      <c r="DA88" s="76">
        <f t="shared" si="789"/>
        <v>0.57999999999999996</v>
      </c>
      <c r="DB88" s="76">
        <f t="shared" si="790"/>
        <v>0.57999999999999996</v>
      </c>
      <c r="DE88" s="131"/>
      <c r="DF88" s="75">
        <v>0.28000000000000003</v>
      </c>
    </row>
    <row r="89" spans="1:110" s="23" customFormat="1" x14ac:dyDescent="0.2">
      <c r="A89" s="23" t="s">
        <v>19</v>
      </c>
      <c r="B89" s="75">
        <f>'Annual Raw'!C29+'Annual Raw'!C31+'Annual Raw'!C34+'Annual Raw'!C36</f>
        <v>0</v>
      </c>
      <c r="C89" s="75">
        <f>'Annual Raw'!D29+'Annual Raw'!D31+'Annual Raw'!D34+'Annual Raw'!D36</f>
        <v>0</v>
      </c>
      <c r="D89" s="75">
        <f>'Annual Raw'!E29+'Annual Raw'!E31+'Annual Raw'!E34+'Annual Raw'!E36</f>
        <v>0</v>
      </c>
      <c r="E89" s="75">
        <f>'Annual Raw'!F29+'Annual Raw'!F31+'Annual Raw'!F34+'Annual Raw'!F36</f>
        <v>0</v>
      </c>
      <c r="F89" s="75">
        <f>'Annual Raw'!G29+'Annual Raw'!G31+'Annual Raw'!G34+'Annual Raw'!G36</f>
        <v>0</v>
      </c>
      <c r="G89" s="75">
        <f>'Annual Raw'!H29+'Annual Raw'!H31+'Annual Raw'!H34+'Annual Raw'!H36</f>
        <v>0</v>
      </c>
      <c r="H89" s="75">
        <f>'Annual Raw'!I29+'Annual Raw'!I31+'Annual Raw'!I34+'Annual Raw'!I36</f>
        <v>0</v>
      </c>
      <c r="I89" s="75">
        <f>'Annual Raw'!J29+'Annual Raw'!J31+'Annual Raw'!J34+'Annual Raw'!J36</f>
        <v>0</v>
      </c>
      <c r="J89" s="75">
        <f>'Annual Raw'!K29+'Annual Raw'!K31+'Annual Raw'!K34+'Annual Raw'!K36</f>
        <v>0</v>
      </c>
      <c r="K89" s="75">
        <f>'Annual Raw'!L29+'Annual Raw'!L31+'Annual Raw'!L34+'Annual Raw'!L36</f>
        <v>0</v>
      </c>
      <c r="L89" s="75">
        <f>'Annual Raw'!M29+'Annual Raw'!M31+'Annual Raw'!M34+'Annual Raw'!M36</f>
        <v>0</v>
      </c>
      <c r="M89" s="75">
        <f>'Annual Raw'!N29+'Annual Raw'!N31+'Annual Raw'!N34+'Annual Raw'!N36</f>
        <v>0</v>
      </c>
      <c r="N89" s="75">
        <f>'Annual Raw'!O29+'Annual Raw'!O31+'Annual Raw'!O34+'Annual Raw'!O36</f>
        <v>0</v>
      </c>
      <c r="O89" s="75">
        <f>'Annual Raw'!P29+'Annual Raw'!P31+'Annual Raw'!P34+'Annual Raw'!P36</f>
        <v>0</v>
      </c>
      <c r="P89" s="75">
        <f>'Annual Raw'!Q29+'Annual Raw'!Q31+'Annual Raw'!Q34+'Annual Raw'!Q36</f>
        <v>0</v>
      </c>
      <c r="Q89" s="75">
        <f>'Annual Raw'!R29+'Annual Raw'!R31+'Annual Raw'!R34+'Annual Raw'!R36</f>
        <v>0</v>
      </c>
      <c r="R89" s="75">
        <f>'Annual Raw'!S29+'Annual Raw'!S31+'Annual Raw'!S34+'Annual Raw'!S36</f>
        <v>-27.399000000000001</v>
      </c>
      <c r="S89" s="75">
        <f>'Annual Raw'!T29+'Annual Raw'!T31+'Annual Raw'!T34+'Annual Raw'!T36</f>
        <v>-2.02</v>
      </c>
      <c r="T89" s="75">
        <f>'Annual Raw'!U29+'Annual Raw'!U31+'Annual Raw'!U34+'Annual Raw'!U36</f>
        <v>0.11</v>
      </c>
      <c r="U89" s="75">
        <f>'Annual Raw'!V29+'Annual Raw'!V31+'Annual Raw'!V34+'Annual Raw'!V36</f>
        <v>-6.46</v>
      </c>
      <c r="V89" s="75">
        <f>'Annual Raw'!W29+'Annual Raw'!W31+'Annual Raw'!W34+'Annual Raw'!W36</f>
        <v>-1.39</v>
      </c>
      <c r="W89" s="75">
        <f>'Annual Raw'!X29+'Annual Raw'!X31+'Annual Raw'!X34+'Annual Raw'!X36</f>
        <v>-0.08</v>
      </c>
      <c r="X89" s="75">
        <f>'Annual Raw'!Y29+'Annual Raw'!Y31+'Annual Raw'!Y34+'Annual Raw'!Y36</f>
        <v>1.53</v>
      </c>
      <c r="Y89" s="75">
        <f>'Annual Raw'!Z29+'Annual Raw'!Z31+'Annual Raw'!Z34+'Annual Raw'!Z36</f>
        <v>0.28999999999999998</v>
      </c>
      <c r="Z89" s="75">
        <f>'Annual Raw'!AA29+'Annual Raw'!AA31+'Annual Raw'!AA34+'Annual Raw'!AA36</f>
        <v>-0.77</v>
      </c>
      <c r="AA89" s="75">
        <f>'Annual Raw'!AB29+'Annual Raw'!AB31+'Annual Raw'!AB34+'Annual Raw'!AB36</f>
        <v>-5.79</v>
      </c>
      <c r="AB89" s="76">
        <f>+SUM(CM89:CP89)</f>
        <v>0</v>
      </c>
      <c r="AC89" s="76">
        <f>+SUM(CQ89:CT89)</f>
        <v>0</v>
      </c>
      <c r="AD89" s="76">
        <f>+SUM(CU89:CX89)</f>
        <v>0</v>
      </c>
      <c r="AE89" s="76">
        <f>+SUM(CY89:DB89)</f>
        <v>0</v>
      </c>
      <c r="AI89" s="75">
        <f>'QTR Raw'!C26+'QTR Raw'!C31+'QTR Raw'!C32+'QTR Raw'!C33+'QTR Raw'!C36+'QTR Raw'!C37+'QTR Raw'!C39</f>
        <v>0</v>
      </c>
      <c r="AJ89" s="75">
        <f>'QTR Raw'!D26+'QTR Raw'!D31+'QTR Raw'!D32+'QTR Raw'!D33+'QTR Raw'!D36+'QTR Raw'!D37+'QTR Raw'!D39</f>
        <v>0</v>
      </c>
      <c r="AK89" s="75">
        <f>'QTR Raw'!E26+'QTR Raw'!E31+'QTR Raw'!E32+'QTR Raw'!E33+'QTR Raw'!E36+'QTR Raw'!E37+'QTR Raw'!E39</f>
        <v>0</v>
      </c>
      <c r="AL89" s="75">
        <f>'QTR Raw'!F26+'QTR Raw'!F31+'QTR Raw'!F32+'QTR Raw'!F33+'QTR Raw'!F36+'QTR Raw'!F37+'QTR Raw'!F39</f>
        <v>0</v>
      </c>
      <c r="AM89" s="75">
        <f>'QTR Raw'!G26+'QTR Raw'!G31+'QTR Raw'!G32+'QTR Raw'!G33+'QTR Raw'!G36+'QTR Raw'!G37+'QTR Raw'!G39</f>
        <v>0</v>
      </c>
      <c r="AN89" s="75">
        <f>'QTR Raw'!H26+'QTR Raw'!H31+'QTR Raw'!H32+'QTR Raw'!H33+'QTR Raw'!H36+'QTR Raw'!H37+'QTR Raw'!H39</f>
        <v>0</v>
      </c>
      <c r="AO89" s="75">
        <f>'QTR Raw'!I26+'QTR Raw'!I31+'QTR Raw'!I32+'QTR Raw'!I33+'QTR Raw'!I36+'QTR Raw'!I37+'QTR Raw'!I39</f>
        <v>0</v>
      </c>
      <c r="AP89" s="75">
        <f>'QTR Raw'!J26+'QTR Raw'!J31+'QTR Raw'!J32+'QTR Raw'!J33+'QTR Raw'!J36+'QTR Raw'!J37+'QTR Raw'!J39</f>
        <v>0</v>
      </c>
      <c r="AQ89" s="75">
        <f>'QTR Raw'!K26+'QTR Raw'!K31+'QTR Raw'!K32+'QTR Raw'!K33+'QTR Raw'!K36+'QTR Raw'!K37+'QTR Raw'!K39</f>
        <v>0</v>
      </c>
      <c r="AR89" s="75">
        <f>'QTR Raw'!L26+'QTR Raw'!L31+'QTR Raw'!L32+'QTR Raw'!L33+'QTR Raw'!L36+'QTR Raw'!L37+'QTR Raw'!L39</f>
        <v>0</v>
      </c>
      <c r="AS89" s="75">
        <f>'QTR Raw'!M26+'QTR Raw'!M31+'QTR Raw'!M32+'QTR Raw'!M33+'QTR Raw'!M36+'QTR Raw'!M37+'QTR Raw'!M39</f>
        <v>0</v>
      </c>
      <c r="AT89" s="75">
        <f>'QTR Raw'!N26+'QTR Raw'!N31+'QTR Raw'!N32+'QTR Raw'!N33+'QTR Raw'!N36+'QTR Raw'!N37+'QTR Raw'!N39</f>
        <v>0</v>
      </c>
      <c r="AU89" s="75">
        <f>'QTR Raw'!O26+'QTR Raw'!O31+'QTR Raw'!O32+'QTR Raw'!O33+'QTR Raw'!O36+'QTR Raw'!O37+'QTR Raw'!O39</f>
        <v>0</v>
      </c>
      <c r="AV89" s="75">
        <f>'QTR Raw'!P26+'QTR Raw'!P31+'QTR Raw'!P32+'QTR Raw'!P33+'QTR Raw'!P36+'QTR Raw'!P37+'QTR Raw'!P39</f>
        <v>0</v>
      </c>
      <c r="AW89" s="75">
        <f>'QTR Raw'!Q26+'QTR Raw'!Q31+'QTR Raw'!Q32+'QTR Raw'!Q33+'QTR Raw'!Q36+'QTR Raw'!Q37+'QTR Raw'!Q39</f>
        <v>0</v>
      </c>
      <c r="AX89" s="75">
        <f>'QTR Raw'!R26+'QTR Raw'!R31+'QTR Raw'!R32+'QTR Raw'!R33+'QTR Raw'!R36+'QTR Raw'!R37+'QTR Raw'!R39</f>
        <v>0</v>
      </c>
      <c r="AY89" s="75">
        <f>'QTR Raw'!S26+'QTR Raw'!S31+'QTR Raw'!S32+'QTR Raw'!S33+'QTR Raw'!S36+'QTR Raw'!S37+'QTR Raw'!S39</f>
        <v>0</v>
      </c>
      <c r="AZ89" s="75">
        <f>'QTR Raw'!T26+'QTR Raw'!T31+'QTR Raw'!T32+'QTR Raw'!T33+'QTR Raw'!T36+'QTR Raw'!T37+'QTR Raw'!T39</f>
        <v>-16.523</v>
      </c>
      <c r="BA89" s="75">
        <f>'QTR Raw'!U26+'QTR Raw'!U31+'QTR Raw'!U32+'QTR Raw'!U33+'QTR Raw'!U36+'QTR Raw'!U37+'QTR Raw'!U39</f>
        <v>-6.8739999999999997</v>
      </c>
      <c r="BB89" s="75">
        <f>'QTR Raw'!V26+'QTR Raw'!V31+'QTR Raw'!V32+'QTR Raw'!V33+'QTR Raw'!V36+'QTR Raw'!V37+'QTR Raw'!V39</f>
        <v>-4.0359999999999996</v>
      </c>
      <c r="BC89" s="75">
        <f>'QTR Raw'!W26+'QTR Raw'!W31+'QTR Raw'!W32+'QTR Raw'!W33+'QTR Raw'!W36+'QTR Raw'!W37+'QTR Raw'!W39</f>
        <v>-2.0499999999999998</v>
      </c>
      <c r="BD89" s="75">
        <f>'QTR Raw'!X26+'QTR Raw'!X31+'QTR Raw'!X32+'QTR Raw'!X33+'QTR Raw'!X36+'QTR Raw'!X37+'QTR Raw'!X39</f>
        <v>-0.14000000000000001</v>
      </c>
      <c r="BE89" s="75">
        <f>'QTR Raw'!Y26+'QTR Raw'!Y31+'QTR Raw'!Y32+'QTR Raw'!Y33+'QTR Raw'!Y36+'QTR Raw'!Y37+'QTR Raw'!Y39</f>
        <v>0</v>
      </c>
      <c r="BF89" s="75">
        <f>'QTR Raw'!Z26+'QTR Raw'!Z31+'QTR Raw'!Z32+'QTR Raw'!Z33+'QTR Raw'!Z36+'QTR Raw'!Z37+'QTR Raw'!Z39</f>
        <v>0</v>
      </c>
      <c r="BG89" s="75">
        <f>'QTR Raw'!AA26+'QTR Raw'!AA31+'QTR Raw'!AA32+'QTR Raw'!AA33+'QTR Raw'!AA36+'QTR Raw'!AA37+'QTR Raw'!AA39</f>
        <v>0</v>
      </c>
      <c r="BH89" s="75">
        <f>'QTR Raw'!AB26+'QTR Raw'!AB31+'QTR Raw'!AB32+'QTR Raw'!AB33+'QTR Raw'!AB36+'QTR Raw'!AB37+'QTR Raw'!AB39</f>
        <v>0</v>
      </c>
      <c r="BI89" s="75">
        <f>'QTR Raw'!AC26+'QTR Raw'!AC31+'QTR Raw'!AC32+'QTR Raw'!AC33+'QTR Raw'!AC36+'QTR Raw'!AC37+'QTR Raw'!AC39</f>
        <v>0</v>
      </c>
      <c r="BJ89" s="75">
        <f>'QTR Raw'!AD26+'QTR Raw'!AD31+'QTR Raw'!AD32+'QTR Raw'!AD33+'QTR Raw'!AD36+'QTR Raw'!AD37+'QTR Raw'!AD39</f>
        <v>0</v>
      </c>
      <c r="BK89" s="75">
        <f>'QTR Raw'!AE26+'QTR Raw'!AE31+'QTR Raw'!AE32+'QTR Raw'!AE33+'QTR Raw'!AE36+'QTR Raw'!AE37+'QTR Raw'!AE39</f>
        <v>0</v>
      </c>
      <c r="BL89" s="75">
        <f>'QTR Raw'!AF26+'QTR Raw'!AF31+'QTR Raw'!AF32+'QTR Raw'!AF33+'QTR Raw'!AF36+'QTR Raw'!AF37+'QTR Raw'!AF39</f>
        <v>0</v>
      </c>
      <c r="BM89" s="75">
        <f>'QTR Raw'!AG26+'QTR Raw'!AG31+'QTR Raw'!AG32+'QTR Raw'!AG33+'QTR Raw'!AG36+'QTR Raw'!AG37+'QTR Raw'!AG39</f>
        <v>0</v>
      </c>
      <c r="BN89" s="75">
        <f>'QTR Raw'!AH26+'QTR Raw'!AH31+'QTR Raw'!AH32+'QTR Raw'!AH33+'QTR Raw'!AH36+'QTR Raw'!AH37+'QTR Raw'!AH39</f>
        <v>-6.58</v>
      </c>
      <c r="BO89" s="75">
        <f>'QTR Raw'!AI26+'QTR Raw'!AI31+'QTR Raw'!AI32+'QTR Raw'!AI33+'QTR Raw'!AI36+'QTR Raw'!AI37+'QTR Raw'!AI39</f>
        <v>0</v>
      </c>
      <c r="BP89" s="75">
        <f>'QTR Raw'!AJ26+'QTR Raw'!AJ31+'QTR Raw'!AJ32+'QTR Raw'!AJ33+'QTR Raw'!AJ36+'QTR Raw'!AJ37+'QTR Raw'!AJ39</f>
        <v>0</v>
      </c>
      <c r="BQ89" s="75">
        <f>'QTR Raw'!AK26+'QTR Raw'!AK31+'QTR Raw'!AK32+'QTR Raw'!AK33+'QTR Raw'!AK36+'QTR Raw'!AK37+'QTR Raw'!AK39</f>
        <v>0</v>
      </c>
      <c r="BR89" s="75">
        <f>'QTR Raw'!AL26+'QTR Raw'!AL31+'QTR Raw'!AL32+'QTR Raw'!AL33+'QTR Raw'!AL36+'QTR Raw'!AL37+'QTR Raw'!AL39</f>
        <v>0</v>
      </c>
      <c r="BS89" s="75">
        <f>'QTR Raw'!AM26+'QTR Raw'!AM31+'QTR Raw'!AM32+'QTR Raw'!AM33+'QTR Raw'!AM36+'QTR Raw'!AM37+'QTR Raw'!AM39</f>
        <v>0</v>
      </c>
      <c r="BT89" s="75">
        <f>'QTR Raw'!AN26+'QTR Raw'!AN31+'QTR Raw'!AN32+'QTR Raw'!AN33+'QTR Raw'!AN36+'QTR Raw'!AN37+'QTR Raw'!AN39</f>
        <v>0</v>
      </c>
      <c r="BU89" s="75">
        <f>'QTR Raw'!AO26+'QTR Raw'!AO31+'QTR Raw'!AO32+'QTR Raw'!AO33+'QTR Raw'!AO36+'QTR Raw'!AO37+'QTR Raw'!AO39</f>
        <v>0</v>
      </c>
      <c r="BV89" s="75">
        <f>'QTR Raw'!AP26+'QTR Raw'!AP31+'QTR Raw'!AP32+'QTR Raw'!AP33+'QTR Raw'!AP36+'QTR Raw'!AP37+'QTR Raw'!AP39</f>
        <v>0</v>
      </c>
      <c r="BW89" s="75">
        <f>'QTR Raw'!AQ26+'QTR Raw'!AQ31+'QTR Raw'!AQ32+'QTR Raw'!AQ33+'QTR Raw'!AQ36+'QTR Raw'!AQ37+'QTR Raw'!AQ39</f>
        <v>0</v>
      </c>
      <c r="BX89" s="75">
        <f>'QTR Raw'!AR26+'QTR Raw'!AR31+'QTR Raw'!AR32+'QTR Raw'!AR33+'QTR Raw'!AR36+'QTR Raw'!AR37+'QTR Raw'!AR39</f>
        <v>0</v>
      </c>
      <c r="BY89" s="75">
        <f>'QTR Raw'!AS26+'QTR Raw'!AS31+'QTR Raw'!AS32+'QTR Raw'!AS33+'QTR Raw'!AS36+'QTR Raw'!AS37+'QTR Raw'!AS39</f>
        <v>0</v>
      </c>
      <c r="BZ89" s="75">
        <f>'QTR Raw'!AT26+'QTR Raw'!AT31+'QTR Raw'!AT32+'QTR Raw'!AT33+'QTR Raw'!AT36+'QTR Raw'!AT37+'QTR Raw'!AT39</f>
        <v>0</v>
      </c>
      <c r="CA89" s="75">
        <f>'QTR Raw'!AU26+'QTR Raw'!AU31+'QTR Raw'!AU32+'QTR Raw'!AU33+'QTR Raw'!AU36+'QTR Raw'!AU37+'QTR Raw'!AU39</f>
        <v>0</v>
      </c>
      <c r="CB89" s="75">
        <f>'QTR Raw'!AV26+'QTR Raw'!AV31+'QTR Raw'!AV32+'QTR Raw'!AV33+'QTR Raw'!AV36+'QTR Raw'!AV37+'QTR Raw'!AV39</f>
        <v>0</v>
      </c>
      <c r="CC89" s="75">
        <f>'QTR Raw'!AW26+'QTR Raw'!AW31+'QTR Raw'!AW32+'QTR Raw'!AW33+'QTR Raw'!AW36+'QTR Raw'!AW37+'QTR Raw'!AW39</f>
        <v>0</v>
      </c>
      <c r="CD89" s="75">
        <f>'QTR Raw'!AX26+'QTR Raw'!AX31+'QTR Raw'!AX32+'QTR Raw'!AX33+'QTR Raw'!AX36+'QTR Raw'!AX37+'QTR Raw'!AX39</f>
        <v>0</v>
      </c>
      <c r="CE89" s="75">
        <f>'QTR Raw'!AY26+'QTR Raw'!AY31+'QTR Raw'!AY32+'QTR Raw'!AY33+'QTR Raw'!AY36+'QTR Raw'!AY37+'QTR Raw'!AY39</f>
        <v>0</v>
      </c>
      <c r="CF89" s="75">
        <f>'QTR Raw'!AZ26+'QTR Raw'!AZ31+'QTR Raw'!AZ32+'QTR Raw'!AZ33+'QTR Raw'!AZ36+'QTR Raw'!AZ37+'QTR Raw'!AZ39</f>
        <v>0</v>
      </c>
      <c r="CG89" s="75">
        <f>'QTR Raw'!BA26+'QTR Raw'!BA31+'QTR Raw'!BA32+'QTR Raw'!BA33+'QTR Raw'!BA36+'QTR Raw'!BA37+'QTR Raw'!BA39</f>
        <v>0</v>
      </c>
      <c r="CH89" s="75">
        <f>'QTR Raw'!BB26+'QTR Raw'!BB31+'QTR Raw'!BB32+'QTR Raw'!BB33+'QTR Raw'!BB36+'QTR Raw'!BB37+'QTR Raw'!BB39</f>
        <v>0</v>
      </c>
      <c r="CI89" s="75">
        <f>'QTR Raw'!BC26+'QTR Raw'!BC31+'QTR Raw'!BC32+'QTR Raw'!BC33+'QTR Raw'!BC36+'QTR Raw'!BC37+'QTR Raw'!BC39</f>
        <v>0</v>
      </c>
      <c r="CJ89" s="75">
        <f>'QTR Raw'!BD26+'QTR Raw'!BD31+'QTR Raw'!BD32+'QTR Raw'!BD33+'QTR Raw'!BD36+'QTR Raw'!BD37+'QTR Raw'!BD39</f>
        <v>0</v>
      </c>
      <c r="CK89" s="75">
        <f>'QTR Raw'!BE26+'QTR Raw'!BE31+'QTR Raw'!BE32+'QTR Raw'!BE33+'QTR Raw'!BE36+'QTR Raw'!BE37+'QTR Raw'!BE39</f>
        <v>-6.16</v>
      </c>
      <c r="CL89" s="75">
        <f>'QTR Raw'!BF26+'QTR Raw'!BF31+'QTR Raw'!BF32+'QTR Raw'!BF33+'QTR Raw'!BF36+'QTR Raw'!BF37+'QTR Raw'!BF39</f>
        <v>0</v>
      </c>
      <c r="CM89" s="24"/>
      <c r="CN89" s="24"/>
      <c r="CO89" s="24"/>
      <c r="CP89" s="24"/>
      <c r="CQ89" s="24"/>
      <c r="CR89" s="24"/>
      <c r="CS89" s="24"/>
      <c r="CT89" s="24"/>
      <c r="CU89" s="24"/>
      <c r="CV89" s="24"/>
      <c r="CW89" s="24"/>
      <c r="CX89" s="24"/>
      <c r="CY89" s="24"/>
      <c r="CZ89" s="24"/>
      <c r="DA89" s="24"/>
      <c r="DB89" s="24"/>
      <c r="DE89" s="123"/>
      <c r="DF89" s="23">
        <v>-6.16</v>
      </c>
    </row>
    <row r="90" spans="1:110" s="26" customFormat="1" x14ac:dyDescent="0.2">
      <c r="A90" s="35" t="s">
        <v>25</v>
      </c>
      <c r="B90" s="26">
        <f>B83+B87+B88+B89</f>
        <v>0</v>
      </c>
      <c r="C90" s="26">
        <f>C83+C87+C88+C89</f>
        <v>0</v>
      </c>
      <c r="D90" s="26">
        <f>D83+D87+D88+D89</f>
        <v>0</v>
      </c>
      <c r="E90" s="26">
        <f t="shared" ref="E90:U90" si="791">E83+E87+E88+E89</f>
        <v>0</v>
      </c>
      <c r="F90" s="26">
        <f t="shared" si="791"/>
        <v>0</v>
      </c>
      <c r="G90" s="26">
        <f t="shared" si="791"/>
        <v>0</v>
      </c>
      <c r="H90" s="26">
        <f t="shared" si="791"/>
        <v>2.3112966999999958</v>
      </c>
      <c r="I90" s="26">
        <f t="shared" si="791"/>
        <v>21.903158799999993</v>
      </c>
      <c r="J90" s="26">
        <f t="shared" si="791"/>
        <v>7.6633442000000018</v>
      </c>
      <c r="K90" s="26">
        <f t="shared" si="791"/>
        <v>23.135967299999994</v>
      </c>
      <c r="L90" s="26">
        <f t="shared" si="791"/>
        <v>24.824999999999989</v>
      </c>
      <c r="M90" s="26">
        <f t="shared" si="791"/>
        <v>34.942999999999984</v>
      </c>
      <c r="N90" s="26">
        <f t="shared" si="791"/>
        <v>56.818999999999996</v>
      </c>
      <c r="O90" s="26">
        <f t="shared" si="791"/>
        <v>46.15600000000002</v>
      </c>
      <c r="P90" s="26">
        <f t="shared" si="791"/>
        <v>45.216999999999999</v>
      </c>
      <c r="Q90" s="26">
        <f t="shared" si="791"/>
        <v>51.800000000000011</v>
      </c>
      <c r="R90" s="26">
        <f t="shared" si="791"/>
        <v>42.879000000000019</v>
      </c>
      <c r="S90" s="26">
        <f t="shared" si="791"/>
        <v>93.449999999999974</v>
      </c>
      <c r="T90" s="26">
        <f t="shared" si="791"/>
        <v>85.249999999999972</v>
      </c>
      <c r="U90" s="26">
        <f t="shared" si="791"/>
        <v>88.519999999999982</v>
      </c>
      <c r="V90" s="26">
        <f>V83+V87+V88+V89</f>
        <v>111.76</v>
      </c>
      <c r="W90" s="26">
        <f>W83+W87+W88+W89</f>
        <v>176.05999999999997</v>
      </c>
      <c r="X90" s="26">
        <f>X83+X87+X88+X89</f>
        <v>66.019999999999939</v>
      </c>
      <c r="Y90" s="26">
        <f>Y83+Y87+Y88+Y89</f>
        <v>71.049999999999955</v>
      </c>
      <c r="Z90" s="26">
        <f>Z83+Z87+Z88+Z89</f>
        <v>90.740000000000123</v>
      </c>
      <c r="AA90" s="26">
        <f>AA83+AA87+AA88+AA89</f>
        <v>163.41999999999996</v>
      </c>
      <c r="AB90" s="27">
        <f t="shared" ref="AA90:AD90" si="792">AB83+AB87+AB88+AB89</f>
        <v>195.31354314899113</v>
      </c>
      <c r="AC90" s="27">
        <f t="shared" si="792"/>
        <v>249.93972115198713</v>
      </c>
      <c r="AD90" s="27">
        <f t="shared" si="792"/>
        <v>311.33787751902622</v>
      </c>
      <c r="AE90" s="27">
        <f t="shared" ref="AE90" si="793">AE83+AE87+AE88+AE89</f>
        <v>384.32390607027395</v>
      </c>
      <c r="AI90" s="26">
        <f t="shared" ref="AI90" si="794">AI83+AI87+AI88+AI89</f>
        <v>0</v>
      </c>
      <c r="AJ90" s="26">
        <f t="shared" ref="AJ90" si="795">AJ83+AJ87+AJ88+AJ89</f>
        <v>0</v>
      </c>
      <c r="AK90" s="26">
        <f t="shared" ref="AK90:AM90" si="796">AK83+AK87+AK88+AK89</f>
        <v>0</v>
      </c>
      <c r="AL90" s="26">
        <f t="shared" si="796"/>
        <v>0</v>
      </c>
      <c r="AM90" s="26">
        <f t="shared" si="796"/>
        <v>0</v>
      </c>
      <c r="AN90" s="26">
        <f t="shared" ref="AN90:AO90" si="797">AN83+AN87+AN88+AN89</f>
        <v>0</v>
      </c>
      <c r="AO90" s="26">
        <f t="shared" si="797"/>
        <v>0</v>
      </c>
      <c r="AP90" s="26">
        <f t="shared" ref="AP90:CD90" si="798">AP83+AP87+AP88+AP89</f>
        <v>0</v>
      </c>
      <c r="AQ90" s="26">
        <f t="shared" si="798"/>
        <v>0</v>
      </c>
      <c r="AR90" s="26">
        <f t="shared" si="798"/>
        <v>0</v>
      </c>
      <c r="AS90" s="26">
        <f t="shared" si="798"/>
        <v>0</v>
      </c>
      <c r="AT90" s="26">
        <f t="shared" si="798"/>
        <v>0</v>
      </c>
      <c r="AU90" s="26">
        <f t="shared" si="798"/>
        <v>11.763999999999996</v>
      </c>
      <c r="AV90" s="26">
        <f t="shared" si="798"/>
        <v>16.567</v>
      </c>
      <c r="AW90" s="26">
        <f t="shared" si="798"/>
        <v>10.814000000000007</v>
      </c>
      <c r="AX90" s="26">
        <f t="shared" si="798"/>
        <v>13.935999999999996</v>
      </c>
      <c r="AY90" s="26">
        <f t="shared" si="798"/>
        <v>17.077999999999999</v>
      </c>
      <c r="AZ90" s="26">
        <f t="shared" si="798"/>
        <v>1.1709999999999994</v>
      </c>
      <c r="BA90" s="26">
        <f t="shared" si="798"/>
        <v>9.1810000000000045</v>
      </c>
      <c r="BB90" s="26">
        <f t="shared" si="798"/>
        <v>15.403</v>
      </c>
      <c r="BC90" s="26">
        <f t="shared" si="798"/>
        <v>22.01</v>
      </c>
      <c r="BD90" s="26">
        <f t="shared" si="798"/>
        <v>24.656000000000002</v>
      </c>
      <c r="BE90" s="26">
        <f t="shared" si="798"/>
        <v>21.47000000000001</v>
      </c>
      <c r="BF90" s="26">
        <f t="shared" si="798"/>
        <v>25.130000000000003</v>
      </c>
      <c r="BG90" s="26">
        <f t="shared" si="798"/>
        <v>23.400000000000002</v>
      </c>
      <c r="BH90" s="26">
        <f t="shared" si="798"/>
        <v>25.26</v>
      </c>
      <c r="BI90" s="26">
        <f t="shared" si="798"/>
        <v>20.150000000000006</v>
      </c>
      <c r="BJ90" s="26">
        <f t="shared" si="798"/>
        <v>16.329999999999998</v>
      </c>
      <c r="BK90" s="26">
        <f t="shared" si="798"/>
        <v>27.470000000000006</v>
      </c>
      <c r="BL90" s="26">
        <f t="shared" si="798"/>
        <v>35.050000000000011</v>
      </c>
      <c r="BM90" s="26">
        <f t="shared" si="798"/>
        <v>27.490000000000009</v>
      </c>
      <c r="BN90" s="26">
        <f t="shared" si="798"/>
        <v>-1.6000000000000032</v>
      </c>
      <c r="BO90" s="26">
        <f t="shared" si="798"/>
        <v>0.23000000000000109</v>
      </c>
      <c r="BP90" s="26">
        <f t="shared" si="798"/>
        <v>43.050000000000004</v>
      </c>
      <c r="BQ90" s="26">
        <f t="shared" si="798"/>
        <v>32.390000000000015</v>
      </c>
      <c r="BR90" s="26">
        <f t="shared" si="798"/>
        <v>37.750000000000007</v>
      </c>
      <c r="BS90" s="26">
        <f t="shared" si="798"/>
        <v>55.579999999999991</v>
      </c>
      <c r="BT90" s="26">
        <f t="shared" si="798"/>
        <v>77.72999999999999</v>
      </c>
      <c r="BU90" s="26">
        <f t="shared" si="798"/>
        <v>21.500000000000011</v>
      </c>
      <c r="BV90" s="26">
        <f t="shared" si="798"/>
        <v>21.239999999999984</v>
      </c>
      <c r="BW90" s="26">
        <f t="shared" si="798"/>
        <v>21.730000000000025</v>
      </c>
      <c r="BX90" s="26">
        <f t="shared" si="798"/>
        <v>15.430000000000009</v>
      </c>
      <c r="BY90" s="26">
        <f t="shared" si="798"/>
        <v>14.720000000000004</v>
      </c>
      <c r="BZ90" s="26">
        <f t="shared" si="798"/>
        <v>12.600000000000009</v>
      </c>
      <c r="CA90" s="26">
        <f t="shared" si="798"/>
        <v>17.300000000000011</v>
      </c>
      <c r="CB90" s="26">
        <f t="shared" si="798"/>
        <v>20.34</v>
      </c>
      <c r="CC90" s="26">
        <f t="shared" si="798"/>
        <v>15.350000000000033</v>
      </c>
      <c r="CD90" s="26">
        <f t="shared" si="798"/>
        <v>17.780000000000005</v>
      </c>
      <c r="CE90" s="26">
        <f t="shared" ref="CE90:CF90" si="799">CE83+CE87+CE88+CE89</f>
        <v>24.169999999999984</v>
      </c>
      <c r="CF90" s="26">
        <f t="shared" si="799"/>
        <v>26.670000000000009</v>
      </c>
      <c r="CG90" s="26">
        <f t="shared" ref="CG90:CH90" si="800">CG83+CG87+CG88+CG89</f>
        <v>19.110000000000007</v>
      </c>
      <c r="CH90" s="26">
        <f t="shared" si="800"/>
        <v>21.699999999999964</v>
      </c>
      <c r="CI90" s="26">
        <f t="shared" ref="CI90:CJ90" si="801">CI83+CI87+CI88+CI89</f>
        <v>38.930000000000014</v>
      </c>
      <c r="CJ90" s="26">
        <f t="shared" si="801"/>
        <v>47.989999999999988</v>
      </c>
      <c r="CK90" s="26">
        <f t="shared" ref="CK90:CL90" si="802">CK83+CK87+CK88+CK89</f>
        <v>29.010000000000023</v>
      </c>
      <c r="CL90" s="26">
        <f t="shared" si="802"/>
        <v>47.109999999999943</v>
      </c>
      <c r="CM90" s="27">
        <f t="shared" ref="CM90:DB90" si="803">CM83+CM87+CM88+CM89</f>
        <v>43.138665290903546</v>
      </c>
      <c r="CN90" s="27">
        <f t="shared" si="803"/>
        <v>51.102190214836526</v>
      </c>
      <c r="CO90" s="27">
        <f t="shared" si="803"/>
        <v>45.588617792718914</v>
      </c>
      <c r="CP90" s="27">
        <f t="shared" si="803"/>
        <v>55.484069850532116</v>
      </c>
      <c r="CQ90" s="27">
        <f t="shared" si="803"/>
        <v>56.030337342004337</v>
      </c>
      <c r="CR90" s="27">
        <f t="shared" si="803"/>
        <v>65.088747040656799</v>
      </c>
      <c r="CS90" s="27">
        <f t="shared" si="803"/>
        <v>58.917957759173362</v>
      </c>
      <c r="CT90" s="27">
        <f t="shared" si="803"/>
        <v>69.902679010152596</v>
      </c>
      <c r="CU90" s="27">
        <f t="shared" si="803"/>
        <v>70.642930539111561</v>
      </c>
      <c r="CV90" s="27">
        <f t="shared" si="803"/>
        <v>81.161651424120109</v>
      </c>
      <c r="CW90" s="27">
        <f t="shared" si="803"/>
        <v>73.494783669900386</v>
      </c>
      <c r="CX90" s="27">
        <f t="shared" si="803"/>
        <v>86.03851188589411</v>
      </c>
      <c r="CY90" s="27">
        <f t="shared" si="803"/>
        <v>87.644578643774949</v>
      </c>
      <c r="CZ90" s="27">
        <f t="shared" si="803"/>
        <v>100.06622926206769</v>
      </c>
      <c r="DA90" s="27">
        <f t="shared" si="803"/>
        <v>90.834373226246313</v>
      </c>
      <c r="DB90" s="27">
        <f t="shared" si="803"/>
        <v>105.77872493818501</v>
      </c>
      <c r="DE90" s="121"/>
      <c r="DF90" s="26">
        <v>40.863998789095859</v>
      </c>
    </row>
    <row r="91" spans="1:110" s="25" customFormat="1" x14ac:dyDescent="0.2">
      <c r="A91" s="151" t="s">
        <v>486</v>
      </c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" customFormat="1" x14ac:dyDescent="0.2">
      <c r="AB92" s="20"/>
      <c r="AC92" s="20"/>
      <c r="AD92" s="20"/>
      <c r="AE92" s="20"/>
      <c r="BV92" s="182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E92" s="119"/>
    </row>
    <row r="93" spans="1:110" s="22" customFormat="1" x14ac:dyDescent="0.2">
      <c r="A93" s="22" t="s">
        <v>434</v>
      </c>
      <c r="B93" s="22">
        <f>'Annual Raw'!C35</f>
        <v>0</v>
      </c>
      <c r="C93" s="22">
        <f>'Annual Raw'!D35</f>
        <v>0</v>
      </c>
      <c r="D93" s="22">
        <f>'Annual Raw'!E35</f>
        <v>0</v>
      </c>
      <c r="E93" s="22">
        <f>'Annual Raw'!F35</f>
        <v>0</v>
      </c>
      <c r="F93" s="22">
        <f>'Annual Raw'!G35</f>
        <v>0</v>
      </c>
      <c r="G93" s="22">
        <f>'Annual Raw'!H35</f>
        <v>0</v>
      </c>
      <c r="H93" s="22">
        <f>'Annual Raw'!I35</f>
        <v>2.3112967000000002</v>
      </c>
      <c r="I93" s="22">
        <f>'Annual Raw'!J35</f>
        <v>21.9031588</v>
      </c>
      <c r="J93" s="22">
        <f>'Annual Raw'!K35</f>
        <v>7.6633442000000001</v>
      </c>
      <c r="K93" s="22">
        <f>'Annual Raw'!L35</f>
        <v>23.135967300000001</v>
      </c>
      <c r="L93" s="22">
        <f>'Annual Raw'!M35</f>
        <v>24.824999999999999</v>
      </c>
      <c r="M93" s="22">
        <f>'Annual Raw'!N35</f>
        <v>34.942999999999998</v>
      </c>
      <c r="N93" s="22">
        <f>'Annual Raw'!O35</f>
        <v>56.819000000000003</v>
      </c>
      <c r="O93" s="22">
        <f>'Annual Raw'!P35</f>
        <v>46.155999999999999</v>
      </c>
      <c r="P93" s="22">
        <f>'Annual Raw'!Q35</f>
        <v>45.216999999999999</v>
      </c>
      <c r="Q93" s="22">
        <f>'Annual Raw'!R35</f>
        <v>51.8</v>
      </c>
      <c r="R93" s="22">
        <f>'Annual Raw'!S35</f>
        <v>42.878999999999998</v>
      </c>
      <c r="S93" s="22">
        <f>'Annual Raw'!T35</f>
        <v>93.45</v>
      </c>
      <c r="T93" s="22">
        <f>'Annual Raw'!U35</f>
        <v>85.25</v>
      </c>
      <c r="U93" s="22">
        <f>'Annual Raw'!V35</f>
        <v>88.52</v>
      </c>
      <c r="V93" s="22">
        <f>'Annual Raw'!W35</f>
        <v>111.76</v>
      </c>
      <c r="W93" s="22">
        <f>'Annual Raw'!X35</f>
        <v>176.06</v>
      </c>
      <c r="X93" s="22">
        <f>'Annual Raw'!Y35</f>
        <v>66.02</v>
      </c>
      <c r="Y93" s="22">
        <f>'Annual Raw'!Z35</f>
        <v>71.05</v>
      </c>
      <c r="Z93" s="22">
        <f>'Annual Raw'!AA35</f>
        <v>90.74</v>
      </c>
      <c r="AA93" s="22">
        <f>'Annual Raw'!AB35</f>
        <v>163.41999999999999</v>
      </c>
      <c r="AB93" s="21">
        <f t="shared" ref="AA93:AD93" si="804">+AB90</f>
        <v>195.31354314899113</v>
      </c>
      <c r="AC93" s="21">
        <f t="shared" si="804"/>
        <v>249.93972115198713</v>
      </c>
      <c r="AD93" s="21">
        <f t="shared" si="804"/>
        <v>311.33787751902622</v>
      </c>
      <c r="AE93" s="21">
        <f t="shared" ref="AE93" si="805">+AE90</f>
        <v>384.32390607027395</v>
      </c>
      <c r="AI93" s="22">
        <f>'QTR Raw'!C42</f>
        <v>0</v>
      </c>
      <c r="AJ93" s="22">
        <f>'QTR Raw'!D42</f>
        <v>0</v>
      </c>
      <c r="AK93" s="22">
        <f>'QTR Raw'!E42</f>
        <v>0</v>
      </c>
      <c r="AL93" s="22">
        <f>'QTR Raw'!F42</f>
        <v>0</v>
      </c>
      <c r="AM93" s="22">
        <f>'QTR Raw'!G42</f>
        <v>0</v>
      </c>
      <c r="AN93" s="22">
        <f>'QTR Raw'!H42</f>
        <v>0</v>
      </c>
      <c r="AO93" s="22">
        <f>'QTR Raw'!I42</f>
        <v>0</v>
      </c>
      <c r="AP93" s="22">
        <f>'QTR Raw'!J42</f>
        <v>0</v>
      </c>
      <c r="AQ93" s="22">
        <f>'QTR Raw'!K42</f>
        <v>0</v>
      </c>
      <c r="AR93" s="22">
        <f>'QTR Raw'!L42</f>
        <v>0</v>
      </c>
      <c r="AS93" s="22">
        <f>'QTR Raw'!M42</f>
        <v>0</v>
      </c>
      <c r="AT93" s="22">
        <f>'QTR Raw'!N42</f>
        <v>0</v>
      </c>
      <c r="AU93" s="22">
        <f>'QTR Raw'!O42</f>
        <v>11.763999999999999</v>
      </c>
      <c r="AV93" s="22">
        <f>'QTR Raw'!P42</f>
        <v>16.567</v>
      </c>
      <c r="AW93" s="22">
        <f>'QTR Raw'!Q42</f>
        <v>10.814</v>
      </c>
      <c r="AX93" s="22">
        <f>'QTR Raw'!R42</f>
        <v>13.936</v>
      </c>
      <c r="AY93" s="22">
        <f>'QTR Raw'!S42</f>
        <v>17.077999999999999</v>
      </c>
      <c r="AZ93" s="22">
        <f>'QTR Raw'!T42</f>
        <v>1.171</v>
      </c>
      <c r="BA93" s="22">
        <f>'QTR Raw'!U42</f>
        <v>9.1809999999999992</v>
      </c>
      <c r="BB93" s="22">
        <f>'QTR Raw'!V42</f>
        <v>15.404</v>
      </c>
      <c r="BC93" s="22">
        <f>'QTR Raw'!W42</f>
        <v>22.01</v>
      </c>
      <c r="BD93" s="22">
        <f>'QTR Raw'!X42</f>
        <v>24.66</v>
      </c>
      <c r="BE93" s="22">
        <f>'QTR Raw'!Y42</f>
        <v>21.47</v>
      </c>
      <c r="BF93" s="22">
        <f>'QTR Raw'!Z42</f>
        <v>25.13</v>
      </c>
      <c r="BG93" s="22">
        <f>'QTR Raw'!AA42</f>
        <v>23.4</v>
      </c>
      <c r="BH93" s="22">
        <f>'QTR Raw'!AB42</f>
        <v>25.26</v>
      </c>
      <c r="BI93" s="22">
        <f>'QTR Raw'!AC42</f>
        <v>20.149999999999999</v>
      </c>
      <c r="BJ93" s="22">
        <f>'QTR Raw'!AD42</f>
        <v>16.329999999999998</v>
      </c>
      <c r="BK93" s="22">
        <f>'QTR Raw'!AE42</f>
        <v>27.47</v>
      </c>
      <c r="BL93" s="22">
        <f>'QTR Raw'!AF42</f>
        <v>35.049999999999997</v>
      </c>
      <c r="BM93" s="22">
        <f>'QTR Raw'!AG42</f>
        <v>27.49</v>
      </c>
      <c r="BN93" s="22">
        <f>'QTR Raw'!AH42</f>
        <v>-1.6</v>
      </c>
      <c r="BO93" s="22">
        <f>'QTR Raw'!AI42</f>
        <v>0.23</v>
      </c>
      <c r="BP93" s="22">
        <f>'QTR Raw'!AJ42</f>
        <v>43.05</v>
      </c>
      <c r="BQ93" s="22">
        <f>'QTR Raw'!AK42</f>
        <v>32.39</v>
      </c>
      <c r="BR93" s="22">
        <f>'QTR Raw'!AL42</f>
        <v>37.75</v>
      </c>
      <c r="BS93" s="22">
        <f>'QTR Raw'!AM42</f>
        <v>55.58</v>
      </c>
      <c r="BT93" s="22">
        <f>'QTR Raw'!AN42</f>
        <v>77.73</v>
      </c>
      <c r="BU93" s="22">
        <f>'QTR Raw'!AO42</f>
        <v>21.5</v>
      </c>
      <c r="BV93" s="22">
        <f>'QTR Raw'!AP42</f>
        <v>21.24</v>
      </c>
      <c r="BW93" s="22">
        <f>'QTR Raw'!AQ42</f>
        <v>21.73</v>
      </c>
      <c r="BX93" s="22">
        <f>'QTR Raw'!AR42</f>
        <v>15.43</v>
      </c>
      <c r="BY93" s="22">
        <f>'QTR Raw'!AS42</f>
        <v>14.72</v>
      </c>
      <c r="BZ93" s="22">
        <f>'QTR Raw'!AT42</f>
        <v>12.6</v>
      </c>
      <c r="CA93" s="22">
        <f>'QTR Raw'!AU42</f>
        <v>17.3</v>
      </c>
      <c r="CB93" s="22">
        <f>'QTR Raw'!AV42</f>
        <v>20.34</v>
      </c>
      <c r="CC93" s="22">
        <f>'QTR Raw'!AW42</f>
        <v>15.35</v>
      </c>
      <c r="CD93" s="22">
        <f>'QTR Raw'!AX42</f>
        <v>17.78</v>
      </c>
      <c r="CE93" s="22">
        <f>'QTR Raw'!AY42</f>
        <v>24.17</v>
      </c>
      <c r="CF93" s="22">
        <f>'QTR Raw'!AZ42</f>
        <v>26.67</v>
      </c>
      <c r="CG93" s="22">
        <f>'QTR Raw'!BA42</f>
        <v>19.11</v>
      </c>
      <c r="CH93" s="22">
        <f>'QTR Raw'!BB42</f>
        <v>21.7</v>
      </c>
      <c r="CI93" s="22">
        <f>'QTR Raw'!BC42</f>
        <v>38.93</v>
      </c>
      <c r="CJ93" s="22">
        <f>'QTR Raw'!BD42</f>
        <v>47.99</v>
      </c>
      <c r="CK93" s="22">
        <f>'QTR Raw'!BE42</f>
        <v>29.01</v>
      </c>
      <c r="CL93" s="22">
        <f>'QTR Raw'!BF42</f>
        <v>47.11</v>
      </c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E93" s="119"/>
      <c r="DF93" s="22">
        <v>163.03999999999996</v>
      </c>
    </row>
    <row r="94" spans="1:110" s="25" customFormat="1" x14ac:dyDescent="0.2">
      <c r="A94" s="36" t="s">
        <v>435</v>
      </c>
      <c r="B94" s="25">
        <f t="shared" ref="B94:V94" si="806">B93-B90</f>
        <v>0</v>
      </c>
      <c r="C94" s="25">
        <f>C93-C90</f>
        <v>0</v>
      </c>
      <c r="D94" s="25">
        <f t="shared" si="806"/>
        <v>0</v>
      </c>
      <c r="E94" s="25">
        <f t="shared" si="806"/>
        <v>0</v>
      </c>
      <c r="F94" s="25">
        <f t="shared" si="806"/>
        <v>0</v>
      </c>
      <c r="G94" s="25">
        <f t="shared" si="806"/>
        <v>0</v>
      </c>
      <c r="H94" s="25">
        <f t="shared" si="806"/>
        <v>4.4408920985006262E-15</v>
      </c>
      <c r="I94" s="25">
        <f t="shared" si="806"/>
        <v>0</v>
      </c>
      <c r="J94" s="25">
        <f t="shared" si="806"/>
        <v>0</v>
      </c>
      <c r="K94" s="25">
        <f t="shared" si="806"/>
        <v>0</v>
      </c>
      <c r="L94" s="25">
        <f t="shared" si="806"/>
        <v>0</v>
      </c>
      <c r="M94" s="25">
        <f t="shared" si="806"/>
        <v>0</v>
      </c>
      <c r="N94" s="25">
        <f t="shared" si="806"/>
        <v>0</v>
      </c>
      <c r="O94" s="25">
        <f t="shared" si="806"/>
        <v>0</v>
      </c>
      <c r="P94" s="25">
        <f t="shared" si="806"/>
        <v>0</v>
      </c>
      <c r="Q94" s="25">
        <f t="shared" si="806"/>
        <v>0</v>
      </c>
      <c r="R94" s="25">
        <f t="shared" si="806"/>
        <v>0</v>
      </c>
      <c r="S94" s="25">
        <f t="shared" si="806"/>
        <v>0</v>
      </c>
      <c r="T94" s="25">
        <f t="shared" si="806"/>
        <v>0</v>
      </c>
      <c r="U94" s="25">
        <f t="shared" si="806"/>
        <v>0</v>
      </c>
      <c r="V94" s="25">
        <f t="shared" si="806"/>
        <v>0</v>
      </c>
      <c r="W94" s="25">
        <f t="shared" ref="W94" si="807">W93-W90</f>
        <v>0</v>
      </c>
      <c r="X94" s="25">
        <f t="shared" ref="X94:Y94" si="808">X93-X90</f>
        <v>0</v>
      </c>
      <c r="Y94" s="25">
        <f t="shared" si="808"/>
        <v>0</v>
      </c>
      <c r="Z94" s="25">
        <f t="shared" ref="Z94:AA94" si="809">Z93-Z90</f>
        <v>-1.2789769243681803E-13</v>
      </c>
      <c r="AA94" s="25">
        <f t="shared" si="809"/>
        <v>0</v>
      </c>
      <c r="AB94" s="17">
        <f t="shared" ref="AA94:AD94" si="810">AB93-AB90</f>
        <v>0</v>
      </c>
      <c r="AC94" s="17">
        <f t="shared" si="810"/>
        <v>0</v>
      </c>
      <c r="AD94" s="17">
        <f t="shared" si="810"/>
        <v>0</v>
      </c>
      <c r="AE94" s="17">
        <f t="shared" ref="AE94" si="811">AE93-AE90</f>
        <v>0</v>
      </c>
      <c r="AI94" s="25">
        <f t="shared" ref="AI94" si="812">AI93-AI90</f>
        <v>0</v>
      </c>
      <c r="AJ94" s="25">
        <f t="shared" ref="AJ94" si="813">AJ93-AJ90</f>
        <v>0</v>
      </c>
      <c r="AK94" s="25">
        <f t="shared" ref="AK94:AM94" si="814">AK93-AK90</f>
        <v>0</v>
      </c>
      <c r="AL94" s="25">
        <f t="shared" si="814"/>
        <v>0</v>
      </c>
      <c r="AM94" s="25">
        <f t="shared" si="814"/>
        <v>0</v>
      </c>
      <c r="AN94" s="25">
        <f t="shared" ref="AN94:AO94" si="815">AN93-AN90</f>
        <v>0</v>
      </c>
      <c r="AO94" s="25">
        <f t="shared" si="815"/>
        <v>0</v>
      </c>
      <c r="AP94" s="25">
        <f t="shared" ref="AP94:CD94" si="816">AP93-AP90</f>
        <v>0</v>
      </c>
      <c r="AQ94" s="25">
        <f t="shared" si="816"/>
        <v>0</v>
      </c>
      <c r="AR94" s="25">
        <f t="shared" si="816"/>
        <v>0</v>
      </c>
      <c r="AS94" s="25">
        <f t="shared" si="816"/>
        <v>0</v>
      </c>
      <c r="AT94" s="25">
        <f t="shared" si="816"/>
        <v>0</v>
      </c>
      <c r="AU94" s="25">
        <f t="shared" si="816"/>
        <v>0</v>
      </c>
      <c r="AV94" s="25">
        <f t="shared" si="816"/>
        <v>0</v>
      </c>
      <c r="AW94" s="25">
        <f t="shared" si="816"/>
        <v>0</v>
      </c>
      <c r="AX94" s="25">
        <f t="shared" si="816"/>
        <v>0</v>
      </c>
      <c r="AY94" s="25">
        <f t="shared" si="816"/>
        <v>0</v>
      </c>
      <c r="AZ94" s="25">
        <f t="shared" si="816"/>
        <v>0</v>
      </c>
      <c r="BA94" s="25">
        <f t="shared" si="816"/>
        <v>0</v>
      </c>
      <c r="BB94" s="25">
        <f t="shared" si="816"/>
        <v>9.9999999999944578E-4</v>
      </c>
      <c r="BC94" s="25">
        <f t="shared" si="816"/>
        <v>0</v>
      </c>
      <c r="BD94" s="25">
        <f t="shared" si="816"/>
        <v>3.9999999999977831E-3</v>
      </c>
      <c r="BE94" s="25">
        <f t="shared" si="816"/>
        <v>0</v>
      </c>
      <c r="BF94" s="25">
        <f t="shared" si="816"/>
        <v>0</v>
      </c>
      <c r="BG94" s="25">
        <f t="shared" si="816"/>
        <v>0</v>
      </c>
      <c r="BH94" s="25">
        <f t="shared" si="816"/>
        <v>0</v>
      </c>
      <c r="BI94" s="25">
        <f t="shared" si="816"/>
        <v>0</v>
      </c>
      <c r="BJ94" s="25">
        <f t="shared" si="816"/>
        <v>0</v>
      </c>
      <c r="BK94" s="25">
        <f t="shared" si="816"/>
        <v>0</v>
      </c>
      <c r="BL94" s="25">
        <f t="shared" si="816"/>
        <v>0</v>
      </c>
      <c r="BM94" s="25">
        <f t="shared" si="816"/>
        <v>0</v>
      </c>
      <c r="BN94" s="25">
        <f t="shared" si="816"/>
        <v>3.1086244689504383E-15</v>
      </c>
      <c r="BO94" s="25">
        <f t="shared" si="816"/>
        <v>-1.0824674490095276E-15</v>
      </c>
      <c r="BP94" s="25">
        <f t="shared" si="816"/>
        <v>0</v>
      </c>
      <c r="BQ94" s="25">
        <f t="shared" si="816"/>
        <v>0</v>
      </c>
      <c r="BR94" s="25">
        <f t="shared" si="816"/>
        <v>0</v>
      </c>
      <c r="BS94" s="25">
        <f t="shared" si="816"/>
        <v>0</v>
      </c>
      <c r="BT94" s="25">
        <f t="shared" si="816"/>
        <v>0</v>
      </c>
      <c r="BU94" s="25">
        <f t="shared" si="816"/>
        <v>0</v>
      </c>
      <c r="BV94" s="25">
        <f t="shared" si="816"/>
        <v>0</v>
      </c>
      <c r="BW94" s="25">
        <f t="shared" si="816"/>
        <v>0</v>
      </c>
      <c r="BX94" s="25">
        <f t="shared" si="816"/>
        <v>0</v>
      </c>
      <c r="BY94" s="25">
        <f t="shared" si="816"/>
        <v>0</v>
      </c>
      <c r="BZ94" s="25">
        <f t="shared" si="816"/>
        <v>0</v>
      </c>
      <c r="CA94" s="25">
        <f t="shared" si="816"/>
        <v>0</v>
      </c>
      <c r="CB94" s="25">
        <f t="shared" si="816"/>
        <v>0</v>
      </c>
      <c r="CC94" s="25">
        <f t="shared" si="816"/>
        <v>-3.3750779948604759E-14</v>
      </c>
      <c r="CD94" s="25">
        <f t="shared" si="816"/>
        <v>0</v>
      </c>
      <c r="CE94" s="25">
        <f t="shared" ref="CE94:CF94" si="817">CE93-CE90</f>
        <v>0</v>
      </c>
      <c r="CF94" s="25">
        <f t="shared" si="817"/>
        <v>0</v>
      </c>
      <c r="CG94" s="25">
        <f t="shared" ref="CG94:CH94" si="818">CG93-CG90</f>
        <v>0</v>
      </c>
      <c r="CH94" s="25">
        <f t="shared" si="818"/>
        <v>3.5527136788005009E-14</v>
      </c>
      <c r="CI94" s="25">
        <f t="shared" ref="CI94:CJ94" si="819">CI93-CI90</f>
        <v>0</v>
      </c>
      <c r="CJ94" s="25">
        <f t="shared" si="819"/>
        <v>0</v>
      </c>
      <c r="CK94" s="25">
        <f t="shared" ref="CK94:CL94" si="820">CK93-CK90</f>
        <v>0</v>
      </c>
      <c r="CL94" s="25">
        <f t="shared" si="820"/>
        <v>5.6843418860808015E-14</v>
      </c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E94" s="119"/>
      <c r="DF94" s="25">
        <v>0</v>
      </c>
    </row>
    <row r="95" spans="1:110" s="1" customFormat="1" x14ac:dyDescent="0.2">
      <c r="A95" s="150" t="s">
        <v>487</v>
      </c>
      <c r="AB95" s="20"/>
      <c r="AC95" s="20"/>
      <c r="AD95" s="20"/>
      <c r="AE95" s="20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E95" s="119"/>
    </row>
    <row r="96" spans="1:110" s="38" customFormat="1" x14ac:dyDescent="0.2">
      <c r="A96" s="38" t="s">
        <v>350</v>
      </c>
      <c r="B96" s="39" t="e">
        <f t="shared" ref="B96:AE96" si="821">(B90-B89)/B162</f>
        <v>#DIV/0!</v>
      </c>
      <c r="C96" s="39" t="e">
        <f t="shared" si="821"/>
        <v>#DIV/0!</v>
      </c>
      <c r="D96" s="39" t="e">
        <f t="shared" si="821"/>
        <v>#DIV/0!</v>
      </c>
      <c r="E96" s="39" t="e">
        <f t="shared" si="821"/>
        <v>#DIV/0!</v>
      </c>
      <c r="F96" s="39" t="e">
        <f t="shared" si="821"/>
        <v>#DIV/0!</v>
      </c>
      <c r="G96" s="39" t="e">
        <f t="shared" si="821"/>
        <v>#DIV/0!</v>
      </c>
      <c r="H96" s="39">
        <f t="shared" si="821"/>
        <v>8.5835570549643928E-2</v>
      </c>
      <c r="I96" s="39">
        <f t="shared" si="821"/>
        <v>0.71616135952212079</v>
      </c>
      <c r="J96" s="39">
        <f t="shared" si="821"/>
        <v>0.13414421394309778</v>
      </c>
      <c r="K96" s="39">
        <f t="shared" si="821"/>
        <v>0.54923700957915689</v>
      </c>
      <c r="L96" s="39">
        <f t="shared" si="821"/>
        <v>0.36759806316911714</v>
      </c>
      <c r="M96" s="39">
        <f t="shared" si="821"/>
        <v>0.34098715796869494</v>
      </c>
      <c r="N96" s="39">
        <f t="shared" si="821"/>
        <v>0.35488142304833642</v>
      </c>
      <c r="O96" s="39">
        <f t="shared" si="821"/>
        <v>0.22377256221426053</v>
      </c>
      <c r="P96" s="39">
        <f t="shared" si="821"/>
        <v>0.16360919340598901</v>
      </c>
      <c r="Q96" s="39">
        <f t="shared" si="821"/>
        <v>0.14168102623013598</v>
      </c>
      <c r="R96" s="39">
        <f t="shared" si="821"/>
        <v>0.17233109698681737</v>
      </c>
      <c r="S96" s="39">
        <f t="shared" si="821"/>
        <v>0.21536691556317528</v>
      </c>
      <c r="T96" s="39">
        <f t="shared" si="821"/>
        <v>0.19567015995587417</v>
      </c>
      <c r="U96" s="39">
        <f t="shared" si="821"/>
        <v>0.25904813855175229</v>
      </c>
      <c r="V96" s="39">
        <f t="shared" si="821"/>
        <v>0.26481464145291145</v>
      </c>
      <c r="W96" s="39">
        <f t="shared" si="821"/>
        <v>0.33450443435820493</v>
      </c>
      <c r="X96" s="39">
        <f t="shared" si="821"/>
        <v>0.12069998128392279</v>
      </c>
      <c r="Y96" s="39">
        <f t="shared" si="821"/>
        <v>0.13433062495253997</v>
      </c>
      <c r="Z96" s="39">
        <f t="shared" si="821"/>
        <v>0.16737082761774141</v>
      </c>
      <c r="AA96" s="39">
        <f t="shared" ref="AA96" si="822">(AA90-AA89)/AA162</f>
        <v>0.28900085397096492</v>
      </c>
      <c r="AB96" s="40">
        <f t="shared" si="821"/>
        <v>0.25014108023959103</v>
      </c>
      <c r="AC96" s="40">
        <f t="shared" si="821"/>
        <v>0.24248258997412708</v>
      </c>
      <c r="AD96" s="40">
        <f t="shared" si="821"/>
        <v>0.23197968291246013</v>
      </c>
      <c r="AE96" s="40">
        <f t="shared" si="821"/>
        <v>0.2226138532214065</v>
      </c>
      <c r="AF96" s="39"/>
      <c r="AG96" s="39"/>
      <c r="AH96" s="39"/>
      <c r="AI96" s="39"/>
      <c r="AJ96" s="39"/>
      <c r="AK96" s="39"/>
      <c r="AL96" s="39" t="e">
        <f t="shared" ref="AL96:BQ96" si="823">(SUM(AI90:AL90)-SUM(AI89:AL89))/AL162</f>
        <v>#DIV/0!</v>
      </c>
      <c r="AM96" s="39" t="e">
        <f t="shared" si="823"/>
        <v>#DIV/0!</v>
      </c>
      <c r="AN96" s="39" t="e">
        <f t="shared" si="823"/>
        <v>#DIV/0!</v>
      </c>
      <c r="AO96" s="39" t="e">
        <f t="shared" si="823"/>
        <v>#DIV/0!</v>
      </c>
      <c r="AP96" s="39" t="e">
        <f t="shared" si="823"/>
        <v>#DIV/0!</v>
      </c>
      <c r="AQ96" s="39" t="e">
        <f t="shared" si="823"/>
        <v>#DIV/0!</v>
      </c>
      <c r="AR96" s="39" t="e">
        <f t="shared" si="823"/>
        <v>#DIV/0!</v>
      </c>
      <c r="AS96" s="39" t="e">
        <f t="shared" si="823"/>
        <v>#DIV/0!</v>
      </c>
      <c r="AT96" s="39" t="e">
        <f t="shared" si="823"/>
        <v>#DIV/0!</v>
      </c>
      <c r="AU96" s="39">
        <f t="shared" si="823"/>
        <v>1</v>
      </c>
      <c r="AV96" s="39" t="e">
        <f t="shared" si="823"/>
        <v>#DIV/0!</v>
      </c>
      <c r="AW96" s="39">
        <f t="shared" si="823"/>
        <v>3.6198446458294784</v>
      </c>
      <c r="AX96" s="39">
        <f t="shared" si="823"/>
        <v>0.14518475971663794</v>
      </c>
      <c r="AY96" s="39">
        <f t="shared" si="823"/>
        <v>0.15259166736349197</v>
      </c>
      <c r="AZ96" s="39">
        <f t="shared" si="823"/>
        <v>0.14757203564220936</v>
      </c>
      <c r="BA96" s="39">
        <f t="shared" si="823"/>
        <v>0.15699245860230826</v>
      </c>
      <c r="BB96" s="39">
        <f t="shared" si="823"/>
        <v>0.1723016713747646</v>
      </c>
      <c r="BC96" s="39">
        <f t="shared" si="823"/>
        <v>0.1797225802548986</v>
      </c>
      <c r="BD96" s="39">
        <f t="shared" si="823"/>
        <v>0.19808420751052658</v>
      </c>
      <c r="BE96" s="39">
        <f t="shared" si="823"/>
        <v>0.20068231764434977</v>
      </c>
      <c r="BF96" s="39">
        <f t="shared" si="823"/>
        <v>0.21533533352884121</v>
      </c>
      <c r="BG96" s="39">
        <f t="shared" si="823"/>
        <v>0.20312412950781039</v>
      </c>
      <c r="BH96" s="39">
        <f t="shared" si="823"/>
        <v>0.21105572172371775</v>
      </c>
      <c r="BI96" s="39">
        <f t="shared" si="823"/>
        <v>0.19923647932131497</v>
      </c>
      <c r="BJ96" s="39">
        <f t="shared" si="823"/>
        <v>0.19567015995587425</v>
      </c>
      <c r="BK96" s="39">
        <f t="shared" si="823"/>
        <v>0.19284895912146827</v>
      </c>
      <c r="BL96" s="39">
        <f t="shared" si="823"/>
        <v>0.26653743639447547</v>
      </c>
      <c r="BM96" s="39">
        <f t="shared" si="823"/>
        <v>0.26656973829339226</v>
      </c>
      <c r="BN96" s="39">
        <f t="shared" si="823"/>
        <v>0.25906834669721274</v>
      </c>
      <c r="BO96" s="39">
        <f t="shared" si="823"/>
        <v>0.18466025239172512</v>
      </c>
      <c r="BP96" s="39">
        <f t="shared" si="823"/>
        <v>0.17972383031223313</v>
      </c>
      <c r="BQ96" s="39">
        <f t="shared" si="823"/>
        <v>0.17769405336329794</v>
      </c>
      <c r="BR96" s="39">
        <f t="shared" ref="BR96:CW96" si="824">(SUM(BO90:BR90)-SUM(BO89:BR89))/BR162</f>
        <v>0.26545275820909497</v>
      </c>
      <c r="BS96" s="39">
        <f t="shared" si="824"/>
        <v>0.34952883918401162</v>
      </c>
      <c r="BT96" s="39">
        <f t="shared" si="824"/>
        <v>0.42172795489407572</v>
      </c>
      <c r="BU96" s="39">
        <f t="shared" si="824"/>
        <v>0.38212414668995082</v>
      </c>
      <c r="BV96" s="39">
        <f t="shared" si="824"/>
        <v>0.33433351691133173</v>
      </c>
      <c r="BW96" s="39">
        <f t="shared" si="824"/>
        <v>0.25934707277038116</v>
      </c>
      <c r="BX96" s="39">
        <f t="shared" si="824"/>
        <v>0.16219398319191269</v>
      </c>
      <c r="BY96" s="39">
        <f t="shared" si="824"/>
        <v>0.14412425592304967</v>
      </c>
      <c r="BZ96" s="39">
        <f t="shared" si="824"/>
        <v>0.12068126520681274</v>
      </c>
      <c r="CA96" s="39">
        <f t="shared" si="824"/>
        <v>0.10886511965192174</v>
      </c>
      <c r="CB96" s="39">
        <f t="shared" si="824"/>
        <v>0.13359383033419028</v>
      </c>
      <c r="CC96" s="39">
        <f t="shared" si="824"/>
        <v>0.13076156299840522</v>
      </c>
      <c r="CD96" s="39">
        <f t="shared" si="824"/>
        <v>0.13434705848852452</v>
      </c>
      <c r="CE96" s="39">
        <f t="shared" si="824"/>
        <v>0.14092278651032786</v>
      </c>
      <c r="CF96" s="39">
        <f t="shared" si="824"/>
        <v>0.17201327433628325</v>
      </c>
      <c r="CG96" s="39">
        <f t="shared" si="824"/>
        <v>0.17294537425828457</v>
      </c>
      <c r="CH96" s="39">
        <f t="shared" si="824"/>
        <v>0.16762688614540458</v>
      </c>
      <c r="CI96" s="39">
        <f t="shared" si="824"/>
        <v>0.18168624504849062</v>
      </c>
      <c r="CJ96" s="39">
        <f t="shared" si="824"/>
        <v>0.23910072817805722</v>
      </c>
      <c r="CK96" s="39">
        <f t="shared" si="824"/>
        <v>0.25529988281666133</v>
      </c>
      <c r="CL96" s="39">
        <f t="shared" si="824"/>
        <v>0.28898377455166518</v>
      </c>
      <c r="CM96" s="40">
        <f t="shared" si="824"/>
        <v>0.27584791528955405</v>
      </c>
      <c r="CN96" s="40">
        <f t="shared" si="824"/>
        <v>0.25968845932381862</v>
      </c>
      <c r="CO96" s="40">
        <f t="shared" si="824"/>
        <v>0.25773042483486258</v>
      </c>
      <c r="CP96" s="40">
        <f t="shared" si="824"/>
        <v>0.25014108023959097</v>
      </c>
      <c r="CQ96" s="40">
        <f t="shared" si="824"/>
        <v>0.24879815704445749</v>
      </c>
      <c r="CR96" s="40">
        <f t="shared" si="824"/>
        <v>0.24635074199942344</v>
      </c>
      <c r="CS96" s="40">
        <f t="shared" si="824"/>
        <v>0.2451173112634159</v>
      </c>
      <c r="CT96" s="40">
        <f t="shared" si="824"/>
        <v>0.24248258997412706</v>
      </c>
      <c r="CU96" s="40">
        <f t="shared" si="824"/>
        <v>0.24019722928814399</v>
      </c>
      <c r="CV96" s="40">
        <f t="shared" si="824"/>
        <v>0.23730358698229775</v>
      </c>
      <c r="CW96" s="40">
        <f t="shared" si="824"/>
        <v>0.23502362688319064</v>
      </c>
      <c r="CX96" s="40">
        <f t="shared" ref="CX96:DB96" si="825">(SUM(CU90:CX90)-SUM(CU89:CX89))/CX162</f>
        <v>0.23197968291246007</v>
      </c>
      <c r="CY96" s="40">
        <f t="shared" si="825"/>
        <v>0.22965050178447127</v>
      </c>
      <c r="CZ96" s="40">
        <f t="shared" si="825"/>
        <v>0.22698631252487683</v>
      </c>
      <c r="DA96" s="40">
        <f t="shared" si="825"/>
        <v>0.2249632985850091</v>
      </c>
      <c r="DB96" s="40">
        <f t="shared" si="825"/>
        <v>0.2226138532214065</v>
      </c>
      <c r="DE96" s="122"/>
      <c r="DF96" s="38">
        <v>0.26975387382506727</v>
      </c>
    </row>
    <row r="97" spans="1:110" s="38" customFormat="1" x14ac:dyDescent="0.2">
      <c r="A97" s="38" t="s">
        <v>351</v>
      </c>
      <c r="B97" s="39" t="e">
        <f t="shared" ref="B97:AE97" si="826">+B76/B171</f>
        <v>#DIV/0!</v>
      </c>
      <c r="C97" s="39" t="e">
        <f t="shared" si="826"/>
        <v>#DIV/0!</v>
      </c>
      <c r="D97" s="39" t="e">
        <f t="shared" si="826"/>
        <v>#DIV/0!</v>
      </c>
      <c r="E97" s="39" t="e">
        <f t="shared" si="826"/>
        <v>#DIV/0!</v>
      </c>
      <c r="F97" s="39" t="e">
        <f t="shared" si="826"/>
        <v>#DIV/0!</v>
      </c>
      <c r="G97" s="39" t="e">
        <f t="shared" si="826"/>
        <v>#DIV/0!</v>
      </c>
      <c r="H97" s="39">
        <f t="shared" si="826"/>
        <v>9.9281382502109574E-3</v>
      </c>
      <c r="I97" s="39">
        <f t="shared" si="826"/>
        <v>0.44067360407600209</v>
      </c>
      <c r="J97" s="39">
        <f t="shared" si="826"/>
        <v>0.18708739301855837</v>
      </c>
      <c r="K97" s="39">
        <f t="shared" si="826"/>
        <v>0.62588298828922284</v>
      </c>
      <c r="L97" s="39">
        <f t="shared" si="826"/>
        <v>0.37122972345001232</v>
      </c>
      <c r="M97" s="39">
        <f t="shared" si="826"/>
        <v>0.36850858200759345</v>
      </c>
      <c r="N97" s="39">
        <f t="shared" si="826"/>
        <v>0.32546581166568517</v>
      </c>
      <c r="O97" s="39">
        <f t="shared" si="826"/>
        <v>0.27016427184633951</v>
      </c>
      <c r="P97" s="39">
        <f t="shared" si="826"/>
        <v>0.19145408040770462</v>
      </c>
      <c r="Q97" s="39">
        <f t="shared" si="826"/>
        <v>0.20735756680615963</v>
      </c>
      <c r="R97" s="39">
        <f t="shared" si="826"/>
        <v>0.23449252875501739</v>
      </c>
      <c r="S97" s="39">
        <f t="shared" si="826"/>
        <v>0.28112522276613494</v>
      </c>
      <c r="T97" s="39">
        <f t="shared" si="826"/>
        <v>0.29262830766418352</v>
      </c>
      <c r="U97" s="39">
        <f t="shared" si="826"/>
        <v>0.38374644453474194</v>
      </c>
      <c r="V97" s="39">
        <f t="shared" si="826"/>
        <v>0.32994757536041935</v>
      </c>
      <c r="W97" s="39">
        <f t="shared" si="826"/>
        <v>0.38334884250906809</v>
      </c>
      <c r="X97" s="39">
        <f t="shared" si="826"/>
        <v>0.15660849744030483</v>
      </c>
      <c r="Y97" s="39">
        <f t="shared" si="826"/>
        <v>0.16705509631841509</v>
      </c>
      <c r="Z97" s="39">
        <f t="shared" si="826"/>
        <v>0.24732656978338385</v>
      </c>
      <c r="AA97" s="39">
        <f t="shared" ref="AA97" si="827">+AA76/AA171</f>
        <v>0.31969898638271727</v>
      </c>
      <c r="AB97" s="40">
        <f t="shared" si="826"/>
        <v>0.32356977935306924</v>
      </c>
      <c r="AC97" s="40">
        <f t="shared" si="826"/>
        <v>0.3093236007717754</v>
      </c>
      <c r="AD97" s="40">
        <f t="shared" si="826"/>
        <v>0.29086931366309537</v>
      </c>
      <c r="AE97" s="40">
        <f t="shared" si="826"/>
        <v>0.27506286231442095</v>
      </c>
      <c r="AF97" s="39"/>
      <c r="AG97" s="39"/>
      <c r="AH97" s="39"/>
      <c r="AI97" s="39"/>
      <c r="AJ97" s="39"/>
      <c r="AK97" s="39"/>
      <c r="AL97" s="39" t="e">
        <f t="shared" ref="AL97:BQ97" si="828">+SUM(AI76:AL76)/AL171</f>
        <v>#DIV/0!</v>
      </c>
      <c r="AM97" s="39" t="e">
        <f t="shared" si="828"/>
        <v>#DIV/0!</v>
      </c>
      <c r="AN97" s="39" t="e">
        <f t="shared" si="828"/>
        <v>#DIV/0!</v>
      </c>
      <c r="AO97" s="39" t="e">
        <f t="shared" si="828"/>
        <v>#DIV/0!</v>
      </c>
      <c r="AP97" s="39" t="e">
        <f t="shared" si="828"/>
        <v>#DIV/0!</v>
      </c>
      <c r="AQ97" s="39" t="e">
        <f t="shared" si="828"/>
        <v>#DIV/0!</v>
      </c>
      <c r="AR97" s="39" t="e">
        <f t="shared" si="828"/>
        <v>#DIV/0!</v>
      </c>
      <c r="AS97" s="39" t="e">
        <f t="shared" si="828"/>
        <v>#DIV/0!</v>
      </c>
      <c r="AT97" s="39" t="e">
        <f t="shared" si="828"/>
        <v>#DIV/0!</v>
      </c>
      <c r="AU97" s="39">
        <f t="shared" si="828"/>
        <v>1.337385243114587</v>
      </c>
      <c r="AV97" s="39" t="e">
        <f t="shared" si="828"/>
        <v>#DIV/0!</v>
      </c>
      <c r="AW97" s="39">
        <f t="shared" si="828"/>
        <v>5.1104124283336381</v>
      </c>
      <c r="AX97" s="39">
        <f t="shared" si="828"/>
        <v>0.20465249856404363</v>
      </c>
      <c r="AY97" s="39">
        <f t="shared" si="828"/>
        <v>0.21402291161468351</v>
      </c>
      <c r="AZ97" s="39">
        <f t="shared" si="828"/>
        <v>0.21285658324697157</v>
      </c>
      <c r="BA97" s="39">
        <f t="shared" si="828"/>
        <v>0.218198742857974</v>
      </c>
      <c r="BB97" s="39">
        <f t="shared" si="828"/>
        <v>0.23818316462649092</v>
      </c>
      <c r="BC97" s="39">
        <f t="shared" si="828"/>
        <v>0.24738144982294835</v>
      </c>
      <c r="BD97" s="39">
        <f t="shared" si="828"/>
        <v>0.25491136701149719</v>
      </c>
      <c r="BE97" s="39">
        <f t="shared" si="828"/>
        <v>0.26181304318342402</v>
      </c>
      <c r="BF97" s="39">
        <f t="shared" si="828"/>
        <v>0.28111619932775389</v>
      </c>
      <c r="BG97" s="39">
        <f t="shared" si="828"/>
        <v>0.27454198718635503</v>
      </c>
      <c r="BH97" s="39">
        <f t="shared" si="828"/>
        <v>0.29004075615678115</v>
      </c>
      <c r="BI97" s="39">
        <f t="shared" si="828"/>
        <v>0.2745570487921401</v>
      </c>
      <c r="BJ97" s="39">
        <f t="shared" si="828"/>
        <v>0.29262830766418352</v>
      </c>
      <c r="BK97" s="39">
        <f t="shared" si="828"/>
        <v>0.28123588982777525</v>
      </c>
      <c r="BL97" s="39">
        <f t="shared" si="828"/>
        <v>0.36977328627954226</v>
      </c>
      <c r="BM97" s="39">
        <f t="shared" si="828"/>
        <v>0.36266281473364381</v>
      </c>
      <c r="BN97" s="39">
        <f t="shared" si="828"/>
        <v>0.38089175425289856</v>
      </c>
      <c r="BO97" s="39">
        <f t="shared" si="828"/>
        <v>0.28111210373859613</v>
      </c>
      <c r="BP97" s="39">
        <f t="shared" si="828"/>
        <v>0.26921172392652509</v>
      </c>
      <c r="BQ97" s="39">
        <f t="shared" si="828"/>
        <v>0.26290308447248517</v>
      </c>
      <c r="BR97" s="39">
        <f t="shared" ref="BR97:CW97" si="829">+SUM(BO76:BR76)/BR171</f>
        <v>0.33058721651414802</v>
      </c>
      <c r="BS97" s="39">
        <f t="shared" si="829"/>
        <v>0.4218701460080771</v>
      </c>
      <c r="BT97" s="39">
        <f t="shared" si="829"/>
        <v>0.47794452966294937</v>
      </c>
      <c r="BU97" s="39">
        <f t="shared" si="829"/>
        <v>0.43020717574218131</v>
      </c>
      <c r="BV97" s="39">
        <f t="shared" si="829"/>
        <v>0.38169664052262747</v>
      </c>
      <c r="BW97" s="39">
        <f t="shared" si="829"/>
        <v>0.29976290351997087</v>
      </c>
      <c r="BX97" s="39">
        <f t="shared" si="829"/>
        <v>0.21448581056392357</v>
      </c>
      <c r="BY97" s="39">
        <f t="shared" si="829"/>
        <v>0.1879804470374897</v>
      </c>
      <c r="BZ97" s="39">
        <f t="shared" si="829"/>
        <v>0.1519748888307613</v>
      </c>
      <c r="CA97" s="39">
        <f t="shared" si="829"/>
        <v>0.14245638166944188</v>
      </c>
      <c r="CB97" s="39">
        <f t="shared" si="829"/>
        <v>0.1625452057472388</v>
      </c>
      <c r="CC97" s="39">
        <f t="shared" si="829"/>
        <v>0.1585879673562347</v>
      </c>
      <c r="CD97" s="39">
        <f t="shared" si="829"/>
        <v>0.16463048267574612</v>
      </c>
      <c r="CE97" s="39">
        <f t="shared" si="829"/>
        <v>0.16920125566794564</v>
      </c>
      <c r="CF97" s="39">
        <f t="shared" si="829"/>
        <v>0.21557315002352756</v>
      </c>
      <c r="CG97" s="39">
        <f t="shared" si="829"/>
        <v>0.22035833825556214</v>
      </c>
      <c r="CH97" s="39">
        <f t="shared" si="829"/>
        <v>0.24696097248880355</v>
      </c>
      <c r="CI97" s="39">
        <f t="shared" si="829"/>
        <v>0.25628861053278268</v>
      </c>
      <c r="CJ97" s="39">
        <f t="shared" si="829"/>
        <v>0.32727340809945515</v>
      </c>
      <c r="CK97" s="39">
        <f t="shared" si="829"/>
        <v>0.33088862054269069</v>
      </c>
      <c r="CL97" s="39">
        <f t="shared" si="829"/>
        <v>0.34718951571618711</v>
      </c>
      <c r="CM97" s="40">
        <f t="shared" si="829"/>
        <v>0.33930906582355774</v>
      </c>
      <c r="CN97" s="40">
        <f t="shared" si="829"/>
        <v>0.3236214337696891</v>
      </c>
      <c r="CO97" s="40">
        <f t="shared" si="829"/>
        <v>0.33424702168347092</v>
      </c>
      <c r="CP97" s="40">
        <f t="shared" si="829"/>
        <v>0.32356977935306924</v>
      </c>
      <c r="CQ97" s="40">
        <f t="shared" si="829"/>
        <v>0.32057868727411737</v>
      </c>
      <c r="CR97" s="40">
        <f t="shared" si="829"/>
        <v>0.31631846639498135</v>
      </c>
      <c r="CS97" s="40">
        <f t="shared" si="829"/>
        <v>0.3136580643896496</v>
      </c>
      <c r="CT97" s="40">
        <f t="shared" si="829"/>
        <v>0.3093236007717754</v>
      </c>
      <c r="CU97" s="40">
        <f t="shared" si="829"/>
        <v>0.30502747380490863</v>
      </c>
      <c r="CV97" s="40">
        <f t="shared" si="829"/>
        <v>0.30009520713147886</v>
      </c>
      <c r="CW97" s="40">
        <f t="shared" si="829"/>
        <v>0.2959011616333832</v>
      </c>
      <c r="CX97" s="40">
        <f t="shared" ref="CX97:DB97" si="830">+SUM(CU76:CX76)/CX171</f>
        <v>0.29086931366309532</v>
      </c>
      <c r="CY97" s="40">
        <f t="shared" si="830"/>
        <v>0.28683251234511981</v>
      </c>
      <c r="CZ97" s="40">
        <f t="shared" si="830"/>
        <v>0.28251136712072916</v>
      </c>
      <c r="DA97" s="40">
        <f t="shared" si="830"/>
        <v>0.27891821645430775</v>
      </c>
      <c r="DB97" s="40">
        <f t="shared" si="830"/>
        <v>0.27506286231442095</v>
      </c>
      <c r="DE97" s="122"/>
      <c r="DF97" s="38">
        <v>0.31711710750454786</v>
      </c>
    </row>
    <row r="98" spans="1:110" s="1" customFormat="1" x14ac:dyDescent="0.2">
      <c r="A98" s="150" t="s">
        <v>488</v>
      </c>
      <c r="AB98" s="20"/>
      <c r="AC98" s="20"/>
      <c r="AD98" s="20"/>
      <c r="AE98" s="20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E98" s="119"/>
    </row>
    <row r="99" spans="1:110" s="8" customFormat="1" x14ac:dyDescent="0.2">
      <c r="A99" s="12" t="s">
        <v>26</v>
      </c>
      <c r="AB99" s="58"/>
      <c r="AC99" s="58"/>
      <c r="AD99" s="58"/>
      <c r="AE99" s="58"/>
      <c r="CM99" s="54"/>
      <c r="CN99" s="54"/>
      <c r="CO99" s="54"/>
      <c r="CP99" s="54"/>
      <c r="CQ99" s="54"/>
      <c r="CR99" s="54"/>
      <c r="CS99" s="54"/>
      <c r="CT99" s="54"/>
      <c r="CU99" s="54"/>
      <c r="CV99" s="54"/>
      <c r="CW99" s="54"/>
      <c r="CX99" s="54"/>
      <c r="CY99" s="54"/>
      <c r="CZ99" s="54"/>
      <c r="DA99" s="54"/>
      <c r="DB99" s="54"/>
      <c r="DE99" s="132"/>
    </row>
    <row r="100" spans="1:110" s="9" customFormat="1" x14ac:dyDescent="0.2">
      <c r="A100" s="9" t="s">
        <v>453</v>
      </c>
      <c r="N100" s="9">
        <f>N43-SUM(AI43:AL43)</f>
        <v>134.261</v>
      </c>
      <c r="O100" s="9">
        <f>O43-SUM(AM43:AP43)</f>
        <v>149.97800000000001</v>
      </c>
      <c r="P100" s="9">
        <f>P43-SUM(AQ43:AT43)</f>
        <v>182.958</v>
      </c>
      <c r="Q100" s="9">
        <f>Q43-SUM(AU43:AX43)</f>
        <v>-1.999999999981128E-3</v>
      </c>
      <c r="R100" s="9">
        <f>R43-SUM(AY43:BB43)</f>
        <v>0</v>
      </c>
      <c r="S100" s="9">
        <f>S43-SUM(BC43:BF43)</f>
        <v>-6.0000000000286491E-3</v>
      </c>
      <c r="T100" s="9">
        <f>T43-SUM(BG43:BJ43)</f>
        <v>0</v>
      </c>
      <c r="U100" s="9">
        <f>U43-SUM(BK43:BN43)</f>
        <v>1.0600000000000023</v>
      </c>
      <c r="V100" s="9">
        <f>V43-SUM(BO43:BR43)</f>
        <v>-9.9999999999909051E-3</v>
      </c>
      <c r="W100" s="9">
        <f>W43-SUM(BS43:BV43)</f>
        <v>4.0000000000077307E-2</v>
      </c>
      <c r="X100" s="9">
        <f>X43-SUM(BW43:BZ43)</f>
        <v>0</v>
      </c>
      <c r="Y100" s="9">
        <f>Y43-SUM(CA43:CD43)</f>
        <v>0</v>
      </c>
      <c r="Z100" s="9">
        <f>Z43-SUM(CE43:CH43)</f>
        <v>0</v>
      </c>
      <c r="AA100" s="9">
        <f>AA43-SUM(CF43:CI43)</f>
        <v>105.57000000000005</v>
      </c>
      <c r="AB100" s="15">
        <f>AB43-SUM(CM43:CP43)</f>
        <v>0</v>
      </c>
      <c r="AC100" s="15">
        <f>AC43-SUM(CQ43:CT43)</f>
        <v>0</v>
      </c>
      <c r="AD100" s="15">
        <f>AD43-SUM(CU43:CX43)</f>
        <v>0</v>
      </c>
      <c r="AE100" s="15">
        <f>AE43-SUM(CY43:DB43)</f>
        <v>0</v>
      </c>
      <c r="CM100" s="59"/>
      <c r="CN100" s="59"/>
      <c r="CO100" s="59"/>
      <c r="CP100" s="59"/>
      <c r="CQ100" s="59"/>
      <c r="CR100" s="59"/>
      <c r="CS100" s="59"/>
      <c r="CT100" s="59"/>
      <c r="CU100" s="59"/>
      <c r="CV100" s="59"/>
      <c r="CW100" s="59"/>
      <c r="CX100" s="59"/>
      <c r="CY100" s="59"/>
      <c r="CZ100" s="59"/>
      <c r="DA100" s="59"/>
      <c r="DB100" s="59"/>
      <c r="DE100" s="133"/>
      <c r="DF100" s="9">
        <v>0</v>
      </c>
    </row>
    <row r="101" spans="1:110" s="9" customFormat="1" x14ac:dyDescent="0.2">
      <c r="A101" s="9" t="s">
        <v>454</v>
      </c>
      <c r="N101" s="9">
        <f>N49-SUM(AI49:AL49)</f>
        <v>98.669999999999987</v>
      </c>
      <c r="O101" s="9">
        <f>O49-SUM(AM49:AP49)</f>
        <v>107.46800000000002</v>
      </c>
      <c r="P101" s="9">
        <f>P49-SUM(AQ49:AT49)</f>
        <v>127.129</v>
      </c>
      <c r="Q101" s="9">
        <f>Q49-SUM(AU49:AX49)</f>
        <v>-3.9999999999906777E-3</v>
      </c>
      <c r="R101" s="9">
        <f>R49-SUM(AY49:BB49)</f>
        <v>-9.9999999997635314E-4</v>
      </c>
      <c r="S101" s="9">
        <f>S49-SUM(BC49:BF49)</f>
        <v>1.3999999999953161E-2</v>
      </c>
      <c r="T101" s="9">
        <f>T49-SUM(BG49:BJ49)</f>
        <v>0</v>
      </c>
      <c r="U101" s="9">
        <f>U49-SUM(BK49:BN49)</f>
        <v>1.0599999999999454</v>
      </c>
      <c r="V101" s="9">
        <f>V49-SUM(BO49:BR49)</f>
        <v>0</v>
      </c>
      <c r="W101" s="9">
        <f>W49-SUM(BS49:BV49)</f>
        <v>7.0000000000106866E-2</v>
      </c>
      <c r="X101" s="9">
        <f>X49-SUM(BW49:BZ49)</f>
        <v>0</v>
      </c>
      <c r="Y101" s="9">
        <f>Y49-SUM(CA49:CD49)</f>
        <v>0</v>
      </c>
      <c r="Z101" s="9">
        <f>Z49-SUM(CE49:CH49)</f>
        <v>0</v>
      </c>
      <c r="AA101" s="9">
        <f>AA49-SUM(CF49:CI49)</f>
        <v>87.260000000000105</v>
      </c>
      <c r="AB101" s="15">
        <f>AB49-SUM(CM49:CP49)</f>
        <v>0</v>
      </c>
      <c r="AC101" s="15">
        <f>AC49-SUM(CQ49:CT49)</f>
        <v>0</v>
      </c>
      <c r="AD101" s="15">
        <f>AD49-SUM(CU49:CX49)</f>
        <v>0</v>
      </c>
      <c r="AE101" s="15">
        <f>AE49-SUM(CY49:DB49)</f>
        <v>0</v>
      </c>
      <c r="CM101" s="59"/>
      <c r="CN101" s="59"/>
      <c r="CO101" s="59"/>
      <c r="CP101" s="59"/>
      <c r="CQ101" s="59"/>
      <c r="CR101" s="59"/>
      <c r="CS101" s="59"/>
      <c r="CT101" s="59"/>
      <c r="CU101" s="59"/>
      <c r="CV101" s="59"/>
      <c r="CW101" s="59"/>
      <c r="CX101" s="59"/>
      <c r="CY101" s="59"/>
      <c r="CZ101" s="59"/>
      <c r="DA101" s="59"/>
      <c r="DB101" s="59"/>
      <c r="DE101" s="133"/>
      <c r="DF101" s="9">
        <v>0</v>
      </c>
    </row>
    <row r="102" spans="1:110" s="9" customFormat="1" x14ac:dyDescent="0.2">
      <c r="A102" s="9" t="s">
        <v>455</v>
      </c>
      <c r="N102" s="9">
        <f>N70-SUM(AI70:AL70)</f>
        <v>63.560999999999986</v>
      </c>
      <c r="O102" s="9">
        <f>O70-SUM(AM70:AP70)</f>
        <v>68.841000000000022</v>
      </c>
      <c r="P102" s="9">
        <f>P70-SUM(AQ70:AT70)</f>
        <v>72.671999999999997</v>
      </c>
      <c r="Q102" s="9">
        <f>Q70-SUM(AU70:AX70)</f>
        <v>0.98900000000000432</v>
      </c>
      <c r="R102" s="9">
        <f>R70-SUM(AY70:BB70)</f>
        <v>0.19500000000000739</v>
      </c>
      <c r="S102" s="9">
        <f>S70-SUM(BC70:BF70)</f>
        <v>3.999999999962256E-3</v>
      </c>
      <c r="T102" s="9">
        <f>T70-SUM(BG70:BJ70)</f>
        <v>0</v>
      </c>
      <c r="U102" s="9">
        <f>U70-SUM(BK70:BN70)</f>
        <v>1.0499999999999545</v>
      </c>
      <c r="V102" s="9">
        <f>V70-SUM(BO70:BR70)</f>
        <v>-0.25000000000005684</v>
      </c>
      <c r="W102" s="9">
        <f>W70-SUM(BS70:BV70)</f>
        <v>0.82000000000005002</v>
      </c>
      <c r="X102" s="9">
        <f>X70-SUM(BW70:BZ70)</f>
        <v>2.4799999999999045</v>
      </c>
      <c r="Y102" s="9">
        <f>Y70-SUM(CA70:CD70)</f>
        <v>1.3299999999998988</v>
      </c>
      <c r="Z102" s="9">
        <f>Z70-SUM(CE70:CH70)</f>
        <v>0.20000000000015916</v>
      </c>
      <c r="AA102" s="9">
        <f>AA70-SUM(CF70:CI70)</f>
        <v>40.439999999999969</v>
      </c>
      <c r="AB102" s="15">
        <f>AB70-SUM(CM70:CP70)</f>
        <v>0</v>
      </c>
      <c r="AC102" s="15">
        <f>AC70-SUM(CQ70:CT70)</f>
        <v>0</v>
      </c>
      <c r="AD102" s="15">
        <f>AD70-SUM(CU70:CX70)</f>
        <v>0</v>
      </c>
      <c r="AE102" s="15">
        <f>AE70-SUM(CY70:DB70)</f>
        <v>0</v>
      </c>
      <c r="CM102" s="59"/>
      <c r="CN102" s="59"/>
      <c r="CO102" s="59"/>
      <c r="CP102" s="59"/>
      <c r="CQ102" s="59"/>
      <c r="CR102" s="59"/>
      <c r="CS102" s="59"/>
      <c r="CT102" s="59"/>
      <c r="CU102" s="59"/>
      <c r="CV102" s="59"/>
      <c r="CW102" s="59"/>
      <c r="CX102" s="59"/>
      <c r="CY102" s="59"/>
      <c r="CZ102" s="59"/>
      <c r="DA102" s="59"/>
      <c r="DB102" s="59"/>
      <c r="DE102" s="133"/>
      <c r="DF102" s="9">
        <v>0</v>
      </c>
    </row>
    <row r="103" spans="1:110" s="9" customFormat="1" x14ac:dyDescent="0.2">
      <c r="A103" s="9" t="s">
        <v>456</v>
      </c>
      <c r="N103" s="9">
        <f>N90-SUM(AI90:AL90)</f>
        <v>56.818999999999996</v>
      </c>
      <c r="O103" s="9">
        <f>O90-SUM(AM90:AP90)</f>
        <v>46.15600000000002</v>
      </c>
      <c r="P103" s="9">
        <f>P90-SUM(AQ90:AT90)</f>
        <v>45.216999999999999</v>
      </c>
      <c r="Q103" s="9">
        <f>Q90-SUM(AU90:AX90)</f>
        <v>-1.2809999999999917</v>
      </c>
      <c r="R103" s="9">
        <f>R90-SUM(AY90:BB90)</f>
        <v>4.6000000000013586E-2</v>
      </c>
      <c r="S103" s="9">
        <f>S90-SUM(BC90:BF90)</f>
        <v>0.18399999999995487</v>
      </c>
      <c r="T103" s="9">
        <f>T90-SUM(BG90:BJ90)</f>
        <v>0.10999999999997101</v>
      </c>
      <c r="U103" s="9">
        <f>U90-SUM(BK90:BN90)</f>
        <v>0.10999999999997101</v>
      </c>
      <c r="V103" s="9">
        <f>V90-SUM(BO90:BR90)</f>
        <v>-1.6600000000000108</v>
      </c>
      <c r="W103" s="9">
        <f>W83-SUM(BS83:BV83)</f>
        <v>0.11000000000001364</v>
      </c>
      <c r="X103" s="9">
        <f>X83-SUM(BW83:BZ83)</f>
        <v>-1.0658141036401503E-13</v>
      </c>
      <c r="Y103" s="9">
        <f>Y83-SUM(CA83:CD83)</f>
        <v>-1.0000000000090381E-2</v>
      </c>
      <c r="Z103" s="9">
        <f>Z83-SUM(CE83:CH83)</f>
        <v>-0.12999999999985334</v>
      </c>
      <c r="AA103" s="9">
        <f>AA83-SUM(CF83:CI83)</f>
        <v>61.569999999999965</v>
      </c>
      <c r="AB103" s="15">
        <f>AB83-SUM(CM83:CP83)</f>
        <v>0</v>
      </c>
      <c r="AC103" s="15">
        <f>AC83-SUM(CQ83:CT83)</f>
        <v>0</v>
      </c>
      <c r="AD103" s="15">
        <f>AD83-SUM(CU83:CX83)</f>
        <v>0</v>
      </c>
      <c r="AE103" s="15">
        <f>AE83-SUM(CY83:DB83)</f>
        <v>0</v>
      </c>
      <c r="CM103" s="59"/>
      <c r="CN103" s="59"/>
      <c r="CO103" s="59"/>
      <c r="CP103" s="59"/>
      <c r="CQ103" s="59"/>
      <c r="CR103" s="59"/>
      <c r="CS103" s="59"/>
      <c r="CT103" s="59"/>
      <c r="CU103" s="59"/>
      <c r="CV103" s="59"/>
      <c r="CW103" s="59"/>
      <c r="CX103" s="59"/>
      <c r="CY103" s="59"/>
      <c r="CZ103" s="59"/>
      <c r="DA103" s="59"/>
      <c r="DB103" s="59"/>
      <c r="DE103" s="133"/>
      <c r="DF103" s="9">
        <v>0</v>
      </c>
    </row>
    <row r="104" spans="1:110" s="8" customFormat="1" x14ac:dyDescent="0.2">
      <c r="A104" s="149" t="s">
        <v>489</v>
      </c>
      <c r="AB104" s="58"/>
      <c r="AC104" s="58"/>
      <c r="AD104" s="58"/>
      <c r="AE104" s="58"/>
      <c r="CM104" s="54"/>
      <c r="CN104" s="54"/>
      <c r="CO104" s="54"/>
      <c r="CP104" s="54"/>
      <c r="CQ104" s="54"/>
      <c r="CR104" s="54"/>
      <c r="CS104" s="54"/>
      <c r="CT104" s="54"/>
      <c r="CU104" s="54"/>
      <c r="CV104" s="54"/>
      <c r="CW104" s="54"/>
      <c r="CX104" s="54"/>
      <c r="CY104" s="54"/>
      <c r="CZ104" s="54"/>
      <c r="DA104" s="54"/>
      <c r="DB104" s="54"/>
      <c r="DE104" s="132"/>
    </row>
    <row r="105" spans="1:110" s="3" customFormat="1" x14ac:dyDescent="0.2">
      <c r="A105" s="3" t="s">
        <v>27</v>
      </c>
      <c r="B105" s="3">
        <f>'Annual Raw'!C104</f>
        <v>0</v>
      </c>
      <c r="C105" s="3">
        <f>'Annual Raw'!D104</f>
        <v>0</v>
      </c>
      <c r="D105" s="3">
        <f>'Annual Raw'!E104</f>
        <v>0</v>
      </c>
      <c r="E105" s="3">
        <f t="shared" ref="E105:Y105" ca="1" si="831">+F105</f>
        <v>0</v>
      </c>
      <c r="F105" s="3">
        <f t="shared" ca="1" si="831"/>
        <v>0</v>
      </c>
      <c r="G105" s="3">
        <f t="shared" ca="1" si="831"/>
        <v>0</v>
      </c>
      <c r="H105" s="3">
        <f t="shared" ca="1" si="831"/>
        <v>0</v>
      </c>
      <c r="I105" s="3">
        <f t="shared" ca="1" si="831"/>
        <v>0</v>
      </c>
      <c r="J105" s="3">
        <f t="shared" ca="1" si="831"/>
        <v>0</v>
      </c>
      <c r="K105" s="3">
        <f t="shared" ca="1" si="831"/>
        <v>0</v>
      </c>
      <c r="L105" s="3">
        <f t="shared" ca="1" si="831"/>
        <v>0</v>
      </c>
      <c r="M105" s="3">
        <f t="shared" ca="1" si="831"/>
        <v>0</v>
      </c>
      <c r="N105" s="3">
        <f t="shared" ca="1" si="831"/>
        <v>0</v>
      </c>
      <c r="O105" s="3">
        <f t="shared" ca="1" si="831"/>
        <v>0</v>
      </c>
      <c r="P105" s="3">
        <f t="shared" ca="1" si="831"/>
        <v>0</v>
      </c>
      <c r="Q105" s="3">
        <f t="shared" ca="1" si="831"/>
        <v>0</v>
      </c>
      <c r="R105" s="3">
        <f t="shared" ca="1" si="831"/>
        <v>0</v>
      </c>
      <c r="S105" s="3">
        <f t="shared" ca="1" si="831"/>
        <v>0</v>
      </c>
      <c r="T105" s="3">
        <f t="shared" ca="1" si="831"/>
        <v>0</v>
      </c>
      <c r="U105" s="3">
        <f t="shared" ca="1" si="831"/>
        <v>0</v>
      </c>
      <c r="V105" s="3">
        <f t="shared" ca="1" si="831"/>
        <v>0</v>
      </c>
      <c r="W105" s="3">
        <f t="shared" ca="1" si="831"/>
        <v>0</v>
      </c>
      <c r="X105" s="3">
        <f t="shared" ca="1" si="831"/>
        <v>0</v>
      </c>
      <c r="Y105" s="3">
        <f t="shared" ca="1" si="831"/>
        <v>0</v>
      </c>
      <c r="Z105" s="3">
        <f ca="1">+AA105</f>
        <v>0</v>
      </c>
      <c r="AA105" s="3">
        <f ca="1">+AB105</f>
        <v>0</v>
      </c>
      <c r="AB105" s="37">
        <f t="shared" ref="AB105:AB106" ca="1" si="832">AA105</f>
        <v>0</v>
      </c>
      <c r="AC105" s="37">
        <f t="shared" ref="AC105:AC106" ca="1" si="833">AB105</f>
        <v>0</v>
      </c>
      <c r="AD105" s="37">
        <f t="shared" ref="AD105:AD106" ca="1" si="834">AC105</f>
        <v>0</v>
      </c>
      <c r="AE105" s="37">
        <f t="shared" ref="AE105:AE106" ca="1" si="835">AD105</f>
        <v>0</v>
      </c>
      <c r="AI105" s="3">
        <f t="shared" ref="AI105:CJ105" si="836">+AJ105</f>
        <v>159.16</v>
      </c>
      <c r="AJ105" s="3">
        <f t="shared" si="836"/>
        <v>159.16</v>
      </c>
      <c r="AK105" s="3">
        <f t="shared" si="836"/>
        <v>159.16</v>
      </c>
      <c r="AL105" s="3">
        <f t="shared" si="836"/>
        <v>159.16</v>
      </c>
      <c r="AM105" s="3">
        <f t="shared" si="836"/>
        <v>159.16</v>
      </c>
      <c r="AN105" s="3">
        <f t="shared" si="836"/>
        <v>159.16</v>
      </c>
      <c r="AO105" s="3">
        <f t="shared" si="836"/>
        <v>159.16</v>
      </c>
      <c r="AP105" s="3">
        <f t="shared" si="836"/>
        <v>159.16</v>
      </c>
      <c r="AQ105" s="3">
        <f t="shared" si="836"/>
        <v>159.16</v>
      </c>
      <c r="AR105" s="3">
        <f t="shared" si="836"/>
        <v>159.16</v>
      </c>
      <c r="AS105" s="3">
        <f t="shared" si="836"/>
        <v>159.16</v>
      </c>
      <c r="AT105" s="3">
        <f t="shared" si="836"/>
        <v>159.16</v>
      </c>
      <c r="AU105" s="3">
        <f t="shared" si="836"/>
        <v>159.16</v>
      </c>
      <c r="AV105" s="3">
        <f t="shared" si="836"/>
        <v>159.16</v>
      </c>
      <c r="AW105" s="3">
        <f t="shared" si="836"/>
        <v>159.16</v>
      </c>
      <c r="AX105" s="3">
        <f t="shared" si="836"/>
        <v>159.16</v>
      </c>
      <c r="AY105" s="3">
        <f t="shared" si="836"/>
        <v>159.16</v>
      </c>
      <c r="AZ105" s="3">
        <f t="shared" si="836"/>
        <v>159.16</v>
      </c>
      <c r="BA105" s="3">
        <f t="shared" si="836"/>
        <v>159.16</v>
      </c>
      <c r="BB105" s="3">
        <f t="shared" si="836"/>
        <v>159.16</v>
      </c>
      <c r="BC105" s="3">
        <f t="shared" si="836"/>
        <v>159.16</v>
      </c>
      <c r="BD105" s="3">
        <f t="shared" si="836"/>
        <v>159.16</v>
      </c>
      <c r="BE105" s="3">
        <f t="shared" si="836"/>
        <v>159.16</v>
      </c>
      <c r="BF105" s="3">
        <f t="shared" si="836"/>
        <v>159.16</v>
      </c>
      <c r="BG105" s="3">
        <f t="shared" si="836"/>
        <v>159.16</v>
      </c>
      <c r="BH105" s="3">
        <f t="shared" si="836"/>
        <v>159.16</v>
      </c>
      <c r="BI105" s="3">
        <f t="shared" si="836"/>
        <v>159.16</v>
      </c>
      <c r="BJ105" s="3">
        <f t="shared" si="836"/>
        <v>159.16</v>
      </c>
      <c r="BK105" s="3">
        <f t="shared" si="836"/>
        <v>159.16</v>
      </c>
      <c r="BL105" s="3">
        <f t="shared" si="836"/>
        <v>159.16</v>
      </c>
      <c r="BM105" s="3">
        <f t="shared" si="836"/>
        <v>159.16</v>
      </c>
      <c r="BN105" s="3">
        <f t="shared" si="836"/>
        <v>159.16</v>
      </c>
      <c r="BO105" s="3">
        <f t="shared" si="836"/>
        <v>159.16</v>
      </c>
      <c r="BP105" s="3">
        <f t="shared" si="836"/>
        <v>159.16</v>
      </c>
      <c r="BQ105" s="3">
        <f t="shared" si="836"/>
        <v>159.16</v>
      </c>
      <c r="BR105" s="3">
        <f t="shared" si="836"/>
        <v>159.16</v>
      </c>
      <c r="BS105" s="3">
        <f t="shared" si="836"/>
        <v>159.16</v>
      </c>
      <c r="BT105" s="3">
        <f t="shared" si="836"/>
        <v>159.16</v>
      </c>
      <c r="BU105" s="3">
        <f t="shared" si="836"/>
        <v>159.16</v>
      </c>
      <c r="BV105" s="3">
        <f t="shared" si="836"/>
        <v>159.16</v>
      </c>
      <c r="BW105" s="3">
        <f t="shared" si="836"/>
        <v>159.16</v>
      </c>
      <c r="BX105" s="3">
        <f t="shared" si="836"/>
        <v>159.16</v>
      </c>
      <c r="BY105" s="3">
        <f t="shared" si="836"/>
        <v>159.16</v>
      </c>
      <c r="BZ105" s="3">
        <f t="shared" si="836"/>
        <v>159.16</v>
      </c>
      <c r="CA105" s="3">
        <f t="shared" si="836"/>
        <v>159.16</v>
      </c>
      <c r="CB105" s="3">
        <f t="shared" si="836"/>
        <v>159.16</v>
      </c>
      <c r="CC105" s="3">
        <f t="shared" si="836"/>
        <v>159.16</v>
      </c>
      <c r="CD105" s="3">
        <f t="shared" si="836"/>
        <v>159.16</v>
      </c>
      <c r="CE105" s="3">
        <f t="shared" si="836"/>
        <v>159.16</v>
      </c>
      <c r="CF105" s="3">
        <f t="shared" si="836"/>
        <v>159.16</v>
      </c>
      <c r="CG105" s="3">
        <f t="shared" si="836"/>
        <v>159.16</v>
      </c>
      <c r="CH105" s="3">
        <f t="shared" si="836"/>
        <v>159.16</v>
      </c>
      <c r="CI105" s="3">
        <f t="shared" si="836"/>
        <v>159.16</v>
      </c>
      <c r="CJ105" s="3">
        <f t="shared" si="836"/>
        <v>159.16</v>
      </c>
      <c r="CK105" s="3">
        <f>+CL105</f>
        <v>159.16</v>
      </c>
      <c r="CL105" s="3">
        <f>+'QTR Raw'!BF45</f>
        <v>159.16</v>
      </c>
      <c r="CM105" s="37">
        <f t="shared" ref="CM105:CM106" si="837">+CL105</f>
        <v>159.16</v>
      </c>
      <c r="CN105" s="37">
        <f t="shared" ref="CN105:CN106" si="838">+CM105</f>
        <v>159.16</v>
      </c>
      <c r="CO105" s="37">
        <f t="shared" ref="CO105:CO106" si="839">+CN105</f>
        <v>159.16</v>
      </c>
      <c r="CP105" s="37">
        <f t="shared" ref="CP105:CP106" si="840">+CO105</f>
        <v>159.16</v>
      </c>
      <c r="CQ105" s="37">
        <f t="shared" ref="CQ105:CQ106" si="841">+CP105</f>
        <v>159.16</v>
      </c>
      <c r="CR105" s="37">
        <f t="shared" ref="CR105:CR106" si="842">+CQ105</f>
        <v>159.16</v>
      </c>
      <c r="CS105" s="37">
        <f t="shared" ref="CS105:CS106" si="843">+CR105</f>
        <v>159.16</v>
      </c>
      <c r="CT105" s="37">
        <f t="shared" ref="CT105:CT106" si="844">+CS105</f>
        <v>159.16</v>
      </c>
      <c r="CU105" s="37">
        <f t="shared" ref="CU105:CU106" si="845">+CT105</f>
        <v>159.16</v>
      </c>
      <c r="CV105" s="37">
        <f t="shared" ref="CV105:CV106" si="846">+CU105</f>
        <v>159.16</v>
      </c>
      <c r="CW105" s="37">
        <f t="shared" ref="CW105:CW106" si="847">+CV105</f>
        <v>159.16</v>
      </c>
      <c r="CX105" s="37">
        <f t="shared" ref="CX105:CX106" si="848">+CW105</f>
        <v>159.16</v>
      </c>
      <c r="CY105" s="37">
        <f t="shared" ref="CY105:CY106" si="849">+CX105</f>
        <v>159.16</v>
      </c>
      <c r="CZ105" s="37">
        <f t="shared" ref="CZ105:CZ106" si="850">+CY105</f>
        <v>159.16</v>
      </c>
      <c r="DA105" s="37">
        <f t="shared" ref="DA105:DA106" si="851">+CZ105</f>
        <v>159.16</v>
      </c>
      <c r="DB105" s="37">
        <f t="shared" ref="DB105:DB106" si="852">+DA105</f>
        <v>159.16</v>
      </c>
      <c r="DE105" s="134"/>
      <c r="DF105" s="3">
        <v>159.16</v>
      </c>
    </row>
    <row r="106" spans="1:110" s="3" customFormat="1" x14ac:dyDescent="0.2">
      <c r="A106" s="3" t="s">
        <v>28</v>
      </c>
      <c r="B106" s="3">
        <f>'Annual Raw'!C105</f>
        <v>0</v>
      </c>
      <c r="C106" s="3">
        <f>'Annual Raw'!D105</f>
        <v>0</v>
      </c>
      <c r="D106" s="3">
        <f>'Annual Raw'!E105</f>
        <v>0</v>
      </c>
      <c r="E106" s="3">
        <f t="shared" ref="E106:Y106" ca="1" si="853">+F106</f>
        <v>0</v>
      </c>
      <c r="F106" s="3">
        <f t="shared" ca="1" si="853"/>
        <v>0</v>
      </c>
      <c r="G106" s="3">
        <f t="shared" ca="1" si="853"/>
        <v>0</v>
      </c>
      <c r="H106" s="3">
        <f t="shared" ca="1" si="853"/>
        <v>0</v>
      </c>
      <c r="I106" s="3">
        <f t="shared" ca="1" si="853"/>
        <v>0</v>
      </c>
      <c r="J106" s="3">
        <f t="shared" ca="1" si="853"/>
        <v>0</v>
      </c>
      <c r="K106" s="3">
        <f t="shared" ca="1" si="853"/>
        <v>0</v>
      </c>
      <c r="L106" s="3">
        <f t="shared" ca="1" si="853"/>
        <v>0</v>
      </c>
      <c r="M106" s="3">
        <f t="shared" ca="1" si="853"/>
        <v>0</v>
      </c>
      <c r="N106" s="3">
        <f t="shared" ca="1" si="853"/>
        <v>0</v>
      </c>
      <c r="O106" s="3">
        <f t="shared" ca="1" si="853"/>
        <v>0</v>
      </c>
      <c r="P106" s="3">
        <f t="shared" ca="1" si="853"/>
        <v>0</v>
      </c>
      <c r="Q106" s="3">
        <f t="shared" ca="1" si="853"/>
        <v>0</v>
      </c>
      <c r="R106" s="3">
        <f t="shared" ca="1" si="853"/>
        <v>0</v>
      </c>
      <c r="S106" s="3">
        <f t="shared" ca="1" si="853"/>
        <v>0</v>
      </c>
      <c r="T106" s="3">
        <f t="shared" ca="1" si="853"/>
        <v>0</v>
      </c>
      <c r="U106" s="3">
        <f t="shared" ca="1" si="853"/>
        <v>0</v>
      </c>
      <c r="V106" s="3">
        <f t="shared" ca="1" si="853"/>
        <v>0</v>
      </c>
      <c r="W106" s="3">
        <f t="shared" ca="1" si="853"/>
        <v>0</v>
      </c>
      <c r="X106" s="3">
        <f t="shared" ca="1" si="853"/>
        <v>0</v>
      </c>
      <c r="Y106" s="3">
        <f t="shared" ca="1" si="853"/>
        <v>0</v>
      </c>
      <c r="Z106" s="3">
        <f ca="1">+AA106</f>
        <v>0</v>
      </c>
      <c r="AA106" s="3">
        <f ca="1">+AB106</f>
        <v>0</v>
      </c>
      <c r="AB106" s="37">
        <f t="shared" ca="1" si="832"/>
        <v>0</v>
      </c>
      <c r="AC106" s="37">
        <f t="shared" ca="1" si="833"/>
        <v>0</v>
      </c>
      <c r="AD106" s="37">
        <f t="shared" ca="1" si="834"/>
        <v>0</v>
      </c>
      <c r="AE106" s="37">
        <f t="shared" ca="1" si="835"/>
        <v>0</v>
      </c>
      <c r="AI106" s="3">
        <f t="shared" ref="AI106:CJ106" si="854">+AJ106</f>
        <v>10</v>
      </c>
      <c r="AJ106" s="3">
        <f t="shared" si="854"/>
        <v>10</v>
      </c>
      <c r="AK106" s="3">
        <f t="shared" si="854"/>
        <v>10</v>
      </c>
      <c r="AL106" s="3">
        <f t="shared" si="854"/>
        <v>10</v>
      </c>
      <c r="AM106" s="3">
        <f t="shared" si="854"/>
        <v>10</v>
      </c>
      <c r="AN106" s="3">
        <f t="shared" si="854"/>
        <v>10</v>
      </c>
      <c r="AO106" s="3">
        <f t="shared" si="854"/>
        <v>10</v>
      </c>
      <c r="AP106" s="3">
        <f t="shared" si="854"/>
        <v>10</v>
      </c>
      <c r="AQ106" s="3">
        <f t="shared" si="854"/>
        <v>10</v>
      </c>
      <c r="AR106" s="3">
        <f t="shared" si="854"/>
        <v>10</v>
      </c>
      <c r="AS106" s="3">
        <f t="shared" si="854"/>
        <v>10</v>
      </c>
      <c r="AT106" s="3">
        <f t="shared" si="854"/>
        <v>10</v>
      </c>
      <c r="AU106" s="3">
        <f t="shared" si="854"/>
        <v>10</v>
      </c>
      <c r="AV106" s="3">
        <f t="shared" si="854"/>
        <v>10</v>
      </c>
      <c r="AW106" s="3">
        <f t="shared" si="854"/>
        <v>10</v>
      </c>
      <c r="AX106" s="3">
        <f t="shared" si="854"/>
        <v>10</v>
      </c>
      <c r="AY106" s="3">
        <f t="shared" si="854"/>
        <v>10</v>
      </c>
      <c r="AZ106" s="3">
        <f t="shared" si="854"/>
        <v>10</v>
      </c>
      <c r="BA106" s="3">
        <f t="shared" si="854"/>
        <v>10</v>
      </c>
      <c r="BB106" s="3">
        <f t="shared" si="854"/>
        <v>10</v>
      </c>
      <c r="BC106" s="3">
        <f t="shared" si="854"/>
        <v>10</v>
      </c>
      <c r="BD106" s="3">
        <f t="shared" si="854"/>
        <v>10</v>
      </c>
      <c r="BE106" s="3">
        <f t="shared" si="854"/>
        <v>10</v>
      </c>
      <c r="BF106" s="3">
        <f t="shared" si="854"/>
        <v>10</v>
      </c>
      <c r="BG106" s="3">
        <f t="shared" si="854"/>
        <v>10</v>
      </c>
      <c r="BH106" s="3">
        <f t="shared" si="854"/>
        <v>10</v>
      </c>
      <c r="BI106" s="3">
        <f t="shared" si="854"/>
        <v>10</v>
      </c>
      <c r="BJ106" s="3">
        <f t="shared" si="854"/>
        <v>10</v>
      </c>
      <c r="BK106" s="3">
        <f t="shared" si="854"/>
        <v>10</v>
      </c>
      <c r="BL106" s="3">
        <f t="shared" si="854"/>
        <v>10</v>
      </c>
      <c r="BM106" s="3">
        <f t="shared" si="854"/>
        <v>10</v>
      </c>
      <c r="BN106" s="3">
        <f t="shared" si="854"/>
        <v>10</v>
      </c>
      <c r="BO106" s="3">
        <f t="shared" si="854"/>
        <v>10</v>
      </c>
      <c r="BP106" s="3">
        <f t="shared" si="854"/>
        <v>10</v>
      </c>
      <c r="BQ106" s="3">
        <f t="shared" si="854"/>
        <v>10</v>
      </c>
      <c r="BR106" s="3">
        <f t="shared" si="854"/>
        <v>10</v>
      </c>
      <c r="BS106" s="3">
        <f t="shared" si="854"/>
        <v>10</v>
      </c>
      <c r="BT106" s="3">
        <f t="shared" si="854"/>
        <v>10</v>
      </c>
      <c r="BU106" s="3">
        <f t="shared" si="854"/>
        <v>10</v>
      </c>
      <c r="BV106" s="3">
        <f t="shared" si="854"/>
        <v>10</v>
      </c>
      <c r="BW106" s="3">
        <f t="shared" si="854"/>
        <v>10</v>
      </c>
      <c r="BX106" s="3">
        <f t="shared" si="854"/>
        <v>10</v>
      </c>
      <c r="BY106" s="3">
        <f t="shared" si="854"/>
        <v>10</v>
      </c>
      <c r="BZ106" s="3">
        <f t="shared" si="854"/>
        <v>10</v>
      </c>
      <c r="CA106" s="3">
        <f t="shared" si="854"/>
        <v>10</v>
      </c>
      <c r="CB106" s="3">
        <f t="shared" si="854"/>
        <v>10</v>
      </c>
      <c r="CC106" s="3">
        <f t="shared" si="854"/>
        <v>10</v>
      </c>
      <c r="CD106" s="3">
        <f t="shared" si="854"/>
        <v>10</v>
      </c>
      <c r="CE106" s="3">
        <f t="shared" si="854"/>
        <v>10</v>
      </c>
      <c r="CF106" s="3">
        <f t="shared" si="854"/>
        <v>10</v>
      </c>
      <c r="CG106" s="3">
        <f t="shared" si="854"/>
        <v>10</v>
      </c>
      <c r="CH106" s="3">
        <f t="shared" si="854"/>
        <v>10</v>
      </c>
      <c r="CI106" s="3">
        <f t="shared" si="854"/>
        <v>10</v>
      </c>
      <c r="CJ106" s="3">
        <f t="shared" si="854"/>
        <v>10</v>
      </c>
      <c r="CK106" s="3">
        <f>+CL106</f>
        <v>10</v>
      </c>
      <c r="CL106" s="3">
        <f>'QTR Raw'!BF46</f>
        <v>10</v>
      </c>
      <c r="CM106" s="37">
        <f t="shared" si="837"/>
        <v>10</v>
      </c>
      <c r="CN106" s="37">
        <f t="shared" si="838"/>
        <v>10</v>
      </c>
      <c r="CO106" s="37">
        <f t="shared" si="839"/>
        <v>10</v>
      </c>
      <c r="CP106" s="37">
        <f t="shared" si="840"/>
        <v>10</v>
      </c>
      <c r="CQ106" s="37">
        <f t="shared" si="841"/>
        <v>10</v>
      </c>
      <c r="CR106" s="37">
        <f t="shared" si="842"/>
        <v>10</v>
      </c>
      <c r="CS106" s="37">
        <f t="shared" si="843"/>
        <v>10</v>
      </c>
      <c r="CT106" s="37">
        <f t="shared" si="844"/>
        <v>10</v>
      </c>
      <c r="CU106" s="37">
        <f t="shared" si="845"/>
        <v>10</v>
      </c>
      <c r="CV106" s="37">
        <f t="shared" si="846"/>
        <v>10</v>
      </c>
      <c r="CW106" s="37">
        <f t="shared" si="847"/>
        <v>10</v>
      </c>
      <c r="CX106" s="37">
        <f t="shared" si="848"/>
        <v>10</v>
      </c>
      <c r="CY106" s="37">
        <f t="shared" si="849"/>
        <v>10</v>
      </c>
      <c r="CZ106" s="37">
        <f t="shared" si="850"/>
        <v>10</v>
      </c>
      <c r="DA106" s="37">
        <f t="shared" si="851"/>
        <v>10</v>
      </c>
      <c r="DB106" s="37">
        <f t="shared" si="852"/>
        <v>10</v>
      </c>
      <c r="DE106" s="134"/>
      <c r="DF106" s="3">
        <v>10</v>
      </c>
    </row>
    <row r="107" spans="1:110" s="3" customFormat="1" x14ac:dyDescent="0.2">
      <c r="A107" s="3" t="s">
        <v>29</v>
      </c>
      <c r="B107" s="3" t="e">
        <f>B105/B106</f>
        <v>#DIV/0!</v>
      </c>
      <c r="C107" s="3" t="e">
        <f t="shared" ref="C107:W107" si="855">C105/C106</f>
        <v>#DIV/0!</v>
      </c>
      <c r="D107" s="3" t="e">
        <f t="shared" si="855"/>
        <v>#DIV/0!</v>
      </c>
      <c r="E107" s="3" t="e">
        <f t="shared" ca="1" si="855"/>
        <v>#DIV/0!</v>
      </c>
      <c r="F107" s="3" t="e">
        <f t="shared" ca="1" si="855"/>
        <v>#DIV/0!</v>
      </c>
      <c r="G107" s="3" t="e">
        <f t="shared" ca="1" si="855"/>
        <v>#DIV/0!</v>
      </c>
      <c r="H107" s="3" t="e">
        <f t="shared" ca="1" si="855"/>
        <v>#DIV/0!</v>
      </c>
      <c r="I107" s="3" t="e">
        <f t="shared" ca="1" si="855"/>
        <v>#DIV/0!</v>
      </c>
      <c r="J107" s="3" t="e">
        <f t="shared" ca="1" si="855"/>
        <v>#DIV/0!</v>
      </c>
      <c r="K107" s="3" t="e">
        <f t="shared" ca="1" si="855"/>
        <v>#DIV/0!</v>
      </c>
      <c r="L107" s="3" t="e">
        <f t="shared" ca="1" si="855"/>
        <v>#DIV/0!</v>
      </c>
      <c r="M107" s="3" t="e">
        <f t="shared" ca="1" si="855"/>
        <v>#DIV/0!</v>
      </c>
      <c r="N107" s="3" t="e">
        <f t="shared" ca="1" si="855"/>
        <v>#DIV/0!</v>
      </c>
      <c r="O107" s="3" t="e">
        <f t="shared" ca="1" si="855"/>
        <v>#DIV/0!</v>
      </c>
      <c r="P107" s="3" t="e">
        <f t="shared" ca="1" si="855"/>
        <v>#DIV/0!</v>
      </c>
      <c r="Q107" s="3" t="e">
        <f t="shared" ca="1" si="855"/>
        <v>#DIV/0!</v>
      </c>
      <c r="R107" s="3" t="e">
        <f t="shared" ca="1" si="855"/>
        <v>#DIV/0!</v>
      </c>
      <c r="S107" s="3" t="e">
        <f t="shared" ca="1" si="855"/>
        <v>#DIV/0!</v>
      </c>
      <c r="T107" s="3" t="e">
        <f t="shared" ca="1" si="855"/>
        <v>#DIV/0!</v>
      </c>
      <c r="U107" s="3" t="e">
        <f t="shared" ca="1" si="855"/>
        <v>#DIV/0!</v>
      </c>
      <c r="V107" s="3" t="e">
        <f ca="1">V105/V106</f>
        <v>#DIV/0!</v>
      </c>
      <c r="W107" s="3" t="e">
        <f t="shared" ca="1" si="855"/>
        <v>#DIV/0!</v>
      </c>
      <c r="X107" s="3" t="e">
        <f t="shared" ref="X107:Y107" ca="1" si="856">X105/X106</f>
        <v>#DIV/0!</v>
      </c>
      <c r="Y107" s="3" t="e">
        <f t="shared" ca="1" si="856"/>
        <v>#DIV/0!</v>
      </c>
      <c r="Z107" s="3" t="e">
        <f t="shared" ref="Z107:AA107" ca="1" si="857">Z105/Z106</f>
        <v>#DIV/0!</v>
      </c>
      <c r="AA107" s="3" t="e">
        <f t="shared" ca="1" si="857"/>
        <v>#DIV/0!</v>
      </c>
      <c r="AB107" s="37" t="e">
        <f t="shared" ref="AA107:AD107" ca="1" si="858">AB105/AB106</f>
        <v>#DIV/0!</v>
      </c>
      <c r="AC107" s="37" t="e">
        <f t="shared" ca="1" si="858"/>
        <v>#DIV/0!</v>
      </c>
      <c r="AD107" s="37" t="e">
        <f t="shared" ca="1" si="858"/>
        <v>#DIV/0!</v>
      </c>
      <c r="AE107" s="37" t="e">
        <f t="shared" ref="AE107" ca="1" si="859">AE105/AE106</f>
        <v>#DIV/0!</v>
      </c>
      <c r="AI107" s="3">
        <f t="shared" ref="AI107" si="860">AI105/AI106</f>
        <v>15.916</v>
      </c>
      <c r="AJ107" s="3">
        <f t="shared" ref="AJ107" si="861">AJ105/AJ106</f>
        <v>15.916</v>
      </c>
      <c r="AK107" s="3">
        <f t="shared" ref="AK107:AM107" si="862">AK105/AK106</f>
        <v>15.916</v>
      </c>
      <c r="AL107" s="3">
        <f t="shared" si="862"/>
        <v>15.916</v>
      </c>
      <c r="AM107" s="3">
        <f t="shared" si="862"/>
        <v>15.916</v>
      </c>
      <c r="AN107" s="3">
        <f t="shared" ref="AN107:AO107" si="863">AN105/AN106</f>
        <v>15.916</v>
      </c>
      <c r="AO107" s="3">
        <f t="shared" si="863"/>
        <v>15.916</v>
      </c>
      <c r="AP107" s="3">
        <f t="shared" ref="AP107:CD107" si="864">AP105/AP106</f>
        <v>15.916</v>
      </c>
      <c r="AQ107" s="3">
        <f t="shared" si="864"/>
        <v>15.916</v>
      </c>
      <c r="AR107" s="3">
        <f t="shared" si="864"/>
        <v>15.916</v>
      </c>
      <c r="AS107" s="3">
        <f t="shared" si="864"/>
        <v>15.916</v>
      </c>
      <c r="AT107" s="3">
        <f t="shared" si="864"/>
        <v>15.916</v>
      </c>
      <c r="AU107" s="3">
        <f t="shared" si="864"/>
        <v>15.916</v>
      </c>
      <c r="AV107" s="3">
        <f t="shared" si="864"/>
        <v>15.916</v>
      </c>
      <c r="AW107" s="3">
        <f t="shared" si="864"/>
        <v>15.916</v>
      </c>
      <c r="AX107" s="3">
        <f t="shared" si="864"/>
        <v>15.916</v>
      </c>
      <c r="AY107" s="3">
        <f t="shared" si="864"/>
        <v>15.916</v>
      </c>
      <c r="AZ107" s="3">
        <f t="shared" si="864"/>
        <v>15.916</v>
      </c>
      <c r="BA107" s="3">
        <f t="shared" si="864"/>
        <v>15.916</v>
      </c>
      <c r="BB107" s="3">
        <f t="shared" si="864"/>
        <v>15.916</v>
      </c>
      <c r="BC107" s="3">
        <f t="shared" si="864"/>
        <v>15.916</v>
      </c>
      <c r="BD107" s="3">
        <f t="shared" si="864"/>
        <v>15.916</v>
      </c>
      <c r="BE107" s="3">
        <f t="shared" si="864"/>
        <v>15.916</v>
      </c>
      <c r="BF107" s="3">
        <f t="shared" si="864"/>
        <v>15.916</v>
      </c>
      <c r="BG107" s="3">
        <f t="shared" si="864"/>
        <v>15.916</v>
      </c>
      <c r="BH107" s="3">
        <f t="shared" si="864"/>
        <v>15.916</v>
      </c>
      <c r="BI107" s="3">
        <f t="shared" si="864"/>
        <v>15.916</v>
      </c>
      <c r="BJ107" s="3">
        <f t="shared" si="864"/>
        <v>15.916</v>
      </c>
      <c r="BK107" s="3">
        <f t="shared" si="864"/>
        <v>15.916</v>
      </c>
      <c r="BL107" s="3">
        <f t="shared" si="864"/>
        <v>15.916</v>
      </c>
      <c r="BM107" s="3">
        <f t="shared" si="864"/>
        <v>15.916</v>
      </c>
      <c r="BN107" s="3">
        <f t="shared" si="864"/>
        <v>15.916</v>
      </c>
      <c r="BO107" s="3">
        <f t="shared" si="864"/>
        <v>15.916</v>
      </c>
      <c r="BP107" s="3">
        <f t="shared" si="864"/>
        <v>15.916</v>
      </c>
      <c r="BQ107" s="3">
        <f t="shared" si="864"/>
        <v>15.916</v>
      </c>
      <c r="BR107" s="3">
        <f t="shared" si="864"/>
        <v>15.916</v>
      </c>
      <c r="BS107" s="3">
        <f t="shared" si="864"/>
        <v>15.916</v>
      </c>
      <c r="BT107" s="3">
        <f t="shared" si="864"/>
        <v>15.916</v>
      </c>
      <c r="BU107" s="3">
        <f t="shared" si="864"/>
        <v>15.916</v>
      </c>
      <c r="BV107" s="3">
        <f t="shared" si="864"/>
        <v>15.916</v>
      </c>
      <c r="BW107" s="3">
        <f t="shared" si="864"/>
        <v>15.916</v>
      </c>
      <c r="BX107" s="3">
        <f t="shared" si="864"/>
        <v>15.916</v>
      </c>
      <c r="BY107" s="3">
        <f t="shared" si="864"/>
        <v>15.916</v>
      </c>
      <c r="BZ107" s="3">
        <f t="shared" si="864"/>
        <v>15.916</v>
      </c>
      <c r="CA107" s="3">
        <f t="shared" si="864"/>
        <v>15.916</v>
      </c>
      <c r="CB107" s="3">
        <f t="shared" si="864"/>
        <v>15.916</v>
      </c>
      <c r="CC107" s="3">
        <f t="shared" si="864"/>
        <v>15.916</v>
      </c>
      <c r="CD107" s="3">
        <f t="shared" si="864"/>
        <v>15.916</v>
      </c>
      <c r="CE107" s="3">
        <f t="shared" ref="CE107:CF107" si="865">CE105/CE106</f>
        <v>15.916</v>
      </c>
      <c r="CF107" s="3">
        <f t="shared" si="865"/>
        <v>15.916</v>
      </c>
      <c r="CG107" s="3">
        <f t="shared" ref="CG107:CH107" si="866">CG105/CG106</f>
        <v>15.916</v>
      </c>
      <c r="CH107" s="3">
        <f t="shared" si="866"/>
        <v>15.916</v>
      </c>
      <c r="CI107" s="3">
        <f t="shared" ref="CI107:CJ107" si="867">CI105/CI106</f>
        <v>15.916</v>
      </c>
      <c r="CJ107" s="3">
        <f t="shared" si="867"/>
        <v>15.916</v>
      </c>
      <c r="CK107" s="3">
        <f t="shared" ref="CK107:CL107" si="868">CK105/CK106</f>
        <v>15.916</v>
      </c>
      <c r="CL107" s="3">
        <f t="shared" si="868"/>
        <v>15.916</v>
      </c>
      <c r="CM107" s="37">
        <f t="shared" ref="CM107:DB107" si="869">CM105/CM106</f>
        <v>15.916</v>
      </c>
      <c r="CN107" s="37">
        <f t="shared" si="869"/>
        <v>15.916</v>
      </c>
      <c r="CO107" s="37">
        <f t="shared" si="869"/>
        <v>15.916</v>
      </c>
      <c r="CP107" s="37">
        <f t="shared" si="869"/>
        <v>15.916</v>
      </c>
      <c r="CQ107" s="37">
        <f t="shared" si="869"/>
        <v>15.916</v>
      </c>
      <c r="CR107" s="37">
        <f t="shared" si="869"/>
        <v>15.916</v>
      </c>
      <c r="CS107" s="37">
        <f t="shared" si="869"/>
        <v>15.916</v>
      </c>
      <c r="CT107" s="37">
        <f t="shared" si="869"/>
        <v>15.916</v>
      </c>
      <c r="CU107" s="37">
        <f t="shared" si="869"/>
        <v>15.916</v>
      </c>
      <c r="CV107" s="37">
        <f t="shared" si="869"/>
        <v>15.916</v>
      </c>
      <c r="CW107" s="37">
        <f t="shared" si="869"/>
        <v>15.916</v>
      </c>
      <c r="CX107" s="37">
        <f t="shared" si="869"/>
        <v>15.916</v>
      </c>
      <c r="CY107" s="37">
        <f t="shared" si="869"/>
        <v>15.916</v>
      </c>
      <c r="CZ107" s="37">
        <f t="shared" si="869"/>
        <v>15.916</v>
      </c>
      <c r="DA107" s="37">
        <f t="shared" si="869"/>
        <v>15.916</v>
      </c>
      <c r="DB107" s="37">
        <f t="shared" si="869"/>
        <v>15.916</v>
      </c>
      <c r="DE107" s="134"/>
      <c r="DF107" s="3">
        <v>15.916</v>
      </c>
    </row>
    <row r="108" spans="1:110" s="53" customFormat="1" x14ac:dyDescent="0.2">
      <c r="A108" s="53" t="s">
        <v>30</v>
      </c>
      <c r="B108" s="53" t="e">
        <f t="shared" ref="B108:AE108" si="870">(B90-B89)/B107</f>
        <v>#DIV/0!</v>
      </c>
      <c r="C108" s="53" t="e">
        <f t="shared" si="870"/>
        <v>#DIV/0!</v>
      </c>
      <c r="D108" s="53" t="e">
        <f t="shared" si="870"/>
        <v>#DIV/0!</v>
      </c>
      <c r="E108" s="53" t="e">
        <f t="shared" ca="1" si="870"/>
        <v>#DIV/0!</v>
      </c>
      <c r="F108" s="53" t="e">
        <f t="shared" ca="1" si="870"/>
        <v>#DIV/0!</v>
      </c>
      <c r="G108" s="53" t="e">
        <f t="shared" ca="1" si="870"/>
        <v>#DIV/0!</v>
      </c>
      <c r="H108" s="53" t="e">
        <f t="shared" ca="1" si="870"/>
        <v>#DIV/0!</v>
      </c>
      <c r="I108" s="53" t="e">
        <f t="shared" ca="1" si="870"/>
        <v>#DIV/0!</v>
      </c>
      <c r="J108" s="53" t="e">
        <f t="shared" ca="1" si="870"/>
        <v>#DIV/0!</v>
      </c>
      <c r="K108" s="53" t="e">
        <f t="shared" ca="1" si="870"/>
        <v>#DIV/0!</v>
      </c>
      <c r="L108" s="53" t="e">
        <f t="shared" ca="1" si="870"/>
        <v>#DIV/0!</v>
      </c>
      <c r="M108" s="53" t="e">
        <f t="shared" ca="1" si="870"/>
        <v>#DIV/0!</v>
      </c>
      <c r="N108" s="53" t="e">
        <f t="shared" ca="1" si="870"/>
        <v>#DIV/0!</v>
      </c>
      <c r="O108" s="53" t="e">
        <f t="shared" ca="1" si="870"/>
        <v>#DIV/0!</v>
      </c>
      <c r="P108" s="53" t="e">
        <f t="shared" ca="1" si="870"/>
        <v>#DIV/0!</v>
      </c>
      <c r="Q108" s="53" t="e">
        <f t="shared" ca="1" si="870"/>
        <v>#DIV/0!</v>
      </c>
      <c r="R108" s="53" t="e">
        <f t="shared" ca="1" si="870"/>
        <v>#DIV/0!</v>
      </c>
      <c r="S108" s="53" t="e">
        <f t="shared" ca="1" si="870"/>
        <v>#DIV/0!</v>
      </c>
      <c r="T108" s="53" t="e">
        <f t="shared" ca="1" si="870"/>
        <v>#DIV/0!</v>
      </c>
      <c r="U108" s="53" t="e">
        <f t="shared" ca="1" si="870"/>
        <v>#DIV/0!</v>
      </c>
      <c r="V108" s="53" t="e">
        <f t="shared" ca="1" si="870"/>
        <v>#DIV/0!</v>
      </c>
      <c r="W108" s="53" t="e">
        <f t="shared" ca="1" si="870"/>
        <v>#DIV/0!</v>
      </c>
      <c r="X108" s="53" t="e">
        <f t="shared" ca="1" si="870"/>
        <v>#DIV/0!</v>
      </c>
      <c r="Y108" s="53" t="e">
        <f t="shared" ca="1" si="870"/>
        <v>#DIV/0!</v>
      </c>
      <c r="Z108" s="53" t="e">
        <f t="shared" ca="1" si="870"/>
        <v>#DIV/0!</v>
      </c>
      <c r="AA108" s="53" t="e">
        <f t="shared" ref="AA108" ca="1" si="871">(AA90-AA89)/AA107</f>
        <v>#DIV/0!</v>
      </c>
      <c r="AB108" s="54" t="e">
        <f t="shared" ca="1" si="870"/>
        <v>#DIV/0!</v>
      </c>
      <c r="AC108" s="54" t="e">
        <f t="shared" ca="1" si="870"/>
        <v>#DIV/0!</v>
      </c>
      <c r="AD108" s="54" t="e">
        <f t="shared" ca="1" si="870"/>
        <v>#DIV/0!</v>
      </c>
      <c r="AE108" s="54" t="e">
        <f t="shared" ca="1" si="870"/>
        <v>#DIV/0!</v>
      </c>
      <c r="AI108" s="53">
        <f t="shared" ref="AI108:BN108" si="872">(AI90-AI89)/AI107</f>
        <v>0</v>
      </c>
      <c r="AJ108" s="53">
        <f t="shared" si="872"/>
        <v>0</v>
      </c>
      <c r="AK108" s="53">
        <f t="shared" si="872"/>
        <v>0</v>
      </c>
      <c r="AL108" s="53">
        <f t="shared" si="872"/>
        <v>0</v>
      </c>
      <c r="AM108" s="53">
        <f t="shared" si="872"/>
        <v>0</v>
      </c>
      <c r="AN108" s="53">
        <f t="shared" si="872"/>
        <v>0</v>
      </c>
      <c r="AO108" s="53">
        <f t="shared" si="872"/>
        <v>0</v>
      </c>
      <c r="AP108" s="53">
        <f t="shared" si="872"/>
        <v>0</v>
      </c>
      <c r="AQ108" s="53">
        <f t="shared" si="872"/>
        <v>0</v>
      </c>
      <c r="AR108" s="53">
        <f t="shared" si="872"/>
        <v>0</v>
      </c>
      <c r="AS108" s="53">
        <f t="shared" si="872"/>
        <v>0</v>
      </c>
      <c r="AT108" s="53">
        <f t="shared" si="872"/>
        <v>0</v>
      </c>
      <c r="AU108" s="53">
        <f t="shared" si="872"/>
        <v>0.73913043478260843</v>
      </c>
      <c r="AV108" s="53">
        <f t="shared" si="872"/>
        <v>1.0409022367429002</v>
      </c>
      <c r="AW108" s="53">
        <f t="shared" si="872"/>
        <v>0.67944207087207886</v>
      </c>
      <c r="AX108" s="53">
        <f t="shared" si="872"/>
        <v>0.87559688363910504</v>
      </c>
      <c r="AY108" s="53">
        <f t="shared" si="872"/>
        <v>1.0730082935410907</v>
      </c>
      <c r="AZ108" s="53">
        <f t="shared" si="872"/>
        <v>1.1117114852978134</v>
      </c>
      <c r="BA108" s="53">
        <f t="shared" si="872"/>
        <v>1.0087333500879621</v>
      </c>
      <c r="BB108" s="53">
        <f t="shared" si="872"/>
        <v>1.2213495853229455</v>
      </c>
      <c r="BC108" s="53">
        <f t="shared" si="872"/>
        <v>1.5116863533551144</v>
      </c>
      <c r="BD108" s="53">
        <f t="shared" si="872"/>
        <v>1.5579291279215886</v>
      </c>
      <c r="BE108" s="53">
        <f t="shared" si="872"/>
        <v>1.3489570243779849</v>
      </c>
      <c r="BF108" s="53">
        <f t="shared" si="872"/>
        <v>1.578914300075396</v>
      </c>
      <c r="BG108" s="53">
        <f t="shared" si="872"/>
        <v>1.4702186479014829</v>
      </c>
      <c r="BH108" s="53">
        <f t="shared" si="872"/>
        <v>1.5870821814526264</v>
      </c>
      <c r="BI108" s="53">
        <f t="shared" si="872"/>
        <v>1.2660216134707216</v>
      </c>
      <c r="BJ108" s="53">
        <f t="shared" si="872"/>
        <v>1.0260115606936415</v>
      </c>
      <c r="BK108" s="53">
        <f t="shared" si="872"/>
        <v>1.7259361648655445</v>
      </c>
      <c r="BL108" s="53">
        <f t="shared" si="872"/>
        <v>2.2021864790148284</v>
      </c>
      <c r="BM108" s="53">
        <f t="shared" si="872"/>
        <v>1.7271927620005032</v>
      </c>
      <c r="BN108" s="53">
        <f t="shared" si="872"/>
        <v>0.31289268660467434</v>
      </c>
      <c r="BO108" s="53">
        <f t="shared" ref="BO108:CT108" si="873">(BO90-BO89)/BO107</f>
        <v>1.445086705202319E-2</v>
      </c>
      <c r="BP108" s="53">
        <f t="shared" si="873"/>
        <v>2.704825332998241</v>
      </c>
      <c r="BQ108" s="53">
        <f t="shared" si="873"/>
        <v>2.0350590600653438</v>
      </c>
      <c r="BR108" s="53">
        <f t="shared" si="873"/>
        <v>2.3718270922342302</v>
      </c>
      <c r="BS108" s="53">
        <f t="shared" si="873"/>
        <v>3.4920834380497605</v>
      </c>
      <c r="BT108" s="53">
        <f t="shared" si="873"/>
        <v>4.8837647650163349</v>
      </c>
      <c r="BU108" s="53">
        <f t="shared" si="873"/>
        <v>1.3508419200804229</v>
      </c>
      <c r="BV108" s="53">
        <f t="shared" si="873"/>
        <v>1.3345061573259602</v>
      </c>
      <c r="BW108" s="53">
        <f t="shared" si="873"/>
        <v>1.3652927871324469</v>
      </c>
      <c r="BX108" s="53">
        <f t="shared" si="873"/>
        <v>0.96946468962050814</v>
      </c>
      <c r="BY108" s="53">
        <f t="shared" si="873"/>
        <v>0.92485549132947997</v>
      </c>
      <c r="BZ108" s="53">
        <f t="shared" si="873"/>
        <v>0.79165619502387585</v>
      </c>
      <c r="CA108" s="53">
        <f t="shared" si="873"/>
        <v>1.086956521739131</v>
      </c>
      <c r="CB108" s="53">
        <f t="shared" si="873"/>
        <v>1.2779592862528273</v>
      </c>
      <c r="CC108" s="53">
        <f t="shared" si="873"/>
        <v>0.96443830108067563</v>
      </c>
      <c r="CD108" s="53">
        <f t="shared" si="873"/>
        <v>1.1171148529781354</v>
      </c>
      <c r="CE108" s="53">
        <f t="shared" si="873"/>
        <v>1.5185976375973853</v>
      </c>
      <c r="CF108" s="53">
        <f t="shared" si="873"/>
        <v>1.6756722794672034</v>
      </c>
      <c r="CG108" s="53">
        <f t="shared" si="873"/>
        <v>1.200678562452878</v>
      </c>
      <c r="CH108" s="53">
        <f t="shared" si="873"/>
        <v>1.3634078914300052</v>
      </c>
      <c r="CI108" s="53">
        <f t="shared" si="873"/>
        <v>2.4459663231967839</v>
      </c>
      <c r="CJ108" s="53">
        <f t="shared" si="873"/>
        <v>3.0152048253329973</v>
      </c>
      <c r="CK108" s="53">
        <f t="shared" ref="CK108:CL108" si="874">(CK90-CK89)/CK107</f>
        <v>2.2097260618245804</v>
      </c>
      <c r="CL108" s="53">
        <f t="shared" si="874"/>
        <v>2.9599145513948191</v>
      </c>
      <c r="CM108" s="54">
        <f t="shared" si="873"/>
        <v>2.7103961605242239</v>
      </c>
      <c r="CN108" s="54">
        <f t="shared" si="873"/>
        <v>3.2107432907034759</v>
      </c>
      <c r="CO108" s="54">
        <f t="shared" si="873"/>
        <v>2.8643263252525077</v>
      </c>
      <c r="CP108" s="54">
        <f t="shared" si="873"/>
        <v>3.4860561605008868</v>
      </c>
      <c r="CQ108" s="54">
        <f t="shared" si="873"/>
        <v>3.5203780687361359</v>
      </c>
      <c r="CR108" s="54">
        <f t="shared" si="873"/>
        <v>4.0895166524664992</v>
      </c>
      <c r="CS108" s="54">
        <f t="shared" si="873"/>
        <v>3.7018068458892537</v>
      </c>
      <c r="CT108" s="54">
        <f t="shared" si="873"/>
        <v>4.3919753085041844</v>
      </c>
      <c r="CU108" s="54">
        <f t="shared" ref="CU108:DB108" si="875">(CU90-CU89)/CU107</f>
        <v>4.4384852060261091</v>
      </c>
      <c r="CV108" s="54">
        <f t="shared" si="875"/>
        <v>5.0993749324026201</v>
      </c>
      <c r="CW108" s="54">
        <f t="shared" si="875"/>
        <v>4.6176667296996978</v>
      </c>
      <c r="CX108" s="54">
        <f t="shared" si="875"/>
        <v>5.4057873765955078</v>
      </c>
      <c r="CY108" s="54">
        <f t="shared" si="875"/>
        <v>5.506696320920768</v>
      </c>
      <c r="CZ108" s="54">
        <f t="shared" si="875"/>
        <v>6.2871468498408953</v>
      </c>
      <c r="DA108" s="54">
        <f t="shared" si="875"/>
        <v>5.7071106575927564</v>
      </c>
      <c r="DB108" s="54">
        <f t="shared" si="875"/>
        <v>6.6460621348444961</v>
      </c>
      <c r="DE108" s="132"/>
      <c r="DF108" s="53">
        <v>2.5674791900663396</v>
      </c>
    </row>
    <row r="109" spans="1:110" s="3" customFormat="1" x14ac:dyDescent="0.2">
      <c r="A109" s="3" t="s">
        <v>31</v>
      </c>
      <c r="B109" s="3">
        <f>'Annual Raw'!C110</f>
        <v>0</v>
      </c>
      <c r="C109" s="3">
        <f>'Annual Raw'!D110</f>
        <v>0</v>
      </c>
      <c r="D109" s="3">
        <f>'Annual Raw'!E110</f>
        <v>0</v>
      </c>
      <c r="E109" s="3">
        <f>'Annual Raw'!F110</f>
        <v>0</v>
      </c>
      <c r="F109" s="3">
        <f>'Annual Raw'!G110</f>
        <v>0</v>
      </c>
      <c r="G109" s="3">
        <f>'Annual Raw'!H110</f>
        <v>0</v>
      </c>
      <c r="H109" s="3">
        <f>'Annual Raw'!I110</f>
        <v>0</v>
      </c>
      <c r="I109" s="3">
        <f>'Annual Raw'!J110</f>
        <v>1.25</v>
      </c>
      <c r="J109" s="3">
        <f>'Annual Raw'!K110</f>
        <v>0.41666666666666702</v>
      </c>
      <c r="K109" s="3">
        <f>'Annual Raw'!L110</f>
        <v>1.5833333333333299</v>
      </c>
      <c r="L109" s="3">
        <f>'Annual Raw'!M110</f>
        <v>0</v>
      </c>
      <c r="M109" s="3">
        <f>'Annual Raw'!N110</f>
        <v>0</v>
      </c>
      <c r="N109" s="3">
        <f>'Annual Raw'!O110</f>
        <v>0</v>
      </c>
      <c r="O109" s="3">
        <f>'Annual Raw'!P110</f>
        <v>0</v>
      </c>
      <c r="P109" s="3">
        <f>'Annual Raw'!Q110</f>
        <v>1.2526666666666699</v>
      </c>
      <c r="Q109" s="3">
        <f>'Annual Raw'!R110</f>
        <v>3.3333333333333299</v>
      </c>
      <c r="R109" s="3">
        <f>'Annual Raw'!S110</f>
        <v>3.3333333333333299</v>
      </c>
      <c r="S109" s="3">
        <f>'Annual Raw'!T110</f>
        <v>3.3333333333333299</v>
      </c>
      <c r="T109" s="3">
        <f>'Annual Raw'!U110</f>
        <v>6.6666666666666696</v>
      </c>
      <c r="U109" s="3">
        <f>'Annual Raw'!V110</f>
        <v>1.6666666666666701</v>
      </c>
      <c r="V109" s="3">
        <f>'Annual Raw'!W110</f>
        <v>8.3333333333333304</v>
      </c>
      <c r="W109" s="3">
        <f>'Annual Raw'!X110</f>
        <v>5</v>
      </c>
      <c r="X109" s="3">
        <f>'Annual Raw'!Y110</f>
        <v>6</v>
      </c>
      <c r="Y109" s="3">
        <f>'Annual Raw'!Z110</f>
        <v>6</v>
      </c>
      <c r="Z109" s="3">
        <f>'Annual Raw'!AA110</f>
        <v>7</v>
      </c>
      <c r="AA109" s="3">
        <f>'Annual Raw'!AB110</f>
        <v>14</v>
      </c>
      <c r="AB109" s="37"/>
      <c r="AC109" s="37"/>
      <c r="AD109" s="37"/>
      <c r="AE109" s="37"/>
      <c r="CM109" s="37"/>
      <c r="CN109" s="37"/>
      <c r="CO109" s="37"/>
      <c r="CP109" s="37"/>
      <c r="CQ109" s="37"/>
      <c r="CR109" s="37"/>
      <c r="CS109" s="37"/>
      <c r="CT109" s="37"/>
      <c r="CU109" s="37"/>
      <c r="CV109" s="37"/>
      <c r="CW109" s="37"/>
      <c r="CX109" s="37"/>
      <c r="CY109" s="37"/>
      <c r="CZ109" s="37"/>
      <c r="DA109" s="37"/>
      <c r="DB109" s="37"/>
      <c r="DE109" s="134"/>
    </row>
    <row r="110" spans="1:110" s="3" customFormat="1" x14ac:dyDescent="0.2">
      <c r="A110" s="3" t="s">
        <v>32</v>
      </c>
      <c r="B110" s="3" t="e">
        <f>B109/B108</f>
        <v>#DIV/0!</v>
      </c>
      <c r="C110" s="3" t="e">
        <f t="shared" ref="C110:U110" si="876">C109/C108</f>
        <v>#DIV/0!</v>
      </c>
      <c r="D110" s="3" t="e">
        <f t="shared" si="876"/>
        <v>#DIV/0!</v>
      </c>
      <c r="E110" s="3" t="e">
        <f t="shared" ca="1" si="876"/>
        <v>#DIV/0!</v>
      </c>
      <c r="F110" s="3" t="e">
        <f t="shared" ca="1" si="876"/>
        <v>#DIV/0!</v>
      </c>
      <c r="G110" s="3" t="e">
        <f t="shared" ca="1" si="876"/>
        <v>#DIV/0!</v>
      </c>
      <c r="H110" s="3" t="e">
        <f t="shared" ca="1" si="876"/>
        <v>#DIV/0!</v>
      </c>
      <c r="I110" s="3" t="e">
        <f t="shared" ca="1" si="876"/>
        <v>#DIV/0!</v>
      </c>
      <c r="J110" s="3" t="e">
        <f t="shared" ca="1" si="876"/>
        <v>#DIV/0!</v>
      </c>
      <c r="K110" s="3" t="e">
        <f t="shared" ca="1" si="876"/>
        <v>#DIV/0!</v>
      </c>
      <c r="L110" s="3" t="e">
        <f t="shared" ca="1" si="876"/>
        <v>#DIV/0!</v>
      </c>
      <c r="M110" s="3" t="e">
        <f t="shared" ca="1" si="876"/>
        <v>#DIV/0!</v>
      </c>
      <c r="N110" s="3" t="e">
        <f t="shared" ca="1" si="876"/>
        <v>#DIV/0!</v>
      </c>
      <c r="O110" s="3" t="e">
        <f t="shared" ca="1" si="876"/>
        <v>#DIV/0!</v>
      </c>
      <c r="P110" s="3" t="e">
        <f t="shared" ca="1" si="876"/>
        <v>#DIV/0!</v>
      </c>
      <c r="Q110" s="3" t="e">
        <f t="shared" ca="1" si="876"/>
        <v>#DIV/0!</v>
      </c>
      <c r="R110" s="3" t="e">
        <f t="shared" ca="1" si="876"/>
        <v>#DIV/0!</v>
      </c>
      <c r="S110" s="3" t="e">
        <f t="shared" ca="1" si="876"/>
        <v>#DIV/0!</v>
      </c>
      <c r="T110" s="3" t="e">
        <f t="shared" ca="1" si="876"/>
        <v>#DIV/0!</v>
      </c>
      <c r="U110" s="3" t="e">
        <f t="shared" ca="1" si="876"/>
        <v>#DIV/0!</v>
      </c>
      <c r="V110" s="3" t="e">
        <f ca="1">V109/V108</f>
        <v>#DIV/0!</v>
      </c>
      <c r="W110" s="3" t="e">
        <f t="shared" ref="W110" ca="1" si="877">W109/W108</f>
        <v>#DIV/0!</v>
      </c>
      <c r="X110" s="3" t="e">
        <f t="shared" ref="X110:Y110" ca="1" si="878">X109/X108</f>
        <v>#DIV/0!</v>
      </c>
      <c r="Y110" s="3" t="e">
        <f t="shared" ca="1" si="878"/>
        <v>#DIV/0!</v>
      </c>
      <c r="Z110" s="3" t="e">
        <f t="shared" ref="Z110:AA110" ca="1" si="879">Z109/Z108</f>
        <v>#DIV/0!</v>
      </c>
      <c r="AA110" s="3" t="e">
        <f t="shared" ca="1" si="879"/>
        <v>#DIV/0!</v>
      </c>
      <c r="AB110" s="37" t="e">
        <f t="shared" ref="AA110:AD110" ca="1" si="880">AB109/AB108</f>
        <v>#DIV/0!</v>
      </c>
      <c r="AC110" s="37" t="e">
        <f t="shared" ca="1" si="880"/>
        <v>#DIV/0!</v>
      </c>
      <c r="AD110" s="37" t="e">
        <f t="shared" ca="1" si="880"/>
        <v>#DIV/0!</v>
      </c>
      <c r="AE110" s="37" t="e">
        <f t="shared" ref="AE110" ca="1" si="881">AE109/AE108</f>
        <v>#DIV/0!</v>
      </c>
      <c r="CM110" s="37"/>
      <c r="CN110" s="37"/>
      <c r="CO110" s="37"/>
      <c r="CP110" s="37"/>
      <c r="CQ110" s="37"/>
      <c r="CR110" s="37"/>
      <c r="CS110" s="37"/>
      <c r="CT110" s="37"/>
      <c r="CU110" s="37"/>
      <c r="CV110" s="37"/>
      <c r="CW110" s="37"/>
      <c r="CX110" s="37"/>
      <c r="CY110" s="37"/>
      <c r="CZ110" s="37"/>
      <c r="DA110" s="37"/>
      <c r="DB110" s="37"/>
      <c r="DE110" s="134"/>
      <c r="DF110" s="3">
        <v>0</v>
      </c>
    </row>
    <row r="111" spans="1:110" s="3" customFormat="1" x14ac:dyDescent="0.2">
      <c r="A111" s="3" t="s">
        <v>33</v>
      </c>
      <c r="B111" s="3" t="e">
        <f>+B108</f>
        <v>#DIV/0!</v>
      </c>
      <c r="C111" s="3" t="e">
        <f t="shared" ref="C111:U111" si="882">+C108</f>
        <v>#DIV/0!</v>
      </c>
      <c r="D111" s="3" t="e">
        <f t="shared" si="882"/>
        <v>#DIV/0!</v>
      </c>
      <c r="E111" s="3" t="e">
        <f t="shared" ca="1" si="882"/>
        <v>#DIV/0!</v>
      </c>
      <c r="F111" s="3" t="e">
        <f t="shared" ca="1" si="882"/>
        <v>#DIV/0!</v>
      </c>
      <c r="G111" s="3" t="e">
        <f t="shared" ca="1" si="882"/>
        <v>#DIV/0!</v>
      </c>
      <c r="H111" s="3" t="e">
        <f t="shared" ca="1" si="882"/>
        <v>#DIV/0!</v>
      </c>
      <c r="I111" s="3" t="e">
        <f t="shared" ca="1" si="882"/>
        <v>#DIV/0!</v>
      </c>
      <c r="J111" s="3" t="e">
        <f t="shared" ca="1" si="882"/>
        <v>#DIV/0!</v>
      </c>
      <c r="K111" s="3" t="e">
        <f t="shared" ca="1" si="882"/>
        <v>#DIV/0!</v>
      </c>
      <c r="L111" s="3" t="e">
        <f t="shared" ca="1" si="882"/>
        <v>#DIV/0!</v>
      </c>
      <c r="M111" s="3" t="e">
        <f t="shared" ca="1" si="882"/>
        <v>#DIV/0!</v>
      </c>
      <c r="N111" s="3" t="e">
        <f t="shared" ca="1" si="882"/>
        <v>#DIV/0!</v>
      </c>
      <c r="O111" s="3" t="e">
        <f t="shared" ca="1" si="882"/>
        <v>#DIV/0!</v>
      </c>
      <c r="P111" s="3" t="e">
        <f t="shared" ca="1" si="882"/>
        <v>#DIV/0!</v>
      </c>
      <c r="Q111" s="3" t="e">
        <f t="shared" ca="1" si="882"/>
        <v>#DIV/0!</v>
      </c>
      <c r="R111" s="3" t="e">
        <f t="shared" ca="1" si="882"/>
        <v>#DIV/0!</v>
      </c>
      <c r="S111" s="3" t="e">
        <f t="shared" ca="1" si="882"/>
        <v>#DIV/0!</v>
      </c>
      <c r="T111" s="3" t="e">
        <f ca="1">+T108</f>
        <v>#DIV/0!</v>
      </c>
      <c r="U111" s="3" t="e">
        <f t="shared" ca="1" si="882"/>
        <v>#DIV/0!</v>
      </c>
      <c r="V111" s="3" t="e">
        <f ca="1">+V108</f>
        <v>#DIV/0!</v>
      </c>
      <c r="W111" s="3" t="e">
        <f t="shared" ref="W111" ca="1" si="883">+W108</f>
        <v>#DIV/0!</v>
      </c>
      <c r="X111" s="3" t="e">
        <f t="shared" ref="X111:Y111" ca="1" si="884">+X108</f>
        <v>#DIV/0!</v>
      </c>
      <c r="Y111" s="3" t="e">
        <f t="shared" ca="1" si="884"/>
        <v>#DIV/0!</v>
      </c>
      <c r="Z111" s="3" t="e">
        <f t="shared" ref="Z111:AA111" ca="1" si="885">+Z108</f>
        <v>#DIV/0!</v>
      </c>
      <c r="AA111" s="3" t="e">
        <f t="shared" ca="1" si="885"/>
        <v>#DIV/0!</v>
      </c>
      <c r="AB111" s="37" t="e">
        <f t="shared" ref="AA111:AD111" ca="1" si="886">+AB108</f>
        <v>#DIV/0!</v>
      </c>
      <c r="AC111" s="37" t="e">
        <f t="shared" ca="1" si="886"/>
        <v>#DIV/0!</v>
      </c>
      <c r="AD111" s="37" t="e">
        <f t="shared" ca="1" si="886"/>
        <v>#DIV/0!</v>
      </c>
      <c r="AE111" s="37" t="e">
        <f t="shared" ref="AE111" ca="1" si="887">+AE108</f>
        <v>#DIV/0!</v>
      </c>
      <c r="AL111" s="3">
        <f>SUM(AI108:AL108)</f>
        <v>0</v>
      </c>
      <c r="AM111" s="3">
        <f t="shared" ref="AM111" si="888">SUM(AJ108:AM108)</f>
        <v>0</v>
      </c>
      <c r="AN111" s="3">
        <f t="shared" ref="AN111" si="889">SUM(AK108:AN108)</f>
        <v>0</v>
      </c>
      <c r="AO111" s="3">
        <f t="shared" ref="AO111" si="890">SUM(AL108:AO108)</f>
        <v>0</v>
      </c>
      <c r="AP111" s="3">
        <f t="shared" ref="AP111" si="891">SUM(AM108:AP108)</f>
        <v>0</v>
      </c>
      <c r="AQ111" s="3">
        <f t="shared" ref="AQ111" si="892">SUM(AN108:AQ108)</f>
        <v>0</v>
      </c>
      <c r="AR111" s="3">
        <f t="shared" ref="AR111" si="893">SUM(AO108:AR108)</f>
        <v>0</v>
      </c>
      <c r="AS111" s="3">
        <f t="shared" ref="AS111" si="894">SUM(AP108:AS108)</f>
        <v>0</v>
      </c>
      <c r="AT111" s="3">
        <f t="shared" ref="AT111" si="895">SUM(AQ108:AT108)</f>
        <v>0</v>
      </c>
      <c r="AU111" s="3">
        <f t="shared" ref="AU111" si="896">SUM(AR108:AU108)</f>
        <v>0.73913043478260843</v>
      </c>
      <c r="AV111" s="3">
        <f t="shared" ref="AV111" si="897">SUM(AS108:AV108)</f>
        <v>1.7800326715255086</v>
      </c>
      <c r="AW111" s="3">
        <f t="shared" ref="AW111" si="898">SUM(AT108:AW108)</f>
        <v>2.4594747423975876</v>
      </c>
      <c r="AX111" s="3">
        <f t="shared" ref="AX111" si="899">SUM(AU108:AX108)</f>
        <v>3.3350716260366928</v>
      </c>
      <c r="AY111" s="3">
        <f t="shared" ref="AY111" si="900">SUM(AV108:AY108)</f>
        <v>3.6689494847951751</v>
      </c>
      <c r="AZ111" s="3">
        <f t="shared" ref="AZ111" si="901">SUM(AW108:AZ108)</f>
        <v>3.7397587333500883</v>
      </c>
      <c r="BA111" s="3">
        <f t="shared" ref="BA111" si="902">SUM(AX108:BA108)</f>
        <v>4.0690500125659712</v>
      </c>
      <c r="BB111" s="3">
        <f t="shared" ref="BB111" si="903">SUM(AY108:BB108)</f>
        <v>4.4148027142498112</v>
      </c>
      <c r="BC111" s="3">
        <f t="shared" ref="BC111" si="904">SUM(AZ108:BC108)</f>
        <v>4.8534807740638355</v>
      </c>
      <c r="BD111" s="3">
        <f t="shared" ref="BD111" si="905">SUM(BA108:BD108)</f>
        <v>5.29969841668761</v>
      </c>
      <c r="BE111" s="3">
        <f t="shared" ref="BE111" si="906">SUM(BB108:BE108)</f>
        <v>5.6399220909776329</v>
      </c>
      <c r="BF111" s="3">
        <f t="shared" ref="BF111" si="907">SUM(BC108:BF108)</f>
        <v>5.997486805730083</v>
      </c>
      <c r="BG111" s="3">
        <f t="shared" ref="BG111" si="908">SUM(BD108:BG108)</f>
        <v>5.9560191002764524</v>
      </c>
      <c r="BH111" s="3">
        <f t="shared" ref="BH111" si="909">SUM(BE108:BH108)</f>
        <v>5.9851721538074898</v>
      </c>
      <c r="BI111" s="3">
        <f t="shared" ref="BI111" si="910">SUM(BF108:BI108)</f>
        <v>5.9022367429002269</v>
      </c>
      <c r="BJ111" s="3">
        <f t="shared" ref="BJ111" si="911">SUM(BG108:BJ108)</f>
        <v>5.3493340035184724</v>
      </c>
      <c r="BK111" s="3">
        <f t="shared" ref="BK111" si="912">SUM(BH108:BK108)</f>
        <v>5.605051520482534</v>
      </c>
      <c r="BL111" s="3">
        <f t="shared" ref="BL111" si="913">SUM(BI108:BL108)</f>
        <v>6.2201558180447361</v>
      </c>
      <c r="BM111" s="3">
        <f t="shared" ref="BM111" si="914">SUM(BJ108:BM108)</f>
        <v>6.6813269665745176</v>
      </c>
      <c r="BN111" s="3">
        <f t="shared" ref="BN111" si="915">SUM(BK108:BN108)</f>
        <v>5.9682080924855505</v>
      </c>
      <c r="BO111" s="3">
        <f t="shared" ref="BO111" si="916">SUM(BL108:BO108)</f>
        <v>4.2567227946720294</v>
      </c>
      <c r="BP111" s="3">
        <f t="shared" ref="BP111" si="917">SUM(BM108:BP108)</f>
        <v>4.7593616486554415</v>
      </c>
      <c r="BQ111" s="3">
        <f t="shared" ref="BQ111" si="918">SUM(BN108:BQ108)</f>
        <v>5.0672279467202817</v>
      </c>
      <c r="BR111" s="3">
        <f t="shared" ref="BR111" si="919">SUM(BO108:BR108)</f>
        <v>7.126162352349839</v>
      </c>
      <c r="BS111" s="3">
        <f t="shared" ref="BS111" si="920">SUM(BP108:BS108)</f>
        <v>10.603794923347577</v>
      </c>
      <c r="BT111" s="3">
        <f t="shared" ref="BT111" si="921">SUM(BQ108:BT108)</f>
        <v>12.782734355365669</v>
      </c>
      <c r="BU111" s="3">
        <f t="shared" ref="BU111" si="922">SUM(BR108:BU108)</f>
        <v>12.098517215380749</v>
      </c>
      <c r="BV111" s="3">
        <f t="shared" ref="BV111" si="923">SUM(BS108:BV108)</f>
        <v>11.061196280472478</v>
      </c>
      <c r="BW111" s="3">
        <f t="shared" ref="BW111" si="924">SUM(BT108:BW108)</f>
        <v>8.9344056295551653</v>
      </c>
      <c r="BX111" s="3">
        <f t="shared" ref="BX111" si="925">SUM(BU108:BX108)</f>
        <v>5.020105554159338</v>
      </c>
      <c r="BY111" s="3">
        <f t="shared" ref="BY111" si="926">SUM(BV108:BY108)</f>
        <v>4.5941191254083948</v>
      </c>
      <c r="BZ111" s="3">
        <f t="shared" ref="BZ111" si="927">SUM(BW108:BZ108)</f>
        <v>4.0512691631063111</v>
      </c>
      <c r="CA111" s="3">
        <f t="shared" ref="CA111" si="928">SUM(BX108:CA108)</f>
        <v>3.7729328977129946</v>
      </c>
      <c r="CB111" s="3">
        <f t="shared" ref="CB111" si="929">SUM(BY108:CB108)</f>
        <v>4.0814274943453146</v>
      </c>
      <c r="CC111" s="3">
        <f t="shared" ref="CC111" si="930">SUM(BZ108:CC108)</f>
        <v>4.1210103040965098</v>
      </c>
      <c r="CD111" s="3">
        <f t="shared" ref="CD111" si="931">SUM(CA108:CD108)</f>
        <v>4.4464689620507691</v>
      </c>
      <c r="CE111" s="3">
        <f t="shared" ref="CE111" si="932">SUM(CB108:CE108)</f>
        <v>4.8781100779090236</v>
      </c>
      <c r="CF111" s="3">
        <f t="shared" ref="CF111" si="933">SUM(CC108:CF108)</f>
        <v>5.2758230711233995</v>
      </c>
      <c r="CG111" s="3">
        <f t="shared" ref="CG111" si="934">SUM(CD108:CG108)</f>
        <v>5.5120633324956021</v>
      </c>
      <c r="CH111" s="3">
        <f t="shared" ref="CH111:CL111" si="935">SUM(CE108:CH108)</f>
        <v>5.7583563709474719</v>
      </c>
      <c r="CI111" s="3">
        <f t="shared" si="935"/>
        <v>6.68572505654687</v>
      </c>
      <c r="CJ111" s="3">
        <f t="shared" si="935"/>
        <v>8.0252576024126636</v>
      </c>
      <c r="CK111" s="3">
        <f t="shared" si="935"/>
        <v>9.0343051017843674</v>
      </c>
      <c r="CL111" s="3">
        <f t="shared" si="935"/>
        <v>10.630811761749181</v>
      </c>
      <c r="CM111" s="37">
        <f t="shared" ref="CM111" si="936">SUM(CJ108:CM108)</f>
        <v>10.895241599076622</v>
      </c>
      <c r="CN111" s="37">
        <f t="shared" ref="CN111" si="937">SUM(CK108:CN108)</f>
        <v>11.090780064447101</v>
      </c>
      <c r="CO111" s="37">
        <f t="shared" ref="CO111" si="938">SUM(CL108:CO108)</f>
        <v>11.745380327875028</v>
      </c>
      <c r="CP111" s="37">
        <f t="shared" ref="CP111" si="939">SUM(CM108:CP108)</f>
        <v>12.271521936981095</v>
      </c>
      <c r="CQ111" s="37">
        <f t="shared" ref="CQ111" si="940">SUM(CN108:CQ108)</f>
        <v>13.081503845193007</v>
      </c>
      <c r="CR111" s="37">
        <f t="shared" ref="CR111" si="941">SUM(CO108:CR108)</f>
        <v>13.960277206956029</v>
      </c>
      <c r="CS111" s="37">
        <f t="shared" ref="CS111" si="942">SUM(CP108:CS108)</f>
        <v>14.797757727592776</v>
      </c>
      <c r="CT111" s="37">
        <f t="shared" ref="CT111" si="943">SUM(CQ108:CT108)</f>
        <v>15.703676875596074</v>
      </c>
      <c r="CU111" s="37">
        <f t="shared" ref="CU111" si="944">SUM(CR108:CU108)</f>
        <v>16.621784012886046</v>
      </c>
      <c r="CV111" s="37">
        <f t="shared" ref="CV111" si="945">SUM(CS108:CV108)</f>
        <v>17.631642292822164</v>
      </c>
      <c r="CW111" s="37">
        <f t="shared" ref="CW111" si="946">SUM(CT108:CW108)</f>
        <v>18.547502176632612</v>
      </c>
      <c r="CX111" s="37">
        <f t="shared" ref="CX111" si="947">SUM(CU108:CX108)</f>
        <v>19.561314244723935</v>
      </c>
      <c r="CY111" s="37">
        <f t="shared" ref="CY111" si="948">SUM(CV108:CY108)</f>
        <v>20.629525359618594</v>
      </c>
      <c r="CZ111" s="37">
        <f t="shared" ref="CZ111" si="949">SUM(CW108:CZ108)</f>
        <v>21.817297277056866</v>
      </c>
      <c r="DA111" s="37">
        <f t="shared" ref="DA111" si="950">SUM(CX108:DA108)</f>
        <v>22.906741204949927</v>
      </c>
      <c r="DB111" s="37">
        <f t="shared" ref="DB111" si="951">SUM(CY108:DB108)</f>
        <v>24.147015963198914</v>
      </c>
      <c r="DE111" s="134"/>
      <c r="DF111" s="3">
        <v>10.238376400420702</v>
      </c>
    </row>
    <row r="112" spans="1:110" s="97" customFormat="1" x14ac:dyDescent="0.2">
      <c r="A112" s="97" t="s">
        <v>425</v>
      </c>
      <c r="C112" s="101" t="e">
        <f t="shared" ref="C112:AA112" si="952">+C111/B111-1</f>
        <v>#DIV/0!</v>
      </c>
      <c r="D112" s="101" t="e">
        <f t="shared" si="952"/>
        <v>#DIV/0!</v>
      </c>
      <c r="E112" s="101" t="e">
        <f t="shared" ca="1" si="952"/>
        <v>#DIV/0!</v>
      </c>
      <c r="F112" s="101" t="e">
        <f t="shared" ca="1" si="952"/>
        <v>#DIV/0!</v>
      </c>
      <c r="G112" s="101" t="e">
        <f t="shared" ca="1" si="952"/>
        <v>#DIV/0!</v>
      </c>
      <c r="H112" s="101" t="e">
        <f t="shared" ca="1" si="952"/>
        <v>#DIV/0!</v>
      </c>
      <c r="I112" s="101" t="e">
        <f t="shared" ca="1" si="952"/>
        <v>#DIV/0!</v>
      </c>
      <c r="J112" s="101" t="e">
        <f t="shared" ca="1" si="952"/>
        <v>#DIV/0!</v>
      </c>
      <c r="K112" s="101" t="e">
        <f t="shared" ca="1" si="952"/>
        <v>#DIV/0!</v>
      </c>
      <c r="L112" s="101" t="e">
        <f t="shared" ca="1" si="952"/>
        <v>#DIV/0!</v>
      </c>
      <c r="M112" s="101" t="e">
        <f t="shared" ca="1" si="952"/>
        <v>#DIV/0!</v>
      </c>
      <c r="N112" s="101" t="e">
        <f t="shared" ca="1" si="952"/>
        <v>#DIV/0!</v>
      </c>
      <c r="O112" s="101" t="e">
        <f t="shared" ca="1" si="952"/>
        <v>#DIV/0!</v>
      </c>
      <c r="P112" s="101" t="e">
        <f t="shared" ca="1" si="952"/>
        <v>#DIV/0!</v>
      </c>
      <c r="Q112" s="101" t="e">
        <f t="shared" ca="1" si="952"/>
        <v>#DIV/0!</v>
      </c>
      <c r="R112" s="101" t="e">
        <f t="shared" ca="1" si="952"/>
        <v>#DIV/0!</v>
      </c>
      <c r="S112" s="101" t="e">
        <f t="shared" ca="1" si="952"/>
        <v>#DIV/0!</v>
      </c>
      <c r="T112" s="101" t="e">
        <f t="shared" ca="1" si="952"/>
        <v>#DIV/0!</v>
      </c>
      <c r="U112" s="101" t="e">
        <f t="shared" ca="1" si="952"/>
        <v>#DIV/0!</v>
      </c>
      <c r="V112" s="101" t="e">
        <f t="shared" ca="1" si="952"/>
        <v>#DIV/0!</v>
      </c>
      <c r="W112" s="101" t="e">
        <f t="shared" ca="1" si="952"/>
        <v>#DIV/0!</v>
      </c>
      <c r="X112" s="101" t="e">
        <f t="shared" ca="1" si="952"/>
        <v>#DIV/0!</v>
      </c>
      <c r="Y112" s="101" t="e">
        <f t="shared" ca="1" si="952"/>
        <v>#DIV/0!</v>
      </c>
      <c r="Z112" s="101" t="e">
        <f t="shared" ca="1" si="952"/>
        <v>#DIV/0!</v>
      </c>
      <c r="AA112" s="101" t="e">
        <f t="shared" ca="1" si="952"/>
        <v>#DIV/0!</v>
      </c>
      <c r="AB112" s="173" t="e">
        <f t="shared" ref="AB112" ca="1" si="953">+AB111/AA111-1</f>
        <v>#DIV/0!</v>
      </c>
      <c r="AC112" s="173" t="e">
        <f t="shared" ref="AC112" ca="1" si="954">+AC111/AB111-1</f>
        <v>#DIV/0!</v>
      </c>
      <c r="AD112" s="173" t="e">
        <f t="shared" ref="AD112" ca="1" si="955">+AD111/AC111-1</f>
        <v>#DIV/0!</v>
      </c>
      <c r="AE112" s="173" t="e">
        <f t="shared" ref="AE112" ca="1" si="956">+AE111/AD111-1</f>
        <v>#DIV/0!</v>
      </c>
      <c r="AL112" s="175"/>
      <c r="AM112" s="175"/>
      <c r="AN112" s="175"/>
      <c r="AO112" s="175"/>
      <c r="AP112" s="175" t="e">
        <f t="shared" ref="AP112:CL112" si="957">+IF(AL111&lt;0,1-AP111/AL111,AP111/AL111-1)</f>
        <v>#DIV/0!</v>
      </c>
      <c r="AQ112" s="175" t="e">
        <f t="shared" si="957"/>
        <v>#DIV/0!</v>
      </c>
      <c r="AR112" s="175" t="e">
        <f t="shared" si="957"/>
        <v>#DIV/0!</v>
      </c>
      <c r="AS112" s="175" t="e">
        <f t="shared" si="957"/>
        <v>#DIV/0!</v>
      </c>
      <c r="AT112" s="175" t="e">
        <f t="shared" si="957"/>
        <v>#DIV/0!</v>
      </c>
      <c r="AU112" s="175" t="e">
        <f t="shared" si="957"/>
        <v>#DIV/0!</v>
      </c>
      <c r="AV112" s="175" t="e">
        <f t="shared" si="957"/>
        <v>#DIV/0!</v>
      </c>
      <c r="AW112" s="175" t="e">
        <f t="shared" si="957"/>
        <v>#DIV/0!</v>
      </c>
      <c r="AX112" s="175" t="e">
        <f t="shared" si="957"/>
        <v>#DIV/0!</v>
      </c>
      <c r="AY112" s="175">
        <f t="shared" si="957"/>
        <v>3.9638728323699448</v>
      </c>
      <c r="AZ112" s="175">
        <f t="shared" si="957"/>
        <v>1.1009494899579972</v>
      </c>
      <c r="BA112" s="175">
        <f t="shared" si="957"/>
        <v>0.65443862562268462</v>
      </c>
      <c r="BB112" s="175">
        <f t="shared" si="957"/>
        <v>0.32375049452723181</v>
      </c>
      <c r="BC112" s="175">
        <f t="shared" si="957"/>
        <v>0.32285298398835516</v>
      </c>
      <c r="BD112" s="175">
        <f t="shared" si="957"/>
        <v>0.41712308054164837</v>
      </c>
      <c r="BE112" s="175">
        <f t="shared" si="957"/>
        <v>0.38605376526720514</v>
      </c>
      <c r="BF112" s="175">
        <f t="shared" si="957"/>
        <v>0.35849486238009853</v>
      </c>
      <c r="BG112" s="175">
        <f t="shared" si="957"/>
        <v>0.2271644573322289</v>
      </c>
      <c r="BH112" s="175">
        <f t="shared" si="957"/>
        <v>0.12934202726733846</v>
      </c>
      <c r="BI112" s="175">
        <f t="shared" si="957"/>
        <v>4.6510332534952514E-2</v>
      </c>
      <c r="BJ112" s="175">
        <f t="shared" si="957"/>
        <v>-0.10807073416024127</v>
      </c>
      <c r="BK112" s="175">
        <f t="shared" si="957"/>
        <v>-5.8926536984682976E-2</v>
      </c>
      <c r="BL112" s="175">
        <f t="shared" si="957"/>
        <v>3.9260969976905535E-2</v>
      </c>
      <c r="BM112" s="175">
        <f t="shared" si="957"/>
        <v>0.13199914839259108</v>
      </c>
      <c r="BN112" s="175">
        <f t="shared" si="957"/>
        <v>0.1156918017383135</v>
      </c>
      <c r="BO112" s="175">
        <f t="shared" si="957"/>
        <v>-0.24055599148077556</v>
      </c>
      <c r="BP112" s="175">
        <f t="shared" si="957"/>
        <v>-0.23484848484848497</v>
      </c>
      <c r="BQ112" s="175">
        <f t="shared" si="957"/>
        <v>-0.24158359977430899</v>
      </c>
      <c r="BR112" s="175">
        <f t="shared" si="957"/>
        <v>0.1940204232024425</v>
      </c>
      <c r="BS112" s="175">
        <f t="shared" si="957"/>
        <v>1.4910701107011066</v>
      </c>
      <c r="BT112" s="175">
        <f t="shared" si="957"/>
        <v>1.6858085808580854</v>
      </c>
      <c r="BU112" s="175">
        <f t="shared" si="957"/>
        <v>1.3876007439553626</v>
      </c>
      <c r="BV112" s="175">
        <f t="shared" si="957"/>
        <v>0.55219538000352575</v>
      </c>
      <c r="BW112" s="175">
        <f t="shared" si="957"/>
        <v>-0.15743319310303971</v>
      </c>
      <c r="BX112" s="175">
        <f t="shared" si="957"/>
        <v>-0.60727451462275728</v>
      </c>
      <c r="BY112" s="175">
        <f t="shared" si="957"/>
        <v>-0.62027420024927293</v>
      </c>
      <c r="BZ112" s="175">
        <f t="shared" si="957"/>
        <v>-0.63374041465492725</v>
      </c>
      <c r="CA112" s="175">
        <f t="shared" si="957"/>
        <v>-0.57770745428973269</v>
      </c>
      <c r="CB112" s="175">
        <f t="shared" si="957"/>
        <v>-0.18698372966207755</v>
      </c>
      <c r="CC112" s="175">
        <f t="shared" si="957"/>
        <v>-0.10298140043763626</v>
      </c>
      <c r="CD112" s="175">
        <f t="shared" si="957"/>
        <v>9.7549627791563065E-2</v>
      </c>
      <c r="CE112" s="175">
        <f t="shared" si="957"/>
        <v>0.29292256452955856</v>
      </c>
      <c r="CF112" s="175">
        <f t="shared" si="957"/>
        <v>0.29264162561576335</v>
      </c>
      <c r="CG112" s="175">
        <f t="shared" si="957"/>
        <v>0.33755145601463532</v>
      </c>
      <c r="CH112" s="175">
        <f t="shared" si="957"/>
        <v>0.29504027130139754</v>
      </c>
      <c r="CI112" s="175">
        <f t="shared" si="957"/>
        <v>0.37055641421947394</v>
      </c>
      <c r="CJ112" s="175">
        <f t="shared" si="957"/>
        <v>0.52113850184589627</v>
      </c>
      <c r="CK112" s="175">
        <f t="shared" si="957"/>
        <v>0.63900604126296567</v>
      </c>
      <c r="CL112" s="175">
        <f t="shared" si="957"/>
        <v>0.84615384615384648</v>
      </c>
      <c r="CM112" s="102">
        <f t="shared" ref="CM112:DB112" si="958">+IF(CI111&lt;0,1-CM111/CI111,CM111/CI111-1)</f>
        <v>0.6296275283422943</v>
      </c>
      <c r="CN112" s="102">
        <f t="shared" si="958"/>
        <v>0.38198430678572071</v>
      </c>
      <c r="CO112" s="102">
        <f t="shared" si="958"/>
        <v>0.30008674663369472</v>
      </c>
      <c r="CP112" s="102">
        <f t="shared" si="958"/>
        <v>0.15433536140065707</v>
      </c>
      <c r="CQ112" s="102">
        <f t="shared" si="958"/>
        <v>0.20066211714861582</v>
      </c>
      <c r="CR112" s="102">
        <f t="shared" si="958"/>
        <v>0.25872816211615857</v>
      </c>
      <c r="CS112" s="102">
        <f t="shared" si="958"/>
        <v>0.25987897492545353</v>
      </c>
      <c r="CT112" s="102">
        <f t="shared" si="958"/>
        <v>0.27968453760180623</v>
      </c>
      <c r="CU112" s="102">
        <f t="shared" si="958"/>
        <v>0.27063250598622623</v>
      </c>
      <c r="CV112" s="102">
        <f t="shared" si="958"/>
        <v>0.26298654614371086</v>
      </c>
      <c r="CW112" s="102">
        <f t="shared" si="958"/>
        <v>0.25339950268599409</v>
      </c>
      <c r="CX112" s="102">
        <f t="shared" si="958"/>
        <v>0.24565185591170247</v>
      </c>
      <c r="CY112" s="102">
        <f t="shared" si="958"/>
        <v>0.24111379041055669</v>
      </c>
      <c r="CZ112" s="102">
        <f t="shared" si="958"/>
        <v>0.23739450442110432</v>
      </c>
      <c r="DA112" s="102">
        <f t="shared" si="958"/>
        <v>0.23503105630090593</v>
      </c>
      <c r="DB112" s="102">
        <f t="shared" si="958"/>
        <v>0.23442707688783404</v>
      </c>
      <c r="DE112" s="135"/>
      <c r="DF112" s="97">
        <v>0.77800326011015764</v>
      </c>
    </row>
    <row r="113" spans="1:110" s="144" customFormat="1" x14ac:dyDescent="0.2">
      <c r="A113" s="144" t="s">
        <v>424</v>
      </c>
      <c r="AB113" s="145"/>
      <c r="AC113" s="145"/>
      <c r="AD113" s="145"/>
      <c r="AE113" s="145"/>
      <c r="CM113" s="145"/>
      <c r="CN113" s="145"/>
      <c r="CO113" s="145"/>
      <c r="CP113" s="145">
        <v>13</v>
      </c>
      <c r="CQ113" s="145"/>
      <c r="CR113" s="145"/>
      <c r="CS113" s="145"/>
      <c r="CT113" s="145">
        <v>14.6</v>
      </c>
      <c r="CU113" s="145"/>
      <c r="CV113" s="145"/>
      <c r="CW113" s="145"/>
      <c r="CX113" s="145"/>
      <c r="CY113" s="145"/>
      <c r="CZ113" s="145"/>
      <c r="DA113" s="145"/>
      <c r="DB113" s="145"/>
      <c r="DE113" s="146"/>
    </row>
    <row r="114" spans="1:110" s="144" customFormat="1" x14ac:dyDescent="0.2">
      <c r="A114" s="144" t="s">
        <v>436</v>
      </c>
      <c r="AB114" s="145"/>
      <c r="AC114" s="145"/>
      <c r="AD114" s="145"/>
      <c r="AE114" s="145"/>
      <c r="CM114" s="145"/>
      <c r="CN114" s="145"/>
      <c r="CO114" s="145"/>
      <c r="CP114" s="145">
        <f>CP111/CP113-1</f>
        <v>-5.6036774078377261E-2</v>
      </c>
      <c r="CQ114" s="145"/>
      <c r="CR114" s="145"/>
      <c r="CS114" s="145"/>
      <c r="CT114" s="145">
        <f>CT111/CT113-1</f>
        <v>7.5594306547676293E-2</v>
      </c>
      <c r="CU114" s="145"/>
      <c r="CV114" s="145"/>
      <c r="CW114" s="145"/>
      <c r="CX114" s="145"/>
      <c r="CY114" s="145"/>
      <c r="CZ114" s="145"/>
      <c r="DA114" s="145"/>
      <c r="DB114" s="145"/>
      <c r="DE114" s="146"/>
    </row>
    <row r="115" spans="1:110" s="3" customFormat="1" x14ac:dyDescent="0.2">
      <c r="A115" s="3" t="s">
        <v>34</v>
      </c>
      <c r="B115" s="3">
        <f>'Annual Raw'!C112</f>
        <v>0</v>
      </c>
      <c r="C115" s="3">
        <f>'Annual Raw'!D112</f>
        <v>0</v>
      </c>
      <c r="D115" s="3">
        <f>'Annual Raw'!E112</f>
        <v>0</v>
      </c>
      <c r="E115" s="3">
        <f>'Annual Raw'!F112</f>
        <v>0</v>
      </c>
      <c r="F115" s="3">
        <f>'Annual Raw'!G112</f>
        <v>0</v>
      </c>
      <c r="G115" s="3">
        <f>'Annual Raw'!H112</f>
        <v>0</v>
      </c>
      <c r="H115" s="3">
        <f>'Annual Raw'!I112</f>
        <v>0</v>
      </c>
      <c r="I115" s="3">
        <f>'Annual Raw'!J112</f>
        <v>0</v>
      </c>
      <c r="J115" s="3">
        <f>'Annual Raw'!K112</f>
        <v>0</v>
      </c>
      <c r="K115" s="3">
        <f>'Annual Raw'!L112</f>
        <v>0</v>
      </c>
      <c r="L115" s="3">
        <f>'Annual Raw'!M112</f>
        <v>0</v>
      </c>
      <c r="M115" s="3">
        <f>'Annual Raw'!N112</f>
        <v>0</v>
      </c>
      <c r="N115" s="3">
        <f>'Annual Raw'!O112</f>
        <v>70.45</v>
      </c>
      <c r="O115" s="3">
        <f>'Annual Raw'!P112</f>
        <v>0</v>
      </c>
      <c r="P115" s="3">
        <f>'Annual Raw'!Q112</f>
        <v>0</v>
      </c>
      <c r="Q115" s="3">
        <f>'Annual Raw'!R112</f>
        <v>0</v>
      </c>
      <c r="R115" s="3">
        <f>'Annual Raw'!S112</f>
        <v>63.96</v>
      </c>
      <c r="S115" s="3">
        <f>'Annual Raw'!T112</f>
        <v>63.96</v>
      </c>
      <c r="T115" s="3">
        <f>'Annual Raw'!U112</f>
        <v>65.709999999999994</v>
      </c>
      <c r="U115" s="3">
        <f>'Annual Raw'!V112</f>
        <v>66.010000000000005</v>
      </c>
      <c r="V115" s="3">
        <f>'Annual Raw'!W112</f>
        <v>66.14</v>
      </c>
      <c r="W115" s="3">
        <f>'Annual Raw'!X112</f>
        <v>71.180000000000007</v>
      </c>
      <c r="X115" s="3">
        <f>'Annual Raw'!Y112</f>
        <v>71.14</v>
      </c>
      <c r="Y115" s="3">
        <f>'Annual Raw'!Z112</f>
        <v>71.11</v>
      </c>
      <c r="Z115" s="3">
        <f>'Annual Raw'!AA112</f>
        <v>71.06</v>
      </c>
      <c r="AA115" s="3">
        <f>'Annual Raw'!AB112</f>
        <v>60.92</v>
      </c>
      <c r="AB115" s="37"/>
      <c r="AC115" s="37"/>
      <c r="AD115" s="37"/>
      <c r="AE115" s="37"/>
      <c r="AI115" s="3">
        <f>'QTR Raw'!C49</f>
        <v>0</v>
      </c>
      <c r="AJ115" s="3">
        <f>'QTR Raw'!D49</f>
        <v>0</v>
      </c>
      <c r="AK115" s="3">
        <f>'QTR Raw'!E49</f>
        <v>0</v>
      </c>
      <c r="AL115" s="3">
        <f>'QTR Raw'!F49</f>
        <v>0</v>
      </c>
      <c r="AM115" s="3">
        <f>'QTR Raw'!G49</f>
        <v>0</v>
      </c>
      <c r="AN115" s="3">
        <f>'QTR Raw'!H49</f>
        <v>0</v>
      </c>
      <c r="AO115" s="3">
        <f>'QTR Raw'!I49</f>
        <v>0</v>
      </c>
      <c r="AP115" s="3">
        <f>'QTR Raw'!J49</f>
        <v>0</v>
      </c>
      <c r="AQ115" s="3">
        <f>'QTR Raw'!K49</f>
        <v>0</v>
      </c>
      <c r="AR115" s="3">
        <f>'QTR Raw'!L49</f>
        <v>0</v>
      </c>
      <c r="AS115" s="3">
        <f>'QTR Raw'!M49</f>
        <v>0</v>
      </c>
      <c r="AT115" s="3">
        <f>'QTR Raw'!N49</f>
        <v>0</v>
      </c>
      <c r="AU115" s="3">
        <f>'QTR Raw'!O49</f>
        <v>0</v>
      </c>
      <c r="AV115" s="3">
        <f>'QTR Raw'!P49</f>
        <v>0</v>
      </c>
      <c r="AW115" s="3">
        <f>'QTR Raw'!Q49</f>
        <v>0</v>
      </c>
      <c r="AX115" s="3">
        <f>'QTR Raw'!R49</f>
        <v>0</v>
      </c>
      <c r="AY115" s="3">
        <f>'QTR Raw'!S49</f>
        <v>63.96</v>
      </c>
      <c r="AZ115" s="3">
        <f>'QTR Raw'!T49</f>
        <v>63.96</v>
      </c>
      <c r="BA115" s="3">
        <f>'QTR Raw'!U49</f>
        <v>63.96</v>
      </c>
      <c r="BB115" s="3">
        <f>'QTR Raw'!V49</f>
        <v>63.96</v>
      </c>
      <c r="BC115" s="3">
        <f>'QTR Raw'!W49</f>
        <v>63.96</v>
      </c>
      <c r="BD115" s="3">
        <f>'QTR Raw'!X49</f>
        <v>63.96</v>
      </c>
      <c r="BE115" s="3">
        <f>'QTR Raw'!Y49</f>
        <v>63.96</v>
      </c>
      <c r="BF115" s="3">
        <f>'QTR Raw'!Z49</f>
        <v>63.96</v>
      </c>
      <c r="BG115" s="3">
        <f>'QTR Raw'!AA49</f>
        <v>63.96</v>
      </c>
      <c r="BH115" s="3">
        <f>'QTR Raw'!AB49</f>
        <v>63.96</v>
      </c>
      <c r="BI115" s="3">
        <f>'QTR Raw'!AC49</f>
        <v>65.12</v>
      </c>
      <c r="BJ115" s="3">
        <f>'QTR Raw'!AD49</f>
        <v>65.709999999999994</v>
      </c>
      <c r="BK115" s="3">
        <f>'QTR Raw'!AE49</f>
        <v>65.95</v>
      </c>
      <c r="BL115" s="3">
        <f>'QTR Raw'!AF49</f>
        <v>66.06</v>
      </c>
      <c r="BM115" s="3">
        <f>'QTR Raw'!AG49</f>
        <v>66.010000000000005</v>
      </c>
      <c r="BN115" s="3">
        <f>'QTR Raw'!AH49</f>
        <v>66.010000000000005</v>
      </c>
      <c r="BO115" s="3">
        <f>'QTR Raw'!AI49</f>
        <v>66.040000000000006</v>
      </c>
      <c r="BP115" s="3">
        <f>'QTR Raw'!AJ49</f>
        <v>66.11</v>
      </c>
      <c r="BQ115" s="3">
        <f>'QTR Raw'!AK49</f>
        <v>66.14</v>
      </c>
      <c r="BR115" s="3">
        <f>'QTR Raw'!AL49</f>
        <v>66.14</v>
      </c>
      <c r="BS115" s="3">
        <f>'QTR Raw'!AM49</f>
        <v>66.14</v>
      </c>
      <c r="BT115" s="3">
        <f>'QTR Raw'!AN49</f>
        <v>71.22</v>
      </c>
      <c r="BU115" s="3">
        <f>'QTR Raw'!AO49</f>
        <v>71.180000000000007</v>
      </c>
      <c r="BV115" s="3">
        <f>'QTR Raw'!AP49</f>
        <v>71.180000000000007</v>
      </c>
      <c r="BW115" s="3">
        <f>'QTR Raw'!AQ49</f>
        <v>71.180000000000007</v>
      </c>
      <c r="BX115" s="3">
        <f>'QTR Raw'!AR49</f>
        <v>71.14</v>
      </c>
      <c r="BY115" s="3">
        <f>'QTR Raw'!AS49</f>
        <v>71.14</v>
      </c>
      <c r="BZ115" s="3">
        <f>'QTR Raw'!AT49</f>
        <v>71.14</v>
      </c>
      <c r="CA115" s="3">
        <f>'QTR Raw'!AU49</f>
        <v>71.14</v>
      </c>
      <c r="CB115" s="3">
        <f>'QTR Raw'!AV49</f>
        <v>71.14</v>
      </c>
      <c r="CC115" s="3">
        <f>'QTR Raw'!AW49</f>
        <v>71.11</v>
      </c>
      <c r="CD115" s="3">
        <f>'QTR Raw'!AX49</f>
        <v>71.11</v>
      </c>
      <c r="CE115" s="3">
        <f>'QTR Raw'!AY49</f>
        <v>71.11</v>
      </c>
      <c r="CF115" s="3">
        <f>'QTR Raw'!AZ49</f>
        <v>71.11</v>
      </c>
      <c r="CG115" s="3">
        <f>'QTR Raw'!BA49</f>
        <v>71.06</v>
      </c>
      <c r="CH115" s="3">
        <f>'QTR Raw'!BB49</f>
        <v>71.06</v>
      </c>
      <c r="CI115" s="3">
        <f>'QTR Raw'!BC49</f>
        <v>71.06</v>
      </c>
      <c r="CJ115" s="3">
        <f>'QTR Raw'!BD49</f>
        <v>71.06</v>
      </c>
      <c r="CK115" s="3">
        <f>'QTR Raw'!BE49</f>
        <v>60.93</v>
      </c>
      <c r="CL115" s="3">
        <f>'QTR Raw'!BF49</f>
        <v>60.92</v>
      </c>
      <c r="CM115" s="37"/>
      <c r="CN115" s="37"/>
      <c r="CO115" s="37"/>
      <c r="CP115" s="37"/>
      <c r="CQ115" s="37"/>
      <c r="CR115" s="37"/>
      <c r="CS115" s="37"/>
      <c r="CT115" s="37"/>
      <c r="CU115" s="37"/>
      <c r="CV115" s="37"/>
      <c r="CW115" s="37"/>
      <c r="CX115" s="37"/>
      <c r="CY115" s="37"/>
      <c r="CZ115" s="37"/>
      <c r="DA115" s="37"/>
      <c r="DB115" s="37"/>
      <c r="DE115" s="134"/>
    </row>
    <row r="116" spans="1:110" s="3" customFormat="1" x14ac:dyDescent="0.2">
      <c r="A116" s="3" t="s">
        <v>35</v>
      </c>
      <c r="B116" s="3">
        <f>'Annual Raw'!C113</f>
        <v>0</v>
      </c>
      <c r="C116" s="3">
        <f>'Annual Raw'!D113</f>
        <v>0</v>
      </c>
      <c r="D116" s="3">
        <f>'Annual Raw'!E113</f>
        <v>0</v>
      </c>
      <c r="E116" s="3">
        <f>'Annual Raw'!F113</f>
        <v>0</v>
      </c>
      <c r="F116" s="3">
        <f>'Annual Raw'!G113</f>
        <v>0</v>
      </c>
      <c r="G116" s="3">
        <f>'Annual Raw'!H113</f>
        <v>0</v>
      </c>
      <c r="H116" s="3">
        <f>'Annual Raw'!I113</f>
        <v>0</v>
      </c>
      <c r="I116" s="3">
        <f>'Annual Raw'!J113</f>
        <v>0</v>
      </c>
      <c r="J116" s="3">
        <f>'Annual Raw'!K113</f>
        <v>0</v>
      </c>
      <c r="K116" s="3">
        <f>'Annual Raw'!L113</f>
        <v>0</v>
      </c>
      <c r="L116" s="3">
        <f>'Annual Raw'!M113</f>
        <v>0</v>
      </c>
      <c r="M116" s="3">
        <f>'Annual Raw'!N113</f>
        <v>0</v>
      </c>
      <c r="N116" s="3">
        <f>'Annual Raw'!O113</f>
        <v>0</v>
      </c>
      <c r="O116" s="3">
        <f>'Annual Raw'!P113</f>
        <v>0</v>
      </c>
      <c r="P116" s="3">
        <f>'Annual Raw'!Q113</f>
        <v>0</v>
      </c>
      <c r="Q116" s="3">
        <f>'Annual Raw'!R113</f>
        <v>0</v>
      </c>
      <c r="R116" s="3">
        <f>'Annual Raw'!S113</f>
        <v>0</v>
      </c>
      <c r="S116" s="3">
        <f>'Annual Raw'!T113</f>
        <v>0</v>
      </c>
      <c r="T116" s="3">
        <f>'Annual Raw'!U113</f>
        <v>0</v>
      </c>
      <c r="U116" s="3">
        <f>'Annual Raw'!V113</f>
        <v>0</v>
      </c>
      <c r="V116" s="3">
        <f>'Annual Raw'!W113</f>
        <v>0</v>
      </c>
      <c r="W116" s="3">
        <f>'Annual Raw'!X113</f>
        <v>100</v>
      </c>
      <c r="X116" s="3">
        <f>'Annual Raw'!Y113</f>
        <v>100</v>
      </c>
      <c r="Y116" s="3">
        <f>'Annual Raw'!Z113</f>
        <v>100</v>
      </c>
      <c r="Z116" s="3">
        <f>'Annual Raw'!AA113</f>
        <v>100</v>
      </c>
      <c r="AA116" s="3">
        <f>'Annual Raw'!AB113</f>
        <v>100</v>
      </c>
      <c r="AB116" s="37"/>
      <c r="AC116" s="37"/>
      <c r="AD116" s="37"/>
      <c r="AE116" s="37"/>
      <c r="AI116" s="3">
        <f>'QTR Raw'!C50</f>
        <v>0</v>
      </c>
      <c r="AJ116" s="3">
        <f>'QTR Raw'!D50</f>
        <v>0</v>
      </c>
      <c r="AK116" s="3">
        <f>'QTR Raw'!E50</f>
        <v>0</v>
      </c>
      <c r="AL116" s="3">
        <f>'QTR Raw'!F50</f>
        <v>0</v>
      </c>
      <c r="AM116" s="3">
        <f>'QTR Raw'!G50</f>
        <v>0</v>
      </c>
      <c r="AN116" s="3">
        <f>'QTR Raw'!H50</f>
        <v>0</v>
      </c>
      <c r="AO116" s="3">
        <f>'QTR Raw'!I50</f>
        <v>0</v>
      </c>
      <c r="AP116" s="3">
        <f>'QTR Raw'!J50</f>
        <v>0</v>
      </c>
      <c r="AQ116" s="3">
        <f>'QTR Raw'!K50</f>
        <v>0</v>
      </c>
      <c r="AR116" s="3">
        <f>'QTR Raw'!L50</f>
        <v>0</v>
      </c>
      <c r="AS116" s="3">
        <f>'QTR Raw'!M50</f>
        <v>0</v>
      </c>
      <c r="AT116" s="3">
        <f>'QTR Raw'!N50</f>
        <v>0</v>
      </c>
      <c r="AU116" s="3">
        <f>'QTR Raw'!O50</f>
        <v>0</v>
      </c>
      <c r="AV116" s="3">
        <f>'QTR Raw'!P50</f>
        <v>0</v>
      </c>
      <c r="AW116" s="3">
        <f>'QTR Raw'!Q50</f>
        <v>0</v>
      </c>
      <c r="AX116" s="3">
        <f>'QTR Raw'!R50</f>
        <v>0</v>
      </c>
      <c r="AY116" s="3">
        <f>'QTR Raw'!S50</f>
        <v>0</v>
      </c>
      <c r="AZ116" s="3">
        <f>'QTR Raw'!T50</f>
        <v>0</v>
      </c>
      <c r="BA116" s="3">
        <f>'QTR Raw'!U50</f>
        <v>0</v>
      </c>
      <c r="BB116" s="3">
        <f>'QTR Raw'!V50</f>
        <v>0</v>
      </c>
      <c r="BC116" s="3">
        <f>'QTR Raw'!W50</f>
        <v>0</v>
      </c>
      <c r="BD116" s="3">
        <f>'QTR Raw'!X50</f>
        <v>0</v>
      </c>
      <c r="BE116" s="3">
        <f>'QTR Raw'!Y50</f>
        <v>0</v>
      </c>
      <c r="BF116" s="3">
        <f>'QTR Raw'!Z50</f>
        <v>0</v>
      </c>
      <c r="BG116" s="3">
        <f>'QTR Raw'!AA50</f>
        <v>0</v>
      </c>
      <c r="BH116" s="3">
        <f>'QTR Raw'!AB50</f>
        <v>0</v>
      </c>
      <c r="BI116" s="3">
        <f>'QTR Raw'!AC50</f>
        <v>0</v>
      </c>
      <c r="BJ116" s="3">
        <f>'QTR Raw'!AD50</f>
        <v>0</v>
      </c>
      <c r="BK116" s="3">
        <f>'QTR Raw'!AE50</f>
        <v>0</v>
      </c>
      <c r="BL116" s="3">
        <f>'QTR Raw'!AF50</f>
        <v>0</v>
      </c>
      <c r="BM116" s="3">
        <f>'QTR Raw'!AG50</f>
        <v>0</v>
      </c>
      <c r="BN116" s="3">
        <f>'QTR Raw'!AH50</f>
        <v>0</v>
      </c>
      <c r="BO116" s="3">
        <f>'QTR Raw'!AI50</f>
        <v>0</v>
      </c>
      <c r="BP116" s="3">
        <f>'QTR Raw'!AJ50</f>
        <v>0</v>
      </c>
      <c r="BQ116" s="3">
        <f>'QTR Raw'!AK50</f>
        <v>0</v>
      </c>
      <c r="BR116" s="3">
        <f>'QTR Raw'!AL50</f>
        <v>0</v>
      </c>
      <c r="BS116" s="3">
        <f>'QTR Raw'!AM50</f>
        <v>0</v>
      </c>
      <c r="BT116" s="3">
        <f>'QTR Raw'!AN50</f>
        <v>100</v>
      </c>
      <c r="BU116" s="3">
        <f>'QTR Raw'!AO50</f>
        <v>100</v>
      </c>
      <c r="BV116" s="3">
        <f>'QTR Raw'!AP50</f>
        <v>100</v>
      </c>
      <c r="BW116" s="3">
        <f>'QTR Raw'!AQ50</f>
        <v>100</v>
      </c>
      <c r="BX116" s="3">
        <f>'QTR Raw'!AR50</f>
        <v>100</v>
      </c>
      <c r="BY116" s="3">
        <f>'QTR Raw'!AS50</f>
        <v>100</v>
      </c>
      <c r="BZ116" s="3">
        <f>'QTR Raw'!AT50</f>
        <v>100</v>
      </c>
      <c r="CA116" s="3">
        <f>'QTR Raw'!AU50</f>
        <v>100</v>
      </c>
      <c r="CB116" s="3">
        <f>'QTR Raw'!AV50</f>
        <v>100</v>
      </c>
      <c r="CC116" s="3">
        <f>'QTR Raw'!AW50</f>
        <v>100</v>
      </c>
      <c r="CD116" s="3">
        <f>'QTR Raw'!AX50</f>
        <v>100</v>
      </c>
      <c r="CE116" s="3">
        <f>'QTR Raw'!AY50</f>
        <v>100</v>
      </c>
      <c r="CF116" s="3">
        <f>'QTR Raw'!AZ50</f>
        <v>100</v>
      </c>
      <c r="CG116" s="3">
        <f>'QTR Raw'!BA50</f>
        <v>100</v>
      </c>
      <c r="CH116" s="3">
        <f>'QTR Raw'!BB50</f>
        <v>100</v>
      </c>
      <c r="CI116" s="3">
        <f>'QTR Raw'!BC50</f>
        <v>100</v>
      </c>
      <c r="CJ116" s="3">
        <f>'QTR Raw'!BD50</f>
        <v>85.84</v>
      </c>
      <c r="CK116" s="3">
        <f>'QTR Raw'!BE50</f>
        <v>100</v>
      </c>
      <c r="CL116" s="3">
        <f>'QTR Raw'!BF50</f>
        <v>100</v>
      </c>
      <c r="CM116" s="37"/>
      <c r="CN116" s="37"/>
      <c r="CO116" s="37"/>
      <c r="CP116" s="37"/>
      <c r="CQ116" s="37"/>
      <c r="CR116" s="37"/>
      <c r="CS116" s="37"/>
      <c r="CT116" s="37"/>
      <c r="CU116" s="37"/>
      <c r="CV116" s="37"/>
      <c r="CW116" s="37"/>
      <c r="CX116" s="37"/>
      <c r="CY116" s="37"/>
      <c r="CZ116" s="37"/>
      <c r="DA116" s="37"/>
      <c r="DB116" s="37"/>
      <c r="DE116" s="134"/>
    </row>
    <row r="117" spans="1:110" s="3" customFormat="1" x14ac:dyDescent="0.2">
      <c r="AB117" s="37"/>
      <c r="AC117" s="37"/>
      <c r="AD117" s="37"/>
      <c r="AE117" s="37"/>
      <c r="CM117" s="37"/>
      <c r="CN117" s="37"/>
      <c r="CO117" s="37"/>
      <c r="CP117" s="37"/>
      <c r="CQ117" s="37"/>
      <c r="CR117" s="37"/>
      <c r="CS117" s="37"/>
      <c r="CT117" s="37"/>
      <c r="CU117" s="37"/>
      <c r="CV117" s="37"/>
      <c r="CW117" s="37"/>
      <c r="CX117" s="37"/>
      <c r="CY117" s="37"/>
      <c r="CZ117" s="37"/>
      <c r="DA117" s="37"/>
      <c r="DB117" s="37"/>
      <c r="DE117" s="134"/>
    </row>
    <row r="118" spans="1:110" s="13" customFormat="1" x14ac:dyDescent="0.2">
      <c r="A118" s="13" t="s">
        <v>36</v>
      </c>
      <c r="AB118" s="37"/>
      <c r="AC118" s="37"/>
      <c r="AD118" s="37"/>
      <c r="AE118" s="37"/>
      <c r="CM118" s="37"/>
      <c r="CN118" s="37"/>
      <c r="CO118" s="37"/>
      <c r="CP118" s="37"/>
      <c r="CQ118" s="37"/>
      <c r="CR118" s="37"/>
      <c r="CS118" s="37"/>
      <c r="CT118" s="37"/>
      <c r="CU118" s="37"/>
      <c r="CV118" s="37"/>
      <c r="CW118" s="37"/>
      <c r="CX118" s="37"/>
      <c r="CY118" s="37"/>
      <c r="CZ118" s="37"/>
      <c r="DA118" s="37"/>
      <c r="DB118" s="37"/>
      <c r="DE118" s="134"/>
    </row>
    <row r="119" spans="1:110" s="13" customFormat="1" x14ac:dyDescent="0.2">
      <c r="A119" s="13" t="s">
        <v>457</v>
      </c>
      <c r="B119" s="13">
        <f>'Annual Raw'!C106</f>
        <v>0</v>
      </c>
      <c r="C119" s="13">
        <f>'Annual Raw'!D106</f>
        <v>0</v>
      </c>
      <c r="D119" s="13">
        <f>'Annual Raw'!E106</f>
        <v>0</v>
      </c>
      <c r="E119" s="13">
        <f>'Annual Raw'!F106</f>
        <v>0</v>
      </c>
      <c r="F119" s="13">
        <f>'Annual Raw'!G106</f>
        <v>0</v>
      </c>
      <c r="G119" s="13">
        <f>'Annual Raw'!H106</f>
        <v>0</v>
      </c>
      <c r="H119" s="13">
        <f>'Annual Raw'!I106</f>
        <v>0</v>
      </c>
      <c r="I119" s="13">
        <f>'Annual Raw'!J106</f>
        <v>0</v>
      </c>
      <c r="J119" s="13">
        <f>'Annual Raw'!K106</f>
        <v>0</v>
      </c>
      <c r="K119" s="13">
        <f>'Annual Raw'!L106</f>
        <v>0</v>
      </c>
      <c r="L119" s="13">
        <f>'Annual Raw'!M106</f>
        <v>0</v>
      </c>
      <c r="M119" s="13">
        <f>'Annual Raw'!N106</f>
        <v>0</v>
      </c>
      <c r="N119" s="13">
        <f>'Annual Raw'!O106</f>
        <v>0</v>
      </c>
      <c r="O119" s="13">
        <f>'Annual Raw'!P106</f>
        <v>0</v>
      </c>
      <c r="P119" s="13">
        <f>'Annual Raw'!Q106</f>
        <v>0</v>
      </c>
      <c r="Q119" s="13">
        <f>'Annual Raw'!R106</f>
        <v>0</v>
      </c>
      <c r="R119" s="13">
        <f>'Annual Raw'!S106</f>
        <v>238.566666666667</v>
      </c>
      <c r="S119" s="13">
        <f>'Annual Raw'!T106</f>
        <v>200.38333333333301</v>
      </c>
      <c r="T119" s="13">
        <f>'Annual Raw'!U106</f>
        <v>176.833333333333</v>
      </c>
      <c r="U119" s="13">
        <f>'Annual Raw'!V106</f>
        <v>165.183333333333</v>
      </c>
      <c r="V119" s="13">
        <f>'Annual Raw'!W106</f>
        <v>300.98333333333301</v>
      </c>
      <c r="W119" s="13">
        <f>'Annual Raw'!X106</f>
        <v>257.91666666666703</v>
      </c>
      <c r="X119" s="13">
        <f>'Annual Raw'!Y106</f>
        <v>143.23333333333301</v>
      </c>
      <c r="Y119" s="13">
        <f>'Annual Raw'!Z106</f>
        <v>197.4</v>
      </c>
      <c r="Z119" s="13">
        <f>'Annual Raw'!AA106</f>
        <v>226.73333333333301</v>
      </c>
      <c r="AA119" s="13">
        <f>'Annual Raw'!AB106</f>
        <v>349.75</v>
      </c>
      <c r="AB119" s="37">
        <f>+CP119</f>
        <v>349.75</v>
      </c>
      <c r="AC119" s="37">
        <f>+CT119</f>
        <v>349.75</v>
      </c>
      <c r="AD119" s="37">
        <f>+CX119</f>
        <v>349.75</v>
      </c>
      <c r="AE119" s="37">
        <f>+DB119</f>
        <v>349.75</v>
      </c>
      <c r="AJ119" s="13">
        <f>'QTR Share Price'!HP21</f>
        <v>0</v>
      </c>
      <c r="AK119" s="13">
        <f>'QTR Share Price'!HQ21</f>
        <v>0</v>
      </c>
      <c r="AL119" s="13">
        <f>'QTR Share Price'!HR21</f>
        <v>0</v>
      </c>
      <c r="AM119" s="13">
        <f>'QTR Share Price'!HS21</f>
        <v>0</v>
      </c>
      <c r="AN119" s="13">
        <f>'QTR Share Price'!HT21</f>
        <v>0</v>
      </c>
      <c r="AO119" s="13">
        <f>'QTR Share Price'!HU21</f>
        <v>0</v>
      </c>
      <c r="AP119" s="13">
        <f>'QTR Share Price'!HV21</f>
        <v>0</v>
      </c>
      <c r="AQ119" s="13">
        <f>'QTR Share Price'!HW21</f>
        <v>0</v>
      </c>
      <c r="AR119" s="13">
        <f>'QTR Share Price'!HX21</f>
        <v>0</v>
      </c>
      <c r="AS119" s="13">
        <f>'QTR Share Price'!HY21</f>
        <v>0</v>
      </c>
      <c r="AT119" s="13">
        <f>'QTR Share Price'!HZ21</f>
        <v>0</v>
      </c>
      <c r="AU119" s="13">
        <f>'QTR Share Price'!IA21</f>
        <v>0</v>
      </c>
      <c r="AV119" s="13">
        <f>'QTR Share Price'!IB21</f>
        <v>0</v>
      </c>
      <c r="AW119" s="13">
        <f>'QTR Share Price'!IC21</f>
        <v>0</v>
      </c>
      <c r="AX119" s="13">
        <f>'QTR Share Price'!ID21</f>
        <v>0</v>
      </c>
      <c r="AY119" s="13">
        <f>'QTR Share Price'!IE21</f>
        <v>190.566666666667</v>
      </c>
      <c r="AZ119" s="13">
        <f>'QTR Share Price'!IF21</f>
        <v>204.85</v>
      </c>
      <c r="BA119" s="13">
        <f>'QTR Share Price'!IG21</f>
        <v>230.15</v>
      </c>
      <c r="BB119" s="13">
        <f>'QTR Share Price'!IH21</f>
        <v>238.566666666667</v>
      </c>
      <c r="BC119" s="13">
        <f>'QTR Share Price'!II21</f>
        <v>242.916666666667</v>
      </c>
      <c r="BD119" s="13">
        <f>'QTR Share Price'!IJ21</f>
        <v>229.416666666667</v>
      </c>
      <c r="BE119" s="13">
        <f>'QTR Share Price'!IK21</f>
        <v>229.933333333333</v>
      </c>
      <c r="BF119" s="13">
        <f>'QTR Share Price'!IL21</f>
        <v>200.38333333333301</v>
      </c>
      <c r="BG119" s="13">
        <f>'QTR Share Price'!IM21</f>
        <v>192.2</v>
      </c>
      <c r="BH119" s="13">
        <f>'QTR Share Price'!IN21</f>
        <v>214.98333333333301</v>
      </c>
      <c r="BI119" s="13">
        <f>'QTR Share Price'!IO21</f>
        <v>175.71666666666701</v>
      </c>
      <c r="BJ119" s="13">
        <f>'QTR Share Price'!IP21</f>
        <v>176.833333333333</v>
      </c>
      <c r="BK119" s="13">
        <f>'QTR Share Price'!IQ21</f>
        <v>157.21666666666701</v>
      </c>
      <c r="BL119" s="13">
        <f>'QTR Share Price'!IR21</f>
        <v>171.78333333333299</v>
      </c>
      <c r="BM119" s="13">
        <f>'QTR Share Price'!IS21</f>
        <v>182.3</v>
      </c>
      <c r="BN119" s="13">
        <f>'QTR Share Price'!IT21</f>
        <v>165.183333333333</v>
      </c>
      <c r="BO119" s="13">
        <f>'QTR Share Price'!IU21</f>
        <v>168.666666666667</v>
      </c>
      <c r="BP119" s="13">
        <f>'QTR Share Price'!IV21</f>
        <v>252.8</v>
      </c>
      <c r="BQ119" s="13">
        <f>'QTR Share Price'!IW21</f>
        <v>304.46666666666698</v>
      </c>
      <c r="BR119" s="13">
        <f>'QTR Share Price'!IX21</f>
        <v>300.98333333333301</v>
      </c>
      <c r="BS119" s="13">
        <f>'QTR Share Price'!IY21</f>
        <v>437.85</v>
      </c>
      <c r="BT119" s="13">
        <f>'QTR Share Price'!IZ21</f>
        <v>388.65</v>
      </c>
      <c r="BU119" s="13">
        <f>'QTR Share Price'!JA21</f>
        <v>368.51666666666699</v>
      </c>
      <c r="BV119" s="13">
        <f>'QTR Share Price'!JB21</f>
        <v>257.91666666666703</v>
      </c>
      <c r="BW119" s="13">
        <f>'QTR Share Price'!JC21</f>
        <v>207.083333333333</v>
      </c>
      <c r="BX119" s="13">
        <f>'QTR Share Price'!JD21</f>
        <v>233.166666666667</v>
      </c>
      <c r="BY119" s="13">
        <f>'QTR Share Price'!JE21</f>
        <v>205.96666666666701</v>
      </c>
      <c r="BZ119" s="13">
        <f>'QTR Share Price'!JF21</f>
        <v>143.23333333333301</v>
      </c>
      <c r="CA119" s="13">
        <f>'QTR Share Price'!JG21</f>
        <v>172.63333333333301</v>
      </c>
      <c r="CB119" s="13">
        <f>'QTR Share Price'!JH21</f>
        <v>189.78333333333299</v>
      </c>
      <c r="CC119" s="13">
        <f>'QTR Share Price'!JI21</f>
        <v>214.5</v>
      </c>
      <c r="CD119" s="13">
        <f>'QTR Share Price'!JJ21</f>
        <v>197.4</v>
      </c>
      <c r="CE119" s="13">
        <f>'QTR Share Price'!JK21</f>
        <v>211.38333333333301</v>
      </c>
      <c r="CF119" s="13">
        <f>'QTR Share Price'!JL21</f>
        <v>270.566666666667</v>
      </c>
      <c r="CG119" s="13">
        <f>'QTR Share Price'!JM21</f>
        <v>304.83333333333297</v>
      </c>
      <c r="CH119" s="13">
        <f>'QTR Share Price'!JN21</f>
        <v>226.73333333333301</v>
      </c>
      <c r="CI119" s="13">
        <f>'QTR Share Price'!JO21</f>
        <v>330.05</v>
      </c>
      <c r="CJ119" s="13">
        <f>'QTR Share Price'!JP21</f>
        <v>386.71666666666698</v>
      </c>
      <c r="CK119" s="13">
        <f>'QTR Share Price'!JQ21</f>
        <v>446</v>
      </c>
      <c r="CL119" s="13">
        <f>'QTR Share Price'!JR21</f>
        <v>349.75</v>
      </c>
      <c r="CM119" s="37">
        <f t="shared" ref="CM119" si="959">+CL119</f>
        <v>349.75</v>
      </c>
      <c r="CN119" s="37">
        <f t="shared" ref="CN119" si="960">+CM119</f>
        <v>349.75</v>
      </c>
      <c r="CO119" s="37">
        <f t="shared" ref="CO119" si="961">+CN119</f>
        <v>349.75</v>
      </c>
      <c r="CP119" s="37">
        <f t="shared" ref="CP119" si="962">+CO119</f>
        <v>349.75</v>
      </c>
      <c r="CQ119" s="37">
        <f t="shared" ref="CQ119" si="963">+CP119</f>
        <v>349.75</v>
      </c>
      <c r="CR119" s="37">
        <f t="shared" ref="CR119" si="964">+CQ119</f>
        <v>349.75</v>
      </c>
      <c r="CS119" s="37">
        <f t="shared" ref="CS119" si="965">+CR119</f>
        <v>349.75</v>
      </c>
      <c r="CT119" s="37">
        <f t="shared" ref="CT119" si="966">+CS119</f>
        <v>349.75</v>
      </c>
      <c r="CU119" s="37">
        <f t="shared" ref="CU119" si="967">+CT119</f>
        <v>349.75</v>
      </c>
      <c r="CV119" s="37">
        <f t="shared" ref="CV119" si="968">+CU119</f>
        <v>349.75</v>
      </c>
      <c r="CW119" s="37">
        <f t="shared" ref="CW119" si="969">+CV119</f>
        <v>349.75</v>
      </c>
      <c r="CX119" s="37">
        <f t="shared" ref="CX119" si="970">+CW119</f>
        <v>349.75</v>
      </c>
      <c r="CY119" s="37">
        <f t="shared" ref="CY119" si="971">+CX119</f>
        <v>349.75</v>
      </c>
      <c r="CZ119" s="37">
        <f t="shared" ref="CZ119" si="972">+CY119</f>
        <v>349.75</v>
      </c>
      <c r="DA119" s="37">
        <f t="shared" ref="DA119" si="973">+CZ119</f>
        <v>349.75</v>
      </c>
      <c r="DB119" s="37">
        <f t="shared" ref="DB119" si="974">+DA119</f>
        <v>349.75</v>
      </c>
      <c r="DE119" s="134"/>
      <c r="DF119" s="13">
        <v>349.75</v>
      </c>
    </row>
    <row r="120" spans="1:110" s="13" customFormat="1" x14ac:dyDescent="0.2">
      <c r="A120" s="13" t="s">
        <v>458</v>
      </c>
      <c r="B120" s="13">
        <f>'Annual Raw'!C107</f>
        <v>0</v>
      </c>
      <c r="C120" s="13">
        <f>'Annual Raw'!D107</f>
        <v>0</v>
      </c>
      <c r="D120" s="13">
        <f>'Annual Raw'!E107</f>
        <v>0</v>
      </c>
      <c r="E120" s="13">
        <f>'Annual Raw'!F107</f>
        <v>0</v>
      </c>
      <c r="F120" s="13">
        <f>'Annual Raw'!G107</f>
        <v>0</v>
      </c>
      <c r="G120" s="13">
        <f>'Annual Raw'!H107</f>
        <v>0</v>
      </c>
      <c r="H120" s="13">
        <f>'Annual Raw'!I107</f>
        <v>0</v>
      </c>
      <c r="I120" s="13">
        <f>'Annual Raw'!J107</f>
        <v>0</v>
      </c>
      <c r="J120" s="13">
        <f>'Annual Raw'!K107</f>
        <v>0</v>
      </c>
      <c r="K120" s="13">
        <f>'Annual Raw'!L107</f>
        <v>0</v>
      </c>
      <c r="L120" s="13">
        <f>'Annual Raw'!M107</f>
        <v>0</v>
      </c>
      <c r="M120" s="13">
        <f>'Annual Raw'!N107</f>
        <v>0</v>
      </c>
      <c r="N120" s="13">
        <f>'Annual Raw'!O107</f>
        <v>0</v>
      </c>
      <c r="O120" s="13">
        <f>'Annual Raw'!P107</f>
        <v>0</v>
      </c>
      <c r="P120" s="13">
        <f>'Annual Raw'!Q107</f>
        <v>0</v>
      </c>
      <c r="Q120" s="13">
        <f>'Annual Raw'!R107</f>
        <v>0</v>
      </c>
      <c r="R120" s="13">
        <f>'Annual Raw'!S107</f>
        <v>247.583333333333</v>
      </c>
      <c r="S120" s="13">
        <f>'Annual Raw'!T107</f>
        <v>259.96666666666698</v>
      </c>
      <c r="T120" s="13">
        <f>'Annual Raw'!U107</f>
        <v>241.666666666667</v>
      </c>
      <c r="U120" s="13">
        <f>'Annual Raw'!V107</f>
        <v>229.816666666667</v>
      </c>
      <c r="V120" s="13">
        <f>'Annual Raw'!W107</f>
        <v>404</v>
      </c>
      <c r="W120" s="13">
        <f>'Annual Raw'!X107</f>
        <v>488.63333333333298</v>
      </c>
      <c r="X120" s="13">
        <f>'Annual Raw'!Y107</f>
        <v>305.64999999999998</v>
      </c>
      <c r="Y120" s="13">
        <f>'Annual Raw'!Z107</f>
        <v>240.666666666667</v>
      </c>
      <c r="Z120" s="13">
        <f>'Annual Raw'!AA107</f>
        <v>351.01666666666699</v>
      </c>
      <c r="AA120" s="13">
        <f>'Annual Raw'!AB107</f>
        <v>537.96666666666704</v>
      </c>
      <c r="AB120" s="37">
        <f>+MAX(CM120:CP120)</f>
        <v>586.11377975118353</v>
      </c>
      <c r="AC120" s="37">
        <f>+MAX(CQ120:CT120)</f>
        <v>750.04074122294014</v>
      </c>
      <c r="AD120" s="37">
        <f>+MAX(CU120:CX120)</f>
        <v>934.28964131374437</v>
      </c>
      <c r="AE120" s="37">
        <f>+MAX(CY120:DB120)</f>
        <v>1153.3124308935085</v>
      </c>
      <c r="AJ120" s="13">
        <f>'QTR Share Price'!HP19</f>
        <v>0</v>
      </c>
      <c r="AK120" s="13">
        <f>'QTR Share Price'!HQ19</f>
        <v>0</v>
      </c>
      <c r="AL120" s="13">
        <f>'QTR Share Price'!HR19</f>
        <v>0</v>
      </c>
      <c r="AM120" s="13">
        <f>'QTR Share Price'!HS19</f>
        <v>0</v>
      </c>
      <c r="AN120" s="13">
        <f>'QTR Share Price'!HT19</f>
        <v>0</v>
      </c>
      <c r="AO120" s="13">
        <f>'QTR Share Price'!HU19</f>
        <v>0</v>
      </c>
      <c r="AP120" s="13">
        <f>'QTR Share Price'!HV19</f>
        <v>0</v>
      </c>
      <c r="AQ120" s="13">
        <f>'QTR Share Price'!HW19</f>
        <v>0</v>
      </c>
      <c r="AR120" s="13">
        <f>'QTR Share Price'!HX19</f>
        <v>0</v>
      </c>
      <c r="AS120" s="13">
        <f>'QTR Share Price'!HY19</f>
        <v>0</v>
      </c>
      <c r="AT120" s="13">
        <f>'QTR Share Price'!HZ19</f>
        <v>0</v>
      </c>
      <c r="AU120" s="13">
        <f>'QTR Share Price'!IA19</f>
        <v>0</v>
      </c>
      <c r="AV120" s="13">
        <f>'QTR Share Price'!IB19</f>
        <v>0</v>
      </c>
      <c r="AW120" s="13">
        <f>'QTR Share Price'!IC19</f>
        <v>0</v>
      </c>
      <c r="AX120" s="13">
        <f>'QTR Share Price'!ID19</f>
        <v>0</v>
      </c>
      <c r="AY120" s="13">
        <f>'QTR Share Price'!IE19</f>
        <v>222.9</v>
      </c>
      <c r="AZ120" s="13">
        <f>'QTR Share Price'!IF19</f>
        <v>222.65</v>
      </c>
      <c r="BA120" s="13">
        <f>'QTR Share Price'!IG19</f>
        <v>239.95</v>
      </c>
      <c r="BB120" s="13">
        <f>'QTR Share Price'!IH19</f>
        <v>247.583333333333</v>
      </c>
      <c r="BC120" s="13">
        <f>'QTR Share Price'!II19</f>
        <v>259.96666666666698</v>
      </c>
      <c r="BD120" s="13">
        <f>'QTR Share Price'!IJ19</f>
        <v>257.64999999999998</v>
      </c>
      <c r="BE120" s="13">
        <f>'QTR Share Price'!IK19</f>
        <v>237.333333333333</v>
      </c>
      <c r="BF120" s="13">
        <f>'QTR Share Price'!IL19</f>
        <v>241.666666666667</v>
      </c>
      <c r="BG120" s="13">
        <f>'QTR Share Price'!IM19</f>
        <v>241.666666666667</v>
      </c>
      <c r="BH120" s="13">
        <f>'QTR Share Price'!IN19</f>
        <v>232.333333333333</v>
      </c>
      <c r="BI120" s="13">
        <f>'QTR Share Price'!IO19</f>
        <v>225.98333333333301</v>
      </c>
      <c r="BJ120" s="13">
        <f>'QTR Share Price'!IP19</f>
        <v>201.36666666666699</v>
      </c>
      <c r="BK120" s="13">
        <f>'QTR Share Price'!IQ19</f>
        <v>181.666666666667</v>
      </c>
      <c r="BL120" s="13">
        <f>'QTR Share Price'!IR19</f>
        <v>178.3</v>
      </c>
      <c r="BM120" s="13">
        <f>'QTR Share Price'!IS19</f>
        <v>201.51666666666699</v>
      </c>
      <c r="BN120" s="13">
        <f>'QTR Share Price'!IT19</f>
        <v>229.816666666667</v>
      </c>
      <c r="BO120" s="13">
        <f>'QTR Share Price'!IU19</f>
        <v>193.96666666666701</v>
      </c>
      <c r="BP120" s="13">
        <f>'QTR Share Price'!IV19</f>
        <v>281.75</v>
      </c>
      <c r="BQ120" s="13">
        <f>'QTR Share Price'!IW19</f>
        <v>404</v>
      </c>
      <c r="BR120" s="13">
        <f>'QTR Share Price'!IX19</f>
        <v>335.36666666666702</v>
      </c>
      <c r="BS120" s="13">
        <f>'QTR Share Price'!IY19</f>
        <v>488.63333333333298</v>
      </c>
      <c r="BT120" s="13">
        <f>'QTR Share Price'!IZ19</f>
        <v>461.53333333333302</v>
      </c>
      <c r="BU120" s="13">
        <f>'QTR Share Price'!JA19</f>
        <v>432.33333333333297</v>
      </c>
      <c r="BV120" s="13">
        <f>'QTR Share Price'!JB19</f>
        <v>376.66666666666703</v>
      </c>
      <c r="BW120" s="13">
        <f>'QTR Share Price'!JC19</f>
        <v>305.64999999999998</v>
      </c>
      <c r="BX120" s="13">
        <f>'QTR Share Price'!JD19</f>
        <v>246.45</v>
      </c>
      <c r="BY120" s="13">
        <f>'QTR Share Price'!JE19</f>
        <v>256.33333333333297</v>
      </c>
      <c r="BZ120" s="13">
        <f>'QTR Share Price'!JF19</f>
        <v>207.05</v>
      </c>
      <c r="CA120" s="13">
        <f>'QTR Share Price'!JG19</f>
        <v>178.65</v>
      </c>
      <c r="CB120" s="13">
        <f>'QTR Share Price'!JH19</f>
        <v>203.35</v>
      </c>
      <c r="CC120" s="13">
        <f>'QTR Share Price'!JI19</f>
        <v>229.4</v>
      </c>
      <c r="CD120" s="13">
        <f>'QTR Share Price'!JJ19</f>
        <v>240.666666666667</v>
      </c>
      <c r="CE120" s="13">
        <f>'QTR Share Price'!JK19</f>
        <v>227.23333333333301</v>
      </c>
      <c r="CF120" s="13">
        <f>'QTR Share Price'!JL19</f>
        <v>310</v>
      </c>
      <c r="CG120" s="13">
        <f>'QTR Share Price'!JM19</f>
        <v>350.21666666666698</v>
      </c>
      <c r="CH120" s="13">
        <f>'QTR Share Price'!JN19</f>
        <v>351.01666666666699</v>
      </c>
      <c r="CI120" s="13">
        <f>'QTR Share Price'!JO19</f>
        <v>357.48333333333301</v>
      </c>
      <c r="CJ120" s="13">
        <f>'QTR Share Price'!JP19</f>
        <v>478.1</v>
      </c>
      <c r="CK120" s="13">
        <f>'QTR Share Price'!JQ19</f>
        <v>537.96666666666704</v>
      </c>
      <c r="CL120" s="13">
        <f>'QTR Share Price'!JR19</f>
        <v>507.75</v>
      </c>
      <c r="CM120" s="37">
        <f t="shared" ref="CM120:DB120" si="975">+CM111*CM128</f>
        <v>520.37972695896144</v>
      </c>
      <c r="CN120" s="37">
        <f t="shared" si="975"/>
        <v>529.71905663734947</v>
      </c>
      <c r="CO120" s="37">
        <f t="shared" si="975"/>
        <v>560.9841463787975</v>
      </c>
      <c r="CP120" s="37">
        <f t="shared" si="975"/>
        <v>586.11377975118353</v>
      </c>
      <c r="CQ120" s="37">
        <f t="shared" si="975"/>
        <v>624.80022469176527</v>
      </c>
      <c r="CR120" s="37">
        <f t="shared" si="975"/>
        <v>666.77229459903617</v>
      </c>
      <c r="CS120" s="37">
        <f t="shared" si="975"/>
        <v>706.77213128914991</v>
      </c>
      <c r="CT120" s="37">
        <f t="shared" si="975"/>
        <v>750.04074122294014</v>
      </c>
      <c r="CU120" s="37">
        <f t="shared" si="975"/>
        <v>793.8914752408549</v>
      </c>
      <c r="CV120" s="37">
        <f t="shared" si="975"/>
        <v>842.12443741995344</v>
      </c>
      <c r="CW120" s="37">
        <f t="shared" si="975"/>
        <v>885.86783787014076</v>
      </c>
      <c r="CX120" s="37">
        <f t="shared" si="975"/>
        <v>934.28964131374437</v>
      </c>
      <c r="CY120" s="37">
        <f t="shared" si="975"/>
        <v>985.30965801080606</v>
      </c>
      <c r="CZ120" s="37">
        <f t="shared" si="975"/>
        <v>1042.0401509021647</v>
      </c>
      <c r="DA120" s="37">
        <f t="shared" si="975"/>
        <v>1094.0742915477597</v>
      </c>
      <c r="DB120" s="37">
        <f t="shared" si="975"/>
        <v>1153.3124308935085</v>
      </c>
      <c r="DE120" s="134"/>
      <c r="DF120" s="13">
        <v>507.75</v>
      </c>
    </row>
    <row r="121" spans="1:110" s="13" customFormat="1" x14ac:dyDescent="0.2">
      <c r="A121" s="13" t="s">
        <v>459</v>
      </c>
      <c r="B121" s="13">
        <f>'Annual Raw'!C108</f>
        <v>0</v>
      </c>
      <c r="C121" s="13">
        <f>'Annual Raw'!D108</f>
        <v>0</v>
      </c>
      <c r="D121" s="13">
        <f>'Annual Raw'!E108</f>
        <v>0</v>
      </c>
      <c r="E121" s="13">
        <f>'Annual Raw'!F108</f>
        <v>0</v>
      </c>
      <c r="F121" s="13">
        <f>'Annual Raw'!G108</f>
        <v>0</v>
      </c>
      <c r="G121" s="13">
        <f>'Annual Raw'!H108</f>
        <v>0</v>
      </c>
      <c r="H121" s="13">
        <f>'Annual Raw'!I108</f>
        <v>0</v>
      </c>
      <c r="I121" s="13">
        <f>'Annual Raw'!J108</f>
        <v>0</v>
      </c>
      <c r="J121" s="13">
        <f>'Annual Raw'!K108</f>
        <v>0</v>
      </c>
      <c r="K121" s="13">
        <f>'Annual Raw'!L108</f>
        <v>0</v>
      </c>
      <c r="L121" s="13">
        <f>'Annual Raw'!M108</f>
        <v>0</v>
      </c>
      <c r="M121" s="13">
        <f>'Annual Raw'!N108</f>
        <v>0</v>
      </c>
      <c r="N121" s="13">
        <f>'Annual Raw'!O108</f>
        <v>0</v>
      </c>
      <c r="O121" s="13">
        <f>'Annual Raw'!P108</f>
        <v>0</v>
      </c>
      <c r="P121" s="13">
        <f>'Annual Raw'!Q108</f>
        <v>0</v>
      </c>
      <c r="Q121" s="13">
        <f>'Annual Raw'!R108</f>
        <v>0</v>
      </c>
      <c r="R121" s="13">
        <f>'Annual Raw'!S108</f>
        <v>174.53333333333299</v>
      </c>
      <c r="S121" s="13">
        <f>'Annual Raw'!T108</f>
        <v>190</v>
      </c>
      <c r="T121" s="13">
        <f>'Annual Raw'!U108</f>
        <v>160.666666666667</v>
      </c>
      <c r="U121" s="13">
        <f>'Annual Raw'!V108</f>
        <v>135.55000000000001</v>
      </c>
      <c r="V121" s="13">
        <f>'Annual Raw'!W108</f>
        <v>161.76666666666699</v>
      </c>
      <c r="W121" s="13">
        <f>'Annual Raw'!X108</f>
        <v>247.416666666667</v>
      </c>
      <c r="X121" s="13">
        <f>'Annual Raw'!Y108</f>
        <v>138.666666666667</v>
      </c>
      <c r="Y121" s="13">
        <f>'Annual Raw'!Z108</f>
        <v>143.23333333333301</v>
      </c>
      <c r="Z121" s="13">
        <f>'Annual Raw'!AA108</f>
        <v>190.25</v>
      </c>
      <c r="AA121" s="13">
        <f>'Annual Raw'!AB108</f>
        <v>220.01666666666699</v>
      </c>
      <c r="AB121" s="37">
        <f>+MIN(CM121:CP121)</f>
        <v>351.07055730141263</v>
      </c>
      <c r="AC121" s="37">
        <f>+MIN(CQ121:CT121)</f>
        <v>421.51711859805852</v>
      </c>
      <c r="AD121" s="37">
        <f>+MIN(CU121:CX121)</f>
        <v>535.59335272034446</v>
      </c>
      <c r="AE121" s="37">
        <f>+MIN(CY121:DB121)</f>
        <v>664.73229611344493</v>
      </c>
      <c r="AJ121" s="13">
        <f>+'QTR Share Price'!HP20</f>
        <v>0</v>
      </c>
      <c r="AK121" s="13">
        <f>+'QTR Share Price'!HQ20</f>
        <v>0</v>
      </c>
      <c r="AL121" s="13">
        <f>+'QTR Share Price'!HR20</f>
        <v>0</v>
      </c>
      <c r="AM121" s="13">
        <f>+'QTR Share Price'!HS20</f>
        <v>0</v>
      </c>
      <c r="AN121" s="13">
        <f>+'QTR Share Price'!HT20</f>
        <v>0</v>
      </c>
      <c r="AO121" s="13">
        <f>+'QTR Share Price'!HU20</f>
        <v>0</v>
      </c>
      <c r="AP121" s="13">
        <f>+'QTR Share Price'!HV20</f>
        <v>0</v>
      </c>
      <c r="AQ121" s="13">
        <f>+'QTR Share Price'!HW20</f>
        <v>0</v>
      </c>
      <c r="AR121" s="13">
        <f>+'QTR Share Price'!HX20</f>
        <v>0</v>
      </c>
      <c r="AS121" s="13">
        <f>+'QTR Share Price'!HY20</f>
        <v>0</v>
      </c>
      <c r="AT121" s="13">
        <f>+'QTR Share Price'!HZ20</f>
        <v>0</v>
      </c>
      <c r="AU121" s="13">
        <f>+'QTR Share Price'!IA20</f>
        <v>0</v>
      </c>
      <c r="AV121" s="13">
        <f>+'QTR Share Price'!IB20</f>
        <v>0</v>
      </c>
      <c r="AW121" s="13">
        <f>+'QTR Share Price'!IC20</f>
        <v>0</v>
      </c>
      <c r="AX121" s="13">
        <f>+'QTR Share Price'!ID20</f>
        <v>0</v>
      </c>
      <c r="AY121" s="13">
        <f>+'QTR Share Price'!IE20</f>
        <v>0</v>
      </c>
      <c r="AZ121" s="13">
        <f>+'QTR Share Price'!IF20</f>
        <v>178.75</v>
      </c>
      <c r="BA121" s="13">
        <f>+'QTR Share Price'!IG20</f>
        <v>190.36666666666699</v>
      </c>
      <c r="BB121" s="13">
        <f>+'QTR Share Price'!IH20</f>
        <v>221.86666666666699</v>
      </c>
      <c r="BC121" s="13">
        <f>+'QTR Share Price'!II20</f>
        <v>228.2</v>
      </c>
      <c r="BD121" s="13">
        <f>+'QTR Share Price'!IJ20</f>
        <v>220</v>
      </c>
      <c r="BE121" s="13">
        <f>+'QTR Share Price'!IK20</f>
        <v>203.7</v>
      </c>
      <c r="BF121" s="13">
        <f>+'QTR Share Price'!IL20</f>
        <v>190</v>
      </c>
      <c r="BG121" s="13">
        <f>+'QTR Share Price'!IM20</f>
        <v>191.666666666667</v>
      </c>
      <c r="BH121" s="13">
        <f>+'QTR Share Price'!IN20</f>
        <v>182.566666666667</v>
      </c>
      <c r="BI121" s="13">
        <f>+'QTR Share Price'!IO20</f>
        <v>173.28333333333299</v>
      </c>
      <c r="BJ121" s="13">
        <f>+'QTR Share Price'!IP20</f>
        <v>160.666666666667</v>
      </c>
      <c r="BK121" s="13">
        <f>+'QTR Share Price'!IQ20</f>
        <v>141.75</v>
      </c>
      <c r="BL121" s="13">
        <f>+'QTR Share Price'!IR20</f>
        <v>135.55000000000001</v>
      </c>
      <c r="BM121" s="13">
        <f>+'QTR Share Price'!IS20</f>
        <v>162.4</v>
      </c>
      <c r="BN121" s="13">
        <f>+'QTR Share Price'!IT20</f>
        <v>136.666666666667</v>
      </c>
      <c r="BO121" s="13">
        <f>+'QTR Share Price'!IU20</f>
        <v>161.76666666666699</v>
      </c>
      <c r="BP121" s="13">
        <f>+'QTR Share Price'!IV20</f>
        <v>161.76666666666699</v>
      </c>
      <c r="BQ121" s="13">
        <f>+'QTR Share Price'!IW20</f>
        <v>250.86666666666699</v>
      </c>
      <c r="BR121" s="13">
        <f>+'QTR Share Price'!IX20</f>
        <v>277.33333333333297</v>
      </c>
      <c r="BS121" s="13">
        <f>+'QTR Share Price'!IY20</f>
        <v>300.91666666666703</v>
      </c>
      <c r="BT121" s="13">
        <f>+'QTR Share Price'!IZ20</f>
        <v>386.33333333333297</v>
      </c>
      <c r="BU121" s="13">
        <f>+'QTR Share Price'!JA20</f>
        <v>315.566666666667</v>
      </c>
      <c r="BV121" s="13">
        <f>+'QTR Share Price'!JB20</f>
        <v>247.416666666667</v>
      </c>
      <c r="BW121" s="13">
        <f>+'QTR Share Price'!JC20</f>
        <v>206.75</v>
      </c>
      <c r="BX121" s="13">
        <f>+'QTR Share Price'!JD20</f>
        <v>200</v>
      </c>
      <c r="BY121" s="13">
        <f>+'QTR Share Price'!JE20</f>
        <v>200.03333333333299</v>
      </c>
      <c r="BZ121" s="13">
        <f>+'QTR Share Price'!JF20</f>
        <v>138.666666666667</v>
      </c>
      <c r="CA121" s="13">
        <f>+'QTR Share Price'!JG20</f>
        <v>143.23333333333301</v>
      </c>
      <c r="CB121" s="13">
        <f>+'QTR Share Price'!JH20</f>
        <v>170.816666666667</v>
      </c>
      <c r="CC121" s="13">
        <f>+'QTR Share Price'!JI20</f>
        <v>170.333333333333</v>
      </c>
      <c r="CD121" s="13">
        <f>+'QTR Share Price'!JJ20</f>
        <v>185.28333333333299</v>
      </c>
      <c r="CE121" s="13">
        <f>+'QTR Share Price'!JK20</f>
        <v>190.25</v>
      </c>
      <c r="CF121" s="13">
        <f>+'QTR Share Price'!JL20</f>
        <v>206.95</v>
      </c>
      <c r="CG121" s="13">
        <f>+'QTR Share Price'!JM20</f>
        <v>258.2</v>
      </c>
      <c r="CH121" s="13">
        <f>+'QTR Share Price'!JN20</f>
        <v>219.333333333333</v>
      </c>
      <c r="CI121" s="13">
        <f>+'QTR Share Price'!JO20</f>
        <v>220.01666666666699</v>
      </c>
      <c r="CJ121" s="13">
        <f>+'QTR Share Price'!JP20</f>
        <v>322.88333333333298</v>
      </c>
      <c r="CK121" s="13">
        <f>+'QTR Share Price'!JQ20</f>
        <v>376.71666666666698</v>
      </c>
      <c r="CL121" s="13">
        <f>+'QTR Share Price'!JR20</f>
        <v>342.55</v>
      </c>
      <c r="CM121" s="37">
        <f t="shared" ref="CM121:DB121" si="976">+CM129*CM111</f>
        <v>351.07055730141263</v>
      </c>
      <c r="CN121" s="37">
        <f t="shared" si="976"/>
        <v>357.37127100172148</v>
      </c>
      <c r="CO121" s="37">
        <f t="shared" si="976"/>
        <v>378.46404597155509</v>
      </c>
      <c r="CP121" s="37">
        <f t="shared" si="976"/>
        <v>395.41757804779508</v>
      </c>
      <c r="CQ121" s="37">
        <f t="shared" si="976"/>
        <v>421.51711859805852</v>
      </c>
      <c r="CR121" s="37">
        <f t="shared" si="976"/>
        <v>449.83328314111247</v>
      </c>
      <c r="CS121" s="37">
        <f t="shared" si="976"/>
        <v>476.81889428478257</v>
      </c>
      <c r="CT121" s="37">
        <f t="shared" si="976"/>
        <v>506.00976052371874</v>
      </c>
      <c r="CU121" s="37">
        <f t="shared" si="976"/>
        <v>535.59335272034446</v>
      </c>
      <c r="CV121" s="37">
        <f t="shared" si="976"/>
        <v>568.13338461487956</v>
      </c>
      <c r="CW121" s="37">
        <f t="shared" si="976"/>
        <v>597.64456496783203</v>
      </c>
      <c r="CX121" s="37">
        <f t="shared" si="976"/>
        <v>630.31199730580636</v>
      </c>
      <c r="CY121" s="37">
        <f t="shared" si="976"/>
        <v>664.73229611344493</v>
      </c>
      <c r="CZ121" s="37">
        <f t="shared" si="976"/>
        <v>703.00512790061362</v>
      </c>
      <c r="DA121" s="37">
        <f t="shared" si="976"/>
        <v>738.10959836471704</v>
      </c>
      <c r="DB121" s="37">
        <f t="shared" si="976"/>
        <v>778.07419636153884</v>
      </c>
      <c r="DE121" s="134"/>
      <c r="DF121" s="13">
        <v>342.55</v>
      </c>
    </row>
    <row r="122" spans="1:110" s="14" customFormat="1" x14ac:dyDescent="0.2">
      <c r="AB122" s="16"/>
      <c r="AC122" s="16"/>
      <c r="AD122" s="16"/>
      <c r="AE122" s="16"/>
      <c r="CM122" s="37"/>
      <c r="CN122" s="37"/>
      <c r="CO122" s="37"/>
      <c r="CP122" s="37"/>
      <c r="CQ122" s="37"/>
      <c r="CR122" s="37"/>
      <c r="CS122" s="37"/>
      <c r="CT122" s="37"/>
      <c r="CU122" s="37"/>
      <c r="CV122" s="37"/>
      <c r="CW122" s="37"/>
      <c r="CX122" s="37"/>
      <c r="CY122" s="37"/>
      <c r="CZ122" s="37"/>
      <c r="DA122" s="37"/>
      <c r="DB122" s="37"/>
      <c r="DE122" s="134"/>
    </row>
    <row r="123" spans="1:110" s="51" customFormat="1" x14ac:dyDescent="0.2">
      <c r="A123" s="51" t="s">
        <v>346</v>
      </c>
      <c r="AB123" s="48">
        <f t="shared" ref="AB123:AD123" si="977">+AB120/AB119-1</f>
        <v>0.67580780486399861</v>
      </c>
      <c r="AC123" s="48">
        <f t="shared" si="977"/>
        <v>1.1445053358768837</v>
      </c>
      <c r="AD123" s="48">
        <f t="shared" si="977"/>
        <v>1.6713070516475894</v>
      </c>
      <c r="AE123" s="48">
        <f t="shared" ref="AE123" si="978">+AE120/AE119-1</f>
        <v>2.2975337552351922</v>
      </c>
      <c r="CM123" s="48">
        <f t="shared" ref="CM123:DB123" si="979">+CM120/CM119-1</f>
        <v>0.48786197843877477</v>
      </c>
      <c r="CN123" s="48">
        <f t="shared" si="979"/>
        <v>0.51456485100028448</v>
      </c>
      <c r="CO123" s="48">
        <f t="shared" si="979"/>
        <v>0.6039575307470979</v>
      </c>
      <c r="CP123" s="48">
        <f t="shared" si="979"/>
        <v>0.67580780486399861</v>
      </c>
      <c r="CQ123" s="48">
        <f t="shared" si="979"/>
        <v>0.78641951305722735</v>
      </c>
      <c r="CR123" s="48">
        <f t="shared" si="979"/>
        <v>0.90642543130532149</v>
      </c>
      <c r="CS123" s="48">
        <f t="shared" si="979"/>
        <v>1.0207923696616152</v>
      </c>
      <c r="CT123" s="48">
        <f t="shared" si="979"/>
        <v>1.1445053358768837</v>
      </c>
      <c r="CU123" s="48">
        <f t="shared" si="979"/>
        <v>1.2698827026185988</v>
      </c>
      <c r="CV123" s="48">
        <f t="shared" si="979"/>
        <v>1.4077896709648416</v>
      </c>
      <c r="CW123" s="48">
        <f t="shared" si="979"/>
        <v>1.5328601511655204</v>
      </c>
      <c r="CX123" s="48">
        <f t="shared" si="979"/>
        <v>1.6713070516475894</v>
      </c>
      <c r="CY123" s="48">
        <f t="shared" si="979"/>
        <v>1.8171827248343275</v>
      </c>
      <c r="CZ123" s="48">
        <f t="shared" si="979"/>
        <v>1.9793857066537948</v>
      </c>
      <c r="DA123" s="48">
        <f t="shared" si="979"/>
        <v>2.1281609479564252</v>
      </c>
      <c r="DB123" s="48">
        <f t="shared" si="979"/>
        <v>2.2975337552351922</v>
      </c>
      <c r="DE123" s="129"/>
      <c r="DF123" s="51">
        <v>0.53814629497260058</v>
      </c>
    </row>
    <row r="124" spans="1:110" s="51" customFormat="1" x14ac:dyDescent="0.2">
      <c r="A124" s="51" t="s">
        <v>347</v>
      </c>
      <c r="AB124" s="48">
        <f t="shared" ref="AB124:AD124" si="980">+AB121/AB119-1</f>
        <v>3.7757178024664384E-3</v>
      </c>
      <c r="AC124" s="48">
        <f t="shared" si="980"/>
        <v>0.20519547847908082</v>
      </c>
      <c r="AD124" s="48">
        <f t="shared" si="980"/>
        <v>0.53136055102314361</v>
      </c>
      <c r="AE124" s="48">
        <f t="shared" ref="AE124" si="981">+AE121/AE119-1</f>
        <v>0.90059269796553232</v>
      </c>
      <c r="CM124" s="48">
        <f t="shared" ref="CM124:DB124" si="982">+CM121/CM119-1</f>
        <v>3.7757178024664384E-3</v>
      </c>
      <c r="CN124" s="48">
        <f t="shared" si="982"/>
        <v>2.1790624736873321E-2</v>
      </c>
      <c r="CO124" s="48">
        <f t="shared" si="982"/>
        <v>8.2098773328248997E-2</v>
      </c>
      <c r="CP124" s="48">
        <f t="shared" si="982"/>
        <v>0.13057206017954281</v>
      </c>
      <c r="CQ124" s="48">
        <f t="shared" si="982"/>
        <v>0.20519547847908082</v>
      </c>
      <c r="CR124" s="48">
        <f t="shared" si="982"/>
        <v>0.28615663514256595</v>
      </c>
      <c r="CS124" s="48">
        <f t="shared" si="982"/>
        <v>0.36331349330888507</v>
      </c>
      <c r="CT124" s="48">
        <f t="shared" si="982"/>
        <v>0.44677558405637963</v>
      </c>
      <c r="CU124" s="48">
        <f t="shared" si="982"/>
        <v>0.53136055102314361</v>
      </c>
      <c r="CV124" s="48">
        <f t="shared" si="982"/>
        <v>0.62439852641852633</v>
      </c>
      <c r="CW124" s="48">
        <f t="shared" si="982"/>
        <v>0.70877645451846183</v>
      </c>
      <c r="CX124" s="48">
        <f t="shared" si="982"/>
        <v>0.80217869136756637</v>
      </c>
      <c r="CY124" s="48">
        <f t="shared" si="982"/>
        <v>0.90059269796553232</v>
      </c>
      <c r="CZ124" s="48">
        <f t="shared" si="982"/>
        <v>1.0100218095800249</v>
      </c>
      <c r="DA124" s="48">
        <f t="shared" si="982"/>
        <v>1.110391989606053</v>
      </c>
      <c r="DB124" s="48">
        <f t="shared" si="982"/>
        <v>1.2246581740144071</v>
      </c>
      <c r="DE124" s="129"/>
      <c r="DF124" s="51">
        <v>-0.37093161782225303</v>
      </c>
    </row>
    <row r="125" spans="1:110" s="14" customFormat="1" x14ac:dyDescent="0.2">
      <c r="AB125" s="16"/>
      <c r="AC125" s="16"/>
      <c r="AD125" s="16"/>
      <c r="AE125" s="16"/>
      <c r="CM125" s="37"/>
      <c r="CN125" s="37"/>
      <c r="CO125" s="37"/>
      <c r="CP125" s="37"/>
      <c r="CQ125" s="37"/>
      <c r="CR125" s="37"/>
      <c r="CS125" s="37"/>
      <c r="CT125" s="37"/>
      <c r="CU125" s="37"/>
      <c r="CV125" s="37"/>
      <c r="CW125" s="37"/>
      <c r="CX125" s="37"/>
      <c r="CY125" s="37"/>
      <c r="CZ125" s="37"/>
      <c r="DA125" s="37"/>
      <c r="DB125" s="37"/>
      <c r="DE125" s="134"/>
    </row>
    <row r="126" spans="1:110" s="13" customFormat="1" x14ac:dyDescent="0.2">
      <c r="A126" s="13" t="s">
        <v>40</v>
      </c>
      <c r="AB126" s="37"/>
      <c r="AC126" s="37"/>
      <c r="AD126" s="37"/>
      <c r="AE126" s="37"/>
      <c r="CM126" s="37"/>
      <c r="CN126" s="37"/>
      <c r="CO126" s="37"/>
      <c r="CP126" s="37"/>
      <c r="CQ126" s="37"/>
      <c r="CR126" s="37"/>
      <c r="CS126" s="37"/>
      <c r="CT126" s="37"/>
      <c r="CU126" s="37"/>
      <c r="CV126" s="37"/>
      <c r="CW126" s="37"/>
      <c r="CX126" s="37"/>
      <c r="CY126" s="37"/>
      <c r="CZ126" s="37"/>
      <c r="DA126" s="37"/>
      <c r="DB126" s="37"/>
      <c r="DE126" s="134"/>
    </row>
    <row r="127" spans="1:110" s="13" customFormat="1" x14ac:dyDescent="0.2">
      <c r="A127" s="13" t="s">
        <v>460</v>
      </c>
      <c r="B127" s="13" t="e">
        <f t="shared" ref="B127:D127" si="983">+B119/B111</f>
        <v>#DIV/0!</v>
      </c>
      <c r="C127" s="13" t="e">
        <f t="shared" si="983"/>
        <v>#DIV/0!</v>
      </c>
      <c r="D127" s="13" t="e">
        <f t="shared" si="983"/>
        <v>#DIV/0!</v>
      </c>
      <c r="E127" s="13" t="e">
        <f t="shared" ref="E127:AE127" ca="1" si="984">+E119/E111</f>
        <v>#DIV/0!</v>
      </c>
      <c r="F127" s="13" t="e">
        <f t="shared" ca="1" si="984"/>
        <v>#DIV/0!</v>
      </c>
      <c r="G127" s="13" t="e">
        <f t="shared" ca="1" si="984"/>
        <v>#DIV/0!</v>
      </c>
      <c r="H127" s="13" t="e">
        <f t="shared" ca="1" si="984"/>
        <v>#DIV/0!</v>
      </c>
      <c r="I127" s="13" t="e">
        <f t="shared" ca="1" si="984"/>
        <v>#DIV/0!</v>
      </c>
      <c r="J127" s="13" t="e">
        <f t="shared" ca="1" si="984"/>
        <v>#DIV/0!</v>
      </c>
      <c r="K127" s="13" t="e">
        <f t="shared" ca="1" si="984"/>
        <v>#DIV/0!</v>
      </c>
      <c r="L127" s="13" t="e">
        <f t="shared" ca="1" si="984"/>
        <v>#DIV/0!</v>
      </c>
      <c r="M127" s="13" t="e">
        <f t="shared" ca="1" si="984"/>
        <v>#DIV/0!</v>
      </c>
      <c r="N127" s="13" t="e">
        <f t="shared" ca="1" si="984"/>
        <v>#DIV/0!</v>
      </c>
      <c r="O127" s="13" t="e">
        <f t="shared" ca="1" si="984"/>
        <v>#DIV/0!</v>
      </c>
      <c r="P127" s="13" t="e">
        <f t="shared" ca="1" si="984"/>
        <v>#DIV/0!</v>
      </c>
      <c r="Q127" s="13" t="e">
        <f t="shared" ca="1" si="984"/>
        <v>#DIV/0!</v>
      </c>
      <c r="R127" s="13" t="e">
        <f t="shared" ca="1" si="984"/>
        <v>#DIV/0!</v>
      </c>
      <c r="S127" s="13" t="e">
        <f t="shared" ca="1" si="984"/>
        <v>#DIV/0!</v>
      </c>
      <c r="T127" s="13" t="e">
        <f t="shared" ca="1" si="984"/>
        <v>#DIV/0!</v>
      </c>
      <c r="U127" s="13" t="e">
        <f t="shared" ca="1" si="984"/>
        <v>#DIV/0!</v>
      </c>
      <c r="V127" s="13" t="e">
        <f t="shared" ca="1" si="984"/>
        <v>#DIV/0!</v>
      </c>
      <c r="W127" s="13" t="e">
        <f t="shared" ca="1" si="984"/>
        <v>#DIV/0!</v>
      </c>
      <c r="X127" s="13" t="e">
        <f t="shared" ca="1" si="984"/>
        <v>#DIV/0!</v>
      </c>
      <c r="Y127" s="13" t="e">
        <f t="shared" ca="1" si="984"/>
        <v>#DIV/0!</v>
      </c>
      <c r="Z127" s="13" t="e">
        <f t="shared" ref="Z127:AA127" ca="1" si="985">+Z119/Z111</f>
        <v>#DIV/0!</v>
      </c>
      <c r="AA127" s="13" t="e">
        <f t="shared" ca="1" si="985"/>
        <v>#DIV/0!</v>
      </c>
      <c r="AB127" s="37" t="e">
        <f t="shared" ca="1" si="984"/>
        <v>#DIV/0!</v>
      </c>
      <c r="AC127" s="37" t="e">
        <f t="shared" ca="1" si="984"/>
        <v>#DIV/0!</v>
      </c>
      <c r="AD127" s="37" t="e">
        <f t="shared" ca="1" si="984"/>
        <v>#DIV/0!</v>
      </c>
      <c r="AE127" s="37" t="e">
        <f t="shared" ca="1" si="984"/>
        <v>#DIV/0!</v>
      </c>
      <c r="AL127" s="13" t="e">
        <f t="shared" ref="AL127:BQ127" si="986">+AL119/AL111</f>
        <v>#DIV/0!</v>
      </c>
      <c r="AM127" s="13" t="e">
        <f t="shared" si="986"/>
        <v>#DIV/0!</v>
      </c>
      <c r="AN127" s="13" t="e">
        <f t="shared" si="986"/>
        <v>#DIV/0!</v>
      </c>
      <c r="AO127" s="13" t="e">
        <f t="shared" si="986"/>
        <v>#DIV/0!</v>
      </c>
      <c r="AP127" s="13" t="e">
        <f t="shared" si="986"/>
        <v>#DIV/0!</v>
      </c>
      <c r="AQ127" s="13" t="e">
        <f t="shared" si="986"/>
        <v>#DIV/0!</v>
      </c>
      <c r="AR127" s="13" t="e">
        <f t="shared" si="986"/>
        <v>#DIV/0!</v>
      </c>
      <c r="AS127" s="13" t="e">
        <f t="shared" si="986"/>
        <v>#DIV/0!</v>
      </c>
      <c r="AT127" s="13" t="e">
        <f t="shared" si="986"/>
        <v>#DIV/0!</v>
      </c>
      <c r="AU127" s="13">
        <f t="shared" si="986"/>
        <v>0</v>
      </c>
      <c r="AV127" s="13">
        <f t="shared" si="986"/>
        <v>0</v>
      </c>
      <c r="AW127" s="13">
        <f t="shared" si="986"/>
        <v>0</v>
      </c>
      <c r="AX127" s="13">
        <f t="shared" si="986"/>
        <v>0</v>
      </c>
      <c r="AY127" s="13">
        <f t="shared" si="986"/>
        <v>51.940389873562317</v>
      </c>
      <c r="AZ127" s="13">
        <f t="shared" si="986"/>
        <v>54.776260878330696</v>
      </c>
      <c r="BA127" s="13">
        <f t="shared" si="986"/>
        <v>56.561113598814138</v>
      </c>
      <c r="BB127" s="13">
        <f t="shared" si="986"/>
        <v>54.037899790320672</v>
      </c>
      <c r="BC127" s="13">
        <f t="shared" si="986"/>
        <v>50.04999050676615</v>
      </c>
      <c r="BD127" s="13">
        <f t="shared" si="986"/>
        <v>43.288626753606067</v>
      </c>
      <c r="BE127" s="13">
        <f t="shared" si="986"/>
        <v>40.768884680369048</v>
      </c>
      <c r="BF127" s="13">
        <f t="shared" si="986"/>
        <v>33.411217035422901</v>
      </c>
      <c r="BG127" s="13">
        <f t="shared" si="986"/>
        <v>32.269876366091388</v>
      </c>
      <c r="BH127" s="13">
        <f t="shared" si="986"/>
        <v>35.919323255651143</v>
      </c>
      <c r="BI127" s="13">
        <f t="shared" si="986"/>
        <v>29.771199347101042</v>
      </c>
      <c r="BJ127" s="13">
        <f t="shared" si="986"/>
        <v>33.057074622190839</v>
      </c>
      <c r="BK127" s="13">
        <f t="shared" si="986"/>
        <v>28.049102865897005</v>
      </c>
      <c r="BL127" s="13">
        <f t="shared" si="986"/>
        <v>27.617207407407346</v>
      </c>
      <c r="BM127" s="13">
        <f t="shared" si="986"/>
        <v>27.284999059620084</v>
      </c>
      <c r="BN127" s="13">
        <f t="shared" si="986"/>
        <v>27.677207425342957</v>
      </c>
      <c r="BO127" s="13">
        <f t="shared" si="986"/>
        <v>39.623596555965626</v>
      </c>
      <c r="BP127" s="13">
        <f t="shared" si="986"/>
        <v>53.116366996699668</v>
      </c>
      <c r="BQ127" s="13">
        <f t="shared" si="986"/>
        <v>60.085449059723146</v>
      </c>
      <c r="BR127" s="13">
        <f t="shared" ref="BR127:DB127" si="987">+BR119/BR111</f>
        <v>42.236384529477398</v>
      </c>
      <c r="BS127" s="13">
        <f t="shared" si="987"/>
        <v>41.291820821235994</v>
      </c>
      <c r="BT127" s="13">
        <f t="shared" si="987"/>
        <v>30.404292946669944</v>
      </c>
      <c r="BU127" s="13">
        <f t="shared" si="987"/>
        <v>30.459655518626256</v>
      </c>
      <c r="BV127" s="13">
        <f t="shared" si="987"/>
        <v>23.317248887626658</v>
      </c>
      <c r="BW127" s="13">
        <f t="shared" si="987"/>
        <v>23.178187998124667</v>
      </c>
      <c r="BX127" s="13">
        <f t="shared" si="987"/>
        <v>46.446566541510272</v>
      </c>
      <c r="BY127" s="13">
        <f t="shared" si="987"/>
        <v>44.832678701677672</v>
      </c>
      <c r="BZ127" s="13">
        <f t="shared" si="987"/>
        <v>35.355175765095012</v>
      </c>
      <c r="CA127" s="13">
        <f t="shared" si="987"/>
        <v>45.755739106300204</v>
      </c>
      <c r="CB127" s="13">
        <f t="shared" si="987"/>
        <v>46.499253899835693</v>
      </c>
      <c r="CC127" s="13">
        <f t="shared" si="987"/>
        <v>52.050343040097538</v>
      </c>
      <c r="CD127" s="13">
        <f t="shared" si="987"/>
        <v>44.394777448071189</v>
      </c>
      <c r="CE127" s="13">
        <f t="shared" si="987"/>
        <v>43.333038811609057</v>
      </c>
      <c r="CF127" s="13">
        <f t="shared" si="987"/>
        <v>51.28425707593987</v>
      </c>
      <c r="CG127" s="13">
        <f t="shared" si="987"/>
        <v>55.302944640753758</v>
      </c>
      <c r="CH127" s="13">
        <f t="shared" si="987"/>
        <v>39.374661574831748</v>
      </c>
      <c r="CI127" s="13">
        <f t="shared" ref="CI127:CJ127" si="988">+CI119/CI111</f>
        <v>49.366373461140881</v>
      </c>
      <c r="CJ127" s="13">
        <f t="shared" si="988"/>
        <v>48.187445914559412</v>
      </c>
      <c r="CK127" s="13">
        <f t="shared" ref="CK127:CL127" si="989">+CK119/CK111</f>
        <v>49.3673829890813</v>
      </c>
      <c r="CL127" s="13">
        <f t="shared" si="989"/>
        <v>32.899651300236414</v>
      </c>
      <c r="CM127" s="37">
        <f t="shared" si="987"/>
        <v>32.101169746400259</v>
      </c>
      <c r="CN127" s="37">
        <f t="shared" si="987"/>
        <v>31.535202931412183</v>
      </c>
      <c r="CO127" s="37">
        <f t="shared" si="987"/>
        <v>29.777664940312469</v>
      </c>
      <c r="CP127" s="37">
        <f t="shared" si="987"/>
        <v>28.500947298639769</v>
      </c>
      <c r="CQ127" s="37">
        <f t="shared" si="987"/>
        <v>26.736222695720173</v>
      </c>
      <c r="CR127" s="37">
        <f t="shared" si="987"/>
        <v>25.053227440621956</v>
      </c>
      <c r="CS127" s="37">
        <f t="shared" si="987"/>
        <v>23.635337626040155</v>
      </c>
      <c r="CT127" s="37">
        <f t="shared" si="987"/>
        <v>22.271854086829862</v>
      </c>
      <c r="CU127" s="37">
        <f t="shared" si="987"/>
        <v>21.041664344143573</v>
      </c>
      <c r="CV127" s="37">
        <f t="shared" si="987"/>
        <v>19.836495897060203</v>
      </c>
      <c r="CW127" s="37">
        <f t="shared" si="987"/>
        <v>18.856986599556166</v>
      </c>
      <c r="CX127" s="37">
        <f t="shared" si="987"/>
        <v>17.879678002429429</v>
      </c>
      <c r="CY127" s="37">
        <f t="shared" si="987"/>
        <v>16.953855888736079</v>
      </c>
      <c r="CZ127" s="37">
        <f t="shared" si="987"/>
        <v>16.030858247863641</v>
      </c>
      <c r="DA127" s="37">
        <f t="shared" si="987"/>
        <v>15.268431108150049</v>
      </c>
      <c r="DB127" s="37">
        <f t="shared" si="987"/>
        <v>14.48419136066477</v>
      </c>
      <c r="DE127" s="134"/>
      <c r="DF127" s="13">
        <v>34.160689773588373</v>
      </c>
    </row>
    <row r="128" spans="1:110" s="13" customFormat="1" x14ac:dyDescent="0.2">
      <c r="A128" s="13" t="s">
        <v>461</v>
      </c>
      <c r="B128" s="13" t="e">
        <f t="shared" ref="B128:D128" si="990">+B120/B111</f>
        <v>#DIV/0!</v>
      </c>
      <c r="C128" s="13" t="e">
        <f t="shared" si="990"/>
        <v>#DIV/0!</v>
      </c>
      <c r="D128" s="13" t="e">
        <f t="shared" si="990"/>
        <v>#DIV/0!</v>
      </c>
      <c r="E128" s="13" t="e">
        <f t="shared" ref="E128:AE128" ca="1" si="991">+E120/E111</f>
        <v>#DIV/0!</v>
      </c>
      <c r="F128" s="13" t="e">
        <f t="shared" ca="1" si="991"/>
        <v>#DIV/0!</v>
      </c>
      <c r="G128" s="13" t="e">
        <f t="shared" ca="1" si="991"/>
        <v>#DIV/0!</v>
      </c>
      <c r="H128" s="13" t="e">
        <f t="shared" ca="1" si="991"/>
        <v>#DIV/0!</v>
      </c>
      <c r="I128" s="13" t="e">
        <f t="shared" ca="1" si="991"/>
        <v>#DIV/0!</v>
      </c>
      <c r="J128" s="13" t="e">
        <f t="shared" ca="1" si="991"/>
        <v>#DIV/0!</v>
      </c>
      <c r="K128" s="13" t="e">
        <f t="shared" ca="1" si="991"/>
        <v>#DIV/0!</v>
      </c>
      <c r="L128" s="13" t="e">
        <f t="shared" ca="1" si="991"/>
        <v>#DIV/0!</v>
      </c>
      <c r="M128" s="13" t="e">
        <f t="shared" ca="1" si="991"/>
        <v>#DIV/0!</v>
      </c>
      <c r="N128" s="13" t="e">
        <f t="shared" ca="1" si="991"/>
        <v>#DIV/0!</v>
      </c>
      <c r="O128" s="13" t="e">
        <f t="shared" ca="1" si="991"/>
        <v>#DIV/0!</v>
      </c>
      <c r="P128" s="13" t="e">
        <f t="shared" ca="1" si="991"/>
        <v>#DIV/0!</v>
      </c>
      <c r="Q128" s="13" t="e">
        <f t="shared" ca="1" si="991"/>
        <v>#DIV/0!</v>
      </c>
      <c r="R128" s="13" t="e">
        <f t="shared" ca="1" si="991"/>
        <v>#DIV/0!</v>
      </c>
      <c r="S128" s="13" t="e">
        <f t="shared" ca="1" si="991"/>
        <v>#DIV/0!</v>
      </c>
      <c r="T128" s="13" t="e">
        <f t="shared" ca="1" si="991"/>
        <v>#DIV/0!</v>
      </c>
      <c r="U128" s="13" t="e">
        <f t="shared" ca="1" si="991"/>
        <v>#DIV/0!</v>
      </c>
      <c r="V128" s="13" t="e">
        <f t="shared" ca="1" si="991"/>
        <v>#DIV/0!</v>
      </c>
      <c r="W128" s="13" t="e">
        <f t="shared" ca="1" si="991"/>
        <v>#DIV/0!</v>
      </c>
      <c r="X128" s="13" t="e">
        <f t="shared" ca="1" si="991"/>
        <v>#DIV/0!</v>
      </c>
      <c r="Y128" s="13" t="e">
        <f t="shared" ca="1" si="991"/>
        <v>#DIV/0!</v>
      </c>
      <c r="Z128" s="13" t="e">
        <f t="shared" ref="Z128:AA128" ca="1" si="992">+Z120/Z111</f>
        <v>#DIV/0!</v>
      </c>
      <c r="AA128" s="13" t="e">
        <f t="shared" ca="1" si="992"/>
        <v>#DIV/0!</v>
      </c>
      <c r="AB128" s="60" t="e">
        <f t="shared" ca="1" si="991"/>
        <v>#DIV/0!</v>
      </c>
      <c r="AC128" s="60" t="e">
        <f t="shared" ca="1" si="991"/>
        <v>#DIV/0!</v>
      </c>
      <c r="AD128" s="60" t="e">
        <f t="shared" ca="1" si="991"/>
        <v>#DIV/0!</v>
      </c>
      <c r="AE128" s="60" t="e">
        <f t="shared" ca="1" si="991"/>
        <v>#DIV/0!</v>
      </c>
      <c r="AL128" s="13" t="e">
        <f t="shared" ref="AL128:BQ128" si="993">+AL120/AL111</f>
        <v>#DIV/0!</v>
      </c>
      <c r="AM128" s="13" t="e">
        <f t="shared" si="993"/>
        <v>#DIV/0!</v>
      </c>
      <c r="AN128" s="13" t="e">
        <f t="shared" si="993"/>
        <v>#DIV/0!</v>
      </c>
      <c r="AO128" s="13" t="e">
        <f t="shared" si="993"/>
        <v>#DIV/0!</v>
      </c>
      <c r="AP128" s="13" t="e">
        <f t="shared" si="993"/>
        <v>#DIV/0!</v>
      </c>
      <c r="AQ128" s="13" t="e">
        <f t="shared" si="993"/>
        <v>#DIV/0!</v>
      </c>
      <c r="AR128" s="13" t="e">
        <f t="shared" si="993"/>
        <v>#DIV/0!</v>
      </c>
      <c r="AS128" s="13" t="e">
        <f t="shared" si="993"/>
        <v>#DIV/0!</v>
      </c>
      <c r="AT128" s="13" t="e">
        <f t="shared" si="993"/>
        <v>#DIV/0!</v>
      </c>
      <c r="AU128" s="13">
        <f t="shared" si="993"/>
        <v>0</v>
      </c>
      <c r="AV128" s="13">
        <f t="shared" si="993"/>
        <v>0</v>
      </c>
      <c r="AW128" s="13">
        <f t="shared" si="993"/>
        <v>0</v>
      </c>
      <c r="AX128" s="13">
        <f t="shared" si="993"/>
        <v>0</v>
      </c>
      <c r="AY128" s="13">
        <f t="shared" si="993"/>
        <v>60.753085024402765</v>
      </c>
      <c r="AZ128" s="13">
        <f t="shared" si="993"/>
        <v>59.535926212156845</v>
      </c>
      <c r="BA128" s="13">
        <f t="shared" si="993"/>
        <v>58.969538162222257</v>
      </c>
      <c r="BB128" s="13">
        <f t="shared" si="993"/>
        <v>56.080271160067859</v>
      </c>
      <c r="BC128" s="13">
        <f t="shared" si="993"/>
        <v>53.562933236675015</v>
      </c>
      <c r="BD128" s="13">
        <f t="shared" si="993"/>
        <v>48.61597391819798</v>
      </c>
      <c r="BE128" s="13">
        <f t="shared" si="993"/>
        <v>42.080959542509085</v>
      </c>
      <c r="BF128" s="13">
        <f t="shared" si="993"/>
        <v>40.294655827466812</v>
      </c>
      <c r="BG128" s="13">
        <f t="shared" si="993"/>
        <v>40.575200078765675</v>
      </c>
      <c r="BH128" s="13">
        <f t="shared" si="993"/>
        <v>38.818153824620282</v>
      </c>
      <c r="BI128" s="13">
        <f t="shared" si="993"/>
        <v>38.287744659711812</v>
      </c>
      <c r="BJ128" s="13">
        <f t="shared" si="993"/>
        <v>37.643315323780499</v>
      </c>
      <c r="BK128" s="13">
        <f t="shared" si="993"/>
        <v>32.411239397675949</v>
      </c>
      <c r="BL128" s="13">
        <f t="shared" si="993"/>
        <v>28.664876767676763</v>
      </c>
      <c r="BM128" s="13">
        <f t="shared" si="993"/>
        <v>30.161174221052015</v>
      </c>
      <c r="BN128" s="13">
        <f t="shared" si="993"/>
        <v>38.506811945117079</v>
      </c>
      <c r="BO128" s="13">
        <f t="shared" si="993"/>
        <v>45.567136039360463</v>
      </c>
      <c r="BP128" s="13">
        <f t="shared" si="993"/>
        <v>59.199115511551149</v>
      </c>
      <c r="BQ128" s="13">
        <f t="shared" si="993"/>
        <v>79.728009919404826</v>
      </c>
      <c r="BR128" s="13">
        <f t="shared" ref="BR128:CH128" si="994">+BR120/BR111</f>
        <v>47.061328395932556</v>
      </c>
      <c r="BS128" s="13">
        <f t="shared" si="994"/>
        <v>46.080986747249668</v>
      </c>
      <c r="BT128" s="13">
        <f t="shared" si="994"/>
        <v>36.105994265585295</v>
      </c>
      <c r="BU128" s="13">
        <f t="shared" si="994"/>
        <v>35.734406591884749</v>
      </c>
      <c r="BV128" s="13">
        <f t="shared" si="994"/>
        <v>34.052977373852165</v>
      </c>
      <c r="BW128" s="13">
        <f t="shared" si="994"/>
        <v>34.210445850914198</v>
      </c>
      <c r="BX128" s="13">
        <f t="shared" si="994"/>
        <v>49.092593241551924</v>
      </c>
      <c r="BY128" s="13">
        <f t="shared" si="994"/>
        <v>55.795970094821207</v>
      </c>
      <c r="BZ128" s="13">
        <f t="shared" si="994"/>
        <v>51.107441066997481</v>
      </c>
      <c r="CA128" s="13">
        <f t="shared" si="994"/>
        <v>47.350431307243944</v>
      </c>
      <c r="CB128" s="13">
        <f t="shared" si="994"/>
        <v>49.823254310344808</v>
      </c>
      <c r="CC128" s="13">
        <f t="shared" si="994"/>
        <v>55.665961274584497</v>
      </c>
      <c r="CD128" s="13">
        <f t="shared" si="994"/>
        <v>54.125345014365827</v>
      </c>
      <c r="CE128" s="13">
        <f t="shared" si="994"/>
        <v>46.582247982139712</v>
      </c>
      <c r="CF128" s="13">
        <f t="shared" si="994"/>
        <v>58.758604263427394</v>
      </c>
      <c r="CG128" s="13">
        <f t="shared" si="994"/>
        <v>63.536401079068412</v>
      </c>
      <c r="CH128" s="13">
        <f t="shared" si="994"/>
        <v>60.957787961447615</v>
      </c>
      <c r="CI128" s="13">
        <f t="shared" ref="CI128:CJ128" si="995">+CI120/CI111</f>
        <v>53.469643203959485</v>
      </c>
      <c r="CJ128" s="13">
        <f t="shared" si="995"/>
        <v>59.574411649573342</v>
      </c>
      <c r="CK128" s="13">
        <f t="shared" ref="CK128:CL128" si="996">+CK120/CK111</f>
        <v>59.547099705589211</v>
      </c>
      <c r="CL128" s="13">
        <f t="shared" si="996"/>
        <v>47.762109929078022</v>
      </c>
      <c r="CM128" s="60">
        <f t="shared" ref="CM128:CM129" si="997">+CL128</f>
        <v>47.762109929078022</v>
      </c>
      <c r="CN128" s="60">
        <f t="shared" ref="CN128:CN129" si="998">+CM128</f>
        <v>47.762109929078022</v>
      </c>
      <c r="CO128" s="60">
        <f t="shared" ref="CO128:CO129" si="999">+CN128</f>
        <v>47.762109929078022</v>
      </c>
      <c r="CP128" s="60">
        <f t="shared" ref="CP128:CP129" si="1000">+CO128</f>
        <v>47.762109929078022</v>
      </c>
      <c r="CQ128" s="60">
        <f t="shared" ref="CQ128:CQ129" si="1001">+CP128</f>
        <v>47.762109929078022</v>
      </c>
      <c r="CR128" s="60">
        <f t="shared" ref="CR128:CR129" si="1002">+CQ128</f>
        <v>47.762109929078022</v>
      </c>
      <c r="CS128" s="60">
        <f t="shared" ref="CS128:CS129" si="1003">+CR128</f>
        <v>47.762109929078022</v>
      </c>
      <c r="CT128" s="60">
        <f t="shared" ref="CT128:CT129" si="1004">+CS128</f>
        <v>47.762109929078022</v>
      </c>
      <c r="CU128" s="60">
        <f t="shared" ref="CU128:CU129" si="1005">+CT128</f>
        <v>47.762109929078022</v>
      </c>
      <c r="CV128" s="60">
        <f t="shared" ref="CV128:CV129" si="1006">+CU128</f>
        <v>47.762109929078022</v>
      </c>
      <c r="CW128" s="60">
        <f t="shared" ref="CW128:CW129" si="1007">+CV128</f>
        <v>47.762109929078022</v>
      </c>
      <c r="CX128" s="60">
        <f t="shared" ref="CX128:CX129" si="1008">+CW128</f>
        <v>47.762109929078022</v>
      </c>
      <c r="CY128" s="60">
        <f t="shared" ref="CY128:CY129" si="1009">+CX128</f>
        <v>47.762109929078022</v>
      </c>
      <c r="CZ128" s="60">
        <f t="shared" ref="CZ128:CZ129" si="1010">+CY128</f>
        <v>47.762109929078022</v>
      </c>
      <c r="DA128" s="60">
        <f t="shared" ref="DA128:DA129" si="1011">+CZ128</f>
        <v>47.762109929078022</v>
      </c>
      <c r="DB128" s="60">
        <f t="shared" ref="DB128:DB129" si="1012">+DA128</f>
        <v>47.762109929078022</v>
      </c>
      <c r="DE128" s="136"/>
      <c r="DF128" s="13">
        <v>49.592824110191557</v>
      </c>
    </row>
    <row r="129" spans="1:110" s="13" customFormat="1" x14ac:dyDescent="0.2">
      <c r="A129" s="13" t="s">
        <v>462</v>
      </c>
      <c r="B129" s="13" t="e">
        <f t="shared" ref="B129:D129" si="1013">+B121/B111</f>
        <v>#DIV/0!</v>
      </c>
      <c r="C129" s="13" t="e">
        <f t="shared" si="1013"/>
        <v>#DIV/0!</v>
      </c>
      <c r="D129" s="13" t="e">
        <f t="shared" si="1013"/>
        <v>#DIV/0!</v>
      </c>
      <c r="E129" s="13" t="e">
        <f t="shared" ref="E129:AE129" ca="1" si="1014">+E121/E111</f>
        <v>#DIV/0!</v>
      </c>
      <c r="F129" s="13" t="e">
        <f t="shared" ca="1" si="1014"/>
        <v>#DIV/0!</v>
      </c>
      <c r="G129" s="13" t="e">
        <f t="shared" ca="1" si="1014"/>
        <v>#DIV/0!</v>
      </c>
      <c r="H129" s="13" t="e">
        <f t="shared" ca="1" si="1014"/>
        <v>#DIV/0!</v>
      </c>
      <c r="I129" s="13" t="e">
        <f t="shared" ca="1" si="1014"/>
        <v>#DIV/0!</v>
      </c>
      <c r="J129" s="13" t="e">
        <f t="shared" ca="1" si="1014"/>
        <v>#DIV/0!</v>
      </c>
      <c r="K129" s="13" t="e">
        <f t="shared" ca="1" si="1014"/>
        <v>#DIV/0!</v>
      </c>
      <c r="L129" s="13" t="e">
        <f t="shared" ca="1" si="1014"/>
        <v>#DIV/0!</v>
      </c>
      <c r="M129" s="13" t="e">
        <f t="shared" ca="1" si="1014"/>
        <v>#DIV/0!</v>
      </c>
      <c r="N129" s="13" t="e">
        <f t="shared" ca="1" si="1014"/>
        <v>#DIV/0!</v>
      </c>
      <c r="O129" s="13" t="e">
        <f t="shared" ca="1" si="1014"/>
        <v>#DIV/0!</v>
      </c>
      <c r="P129" s="13" t="e">
        <f t="shared" ca="1" si="1014"/>
        <v>#DIV/0!</v>
      </c>
      <c r="Q129" s="13" t="e">
        <f t="shared" ca="1" si="1014"/>
        <v>#DIV/0!</v>
      </c>
      <c r="R129" s="13" t="e">
        <f t="shared" ca="1" si="1014"/>
        <v>#DIV/0!</v>
      </c>
      <c r="S129" s="13" t="e">
        <f t="shared" ca="1" si="1014"/>
        <v>#DIV/0!</v>
      </c>
      <c r="T129" s="13" t="e">
        <f t="shared" ca="1" si="1014"/>
        <v>#DIV/0!</v>
      </c>
      <c r="U129" s="13" t="e">
        <f t="shared" ca="1" si="1014"/>
        <v>#DIV/0!</v>
      </c>
      <c r="V129" s="13" t="e">
        <f t="shared" ca="1" si="1014"/>
        <v>#DIV/0!</v>
      </c>
      <c r="W129" s="13" t="e">
        <f t="shared" ca="1" si="1014"/>
        <v>#DIV/0!</v>
      </c>
      <c r="X129" s="13" t="e">
        <f t="shared" ca="1" si="1014"/>
        <v>#DIV/0!</v>
      </c>
      <c r="Y129" s="13" t="e">
        <f t="shared" ca="1" si="1014"/>
        <v>#DIV/0!</v>
      </c>
      <c r="Z129" s="13" t="e">
        <f t="shared" ref="Z129:AA129" ca="1" si="1015">+Z121/Z111</f>
        <v>#DIV/0!</v>
      </c>
      <c r="AA129" s="13" t="e">
        <f t="shared" ca="1" si="1015"/>
        <v>#DIV/0!</v>
      </c>
      <c r="AB129" s="60" t="e">
        <f t="shared" ca="1" si="1014"/>
        <v>#DIV/0!</v>
      </c>
      <c r="AC129" s="60" t="e">
        <f t="shared" ca="1" si="1014"/>
        <v>#DIV/0!</v>
      </c>
      <c r="AD129" s="60" t="e">
        <f t="shared" ca="1" si="1014"/>
        <v>#DIV/0!</v>
      </c>
      <c r="AE129" s="60" t="e">
        <f t="shared" ca="1" si="1014"/>
        <v>#DIV/0!</v>
      </c>
      <c r="AL129" s="13" t="e">
        <f t="shared" ref="AL129:BQ129" si="1016">+AL121/AL111</f>
        <v>#DIV/0!</v>
      </c>
      <c r="AM129" s="13" t="e">
        <f t="shared" si="1016"/>
        <v>#DIV/0!</v>
      </c>
      <c r="AN129" s="13" t="e">
        <f t="shared" si="1016"/>
        <v>#DIV/0!</v>
      </c>
      <c r="AO129" s="13" t="e">
        <f t="shared" si="1016"/>
        <v>#DIV/0!</v>
      </c>
      <c r="AP129" s="13" t="e">
        <f t="shared" si="1016"/>
        <v>#DIV/0!</v>
      </c>
      <c r="AQ129" s="13" t="e">
        <f t="shared" si="1016"/>
        <v>#DIV/0!</v>
      </c>
      <c r="AR129" s="13" t="e">
        <f t="shared" si="1016"/>
        <v>#DIV/0!</v>
      </c>
      <c r="AS129" s="13" t="e">
        <f t="shared" si="1016"/>
        <v>#DIV/0!</v>
      </c>
      <c r="AT129" s="13" t="e">
        <f t="shared" si="1016"/>
        <v>#DIV/0!</v>
      </c>
      <c r="AU129" s="13">
        <f t="shared" si="1016"/>
        <v>0</v>
      </c>
      <c r="AV129" s="13">
        <f t="shared" si="1016"/>
        <v>0</v>
      </c>
      <c r="AW129" s="13">
        <f t="shared" si="1016"/>
        <v>0</v>
      </c>
      <c r="AX129" s="13">
        <f t="shared" si="1016"/>
        <v>0</v>
      </c>
      <c r="AY129" s="13">
        <f t="shared" si="1016"/>
        <v>0</v>
      </c>
      <c r="AZ129" s="13">
        <f t="shared" si="1016"/>
        <v>47.79720103491146</v>
      </c>
      <c r="BA129" s="13">
        <f t="shared" si="1016"/>
        <v>46.784056740216975</v>
      </c>
      <c r="BB129" s="13">
        <f t="shared" si="1016"/>
        <v>50.255171301435574</v>
      </c>
      <c r="BC129" s="13">
        <f t="shared" si="1016"/>
        <v>47.017802402651192</v>
      </c>
      <c r="BD129" s="13">
        <f t="shared" si="1016"/>
        <v>41.511796087729699</v>
      </c>
      <c r="BE129" s="13">
        <f t="shared" si="1016"/>
        <v>36.117520191611426</v>
      </c>
      <c r="BF129" s="13">
        <f t="shared" si="1016"/>
        <v>31.679936305732483</v>
      </c>
      <c r="BG129" s="13">
        <f t="shared" si="1016"/>
        <v>32.180331096952102</v>
      </c>
      <c r="BH129" s="13">
        <f t="shared" si="1016"/>
        <v>30.503160473091242</v>
      </c>
      <c r="BI129" s="13">
        <f t="shared" si="1016"/>
        <v>29.358926264991776</v>
      </c>
      <c r="BJ129" s="13">
        <f t="shared" si="1016"/>
        <v>30.034891551170681</v>
      </c>
      <c r="BK129" s="13">
        <f t="shared" si="1016"/>
        <v>25.28968725479206</v>
      </c>
      <c r="BL129" s="13">
        <f t="shared" si="1016"/>
        <v>21.792058585858584</v>
      </c>
      <c r="BM129" s="13">
        <f t="shared" si="1016"/>
        <v>24.306548805717505</v>
      </c>
      <c r="BN129" s="13">
        <f t="shared" si="1016"/>
        <v>22.89911218724783</v>
      </c>
      <c r="BO129" s="13">
        <f t="shared" si="1016"/>
        <v>38.002631242312489</v>
      </c>
      <c r="BP129" s="13">
        <f t="shared" si="1016"/>
        <v>33.989152035203588</v>
      </c>
      <c r="BQ129" s="13">
        <f t="shared" si="1016"/>
        <v>49.507673486257552</v>
      </c>
      <c r="BR129" s="13">
        <f t="shared" ref="BR129:CH129" si="1017">+BR121/BR111</f>
        <v>38.917627696467342</v>
      </c>
      <c r="BS129" s="13">
        <f t="shared" si="1017"/>
        <v>28.378205052240752</v>
      </c>
      <c r="BT129" s="13">
        <f t="shared" si="1017"/>
        <v>30.223058900630761</v>
      </c>
      <c r="BU129" s="13">
        <f t="shared" si="1017"/>
        <v>26.083086137654092</v>
      </c>
      <c r="BV129" s="13">
        <f t="shared" si="1017"/>
        <v>22.367984474107768</v>
      </c>
      <c r="BW129" s="13">
        <f t="shared" si="1017"/>
        <v>23.14087904360056</v>
      </c>
      <c r="BX129" s="13">
        <f t="shared" si="1017"/>
        <v>39.839799749687096</v>
      </c>
      <c r="BY129" s="13">
        <f t="shared" si="1017"/>
        <v>43.541172501823404</v>
      </c>
      <c r="BZ129" s="13">
        <f t="shared" si="1017"/>
        <v>34.227956989247367</v>
      </c>
      <c r="CA129" s="13">
        <f t="shared" si="1017"/>
        <v>37.963392728281889</v>
      </c>
      <c r="CB129" s="13">
        <f t="shared" si="1017"/>
        <v>41.852186986863778</v>
      </c>
      <c r="CC129" s="13">
        <f t="shared" si="1017"/>
        <v>41.332906438989575</v>
      </c>
      <c r="CD129" s="13">
        <f t="shared" si="1017"/>
        <v>41.669768734397714</v>
      </c>
      <c r="CE129" s="13">
        <f t="shared" si="1017"/>
        <v>39.000759917568253</v>
      </c>
      <c r="CF129" s="13">
        <f t="shared" si="1017"/>
        <v>39.226106942955802</v>
      </c>
      <c r="CG129" s="13">
        <f t="shared" si="1017"/>
        <v>46.842712869029974</v>
      </c>
      <c r="CH129" s="13">
        <f t="shared" si="1017"/>
        <v>38.089572649572609</v>
      </c>
      <c r="CI129" s="13">
        <f t="shared" ref="CI129:CJ129" si="1018">+CI121/CI111</f>
        <v>32.908422767283831</v>
      </c>
      <c r="CJ129" s="13">
        <f t="shared" si="1018"/>
        <v>40.233391789973616</v>
      </c>
      <c r="CK129" s="13">
        <f t="shared" ref="CK129:CL129" si="1019">+CK121/CK111</f>
        <v>41.698466281846251</v>
      </c>
      <c r="CL129" s="13">
        <f t="shared" si="1019"/>
        <v>32.222374704491735</v>
      </c>
      <c r="CM129" s="60">
        <f t="shared" si="997"/>
        <v>32.222374704491735</v>
      </c>
      <c r="CN129" s="60">
        <f t="shared" si="998"/>
        <v>32.222374704491735</v>
      </c>
      <c r="CO129" s="60">
        <f t="shared" si="999"/>
        <v>32.222374704491735</v>
      </c>
      <c r="CP129" s="60">
        <f t="shared" si="1000"/>
        <v>32.222374704491735</v>
      </c>
      <c r="CQ129" s="60">
        <f t="shared" si="1001"/>
        <v>32.222374704491735</v>
      </c>
      <c r="CR129" s="60">
        <f t="shared" si="1002"/>
        <v>32.222374704491735</v>
      </c>
      <c r="CS129" s="60">
        <f t="shared" si="1003"/>
        <v>32.222374704491735</v>
      </c>
      <c r="CT129" s="60">
        <f t="shared" si="1004"/>
        <v>32.222374704491735</v>
      </c>
      <c r="CU129" s="60">
        <f t="shared" si="1005"/>
        <v>32.222374704491735</v>
      </c>
      <c r="CV129" s="60">
        <f t="shared" si="1006"/>
        <v>32.222374704491735</v>
      </c>
      <c r="CW129" s="60">
        <f t="shared" si="1007"/>
        <v>32.222374704491735</v>
      </c>
      <c r="CX129" s="60">
        <f t="shared" si="1008"/>
        <v>32.222374704491735</v>
      </c>
      <c r="CY129" s="60">
        <f t="shared" si="1009"/>
        <v>32.222374704491735</v>
      </c>
      <c r="CZ129" s="60">
        <f t="shared" si="1010"/>
        <v>32.222374704491735</v>
      </c>
      <c r="DA129" s="60">
        <f t="shared" si="1011"/>
        <v>32.222374704491735</v>
      </c>
      <c r="DB129" s="60">
        <f t="shared" si="1012"/>
        <v>32.222374704491735</v>
      </c>
      <c r="DE129" s="136"/>
      <c r="DF129" s="13">
        <v>33.457453272173545</v>
      </c>
    </row>
    <row r="130" spans="1:110" s="13" customFormat="1" x14ac:dyDescent="0.2">
      <c r="AB130" s="60"/>
      <c r="AC130" s="60"/>
      <c r="AD130" s="60"/>
      <c r="AE130" s="60"/>
      <c r="CM130" s="60"/>
      <c r="CN130" s="60"/>
      <c r="CO130" s="60"/>
      <c r="CP130" s="60"/>
      <c r="CQ130" s="60"/>
      <c r="CR130" s="60"/>
      <c r="CS130" s="60"/>
      <c r="CT130" s="60"/>
      <c r="CU130" s="60"/>
      <c r="CV130" s="60"/>
      <c r="CW130" s="60"/>
      <c r="CX130" s="60"/>
      <c r="CY130" s="60"/>
      <c r="CZ130" s="60"/>
      <c r="DA130" s="60"/>
      <c r="DB130" s="60"/>
      <c r="DE130" s="136"/>
    </row>
    <row r="131" spans="1:110" s="13" customFormat="1" x14ac:dyDescent="0.2">
      <c r="A131" s="13" t="s">
        <v>463</v>
      </c>
      <c r="B131" s="13" t="e">
        <f t="shared" ref="B131:AD131" si="1020">+B120/C111</f>
        <v>#DIV/0!</v>
      </c>
      <c r="C131" s="13" t="e">
        <f t="shared" si="1020"/>
        <v>#DIV/0!</v>
      </c>
      <c r="D131" s="13" t="e">
        <f t="shared" ca="1" si="1020"/>
        <v>#DIV/0!</v>
      </c>
      <c r="E131" s="13" t="e">
        <f t="shared" ca="1" si="1020"/>
        <v>#DIV/0!</v>
      </c>
      <c r="F131" s="13" t="e">
        <f t="shared" ca="1" si="1020"/>
        <v>#DIV/0!</v>
      </c>
      <c r="G131" s="13" t="e">
        <f t="shared" ca="1" si="1020"/>
        <v>#DIV/0!</v>
      </c>
      <c r="H131" s="13" t="e">
        <f t="shared" ca="1" si="1020"/>
        <v>#DIV/0!</v>
      </c>
      <c r="I131" s="13" t="e">
        <f t="shared" ca="1" si="1020"/>
        <v>#DIV/0!</v>
      </c>
      <c r="J131" s="13" t="e">
        <f t="shared" ca="1" si="1020"/>
        <v>#DIV/0!</v>
      </c>
      <c r="K131" s="13" t="e">
        <f t="shared" ca="1" si="1020"/>
        <v>#DIV/0!</v>
      </c>
      <c r="L131" s="13" t="e">
        <f t="shared" ca="1" si="1020"/>
        <v>#DIV/0!</v>
      </c>
      <c r="M131" s="13" t="e">
        <f t="shared" ca="1" si="1020"/>
        <v>#DIV/0!</v>
      </c>
      <c r="N131" s="13" t="e">
        <f t="shared" ca="1" si="1020"/>
        <v>#DIV/0!</v>
      </c>
      <c r="O131" s="13" t="e">
        <f t="shared" ca="1" si="1020"/>
        <v>#DIV/0!</v>
      </c>
      <c r="P131" s="13" t="e">
        <f t="shared" ca="1" si="1020"/>
        <v>#DIV/0!</v>
      </c>
      <c r="Q131" s="13" t="e">
        <f t="shared" ca="1" si="1020"/>
        <v>#DIV/0!</v>
      </c>
      <c r="R131" s="13" t="e">
        <f t="shared" ca="1" si="1020"/>
        <v>#DIV/0!</v>
      </c>
      <c r="S131" s="13" t="e">
        <f t="shared" ca="1" si="1020"/>
        <v>#DIV/0!</v>
      </c>
      <c r="T131" s="13" t="e">
        <f t="shared" ca="1" si="1020"/>
        <v>#DIV/0!</v>
      </c>
      <c r="U131" s="13" t="e">
        <f t="shared" ca="1" si="1020"/>
        <v>#DIV/0!</v>
      </c>
      <c r="V131" s="13" t="e">
        <f t="shared" ca="1" si="1020"/>
        <v>#DIV/0!</v>
      </c>
      <c r="W131" s="13" t="e">
        <f t="shared" ca="1" si="1020"/>
        <v>#DIV/0!</v>
      </c>
      <c r="X131" s="13" t="e">
        <f t="shared" ca="1" si="1020"/>
        <v>#DIV/0!</v>
      </c>
      <c r="Y131" s="13" t="e">
        <f t="shared" ca="1" si="1020"/>
        <v>#DIV/0!</v>
      </c>
      <c r="Z131" s="13" t="e">
        <f t="shared" ref="Z131:AA131" ca="1" si="1021">+Z120/AA111</f>
        <v>#DIV/0!</v>
      </c>
      <c r="AA131" s="13" t="e">
        <f t="shared" ca="1" si="1021"/>
        <v>#DIV/0!</v>
      </c>
      <c r="AB131" s="37" t="e">
        <f t="shared" ca="1" si="1020"/>
        <v>#DIV/0!</v>
      </c>
      <c r="AC131" s="37" t="e">
        <f t="shared" ca="1" si="1020"/>
        <v>#DIV/0!</v>
      </c>
      <c r="AD131" s="37" t="e">
        <f t="shared" ca="1" si="1020"/>
        <v>#DIV/0!</v>
      </c>
      <c r="AE131" s="37"/>
      <c r="AL131" s="13" t="e">
        <f t="shared" ref="AL131:BQ131" si="1022">+AL120/AP111</f>
        <v>#DIV/0!</v>
      </c>
      <c r="AM131" s="13" t="e">
        <f t="shared" si="1022"/>
        <v>#DIV/0!</v>
      </c>
      <c r="AN131" s="13" t="e">
        <f t="shared" si="1022"/>
        <v>#DIV/0!</v>
      </c>
      <c r="AO131" s="13" t="e">
        <f t="shared" si="1022"/>
        <v>#DIV/0!</v>
      </c>
      <c r="AP131" s="13" t="e">
        <f t="shared" si="1022"/>
        <v>#DIV/0!</v>
      </c>
      <c r="AQ131" s="13">
        <f t="shared" si="1022"/>
        <v>0</v>
      </c>
      <c r="AR131" s="13">
        <f t="shared" si="1022"/>
        <v>0</v>
      </c>
      <c r="AS131" s="13">
        <f t="shared" si="1022"/>
        <v>0</v>
      </c>
      <c r="AT131" s="13">
        <f t="shared" si="1022"/>
        <v>0</v>
      </c>
      <c r="AU131" s="13">
        <f t="shared" si="1022"/>
        <v>0</v>
      </c>
      <c r="AV131" s="13">
        <f t="shared" si="1022"/>
        <v>0</v>
      </c>
      <c r="AW131" s="13">
        <f t="shared" si="1022"/>
        <v>0</v>
      </c>
      <c r="AX131" s="13">
        <f t="shared" si="1022"/>
        <v>0</v>
      </c>
      <c r="AY131" s="13">
        <f t="shared" si="1022"/>
        <v>45.925802609776305</v>
      </c>
      <c r="AZ131" s="13">
        <f t="shared" si="1022"/>
        <v>42.011824540604621</v>
      </c>
      <c r="BA131" s="13">
        <f t="shared" si="1022"/>
        <v>42.544913941959557</v>
      </c>
      <c r="BB131" s="13">
        <f t="shared" si="1022"/>
        <v>41.281180159794332</v>
      </c>
      <c r="BC131" s="13">
        <f t="shared" si="1022"/>
        <v>43.647722126109443</v>
      </c>
      <c r="BD131" s="13">
        <f t="shared" si="1022"/>
        <v>43.048051648120925</v>
      </c>
      <c r="BE131" s="13">
        <f t="shared" si="1022"/>
        <v>40.210744446809962</v>
      </c>
      <c r="BF131" s="13">
        <f t="shared" si="1022"/>
        <v>45.176963432777441</v>
      </c>
      <c r="BG131" s="13">
        <f t="shared" si="1022"/>
        <v>43.115868923513858</v>
      </c>
      <c r="BH131" s="13">
        <f t="shared" si="1022"/>
        <v>37.351690235690178</v>
      </c>
      <c r="BI131" s="13">
        <f t="shared" si="1022"/>
        <v>33.823121434392775</v>
      </c>
      <c r="BJ131" s="13">
        <f t="shared" si="1022"/>
        <v>33.739887005649763</v>
      </c>
      <c r="BK131" s="13">
        <f t="shared" si="1022"/>
        <v>42.677589175891825</v>
      </c>
      <c r="BL131" s="13">
        <f t="shared" si="1022"/>
        <v>37.463007260726073</v>
      </c>
      <c r="BM131" s="13">
        <f t="shared" si="1022"/>
        <v>39.768620789419366</v>
      </c>
      <c r="BN131" s="13">
        <f t="shared" si="1022"/>
        <v>32.249709633809474</v>
      </c>
      <c r="BO131" s="13">
        <f t="shared" si="1022"/>
        <v>18.292193320297869</v>
      </c>
      <c r="BP131" s="13">
        <f t="shared" si="1022"/>
        <v>22.041449987711971</v>
      </c>
      <c r="BQ131" s="13">
        <f t="shared" si="1022"/>
        <v>33.392521811383467</v>
      </c>
      <c r="BR131" s="13">
        <f t="shared" ref="BR131:CL131" si="1023">+BR120/BV111</f>
        <v>30.319204014011209</v>
      </c>
      <c r="BS131" s="13">
        <f t="shared" si="1023"/>
        <v>54.69119643694323</v>
      </c>
      <c r="BT131" s="13">
        <f t="shared" si="1023"/>
        <v>91.936977889027858</v>
      </c>
      <c r="BU131" s="13">
        <f t="shared" si="1023"/>
        <v>94.105816921954684</v>
      </c>
      <c r="BV131" s="13">
        <f t="shared" si="1023"/>
        <v>92.974979321753537</v>
      </c>
      <c r="BW131" s="13">
        <f t="shared" si="1023"/>
        <v>81.011247293921699</v>
      </c>
      <c r="BX131" s="13">
        <f t="shared" si="1023"/>
        <v>60.383285098522137</v>
      </c>
      <c r="BY131" s="13">
        <f t="shared" si="1023"/>
        <v>62.201575443410952</v>
      </c>
      <c r="BZ131" s="13">
        <f t="shared" si="1023"/>
        <v>46.565038858273255</v>
      </c>
      <c r="CA131" s="13">
        <f t="shared" si="1023"/>
        <v>36.622789799072635</v>
      </c>
      <c r="CB131" s="13">
        <f t="shared" si="1023"/>
        <v>38.543748957961164</v>
      </c>
      <c r="CC131" s="13">
        <f t="shared" si="1023"/>
        <v>41.61780918727915</v>
      </c>
      <c r="CD131" s="13">
        <f t="shared" si="1023"/>
        <v>41.794333515184654</v>
      </c>
      <c r="CE131" s="13">
        <f t="shared" si="1023"/>
        <v>33.987836982739672</v>
      </c>
      <c r="CF131" s="13">
        <f t="shared" si="1023"/>
        <v>38.628043529319676</v>
      </c>
      <c r="CG131" s="13">
        <f t="shared" si="1023"/>
        <v>38.765202494378414</v>
      </c>
      <c r="CH131" s="13">
        <f t="shared" si="1023"/>
        <v>33.018801812450789</v>
      </c>
      <c r="CI131" s="13">
        <f t="shared" si="1023"/>
        <v>32.810959727926544</v>
      </c>
      <c r="CJ131" s="13">
        <f t="shared" si="1023"/>
        <v>43.107878546127708</v>
      </c>
      <c r="CK131" s="13">
        <f t="shared" si="1023"/>
        <v>45.80240500087713</v>
      </c>
      <c r="CL131" s="13">
        <f t="shared" si="1023"/>
        <v>41.376285892449872</v>
      </c>
      <c r="CM131" s="37"/>
      <c r="CN131" s="37"/>
      <c r="CO131" s="37"/>
      <c r="CP131" s="37"/>
      <c r="CQ131" s="37"/>
      <c r="CR131" s="37"/>
      <c r="CS131" s="37"/>
      <c r="CT131" s="37"/>
      <c r="CU131" s="37"/>
      <c r="CV131" s="37"/>
      <c r="CW131" s="37"/>
      <c r="CX131" s="37"/>
      <c r="CY131" s="37"/>
      <c r="CZ131" s="37"/>
      <c r="DA131" s="37"/>
      <c r="DB131" s="37"/>
      <c r="DE131" s="134"/>
      <c r="DF131" s="13">
        <v>41.96805981871006</v>
      </c>
    </row>
    <row r="132" spans="1:110" s="98" customFormat="1" x14ac:dyDescent="0.2">
      <c r="A132" s="98" t="s">
        <v>426</v>
      </c>
      <c r="AB132" s="99"/>
      <c r="AC132" s="99"/>
      <c r="AD132" s="99"/>
      <c r="AE132" s="99"/>
      <c r="AL132" s="174"/>
      <c r="AM132" s="174"/>
      <c r="AN132" s="174"/>
      <c r="AO132" s="174" t="e">
        <f t="shared" ref="AO132:CI132" si="1024">+CORREL(AL111:AO111,AL128:AO128)</f>
        <v>#DIV/0!</v>
      </c>
      <c r="AP132" s="174" t="e">
        <f t="shared" si="1024"/>
        <v>#DIV/0!</v>
      </c>
      <c r="AQ132" s="174" t="e">
        <f t="shared" si="1024"/>
        <v>#DIV/0!</v>
      </c>
      <c r="AR132" s="174" t="e">
        <f t="shared" si="1024"/>
        <v>#DIV/0!</v>
      </c>
      <c r="AS132" s="174" t="e">
        <f t="shared" si="1024"/>
        <v>#DIV/0!</v>
      </c>
      <c r="AT132" s="174" t="e">
        <f t="shared" si="1024"/>
        <v>#DIV/0!</v>
      </c>
      <c r="AU132" s="174" t="e">
        <f t="shared" si="1024"/>
        <v>#DIV/0!</v>
      </c>
      <c r="AV132" s="174" t="e">
        <f t="shared" si="1024"/>
        <v>#DIV/0!</v>
      </c>
      <c r="AW132" s="174" t="e">
        <f t="shared" si="1024"/>
        <v>#DIV/0!</v>
      </c>
      <c r="AX132" s="174" t="e">
        <f t="shared" si="1024"/>
        <v>#DIV/0!</v>
      </c>
      <c r="AY132" s="174">
        <f t="shared" si="1024"/>
        <v>0.66843125005259918</v>
      </c>
      <c r="AZ132" s="174">
        <f t="shared" si="1024"/>
        <v>0.79168266881324079</v>
      </c>
      <c r="BA132" s="174">
        <f t="shared" si="1024"/>
        <v>0.80282120078416463</v>
      </c>
      <c r="BB132" s="174">
        <f t="shared" si="1024"/>
        <v>-0.95913603779641843</v>
      </c>
      <c r="BC132" s="174">
        <f t="shared" si="1024"/>
        <v>-0.97948718544000313</v>
      </c>
      <c r="BD132" s="174">
        <f t="shared" si="1024"/>
        <v>-0.99135306531251011</v>
      </c>
      <c r="BE132" s="174">
        <f t="shared" si="1024"/>
        <v>-0.97072018677543714</v>
      </c>
      <c r="BF132" s="174">
        <f t="shared" si="1024"/>
        <v>-0.98125220950969516</v>
      </c>
      <c r="BG132" s="174">
        <f t="shared" si="1024"/>
        <v>-0.95166086072520528</v>
      </c>
      <c r="BH132" s="174">
        <f t="shared" si="1024"/>
        <v>-0.83462500991701238</v>
      </c>
      <c r="BI132" s="174">
        <f t="shared" si="1024"/>
        <v>0.55329354727796665</v>
      </c>
      <c r="BJ132" s="174">
        <f t="shared" si="1024"/>
        <v>0.65927568106998036</v>
      </c>
      <c r="BK132" s="174">
        <f t="shared" si="1024"/>
        <v>0.38653548422555184</v>
      </c>
      <c r="BL132" s="174">
        <f t="shared" si="1024"/>
        <v>-0.60335974008491555</v>
      </c>
      <c r="BM132" s="174">
        <f t="shared" si="1024"/>
        <v>-0.81594124769590903</v>
      </c>
      <c r="BN132" s="174">
        <f t="shared" si="1024"/>
        <v>-0.43641405791938681</v>
      </c>
      <c r="BO132" s="174">
        <f t="shared" si="1024"/>
        <v>-0.90485876206496008</v>
      </c>
      <c r="BP132" s="174">
        <f t="shared" si="1024"/>
        <v>-0.79151428906707366</v>
      </c>
      <c r="BQ132" s="174">
        <f t="shared" si="1024"/>
        <v>-0.21313072503079294</v>
      </c>
      <c r="BR132" s="174">
        <f t="shared" si="1024"/>
        <v>-0.21282327047997066</v>
      </c>
      <c r="BS132" s="174">
        <f t="shared" si="1024"/>
        <v>-0.70449419550904713</v>
      </c>
      <c r="BT132" s="174">
        <f t="shared" si="1024"/>
        <v>-0.8605957207980216</v>
      </c>
      <c r="BU132" s="174">
        <f t="shared" si="1024"/>
        <v>-0.85074373373488499</v>
      </c>
      <c r="BV132" s="174">
        <f t="shared" si="1024"/>
        <v>-0.57400836653485743</v>
      </c>
      <c r="BW132" s="174">
        <f t="shared" si="1024"/>
        <v>0.8215637025203375</v>
      </c>
      <c r="BX132" s="174">
        <f t="shared" si="1024"/>
        <v>-0.87166727064094884</v>
      </c>
      <c r="BY132" s="174">
        <f t="shared" si="1024"/>
        <v>-0.94397929208877573</v>
      </c>
      <c r="BZ132" s="174">
        <f t="shared" si="1024"/>
        <v>-0.95044822352498459</v>
      </c>
      <c r="CA132" s="174">
        <f t="shared" si="1024"/>
        <v>0.32392539490105138</v>
      </c>
      <c r="CB132" s="174">
        <f t="shared" si="1024"/>
        <v>0.98292663939072511</v>
      </c>
      <c r="CC132" s="174">
        <f t="shared" si="1024"/>
        <v>0.78641233985279724</v>
      </c>
      <c r="CD132" s="174">
        <f t="shared" si="1024"/>
        <v>0.75162049109500162</v>
      </c>
      <c r="CE132" s="174">
        <f t="shared" si="1024"/>
        <v>-0.62360775106009725</v>
      </c>
      <c r="CF132" s="174">
        <f t="shared" si="1024"/>
        <v>5.1878102827444213E-2</v>
      </c>
      <c r="CG132" s="174">
        <f t="shared" si="1024"/>
        <v>0.67453301860760539</v>
      </c>
      <c r="CH132" s="174">
        <f t="shared" si="1024"/>
        <v>0.88271808212047076</v>
      </c>
      <c r="CI132" s="174">
        <f t="shared" si="1024"/>
        <v>-0.77790432743745752</v>
      </c>
      <c r="CJ132" s="174">
        <f>+CORREL(CG111:CJ111,CG128:CJ128)</f>
        <v>-0.41667002139822656</v>
      </c>
      <c r="CK132" s="174">
        <f>+CORREL(CH111:CK111,CH128:CK128)</f>
        <v>0.13316509348330163</v>
      </c>
      <c r="CL132" s="174">
        <f>+CORREL(CI111:CL111,CI128:CL128)</f>
        <v>-0.43916386118950013</v>
      </c>
      <c r="CM132" s="99"/>
      <c r="CN132" s="99"/>
      <c r="CO132" s="99"/>
      <c r="CP132" s="99"/>
      <c r="CQ132" s="99"/>
      <c r="CR132" s="99"/>
      <c r="CS132" s="99"/>
      <c r="CT132" s="99"/>
      <c r="CU132" s="99"/>
      <c r="CV132" s="99"/>
      <c r="CW132" s="99"/>
      <c r="CX132" s="99"/>
      <c r="CY132" s="99"/>
      <c r="CZ132" s="99"/>
      <c r="DA132" s="99"/>
      <c r="DB132" s="99"/>
      <c r="DE132" s="137"/>
      <c r="DF132" s="98">
        <v>-0.28678162984596822</v>
      </c>
    </row>
    <row r="133" spans="1:110" s="4" customFormat="1" x14ac:dyDescent="0.2">
      <c r="A133" s="3"/>
      <c r="AB133" s="17"/>
      <c r="AC133" s="17"/>
      <c r="AD133" s="17"/>
      <c r="AE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E133" s="119"/>
    </row>
    <row r="134" spans="1:110" s="161" customFormat="1" x14ac:dyDescent="0.2">
      <c r="A134" s="49" t="s">
        <v>505</v>
      </c>
      <c r="E134" s="161" t="e">
        <f t="shared" ref="E134:AE134" ca="1" si="1025">+E$162/E$107</f>
        <v>#DIV/0!</v>
      </c>
      <c r="F134" s="161" t="e">
        <f t="shared" ca="1" si="1025"/>
        <v>#DIV/0!</v>
      </c>
      <c r="G134" s="161" t="e">
        <f t="shared" ca="1" si="1025"/>
        <v>#DIV/0!</v>
      </c>
      <c r="H134" s="161" t="e">
        <f t="shared" ca="1" si="1025"/>
        <v>#DIV/0!</v>
      </c>
      <c r="I134" s="161" t="e">
        <f t="shared" ca="1" si="1025"/>
        <v>#DIV/0!</v>
      </c>
      <c r="J134" s="161" t="e">
        <f t="shared" ca="1" si="1025"/>
        <v>#DIV/0!</v>
      </c>
      <c r="K134" s="161" t="e">
        <f t="shared" ca="1" si="1025"/>
        <v>#DIV/0!</v>
      </c>
      <c r="L134" s="161" t="e">
        <f t="shared" ca="1" si="1025"/>
        <v>#DIV/0!</v>
      </c>
      <c r="M134" s="161" t="e">
        <f t="shared" ca="1" si="1025"/>
        <v>#DIV/0!</v>
      </c>
      <c r="N134" s="161" t="e">
        <f t="shared" ca="1" si="1025"/>
        <v>#DIV/0!</v>
      </c>
      <c r="O134" s="161" t="e">
        <f t="shared" ca="1" si="1025"/>
        <v>#DIV/0!</v>
      </c>
      <c r="P134" s="161" t="e">
        <f t="shared" ca="1" si="1025"/>
        <v>#DIV/0!</v>
      </c>
      <c r="Q134" s="161" t="e">
        <f t="shared" ca="1" si="1025"/>
        <v>#DIV/0!</v>
      </c>
      <c r="R134" s="161" t="e">
        <f t="shared" ca="1" si="1025"/>
        <v>#DIV/0!</v>
      </c>
      <c r="S134" s="161" t="e">
        <f t="shared" ca="1" si="1025"/>
        <v>#DIV/0!</v>
      </c>
      <c r="T134" s="161" t="e">
        <f t="shared" ca="1" si="1025"/>
        <v>#DIV/0!</v>
      </c>
      <c r="U134" s="161" t="e">
        <f t="shared" ca="1" si="1025"/>
        <v>#DIV/0!</v>
      </c>
      <c r="V134" s="161" t="e">
        <f t="shared" ca="1" si="1025"/>
        <v>#DIV/0!</v>
      </c>
      <c r="W134" s="161" t="e">
        <f t="shared" ca="1" si="1025"/>
        <v>#DIV/0!</v>
      </c>
      <c r="X134" s="161" t="e">
        <f t="shared" ca="1" si="1025"/>
        <v>#DIV/0!</v>
      </c>
      <c r="Y134" s="161" t="e">
        <f t="shared" ca="1" si="1025"/>
        <v>#DIV/0!</v>
      </c>
      <c r="Z134" s="161" t="e">
        <f t="shared" ca="1" si="1025"/>
        <v>#DIV/0!</v>
      </c>
      <c r="AA134" s="161" t="e">
        <f t="shared" ca="1" si="1025"/>
        <v>#DIV/0!</v>
      </c>
      <c r="AB134" s="21" t="e">
        <f t="shared" ca="1" si="1025"/>
        <v>#DIV/0!</v>
      </c>
      <c r="AC134" s="21" t="e">
        <f t="shared" ca="1" si="1025"/>
        <v>#DIV/0!</v>
      </c>
      <c r="AD134" s="21" t="e">
        <f t="shared" ca="1" si="1025"/>
        <v>#DIV/0!</v>
      </c>
      <c r="AE134" s="21" t="e">
        <f t="shared" ca="1" si="1025"/>
        <v>#DIV/0!</v>
      </c>
      <c r="AL134" s="161">
        <f t="shared" ref="AL134:BQ134" si="1026">+AL$162/AL$107</f>
        <v>0</v>
      </c>
      <c r="AM134" s="161">
        <f t="shared" si="1026"/>
        <v>0</v>
      </c>
      <c r="AN134" s="161">
        <f t="shared" si="1026"/>
        <v>0</v>
      </c>
      <c r="AO134" s="161">
        <f t="shared" si="1026"/>
        <v>0</v>
      </c>
      <c r="AP134" s="161">
        <f t="shared" si="1026"/>
        <v>0</v>
      </c>
      <c r="AQ134" s="161">
        <f t="shared" si="1026"/>
        <v>0</v>
      </c>
      <c r="AR134" s="161">
        <f t="shared" si="1026"/>
        <v>0</v>
      </c>
      <c r="AS134" s="161">
        <f t="shared" si="1026"/>
        <v>0</v>
      </c>
      <c r="AT134" s="161">
        <f t="shared" si="1026"/>
        <v>0</v>
      </c>
      <c r="AU134" s="161">
        <f t="shared" si="1026"/>
        <v>0.73913043478260843</v>
      </c>
      <c r="AV134" s="161">
        <f t="shared" si="1026"/>
        <v>0</v>
      </c>
      <c r="AW134" s="161">
        <f t="shared" si="1026"/>
        <v>0.67944207087207886</v>
      </c>
      <c r="AX134" s="161">
        <f t="shared" si="1026"/>
        <v>22.971223925609451</v>
      </c>
      <c r="AY134" s="161">
        <f t="shared" si="1026"/>
        <v>24.04423221915054</v>
      </c>
      <c r="AZ134" s="161">
        <f t="shared" si="1026"/>
        <v>25.341920080422216</v>
      </c>
      <c r="BA134" s="161">
        <f t="shared" si="1026"/>
        <v>25.918760995224929</v>
      </c>
      <c r="BB134" s="161">
        <f t="shared" si="1026"/>
        <v>25.622518220658456</v>
      </c>
      <c r="BC134" s="161">
        <f t="shared" si="1026"/>
        <v>27.005403367680319</v>
      </c>
      <c r="BD134" s="161">
        <f t="shared" si="1026"/>
        <v>26.754775069112842</v>
      </c>
      <c r="BE134" s="161">
        <f t="shared" si="1026"/>
        <v>28.10373209349083</v>
      </c>
      <c r="BF134" s="161">
        <f t="shared" si="1026"/>
        <v>27.851847197788388</v>
      </c>
      <c r="BG134" s="161">
        <f t="shared" si="1026"/>
        <v>29.322065845689867</v>
      </c>
      <c r="BH134" s="161">
        <f t="shared" si="1026"/>
        <v>28.358255843176678</v>
      </c>
      <c r="BI134" s="161">
        <f t="shared" si="1026"/>
        <v>29.624277456647398</v>
      </c>
      <c r="BJ134" s="161">
        <f t="shared" si="1026"/>
        <v>27.338527268157829</v>
      </c>
      <c r="BK134" s="161">
        <f t="shared" si="1026"/>
        <v>29.064463433023374</v>
      </c>
      <c r="BL134" s="161">
        <f t="shared" si="1026"/>
        <v>23.336893691882384</v>
      </c>
      <c r="BM134" s="161">
        <f t="shared" si="1026"/>
        <v>25.064086453882886</v>
      </c>
      <c r="BN134" s="161">
        <f t="shared" si="1026"/>
        <v>23.037195275194769</v>
      </c>
      <c r="BO134" s="161">
        <f t="shared" si="1026"/>
        <v>23.051646142246796</v>
      </c>
      <c r="BP134" s="161">
        <f t="shared" si="1026"/>
        <v>26.481528022116105</v>
      </c>
      <c r="BQ134" s="161">
        <f t="shared" si="1026"/>
        <v>28.516587082181449</v>
      </c>
      <c r="BR134" s="161">
        <f t="shared" ref="BR134:DB134" si="1027">+BR$162/BR$107</f>
        <v>26.845312892686604</v>
      </c>
      <c r="BS134" s="161">
        <f t="shared" si="1027"/>
        <v>30.337396330736365</v>
      </c>
      <c r="BT134" s="161">
        <f t="shared" si="1027"/>
        <v>30.310379492334754</v>
      </c>
      <c r="BU134" s="161">
        <f t="shared" si="1027"/>
        <v>31.661221412415177</v>
      </c>
      <c r="BV134" s="161">
        <f t="shared" si="1027"/>
        <v>33.08431766775572</v>
      </c>
      <c r="BW134" s="161">
        <f t="shared" si="1027"/>
        <v>34.449610454888166</v>
      </c>
      <c r="BX134" s="161">
        <f t="shared" si="1027"/>
        <v>30.951244031163608</v>
      </c>
      <c r="BY134" s="161">
        <f t="shared" si="1027"/>
        <v>31.876099522493089</v>
      </c>
      <c r="BZ134" s="161">
        <f t="shared" si="1027"/>
        <v>33.56999246041719</v>
      </c>
      <c r="CA134" s="161">
        <f t="shared" si="1027"/>
        <v>34.656948982156322</v>
      </c>
      <c r="CB134" s="161">
        <f t="shared" si="1027"/>
        <v>30.551017843679315</v>
      </c>
      <c r="CC134" s="161">
        <f t="shared" si="1027"/>
        <v>31.515456144759991</v>
      </c>
      <c r="CD134" s="161">
        <f t="shared" si="1027"/>
        <v>33.0968836391053</v>
      </c>
      <c r="CE134" s="161">
        <f t="shared" si="1027"/>
        <v>34.615481276702681</v>
      </c>
      <c r="CF134" s="161">
        <f t="shared" si="1027"/>
        <v>30.671022870067855</v>
      </c>
      <c r="CG134" s="161">
        <f t="shared" si="1027"/>
        <v>31.871701432520734</v>
      </c>
      <c r="CH134" s="161">
        <f t="shared" si="1027"/>
        <v>34.352224176928878</v>
      </c>
      <c r="CI134" s="161">
        <f t="shared" si="1027"/>
        <v>36.798190500125664</v>
      </c>
      <c r="CJ134" s="161">
        <f t="shared" si="1027"/>
        <v>33.56433777330988</v>
      </c>
      <c r="CK134" s="161">
        <f t="shared" si="1027"/>
        <v>35.387031917567228</v>
      </c>
      <c r="CL134" s="161">
        <f t="shared" si="1027"/>
        <v>36.78688112591103</v>
      </c>
      <c r="CM134" s="21">
        <f t="shared" si="1027"/>
        <v>39.497277286435256</v>
      </c>
      <c r="CN134" s="21">
        <f t="shared" si="1027"/>
        <v>42.708020577138726</v>
      </c>
      <c r="CO134" s="21">
        <f t="shared" si="1027"/>
        <v>45.572346902391232</v>
      </c>
      <c r="CP134" s="21">
        <f t="shared" si="1027"/>
        <v>49.058403062892118</v>
      </c>
      <c r="CQ134" s="21">
        <f t="shared" si="1027"/>
        <v>52.578781131628261</v>
      </c>
      <c r="CR134" s="21">
        <f t="shared" si="1027"/>
        <v>56.668297784094761</v>
      </c>
      <c r="CS134" s="21">
        <f t="shared" si="1027"/>
        <v>60.370104629984006</v>
      </c>
      <c r="CT134" s="21">
        <f t="shared" si="1027"/>
        <v>64.762079938488199</v>
      </c>
      <c r="CU134" s="21">
        <f t="shared" si="1027"/>
        <v>69.2005651445143</v>
      </c>
      <c r="CV134" s="21">
        <f t="shared" si="1027"/>
        <v>74.29994007691694</v>
      </c>
      <c r="CW134" s="21">
        <f t="shared" si="1027"/>
        <v>78.917606806616632</v>
      </c>
      <c r="CX134" s="21">
        <f t="shared" si="1027"/>
        <v>84.323394183212145</v>
      </c>
      <c r="CY134" s="21">
        <f t="shared" si="1027"/>
        <v>89.830090504132926</v>
      </c>
      <c r="CZ134" s="21">
        <f t="shared" si="1027"/>
        <v>96.11723735397382</v>
      </c>
      <c r="DA134" s="21">
        <f t="shared" si="1027"/>
        <v>101.82434801156657</v>
      </c>
      <c r="DB134" s="21">
        <f t="shared" si="1027"/>
        <v>108.47041014641107</v>
      </c>
      <c r="DE134" s="22"/>
      <c r="DF134" s="161">
        <v>37.954511107633571</v>
      </c>
    </row>
    <row r="135" spans="1:110" s="161" customFormat="1" x14ac:dyDescent="0.2">
      <c r="A135" s="49" t="s">
        <v>501</v>
      </c>
      <c r="AB135" s="21"/>
      <c r="AC135" s="21"/>
      <c r="AD135" s="21"/>
      <c r="AE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E135" s="22"/>
    </row>
    <row r="136" spans="1:110" s="161" customFormat="1" x14ac:dyDescent="0.2">
      <c r="A136" s="49" t="s">
        <v>502</v>
      </c>
      <c r="E136" s="161" t="e">
        <f t="shared" ref="E136:AE138" ca="1" si="1028">+E119/E$134</f>
        <v>#DIV/0!</v>
      </c>
      <c r="F136" s="161" t="e">
        <f t="shared" ca="1" si="1028"/>
        <v>#DIV/0!</v>
      </c>
      <c r="G136" s="161" t="e">
        <f t="shared" ca="1" si="1028"/>
        <v>#DIV/0!</v>
      </c>
      <c r="H136" s="161" t="e">
        <f t="shared" ca="1" si="1028"/>
        <v>#DIV/0!</v>
      </c>
      <c r="I136" s="161" t="e">
        <f t="shared" ca="1" si="1028"/>
        <v>#DIV/0!</v>
      </c>
      <c r="J136" s="161" t="e">
        <f t="shared" ca="1" si="1028"/>
        <v>#DIV/0!</v>
      </c>
      <c r="K136" s="161" t="e">
        <f t="shared" ca="1" si="1028"/>
        <v>#DIV/0!</v>
      </c>
      <c r="L136" s="161" t="e">
        <f t="shared" ca="1" si="1028"/>
        <v>#DIV/0!</v>
      </c>
      <c r="M136" s="161" t="e">
        <f t="shared" ca="1" si="1028"/>
        <v>#DIV/0!</v>
      </c>
      <c r="N136" s="161" t="e">
        <f t="shared" ca="1" si="1028"/>
        <v>#DIV/0!</v>
      </c>
      <c r="O136" s="161" t="e">
        <f t="shared" ca="1" si="1028"/>
        <v>#DIV/0!</v>
      </c>
      <c r="P136" s="161" t="e">
        <f t="shared" ca="1" si="1028"/>
        <v>#DIV/0!</v>
      </c>
      <c r="Q136" s="161" t="e">
        <f t="shared" ca="1" si="1028"/>
        <v>#DIV/0!</v>
      </c>
      <c r="R136" s="161" t="e">
        <f t="shared" ca="1" si="1028"/>
        <v>#DIV/0!</v>
      </c>
      <c r="S136" s="161" t="e">
        <f t="shared" ca="1" si="1028"/>
        <v>#DIV/0!</v>
      </c>
      <c r="T136" s="161" t="e">
        <f t="shared" ca="1" si="1028"/>
        <v>#DIV/0!</v>
      </c>
      <c r="U136" s="161" t="e">
        <f t="shared" ca="1" si="1028"/>
        <v>#DIV/0!</v>
      </c>
      <c r="V136" s="161" t="e">
        <f t="shared" ca="1" si="1028"/>
        <v>#DIV/0!</v>
      </c>
      <c r="W136" s="161" t="e">
        <f t="shared" ca="1" si="1028"/>
        <v>#DIV/0!</v>
      </c>
      <c r="X136" s="161" t="e">
        <f t="shared" ca="1" si="1028"/>
        <v>#DIV/0!</v>
      </c>
      <c r="Y136" s="161" t="e">
        <f t="shared" ca="1" si="1028"/>
        <v>#DIV/0!</v>
      </c>
      <c r="Z136" s="161" t="e">
        <f t="shared" ca="1" si="1028"/>
        <v>#DIV/0!</v>
      </c>
      <c r="AA136" s="161" t="e">
        <f t="shared" ref="AA136" ca="1" si="1029">+AA119/AA$134</f>
        <v>#DIV/0!</v>
      </c>
      <c r="AB136" s="21" t="e">
        <f t="shared" ca="1" si="1028"/>
        <v>#DIV/0!</v>
      </c>
      <c r="AC136" s="21" t="e">
        <f t="shared" ca="1" si="1028"/>
        <v>#DIV/0!</v>
      </c>
      <c r="AD136" s="21" t="e">
        <f t="shared" ca="1" si="1028"/>
        <v>#DIV/0!</v>
      </c>
      <c r="AE136" s="21" t="e">
        <f t="shared" ca="1" si="1028"/>
        <v>#DIV/0!</v>
      </c>
      <c r="AL136" s="161" t="e">
        <f t="shared" ref="AL136:CI138" si="1030">+AL119/AL$134</f>
        <v>#DIV/0!</v>
      </c>
      <c r="AM136" s="161" t="e">
        <f t="shared" si="1030"/>
        <v>#DIV/0!</v>
      </c>
      <c r="AN136" s="161" t="e">
        <f t="shared" si="1030"/>
        <v>#DIV/0!</v>
      </c>
      <c r="AO136" s="161" t="e">
        <f t="shared" si="1030"/>
        <v>#DIV/0!</v>
      </c>
      <c r="AP136" s="161" t="e">
        <f t="shared" si="1030"/>
        <v>#DIV/0!</v>
      </c>
      <c r="AQ136" s="161" t="e">
        <f t="shared" si="1030"/>
        <v>#DIV/0!</v>
      </c>
      <c r="AR136" s="161" t="e">
        <f t="shared" si="1030"/>
        <v>#DIV/0!</v>
      </c>
      <c r="AS136" s="161" t="e">
        <f t="shared" si="1030"/>
        <v>#DIV/0!</v>
      </c>
      <c r="AT136" s="161" t="e">
        <f t="shared" si="1030"/>
        <v>#DIV/0!</v>
      </c>
      <c r="AU136" s="161">
        <f t="shared" si="1030"/>
        <v>0</v>
      </c>
      <c r="AV136" s="161" t="e">
        <f t="shared" si="1030"/>
        <v>#DIV/0!</v>
      </c>
      <c r="AW136" s="161">
        <f t="shared" si="1030"/>
        <v>0</v>
      </c>
      <c r="AX136" s="161">
        <f t="shared" si="1030"/>
        <v>0</v>
      </c>
      <c r="AY136" s="161">
        <f t="shared" si="1030"/>
        <v>7.9256706943167075</v>
      </c>
      <c r="AZ136" s="161">
        <f t="shared" si="1030"/>
        <v>8.0834443226839756</v>
      </c>
      <c r="BA136" s="161">
        <f t="shared" si="1030"/>
        <v>8.8796682851622819</v>
      </c>
      <c r="BB136" s="161">
        <f t="shared" si="1030"/>
        <v>9.3108204514542923</v>
      </c>
      <c r="BC136" s="161">
        <f t="shared" si="1030"/>
        <v>8.9951134356091931</v>
      </c>
      <c r="BD136" s="161">
        <f t="shared" si="1030"/>
        <v>8.5747933247070343</v>
      </c>
      <c r="BE136" s="161">
        <f t="shared" si="1030"/>
        <v>8.181594265431686</v>
      </c>
      <c r="BF136" s="161">
        <f t="shared" si="1030"/>
        <v>7.1946155639272904</v>
      </c>
      <c r="BG136" s="161">
        <f t="shared" si="1030"/>
        <v>6.5547905461869771</v>
      </c>
      <c r="BH136" s="161">
        <f t="shared" si="1030"/>
        <v>7.5809786935489711</v>
      </c>
      <c r="BI136" s="161">
        <f t="shared" si="1030"/>
        <v>5.931508943089443</v>
      </c>
      <c r="BJ136" s="161">
        <f t="shared" si="1030"/>
        <v>6.4682830789973522</v>
      </c>
      <c r="BK136" s="161">
        <f t="shared" si="1030"/>
        <v>5.4092402919792297</v>
      </c>
      <c r="BL136" s="161">
        <f t="shared" si="1030"/>
        <v>7.3610196627448721</v>
      </c>
      <c r="BM136" s="161">
        <f t="shared" si="1030"/>
        <v>7.2733550586583773</v>
      </c>
      <c r="BN136" s="161">
        <f t="shared" si="1030"/>
        <v>7.1702883688794206</v>
      </c>
      <c r="BO136" s="161">
        <f t="shared" si="1030"/>
        <v>7.3169033406925017</v>
      </c>
      <c r="BP136" s="161">
        <f t="shared" si="1030"/>
        <v>9.5462769289171518</v>
      </c>
      <c r="BQ136" s="161">
        <f t="shared" si="1030"/>
        <v>10.676826991576162</v>
      </c>
      <c r="BR136" s="161">
        <f t="shared" si="1030"/>
        <v>11.211764770129728</v>
      </c>
      <c r="BS136" s="161">
        <f t="shared" si="1030"/>
        <v>14.432682199440821</v>
      </c>
      <c r="BT136" s="161">
        <f t="shared" si="1030"/>
        <v>12.822340284399488</v>
      </c>
      <c r="BU136" s="161">
        <f t="shared" si="1030"/>
        <v>11.63936987352491</v>
      </c>
      <c r="BV136" s="161">
        <f t="shared" si="1030"/>
        <v>7.7957378252970582</v>
      </c>
      <c r="BW136" s="161">
        <f t="shared" si="1030"/>
        <v>6.0111952094352139</v>
      </c>
      <c r="BX136" s="161">
        <f t="shared" si="1030"/>
        <v>7.5333536329557713</v>
      </c>
      <c r="BY136" s="161">
        <f t="shared" si="1030"/>
        <v>6.4614764589164508</v>
      </c>
      <c r="BZ136" s="161">
        <f t="shared" si="1030"/>
        <v>4.2667073429409097</v>
      </c>
      <c r="CA136" s="161">
        <f t="shared" si="1030"/>
        <v>4.981204012569485</v>
      </c>
      <c r="CB136" s="161">
        <f t="shared" si="1030"/>
        <v>6.2120134361610857</v>
      </c>
      <c r="CC136" s="161">
        <f t="shared" si="1030"/>
        <v>6.8061842105263155</v>
      </c>
      <c r="CD136" s="161">
        <f t="shared" si="1030"/>
        <v>5.9643077624010488</v>
      </c>
      <c r="CE136" s="161">
        <f t="shared" si="1030"/>
        <v>6.1066125772921351</v>
      </c>
      <c r="CF136" s="161">
        <f t="shared" si="1030"/>
        <v>8.8215729815361197</v>
      </c>
      <c r="CG136" s="161">
        <f t="shared" si="1030"/>
        <v>9.5643884584803516</v>
      </c>
      <c r="CH136" s="161">
        <f t="shared" si="1030"/>
        <v>6.600251912818158</v>
      </c>
      <c r="CI136" s="161">
        <f t="shared" si="1030"/>
        <v>8.9691910258161442</v>
      </c>
      <c r="CJ136" s="161">
        <f>+CJ119/CJ$134</f>
        <v>11.521653407211904</v>
      </c>
      <c r="CK136" s="161">
        <f>+CK119/CK$134</f>
        <v>12.603487092077696</v>
      </c>
      <c r="CL136" s="161">
        <f>+CL119/CL$134</f>
        <v>9.5074654141759183</v>
      </c>
      <c r="CM136" s="21">
        <f t="shared" ref="CM136:DB136" si="1031">+CM119/CM$134</f>
        <v>8.8550407529006154</v>
      </c>
      <c r="CN136" s="21">
        <f t="shared" si="1031"/>
        <v>8.1893282637224001</v>
      </c>
      <c r="CO136" s="21">
        <f t="shared" si="1031"/>
        <v>7.6746102356569272</v>
      </c>
      <c r="CP136" s="21">
        <f t="shared" si="1031"/>
        <v>7.1292577451334047</v>
      </c>
      <c r="CQ136" s="21">
        <f t="shared" si="1031"/>
        <v>6.6519229330253768</v>
      </c>
      <c r="CR136" s="21">
        <f t="shared" si="1031"/>
        <v>6.1718811694775351</v>
      </c>
      <c r="CS136" s="21">
        <f t="shared" si="1031"/>
        <v>5.7934304096980105</v>
      </c>
      <c r="CT136" s="21">
        <f t="shared" si="1031"/>
        <v>5.4005368625003509</v>
      </c>
      <c r="CU136" s="21">
        <f t="shared" si="1031"/>
        <v>5.0541494750744178</v>
      </c>
      <c r="CV136" s="21">
        <f t="shared" si="1031"/>
        <v>4.7072716295320172</v>
      </c>
      <c r="CW136" s="21">
        <f t="shared" si="1031"/>
        <v>4.4318373827154138</v>
      </c>
      <c r="CX136" s="21">
        <f t="shared" si="1031"/>
        <v>4.1477220335804672</v>
      </c>
      <c r="CY136" s="21">
        <f t="shared" si="1031"/>
        <v>3.8934615120298539</v>
      </c>
      <c r="CZ136" s="21">
        <f t="shared" si="1031"/>
        <v>3.6387854002915754</v>
      </c>
      <c r="DA136" s="21">
        <f t="shared" si="1031"/>
        <v>3.4348366263074008</v>
      </c>
      <c r="DB136" s="21">
        <f t="shared" si="1031"/>
        <v>3.2243816495937909</v>
      </c>
      <c r="DE136" s="22"/>
      <c r="DF136" s="161">
        <v>9.2149783989618239</v>
      </c>
    </row>
    <row r="137" spans="1:110" s="161" customFormat="1" x14ac:dyDescent="0.2">
      <c r="A137" s="49" t="s">
        <v>503</v>
      </c>
      <c r="E137" s="161" t="e">
        <f t="shared" ca="1" si="1028"/>
        <v>#DIV/0!</v>
      </c>
      <c r="F137" s="161" t="e">
        <f t="shared" ca="1" si="1028"/>
        <v>#DIV/0!</v>
      </c>
      <c r="G137" s="161" t="e">
        <f t="shared" ca="1" si="1028"/>
        <v>#DIV/0!</v>
      </c>
      <c r="H137" s="161" t="e">
        <f t="shared" ca="1" si="1028"/>
        <v>#DIV/0!</v>
      </c>
      <c r="I137" s="161" t="e">
        <f t="shared" ca="1" si="1028"/>
        <v>#DIV/0!</v>
      </c>
      <c r="J137" s="161" t="e">
        <f t="shared" ca="1" si="1028"/>
        <v>#DIV/0!</v>
      </c>
      <c r="K137" s="161" t="e">
        <f t="shared" ca="1" si="1028"/>
        <v>#DIV/0!</v>
      </c>
      <c r="L137" s="161" t="e">
        <f t="shared" ca="1" si="1028"/>
        <v>#DIV/0!</v>
      </c>
      <c r="M137" s="161" t="e">
        <f t="shared" ca="1" si="1028"/>
        <v>#DIV/0!</v>
      </c>
      <c r="N137" s="161" t="e">
        <f t="shared" ca="1" si="1028"/>
        <v>#DIV/0!</v>
      </c>
      <c r="O137" s="161" t="e">
        <f t="shared" ca="1" si="1028"/>
        <v>#DIV/0!</v>
      </c>
      <c r="P137" s="161" t="e">
        <f t="shared" ca="1" si="1028"/>
        <v>#DIV/0!</v>
      </c>
      <c r="Q137" s="161" t="e">
        <f t="shared" ca="1" si="1028"/>
        <v>#DIV/0!</v>
      </c>
      <c r="R137" s="161" t="e">
        <f t="shared" ca="1" si="1028"/>
        <v>#DIV/0!</v>
      </c>
      <c r="S137" s="161" t="e">
        <f t="shared" ca="1" si="1028"/>
        <v>#DIV/0!</v>
      </c>
      <c r="T137" s="161" t="e">
        <f t="shared" ca="1" si="1028"/>
        <v>#DIV/0!</v>
      </c>
      <c r="U137" s="161" t="e">
        <f t="shared" ca="1" si="1028"/>
        <v>#DIV/0!</v>
      </c>
      <c r="V137" s="161" t="e">
        <f t="shared" ca="1" si="1028"/>
        <v>#DIV/0!</v>
      </c>
      <c r="W137" s="161" t="e">
        <f t="shared" ca="1" si="1028"/>
        <v>#DIV/0!</v>
      </c>
      <c r="X137" s="161" t="e">
        <f t="shared" ca="1" si="1028"/>
        <v>#DIV/0!</v>
      </c>
      <c r="Y137" s="161" t="e">
        <f t="shared" ca="1" si="1028"/>
        <v>#DIV/0!</v>
      </c>
      <c r="Z137" s="161" t="e">
        <f t="shared" ca="1" si="1028"/>
        <v>#DIV/0!</v>
      </c>
      <c r="AA137" s="161" t="e">
        <f t="shared" ref="AA137" ca="1" si="1032">+AA120/AA$134</f>
        <v>#DIV/0!</v>
      </c>
      <c r="AB137" s="21" t="e">
        <f t="shared" ca="1" si="1028"/>
        <v>#DIV/0!</v>
      </c>
      <c r="AC137" s="21" t="e">
        <f t="shared" ca="1" si="1028"/>
        <v>#DIV/0!</v>
      </c>
      <c r="AD137" s="21" t="e">
        <f t="shared" ca="1" si="1028"/>
        <v>#DIV/0!</v>
      </c>
      <c r="AE137" s="21" t="e">
        <f t="shared" ca="1" si="1028"/>
        <v>#DIV/0!</v>
      </c>
      <c r="AL137" s="161" t="e">
        <f t="shared" si="1030"/>
        <v>#DIV/0!</v>
      </c>
      <c r="AM137" s="161" t="e">
        <f t="shared" si="1030"/>
        <v>#DIV/0!</v>
      </c>
      <c r="AN137" s="161" t="e">
        <f t="shared" si="1030"/>
        <v>#DIV/0!</v>
      </c>
      <c r="AO137" s="161" t="e">
        <f t="shared" si="1030"/>
        <v>#DIV/0!</v>
      </c>
      <c r="AP137" s="161" t="e">
        <f t="shared" si="1030"/>
        <v>#DIV/0!</v>
      </c>
      <c r="AQ137" s="161" t="e">
        <f t="shared" si="1030"/>
        <v>#DIV/0!</v>
      </c>
      <c r="AR137" s="161" t="e">
        <f t="shared" si="1030"/>
        <v>#DIV/0!</v>
      </c>
      <c r="AS137" s="161" t="e">
        <f t="shared" si="1030"/>
        <v>#DIV/0!</v>
      </c>
      <c r="AT137" s="161" t="e">
        <f t="shared" si="1030"/>
        <v>#DIV/0!</v>
      </c>
      <c r="AU137" s="161">
        <f t="shared" si="1030"/>
        <v>0</v>
      </c>
      <c r="AV137" s="161" t="e">
        <f t="shared" si="1030"/>
        <v>#DIV/0!</v>
      </c>
      <c r="AW137" s="161">
        <f t="shared" si="1030"/>
        <v>0</v>
      </c>
      <c r="AX137" s="161">
        <f t="shared" si="1030"/>
        <v>0</v>
      </c>
      <c r="AY137" s="161">
        <f t="shared" si="1030"/>
        <v>9.2704145413496111</v>
      </c>
      <c r="AZ137" s="161">
        <f t="shared" si="1030"/>
        <v>8.7858378249723561</v>
      </c>
      <c r="BA137" s="161">
        <f t="shared" si="1030"/>
        <v>9.2577727787299136</v>
      </c>
      <c r="BB137" s="161">
        <f t="shared" si="1030"/>
        <v>9.6627244520296998</v>
      </c>
      <c r="BC137" s="161">
        <f t="shared" si="1030"/>
        <v>9.6264685673161008</v>
      </c>
      <c r="BD137" s="161">
        <f t="shared" si="1030"/>
        <v>9.6300566659386746</v>
      </c>
      <c r="BE137" s="161">
        <f t="shared" si="1030"/>
        <v>8.4449044896888381</v>
      </c>
      <c r="BF137" s="161">
        <f t="shared" si="1030"/>
        <v>8.6768631520374289</v>
      </c>
      <c r="BG137" s="161">
        <f t="shared" si="1030"/>
        <v>8.2418021956045173</v>
      </c>
      <c r="BH137" s="161">
        <f t="shared" si="1030"/>
        <v>8.1927934714375272</v>
      </c>
      <c r="BI137" s="161">
        <f t="shared" si="1030"/>
        <v>7.6283154471544607</v>
      </c>
      <c r="BJ137" s="161">
        <f t="shared" si="1030"/>
        <v>7.3656735306735426</v>
      </c>
      <c r="BK137" s="161">
        <f t="shared" si="1030"/>
        <v>6.2504737816785312</v>
      </c>
      <c r="BL137" s="161">
        <f t="shared" si="1030"/>
        <v>7.6402627682201221</v>
      </c>
      <c r="BM137" s="161">
        <f t="shared" si="1030"/>
        <v>8.0400563187272436</v>
      </c>
      <c r="BN137" s="161">
        <f t="shared" si="1030"/>
        <v>9.9758961072019652</v>
      </c>
      <c r="BO137" s="161">
        <f t="shared" si="1030"/>
        <v>8.4144388417963754</v>
      </c>
      <c r="BP137" s="161">
        <f t="shared" si="1030"/>
        <v>10.639491790832308</v>
      </c>
      <c r="BQ137" s="161">
        <f t="shared" si="1030"/>
        <v>14.167193249168266</v>
      </c>
      <c r="BR137" s="161">
        <f t="shared" si="1030"/>
        <v>12.492559427684304</v>
      </c>
      <c r="BS137" s="161">
        <f t="shared" si="1030"/>
        <v>16.106633806220003</v>
      </c>
      <c r="BT137" s="161">
        <f t="shared" si="1030"/>
        <v>15.226907121042514</v>
      </c>
      <c r="BU137" s="161">
        <f t="shared" si="1030"/>
        <v>13.654979626395715</v>
      </c>
      <c r="BV137" s="161">
        <f t="shared" si="1030"/>
        <v>11.385051686701999</v>
      </c>
      <c r="BW137" s="161">
        <f t="shared" si="1030"/>
        <v>8.8723789896042291</v>
      </c>
      <c r="BX137" s="161">
        <f t="shared" si="1030"/>
        <v>7.9625232430676789</v>
      </c>
      <c r="BY137" s="161">
        <f t="shared" si="1030"/>
        <v>8.0415526734208367</v>
      </c>
      <c r="BZ137" s="161">
        <f t="shared" si="1030"/>
        <v>6.1677106494478764</v>
      </c>
      <c r="CA137" s="161">
        <f t="shared" si="1030"/>
        <v>5.1548103698332124</v>
      </c>
      <c r="CB137" s="161">
        <f t="shared" si="1030"/>
        <v>6.6560793830334193</v>
      </c>
      <c r="CC137" s="161">
        <f t="shared" si="1030"/>
        <v>7.2789681020733648</v>
      </c>
      <c r="CD137" s="161">
        <f t="shared" si="1030"/>
        <v>7.2715808923565737</v>
      </c>
      <c r="CE137" s="161">
        <f t="shared" si="1030"/>
        <v>6.5645001875582256</v>
      </c>
      <c r="CF137" s="161">
        <f t="shared" si="1030"/>
        <v>10.107259914782039</v>
      </c>
      <c r="CG137" s="161">
        <f t="shared" si="1030"/>
        <v>10.98832666364396</v>
      </c>
      <c r="CH137" s="161">
        <f t="shared" si="1030"/>
        <v>10.218164182289295</v>
      </c>
      <c r="CI137" s="161">
        <f t="shared" si="1030"/>
        <v>9.7146986978099434</v>
      </c>
      <c r="CJ137" s="161">
        <f t="shared" ref="CJ137:CL138" si="1033">+CJ120/CJ$134</f>
        <v>14.24428520619232</v>
      </c>
      <c r="CK137" s="161">
        <f t="shared" ref="CK137" si="1034">+CK120/CK$134</f>
        <v>15.202367576908975</v>
      </c>
      <c r="CL137" s="161">
        <f t="shared" si="1033"/>
        <v>13.802474807856534</v>
      </c>
      <c r="CM137" s="94">
        <f t="shared" ref="CM137:DB137" si="1035">+CL137</f>
        <v>13.802474807856534</v>
      </c>
      <c r="CN137" s="94">
        <f t="shared" si="1035"/>
        <v>13.802474807856534</v>
      </c>
      <c r="CO137" s="94">
        <f t="shared" si="1035"/>
        <v>13.802474807856534</v>
      </c>
      <c r="CP137" s="94">
        <f t="shared" si="1035"/>
        <v>13.802474807856534</v>
      </c>
      <c r="CQ137" s="94">
        <f t="shared" si="1035"/>
        <v>13.802474807856534</v>
      </c>
      <c r="CR137" s="94">
        <f t="shared" si="1035"/>
        <v>13.802474807856534</v>
      </c>
      <c r="CS137" s="94">
        <f t="shared" si="1035"/>
        <v>13.802474807856534</v>
      </c>
      <c r="CT137" s="94">
        <f t="shared" si="1035"/>
        <v>13.802474807856534</v>
      </c>
      <c r="CU137" s="94">
        <f t="shared" si="1035"/>
        <v>13.802474807856534</v>
      </c>
      <c r="CV137" s="94">
        <f t="shared" si="1035"/>
        <v>13.802474807856534</v>
      </c>
      <c r="CW137" s="94">
        <f t="shared" si="1035"/>
        <v>13.802474807856534</v>
      </c>
      <c r="CX137" s="94">
        <f t="shared" si="1035"/>
        <v>13.802474807856534</v>
      </c>
      <c r="CY137" s="94">
        <f t="shared" si="1035"/>
        <v>13.802474807856534</v>
      </c>
      <c r="CZ137" s="94">
        <f t="shared" si="1035"/>
        <v>13.802474807856534</v>
      </c>
      <c r="DA137" s="94">
        <f t="shared" si="1035"/>
        <v>13.802474807856534</v>
      </c>
      <c r="DB137" s="94">
        <f t="shared" si="1035"/>
        <v>13.802474807856534</v>
      </c>
      <c r="DC137" s="94"/>
      <c r="DE137" s="22"/>
      <c r="DF137" s="161">
        <v>13.377856417649369</v>
      </c>
    </row>
    <row r="138" spans="1:110" s="161" customFormat="1" x14ac:dyDescent="0.2">
      <c r="A138" s="49" t="s">
        <v>504</v>
      </c>
      <c r="E138" s="161" t="e">
        <f t="shared" ca="1" si="1028"/>
        <v>#DIV/0!</v>
      </c>
      <c r="F138" s="161" t="e">
        <f t="shared" ca="1" si="1028"/>
        <v>#DIV/0!</v>
      </c>
      <c r="G138" s="161" t="e">
        <f t="shared" ca="1" si="1028"/>
        <v>#DIV/0!</v>
      </c>
      <c r="H138" s="161" t="e">
        <f t="shared" ca="1" si="1028"/>
        <v>#DIV/0!</v>
      </c>
      <c r="I138" s="161" t="e">
        <f t="shared" ca="1" si="1028"/>
        <v>#DIV/0!</v>
      </c>
      <c r="J138" s="161" t="e">
        <f t="shared" ca="1" si="1028"/>
        <v>#DIV/0!</v>
      </c>
      <c r="K138" s="161" t="e">
        <f t="shared" ca="1" si="1028"/>
        <v>#DIV/0!</v>
      </c>
      <c r="L138" s="161" t="e">
        <f t="shared" ca="1" si="1028"/>
        <v>#DIV/0!</v>
      </c>
      <c r="M138" s="161" t="e">
        <f t="shared" ca="1" si="1028"/>
        <v>#DIV/0!</v>
      </c>
      <c r="N138" s="161" t="e">
        <f t="shared" ca="1" si="1028"/>
        <v>#DIV/0!</v>
      </c>
      <c r="O138" s="161" t="e">
        <f t="shared" ca="1" si="1028"/>
        <v>#DIV/0!</v>
      </c>
      <c r="P138" s="161" t="e">
        <f t="shared" ca="1" si="1028"/>
        <v>#DIV/0!</v>
      </c>
      <c r="Q138" s="161" t="e">
        <f t="shared" ca="1" si="1028"/>
        <v>#DIV/0!</v>
      </c>
      <c r="R138" s="161" t="e">
        <f t="shared" ca="1" si="1028"/>
        <v>#DIV/0!</v>
      </c>
      <c r="S138" s="161" t="e">
        <f t="shared" ca="1" si="1028"/>
        <v>#DIV/0!</v>
      </c>
      <c r="T138" s="161" t="e">
        <f t="shared" ca="1" si="1028"/>
        <v>#DIV/0!</v>
      </c>
      <c r="U138" s="161" t="e">
        <f t="shared" ca="1" si="1028"/>
        <v>#DIV/0!</v>
      </c>
      <c r="V138" s="161" t="e">
        <f t="shared" ca="1" si="1028"/>
        <v>#DIV/0!</v>
      </c>
      <c r="W138" s="161" t="e">
        <f t="shared" ca="1" si="1028"/>
        <v>#DIV/0!</v>
      </c>
      <c r="X138" s="161" t="e">
        <f t="shared" ca="1" si="1028"/>
        <v>#DIV/0!</v>
      </c>
      <c r="Y138" s="161" t="e">
        <f t="shared" ca="1" si="1028"/>
        <v>#DIV/0!</v>
      </c>
      <c r="Z138" s="161" t="e">
        <f t="shared" ca="1" si="1028"/>
        <v>#DIV/0!</v>
      </c>
      <c r="AA138" s="161" t="e">
        <f t="shared" ref="AA138" ca="1" si="1036">+AA121/AA$134</f>
        <v>#DIV/0!</v>
      </c>
      <c r="AB138" s="21" t="e">
        <f t="shared" ca="1" si="1028"/>
        <v>#DIV/0!</v>
      </c>
      <c r="AC138" s="21" t="e">
        <f t="shared" ca="1" si="1028"/>
        <v>#DIV/0!</v>
      </c>
      <c r="AD138" s="21" t="e">
        <f t="shared" ca="1" si="1028"/>
        <v>#DIV/0!</v>
      </c>
      <c r="AE138" s="21" t="e">
        <f t="shared" ca="1" si="1028"/>
        <v>#DIV/0!</v>
      </c>
      <c r="AL138" s="161" t="e">
        <f t="shared" si="1030"/>
        <v>#DIV/0!</v>
      </c>
      <c r="AM138" s="161" t="e">
        <f t="shared" si="1030"/>
        <v>#DIV/0!</v>
      </c>
      <c r="AN138" s="161" t="e">
        <f t="shared" si="1030"/>
        <v>#DIV/0!</v>
      </c>
      <c r="AO138" s="161" t="e">
        <f t="shared" si="1030"/>
        <v>#DIV/0!</v>
      </c>
      <c r="AP138" s="161" t="e">
        <f t="shared" si="1030"/>
        <v>#DIV/0!</v>
      </c>
      <c r="AQ138" s="161" t="e">
        <f t="shared" si="1030"/>
        <v>#DIV/0!</v>
      </c>
      <c r="AR138" s="161" t="e">
        <f t="shared" si="1030"/>
        <v>#DIV/0!</v>
      </c>
      <c r="AS138" s="161" t="e">
        <f t="shared" si="1030"/>
        <v>#DIV/0!</v>
      </c>
      <c r="AT138" s="161" t="e">
        <f t="shared" si="1030"/>
        <v>#DIV/0!</v>
      </c>
      <c r="AU138" s="161">
        <f t="shared" si="1030"/>
        <v>0</v>
      </c>
      <c r="AV138" s="161" t="e">
        <f t="shared" si="1030"/>
        <v>#DIV/0!</v>
      </c>
      <c r="AW138" s="161">
        <f t="shared" si="1030"/>
        <v>0</v>
      </c>
      <c r="AX138" s="161">
        <f t="shared" si="1030"/>
        <v>0</v>
      </c>
      <c r="AY138" s="161">
        <f t="shared" si="1030"/>
        <v>0</v>
      </c>
      <c r="AZ138" s="161">
        <f t="shared" si="1030"/>
        <v>7.0535302547217995</v>
      </c>
      <c r="BA138" s="161">
        <f t="shared" si="1030"/>
        <v>7.3447440910365529</v>
      </c>
      <c r="BB138" s="161">
        <f t="shared" si="1030"/>
        <v>8.6590500104624528</v>
      </c>
      <c r="BC138" s="161">
        <f t="shared" si="1030"/>
        <v>8.4501607657194437</v>
      </c>
      <c r="BD138" s="161">
        <f t="shared" si="1030"/>
        <v>8.2228312303765119</v>
      </c>
      <c r="BE138" s="161">
        <f t="shared" si="1030"/>
        <v>7.2481476596191801</v>
      </c>
      <c r="BF138" s="161">
        <f t="shared" si="1030"/>
        <v>6.8218096505673493</v>
      </c>
      <c r="BG138" s="161">
        <f t="shared" si="1030"/>
        <v>6.5366017413415172</v>
      </c>
      <c r="BH138" s="161">
        <f t="shared" si="1030"/>
        <v>6.4378665485026518</v>
      </c>
      <c r="BI138" s="161">
        <f t="shared" si="1030"/>
        <v>5.8493691056910455</v>
      </c>
      <c r="BJ138" s="161">
        <f t="shared" si="1030"/>
        <v>5.8769320340749029</v>
      </c>
      <c r="BK138" s="161">
        <f t="shared" si="1030"/>
        <v>4.8770898635941116</v>
      </c>
      <c r="BL138" s="161">
        <f t="shared" si="1030"/>
        <v>5.8083994292329644</v>
      </c>
      <c r="BM138" s="161">
        <f t="shared" si="1030"/>
        <v>6.4793903539556803</v>
      </c>
      <c r="BN138" s="161">
        <f t="shared" si="1030"/>
        <v>5.9324351351842912</v>
      </c>
      <c r="BO138" s="161">
        <f t="shared" si="1030"/>
        <v>7.0175754767550815</v>
      </c>
      <c r="BP138" s="161">
        <f t="shared" si="1030"/>
        <v>6.1086605928316224</v>
      </c>
      <c r="BQ138" s="161">
        <f t="shared" si="1030"/>
        <v>8.7972191743597783</v>
      </c>
      <c r="BR138" s="161">
        <f t="shared" si="1030"/>
        <v>10.330791614981926</v>
      </c>
      <c r="BS138" s="161">
        <f t="shared" si="1030"/>
        <v>9.9190010700355646</v>
      </c>
      <c r="BT138" s="161">
        <f t="shared" si="1030"/>
        <v>12.745908820806203</v>
      </c>
      <c r="BU138" s="161">
        <f t="shared" si="1030"/>
        <v>9.9669770333915544</v>
      </c>
      <c r="BV138" s="161">
        <f t="shared" si="1030"/>
        <v>7.4783669154465153</v>
      </c>
      <c r="BW138" s="161">
        <f t="shared" si="1030"/>
        <v>6.0015192412912635</v>
      </c>
      <c r="BX138" s="161">
        <f t="shared" si="1030"/>
        <v>6.4617758109699164</v>
      </c>
      <c r="BY138" s="161">
        <f t="shared" si="1030"/>
        <v>6.2753390888424487</v>
      </c>
      <c r="BZ138" s="161">
        <f t="shared" si="1030"/>
        <v>4.1306731549067415</v>
      </c>
      <c r="CA138" s="161">
        <f t="shared" si="1030"/>
        <v>4.1328892917573024</v>
      </c>
      <c r="CB138" s="161">
        <f t="shared" si="1030"/>
        <v>5.5911939674378859</v>
      </c>
      <c r="CC138" s="161">
        <f t="shared" si="1030"/>
        <v>5.404755449229123</v>
      </c>
      <c r="CD138" s="161">
        <f t="shared" si="1030"/>
        <v>5.5982108573634184</v>
      </c>
      <c r="CE138" s="161">
        <f t="shared" si="1030"/>
        <v>5.4960957636040231</v>
      </c>
      <c r="CF138" s="161">
        <f t="shared" si="1030"/>
        <v>6.7474110947230415</v>
      </c>
      <c r="CG138" s="161">
        <f t="shared" si="1030"/>
        <v>8.1012305084077507</v>
      </c>
      <c r="CH138" s="161">
        <f t="shared" si="1030"/>
        <v>6.3848364578570243</v>
      </c>
      <c r="CI138" s="161">
        <f t="shared" si="1030"/>
        <v>5.9790077630560567</v>
      </c>
      <c r="CJ138" s="161">
        <f t="shared" si="1033"/>
        <v>9.6198332740557593</v>
      </c>
      <c r="CK138" s="161">
        <f t="shared" ref="CK138" si="1037">+CK121/CK$134</f>
        <v>10.645613555389851</v>
      </c>
      <c r="CL138" s="161">
        <f t="shared" si="1033"/>
        <v>9.3117434671221186</v>
      </c>
      <c r="CM138" s="94">
        <f t="shared" ref="CM138:DB138" si="1038">+CL138</f>
        <v>9.3117434671221186</v>
      </c>
      <c r="CN138" s="94">
        <f t="shared" si="1038"/>
        <v>9.3117434671221186</v>
      </c>
      <c r="CO138" s="94">
        <f t="shared" si="1038"/>
        <v>9.3117434671221186</v>
      </c>
      <c r="CP138" s="94">
        <f t="shared" si="1038"/>
        <v>9.3117434671221186</v>
      </c>
      <c r="CQ138" s="94">
        <f t="shared" si="1038"/>
        <v>9.3117434671221186</v>
      </c>
      <c r="CR138" s="94">
        <f t="shared" si="1038"/>
        <v>9.3117434671221186</v>
      </c>
      <c r="CS138" s="94">
        <f t="shared" si="1038"/>
        <v>9.3117434671221186</v>
      </c>
      <c r="CT138" s="94">
        <f t="shared" si="1038"/>
        <v>9.3117434671221186</v>
      </c>
      <c r="CU138" s="94">
        <f t="shared" si="1038"/>
        <v>9.3117434671221186</v>
      </c>
      <c r="CV138" s="94">
        <f t="shared" si="1038"/>
        <v>9.3117434671221186</v>
      </c>
      <c r="CW138" s="94">
        <f t="shared" si="1038"/>
        <v>9.3117434671221186</v>
      </c>
      <c r="CX138" s="94">
        <f t="shared" si="1038"/>
        <v>9.3117434671221186</v>
      </c>
      <c r="CY138" s="94">
        <f t="shared" si="1038"/>
        <v>9.3117434671221186</v>
      </c>
      <c r="CZ138" s="94">
        <f t="shared" si="1038"/>
        <v>9.3117434671221186</v>
      </c>
      <c r="DA138" s="94">
        <f t="shared" si="1038"/>
        <v>9.3117434671221186</v>
      </c>
      <c r="DB138" s="94">
        <f t="shared" si="1038"/>
        <v>9.3117434671221186</v>
      </c>
      <c r="DC138" s="94"/>
      <c r="DE138" s="22"/>
      <c r="DF138" s="161">
        <v>9.025277628489988</v>
      </c>
    </row>
    <row r="139" spans="1:110" s="4" customFormat="1" x14ac:dyDescent="0.2">
      <c r="A139" s="3"/>
      <c r="AB139" s="17"/>
      <c r="AC139" s="17"/>
      <c r="AD139" s="17"/>
      <c r="AE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E139" s="119"/>
    </row>
    <row r="140" spans="1:110" s="176" customFormat="1" x14ac:dyDescent="0.2">
      <c r="A140" s="176" t="s">
        <v>510</v>
      </c>
      <c r="E140" s="176">
        <f t="shared" ref="E140:AE140" si="1039">+E43</f>
        <v>0</v>
      </c>
      <c r="F140" s="176">
        <f t="shared" si="1039"/>
        <v>0</v>
      </c>
      <c r="G140" s="176">
        <f t="shared" si="1039"/>
        <v>0</v>
      </c>
      <c r="H140" s="176">
        <f t="shared" si="1039"/>
        <v>33.754413999999997</v>
      </c>
      <c r="I140" s="176">
        <f t="shared" si="1039"/>
        <v>44.410636199999999</v>
      </c>
      <c r="J140" s="176">
        <f t="shared" si="1039"/>
        <v>45.278377300000002</v>
      </c>
      <c r="K140" s="176">
        <f t="shared" si="1039"/>
        <v>58.3431049</v>
      </c>
      <c r="L140" s="176">
        <f t="shared" si="1039"/>
        <v>77.864999999999995</v>
      </c>
      <c r="M140" s="176">
        <f t="shared" si="1039"/>
        <v>109.07599999999999</v>
      </c>
      <c r="N140" s="176">
        <f t="shared" si="1039"/>
        <v>134.261</v>
      </c>
      <c r="O140" s="176">
        <f t="shared" si="1039"/>
        <v>149.97800000000001</v>
      </c>
      <c r="P140" s="176">
        <f t="shared" si="1039"/>
        <v>182.958</v>
      </c>
      <c r="Q140" s="176">
        <f t="shared" si="1039"/>
        <v>240.965</v>
      </c>
      <c r="R140" s="176">
        <f t="shared" si="1039"/>
        <v>304.387</v>
      </c>
      <c r="S140" s="176">
        <f t="shared" si="1039"/>
        <v>356.32</v>
      </c>
      <c r="T140" s="176">
        <f t="shared" si="1039"/>
        <v>402.91</v>
      </c>
      <c r="U140" s="176">
        <f t="shared" si="1039"/>
        <v>434.26</v>
      </c>
      <c r="V140" s="176">
        <f t="shared" si="1039"/>
        <v>494.62</v>
      </c>
      <c r="W140" s="176">
        <f t="shared" si="1039"/>
        <v>588.86</v>
      </c>
      <c r="X140" s="176">
        <f t="shared" si="1039"/>
        <v>526.66999999999996</v>
      </c>
      <c r="Y140" s="176">
        <f t="shared" si="1039"/>
        <v>571.88</v>
      </c>
      <c r="Z140" s="176">
        <f t="shared" si="1039"/>
        <v>687.35</v>
      </c>
      <c r="AA140" s="176">
        <f t="shared" ref="AA140" si="1040">+AA43</f>
        <v>829.04</v>
      </c>
      <c r="AB140" s="177">
        <f t="shared" si="1039"/>
        <v>969.11996500000009</v>
      </c>
      <c r="AC140" s="177">
        <f t="shared" si="1039"/>
        <v>1146.9551262309999</v>
      </c>
      <c r="AD140" s="177">
        <f t="shared" si="1039"/>
        <v>1359.1836076440754</v>
      </c>
      <c r="AE140" s="177">
        <f t="shared" si="1039"/>
        <v>1612.4570773624396</v>
      </c>
      <c r="AL140" s="176">
        <f t="shared" ref="AL140:BQ140" si="1041">+SUM(AI41:AL41)</f>
        <v>0</v>
      </c>
      <c r="AM140" s="176">
        <f t="shared" si="1041"/>
        <v>0</v>
      </c>
      <c r="AN140" s="176">
        <f t="shared" si="1041"/>
        <v>0</v>
      </c>
      <c r="AO140" s="176">
        <f t="shared" si="1041"/>
        <v>0</v>
      </c>
      <c r="AP140" s="176">
        <f t="shared" si="1041"/>
        <v>0</v>
      </c>
      <c r="AQ140" s="176">
        <f t="shared" si="1041"/>
        <v>0</v>
      </c>
      <c r="AR140" s="176">
        <f t="shared" si="1041"/>
        <v>0</v>
      </c>
      <c r="AS140" s="176">
        <f t="shared" si="1041"/>
        <v>0</v>
      </c>
      <c r="AT140" s="176">
        <f t="shared" si="1041"/>
        <v>0</v>
      </c>
      <c r="AU140" s="176">
        <f t="shared" si="1041"/>
        <v>56.994999999999997</v>
      </c>
      <c r="AV140" s="176">
        <f t="shared" si="1041"/>
        <v>119.25999999999999</v>
      </c>
      <c r="AW140" s="176">
        <f t="shared" si="1041"/>
        <v>175.91199999999998</v>
      </c>
      <c r="AX140" s="176">
        <f t="shared" si="1041"/>
        <v>240.96699999999998</v>
      </c>
      <c r="AY140" s="176">
        <f t="shared" si="1041"/>
        <v>252.71700000000001</v>
      </c>
      <c r="AZ140" s="176">
        <f t="shared" si="1041"/>
        <v>268.60000000000002</v>
      </c>
      <c r="BA140" s="176">
        <f t="shared" si="1041"/>
        <v>282.32600000000002</v>
      </c>
      <c r="BB140" s="176">
        <f t="shared" si="1041"/>
        <v>304.387</v>
      </c>
      <c r="BC140" s="176">
        <f t="shared" si="1041"/>
        <v>323.40199999999999</v>
      </c>
      <c r="BD140" s="176">
        <f t="shared" si="1041"/>
        <v>333.29</v>
      </c>
      <c r="BE140" s="176">
        <f t="shared" si="1041"/>
        <v>346.78200000000004</v>
      </c>
      <c r="BF140" s="176">
        <f t="shared" si="1041"/>
        <v>356.32600000000002</v>
      </c>
      <c r="BG140" s="176">
        <f t="shared" si="1041"/>
        <v>365.71600000000001</v>
      </c>
      <c r="BH140" s="176">
        <f t="shared" si="1041"/>
        <v>381.56</v>
      </c>
      <c r="BI140" s="176">
        <f t="shared" si="1041"/>
        <v>393.98</v>
      </c>
      <c r="BJ140" s="176">
        <f t="shared" si="1041"/>
        <v>402.90999999999997</v>
      </c>
      <c r="BK140" s="176">
        <f t="shared" si="1041"/>
        <v>415.49</v>
      </c>
      <c r="BL140" s="176">
        <f t="shared" si="1041"/>
        <v>427.85</v>
      </c>
      <c r="BM140" s="176">
        <f t="shared" si="1041"/>
        <v>437.35</v>
      </c>
      <c r="BN140" s="176">
        <f t="shared" si="1041"/>
        <v>433.2</v>
      </c>
      <c r="BO140" s="176">
        <f t="shared" si="1041"/>
        <v>379.74</v>
      </c>
      <c r="BP140" s="176">
        <f t="shared" si="1041"/>
        <v>416.75</v>
      </c>
      <c r="BQ140" s="176">
        <f t="shared" si="1041"/>
        <v>449.23</v>
      </c>
      <c r="BR140" s="176">
        <f t="shared" ref="BR140:CW140" si="1042">+SUM(BO41:BR41)</f>
        <v>494.63</v>
      </c>
      <c r="BS140" s="176">
        <f t="shared" si="1042"/>
        <v>603.01</v>
      </c>
      <c r="BT140" s="176">
        <f t="shared" si="1042"/>
        <v>625.97</v>
      </c>
      <c r="BU140" s="176">
        <f t="shared" si="1042"/>
        <v>605.1</v>
      </c>
      <c r="BV140" s="176">
        <f t="shared" si="1042"/>
        <v>588.81999999999994</v>
      </c>
      <c r="BW140" s="176">
        <f t="shared" si="1042"/>
        <v>551.96</v>
      </c>
      <c r="BX140" s="176">
        <f t="shared" si="1042"/>
        <v>510.72</v>
      </c>
      <c r="BY140" s="176">
        <f t="shared" si="1042"/>
        <v>521.35</v>
      </c>
      <c r="BZ140" s="176">
        <f t="shared" si="1042"/>
        <v>526.66999999999996</v>
      </c>
      <c r="CA140" s="176">
        <f t="shared" si="1042"/>
        <v>533.77</v>
      </c>
      <c r="CB140" s="176">
        <f t="shared" si="1042"/>
        <v>546.79999999999995</v>
      </c>
      <c r="CC140" s="176">
        <f t="shared" si="1042"/>
        <v>553.51</v>
      </c>
      <c r="CD140" s="176">
        <f t="shared" si="1042"/>
        <v>571.88</v>
      </c>
      <c r="CE140" s="176">
        <f t="shared" si="1042"/>
        <v>593.9</v>
      </c>
      <c r="CF140" s="176">
        <f t="shared" si="1042"/>
        <v>623.26</v>
      </c>
      <c r="CG140" s="176">
        <f t="shared" si="1042"/>
        <v>654.43999999999994</v>
      </c>
      <c r="CH140" s="176">
        <f t="shared" si="1042"/>
        <v>687.34999999999991</v>
      </c>
      <c r="CI140" s="176">
        <f t="shared" si="1042"/>
        <v>723.46999999999991</v>
      </c>
      <c r="CJ140" s="176">
        <f t="shared" si="1042"/>
        <v>762.64</v>
      </c>
      <c r="CK140" s="176">
        <f t="shared" si="1042"/>
        <v>792.25</v>
      </c>
      <c r="CL140" s="176">
        <f t="shared" si="1042"/>
        <v>829.04</v>
      </c>
      <c r="CM140" s="177">
        <f t="shared" si="1042"/>
        <v>860.86269500000003</v>
      </c>
      <c r="CN140" s="177">
        <f t="shared" si="1042"/>
        <v>896.85530500000004</v>
      </c>
      <c r="CO140" s="177">
        <f t="shared" si="1042"/>
        <v>930.45318000000009</v>
      </c>
      <c r="CP140" s="177">
        <f t="shared" si="1042"/>
        <v>969.11996500000009</v>
      </c>
      <c r="CQ140" s="177">
        <f t="shared" si="1042"/>
        <v>1010.208316213</v>
      </c>
      <c r="CR140" s="177">
        <f t="shared" si="1042"/>
        <v>1056.6480289870001</v>
      </c>
      <c r="CS140" s="177">
        <f t="shared" si="1042"/>
        <v>1098.5632000119999</v>
      </c>
      <c r="CT140" s="177">
        <f t="shared" si="1042"/>
        <v>1146.9551262309999</v>
      </c>
      <c r="CU140" s="177">
        <f t="shared" si="1042"/>
        <v>1195.9899645685941</v>
      </c>
      <c r="CV140" s="177">
        <f t="shared" si="1042"/>
        <v>1251.4111177930859</v>
      </c>
      <c r="CW140" s="177">
        <f t="shared" si="1042"/>
        <v>1301.4326828943208</v>
      </c>
      <c r="CX140" s="177">
        <f t="shared" ref="CX140:DB140" si="1043">+SUM(CU41:CX41)</f>
        <v>1359.1836076440754</v>
      </c>
      <c r="CY140" s="177">
        <f t="shared" si="1043"/>
        <v>1417.7017837161602</v>
      </c>
      <c r="CZ140" s="177">
        <f t="shared" si="1043"/>
        <v>1483.8413879742684</v>
      </c>
      <c r="DA140" s="177">
        <f t="shared" si="1043"/>
        <v>1543.5371237660825</v>
      </c>
      <c r="DB140" s="177">
        <f t="shared" si="1043"/>
        <v>1612.4570773624396</v>
      </c>
      <c r="DE140" s="178"/>
      <c r="DF140" s="176">
        <v>825.02226000000007</v>
      </c>
    </row>
    <row r="141" spans="1:110" s="162" customFormat="1" x14ac:dyDescent="0.2">
      <c r="A141" s="162" t="s">
        <v>511</v>
      </c>
      <c r="E141" s="162" t="e">
        <f t="shared" ref="E141:AE141" ca="1" si="1044">+E140/E107</f>
        <v>#DIV/0!</v>
      </c>
      <c r="F141" s="162" t="e">
        <f t="shared" ca="1" si="1044"/>
        <v>#DIV/0!</v>
      </c>
      <c r="G141" s="162" t="e">
        <f t="shared" ca="1" si="1044"/>
        <v>#DIV/0!</v>
      </c>
      <c r="H141" s="162" t="e">
        <f t="shared" ca="1" si="1044"/>
        <v>#DIV/0!</v>
      </c>
      <c r="I141" s="162" t="e">
        <f t="shared" ca="1" si="1044"/>
        <v>#DIV/0!</v>
      </c>
      <c r="J141" s="162" t="e">
        <f t="shared" ca="1" si="1044"/>
        <v>#DIV/0!</v>
      </c>
      <c r="K141" s="162" t="e">
        <f t="shared" ca="1" si="1044"/>
        <v>#DIV/0!</v>
      </c>
      <c r="L141" s="162" t="e">
        <f t="shared" ca="1" si="1044"/>
        <v>#DIV/0!</v>
      </c>
      <c r="M141" s="162" t="e">
        <f t="shared" ca="1" si="1044"/>
        <v>#DIV/0!</v>
      </c>
      <c r="N141" s="162" t="e">
        <f t="shared" ca="1" si="1044"/>
        <v>#DIV/0!</v>
      </c>
      <c r="O141" s="162" t="e">
        <f t="shared" ca="1" si="1044"/>
        <v>#DIV/0!</v>
      </c>
      <c r="P141" s="162" t="e">
        <f t="shared" ca="1" si="1044"/>
        <v>#DIV/0!</v>
      </c>
      <c r="Q141" s="162" t="e">
        <f t="shared" ca="1" si="1044"/>
        <v>#DIV/0!</v>
      </c>
      <c r="R141" s="162" t="e">
        <f t="shared" ca="1" si="1044"/>
        <v>#DIV/0!</v>
      </c>
      <c r="S141" s="162" t="e">
        <f t="shared" ca="1" si="1044"/>
        <v>#DIV/0!</v>
      </c>
      <c r="T141" s="162" t="e">
        <f t="shared" ca="1" si="1044"/>
        <v>#DIV/0!</v>
      </c>
      <c r="U141" s="162" t="e">
        <f t="shared" ca="1" si="1044"/>
        <v>#DIV/0!</v>
      </c>
      <c r="V141" s="162" t="e">
        <f t="shared" ca="1" si="1044"/>
        <v>#DIV/0!</v>
      </c>
      <c r="W141" s="162" t="e">
        <f t="shared" ca="1" si="1044"/>
        <v>#DIV/0!</v>
      </c>
      <c r="X141" s="162" t="e">
        <f t="shared" ca="1" si="1044"/>
        <v>#DIV/0!</v>
      </c>
      <c r="Y141" s="162" t="e">
        <f t="shared" ca="1" si="1044"/>
        <v>#DIV/0!</v>
      </c>
      <c r="Z141" s="162" t="e">
        <f t="shared" ref="Z141:AA141" ca="1" si="1045">+Z140/Z107</f>
        <v>#DIV/0!</v>
      </c>
      <c r="AA141" s="162" t="e">
        <f t="shared" ca="1" si="1045"/>
        <v>#DIV/0!</v>
      </c>
      <c r="AB141" s="94" t="e">
        <f t="shared" ca="1" si="1044"/>
        <v>#DIV/0!</v>
      </c>
      <c r="AC141" s="94" t="e">
        <f t="shared" ca="1" si="1044"/>
        <v>#DIV/0!</v>
      </c>
      <c r="AD141" s="94" t="e">
        <f t="shared" ca="1" si="1044"/>
        <v>#DIV/0!</v>
      </c>
      <c r="AE141" s="94" t="e">
        <f t="shared" ca="1" si="1044"/>
        <v>#DIV/0!</v>
      </c>
      <c r="AL141" s="162">
        <f t="shared" ref="AL141:BQ141" si="1046">+AL140/AL107</f>
        <v>0</v>
      </c>
      <c r="AM141" s="162">
        <f t="shared" si="1046"/>
        <v>0</v>
      </c>
      <c r="AN141" s="162">
        <f t="shared" si="1046"/>
        <v>0</v>
      </c>
      <c r="AO141" s="162">
        <f t="shared" si="1046"/>
        <v>0</v>
      </c>
      <c r="AP141" s="162">
        <f t="shared" si="1046"/>
        <v>0</v>
      </c>
      <c r="AQ141" s="162">
        <f t="shared" si="1046"/>
        <v>0</v>
      </c>
      <c r="AR141" s="162">
        <f t="shared" si="1046"/>
        <v>0</v>
      </c>
      <c r="AS141" s="162">
        <f t="shared" si="1046"/>
        <v>0</v>
      </c>
      <c r="AT141" s="162">
        <f t="shared" si="1046"/>
        <v>0</v>
      </c>
      <c r="AU141" s="162">
        <f t="shared" si="1046"/>
        <v>3.5809876853480773</v>
      </c>
      <c r="AV141" s="162">
        <f t="shared" si="1046"/>
        <v>7.4930887157577271</v>
      </c>
      <c r="AW141" s="162">
        <f t="shared" si="1046"/>
        <v>11.052525760241265</v>
      </c>
      <c r="AX141" s="162">
        <f t="shared" si="1046"/>
        <v>15.139922090977631</v>
      </c>
      <c r="AY141" s="162">
        <f t="shared" si="1046"/>
        <v>15.878172907765771</v>
      </c>
      <c r="AZ141" s="162">
        <f t="shared" si="1046"/>
        <v>16.876099522493089</v>
      </c>
      <c r="BA141" s="162">
        <f t="shared" si="1046"/>
        <v>17.738502136215132</v>
      </c>
      <c r="BB141" s="162">
        <f t="shared" si="1046"/>
        <v>19.124591605931137</v>
      </c>
      <c r="BC141" s="162">
        <f t="shared" si="1046"/>
        <v>20.319301331992961</v>
      </c>
      <c r="BD141" s="162">
        <f t="shared" si="1046"/>
        <v>20.940562955516462</v>
      </c>
      <c r="BE141" s="162">
        <f t="shared" si="1046"/>
        <v>21.788263382759489</v>
      </c>
      <c r="BF141" s="162">
        <f t="shared" si="1046"/>
        <v>22.387911535561699</v>
      </c>
      <c r="BG141" s="162">
        <f t="shared" si="1046"/>
        <v>22.977883890424732</v>
      </c>
      <c r="BH141" s="162">
        <f t="shared" si="1046"/>
        <v>23.97336014073888</v>
      </c>
      <c r="BI141" s="162">
        <f t="shared" si="1046"/>
        <v>24.753706961548129</v>
      </c>
      <c r="BJ141" s="162">
        <f t="shared" si="1046"/>
        <v>25.314777582307109</v>
      </c>
      <c r="BK141" s="162">
        <f t="shared" si="1046"/>
        <v>26.10517718019603</v>
      </c>
      <c r="BL141" s="162">
        <f t="shared" si="1046"/>
        <v>26.881754209600402</v>
      </c>
      <c r="BM141" s="162">
        <f t="shared" si="1046"/>
        <v>27.478637848705706</v>
      </c>
      <c r="BN141" s="162">
        <f t="shared" si="1046"/>
        <v>27.217893943201808</v>
      </c>
      <c r="BO141" s="162">
        <f t="shared" si="1046"/>
        <v>23.859009801457653</v>
      </c>
      <c r="BP141" s="162">
        <f t="shared" si="1046"/>
        <v>26.184342799698417</v>
      </c>
      <c r="BQ141" s="162">
        <f t="shared" si="1046"/>
        <v>28.225056546871073</v>
      </c>
      <c r="BR141" s="162">
        <f t="shared" ref="BR141:CW141" si="1047">+BR140/BR107</f>
        <v>31.077532043226942</v>
      </c>
      <c r="BS141" s="162">
        <f t="shared" si="1047"/>
        <v>37.887031917567228</v>
      </c>
      <c r="BT141" s="162">
        <f t="shared" si="1047"/>
        <v>39.329605428499626</v>
      </c>
      <c r="BU141" s="162">
        <f t="shared" si="1047"/>
        <v>38.018346318170394</v>
      </c>
      <c r="BV141" s="162">
        <f t="shared" si="1047"/>
        <v>36.995476250314141</v>
      </c>
      <c r="BW141" s="162">
        <f t="shared" si="1047"/>
        <v>34.679567730585575</v>
      </c>
      <c r="BX141" s="162">
        <f t="shared" si="1047"/>
        <v>32.088464438301081</v>
      </c>
      <c r="BY141" s="162">
        <f t="shared" si="1047"/>
        <v>32.756345815531539</v>
      </c>
      <c r="BZ141" s="162">
        <f t="shared" si="1047"/>
        <v>33.090600653430506</v>
      </c>
      <c r="CA141" s="162">
        <f t="shared" si="1047"/>
        <v>33.536692636340788</v>
      </c>
      <c r="CB141" s="162">
        <f t="shared" si="1047"/>
        <v>34.355365669766272</v>
      </c>
      <c r="CC141" s="162">
        <f t="shared" si="1047"/>
        <v>34.776954008544863</v>
      </c>
      <c r="CD141" s="162">
        <f t="shared" si="1047"/>
        <v>35.931138477004268</v>
      </c>
      <c r="CE141" s="162">
        <f t="shared" si="1047"/>
        <v>37.314651922593612</v>
      </c>
      <c r="CF141" s="162">
        <f t="shared" si="1047"/>
        <v>39.159336516712742</v>
      </c>
      <c r="CG141" s="162">
        <f t="shared" si="1047"/>
        <v>41.118371450113088</v>
      </c>
      <c r="CH141" s="162">
        <f t="shared" si="1047"/>
        <v>43.186102035687355</v>
      </c>
      <c r="CI141" s="162">
        <f t="shared" si="1047"/>
        <v>45.455516461422462</v>
      </c>
      <c r="CJ141" s="162">
        <f t="shared" si="1047"/>
        <v>47.916561950238751</v>
      </c>
      <c r="CK141" s="162">
        <f t="shared" ref="CK141:CL141" si="1048">+CK140/CK107</f>
        <v>49.776954008544863</v>
      </c>
      <c r="CL141" s="162">
        <f t="shared" si="1048"/>
        <v>52.088464438301074</v>
      </c>
      <c r="CM141" s="50">
        <f t="shared" si="1047"/>
        <v>54.08787980648404</v>
      </c>
      <c r="CN141" s="50">
        <f t="shared" si="1047"/>
        <v>56.349290336768036</v>
      </c>
      <c r="CO141" s="50">
        <f t="shared" si="1047"/>
        <v>58.460240010052779</v>
      </c>
      <c r="CP141" s="50">
        <f t="shared" si="1047"/>
        <v>60.889668572505656</v>
      </c>
      <c r="CQ141" s="50">
        <f t="shared" si="1047"/>
        <v>63.47124379322694</v>
      </c>
      <c r="CR141" s="50">
        <f t="shared" si="1047"/>
        <v>66.389044294232221</v>
      </c>
      <c r="CS141" s="50">
        <f t="shared" si="1047"/>
        <v>69.022568485297811</v>
      </c>
      <c r="CT141" s="50">
        <f t="shared" si="1047"/>
        <v>72.063026277393803</v>
      </c>
      <c r="CU141" s="50">
        <f t="shared" si="1047"/>
        <v>75.143878145802589</v>
      </c>
      <c r="CV141" s="50">
        <f t="shared" si="1047"/>
        <v>78.6259812637023</v>
      </c>
      <c r="CW141" s="50">
        <f t="shared" si="1047"/>
        <v>81.768829033319975</v>
      </c>
      <c r="CX141" s="50">
        <f t="shared" ref="CX141:DB141" si="1049">+CX140/CX107</f>
        <v>85.397311362407351</v>
      </c>
      <c r="CY141" s="50">
        <f t="shared" si="1049"/>
        <v>89.073999982166384</v>
      </c>
      <c r="CZ141" s="50">
        <f t="shared" si="1049"/>
        <v>93.229541843067878</v>
      </c>
      <c r="DA141" s="50">
        <f t="shared" si="1049"/>
        <v>96.980216371329632</v>
      </c>
      <c r="DB141" s="50">
        <f t="shared" si="1049"/>
        <v>101.3104471828625</v>
      </c>
      <c r="DE141" s="163"/>
      <c r="DF141" s="162">
        <v>51.836030409650668</v>
      </c>
    </row>
    <row r="142" spans="1:110" s="162" customFormat="1" x14ac:dyDescent="0.2">
      <c r="AB142" s="94"/>
      <c r="AC142" s="94"/>
      <c r="AD142" s="94"/>
      <c r="AE142" s="94"/>
      <c r="CM142" s="94"/>
      <c r="CN142" s="94"/>
      <c r="CO142" s="94"/>
      <c r="CP142" s="94"/>
      <c r="CQ142" s="94"/>
      <c r="CR142" s="94"/>
      <c r="CS142" s="94"/>
      <c r="CT142" s="94"/>
      <c r="CU142" s="94"/>
      <c r="CV142" s="94"/>
      <c r="CW142" s="94"/>
      <c r="CX142" s="94"/>
      <c r="CY142" s="94"/>
      <c r="CZ142" s="94"/>
      <c r="DA142" s="94"/>
      <c r="DB142" s="94"/>
      <c r="DE142" s="163"/>
    </row>
    <row r="143" spans="1:110" s="162" customFormat="1" x14ac:dyDescent="0.2">
      <c r="A143" s="162" t="s">
        <v>506</v>
      </c>
      <c r="AB143" s="94"/>
      <c r="AC143" s="94"/>
      <c r="AD143" s="94"/>
      <c r="AE143" s="94"/>
      <c r="CM143" s="94"/>
      <c r="CN143" s="94"/>
      <c r="CO143" s="94"/>
      <c r="CP143" s="94"/>
      <c r="CQ143" s="94"/>
      <c r="CR143" s="94"/>
      <c r="CS143" s="94"/>
      <c r="CT143" s="94"/>
      <c r="CU143" s="94"/>
      <c r="CV143" s="94"/>
      <c r="CW143" s="94"/>
      <c r="CX143" s="94"/>
      <c r="CY143" s="94"/>
      <c r="CZ143" s="94"/>
      <c r="DA143" s="94"/>
      <c r="DB143" s="94"/>
      <c r="DE143" s="163"/>
    </row>
    <row r="144" spans="1:110" s="162" customFormat="1" x14ac:dyDescent="0.2">
      <c r="A144" s="162" t="s">
        <v>507</v>
      </c>
      <c r="E144" s="162" t="e">
        <f t="shared" ref="E144:AE146" ca="1" si="1050">+E119/E$141</f>
        <v>#DIV/0!</v>
      </c>
      <c r="F144" s="162" t="e">
        <f t="shared" ca="1" si="1050"/>
        <v>#DIV/0!</v>
      </c>
      <c r="G144" s="162" t="e">
        <f t="shared" ca="1" si="1050"/>
        <v>#DIV/0!</v>
      </c>
      <c r="H144" s="162" t="e">
        <f t="shared" ca="1" si="1050"/>
        <v>#DIV/0!</v>
      </c>
      <c r="I144" s="162" t="e">
        <f t="shared" ca="1" si="1050"/>
        <v>#DIV/0!</v>
      </c>
      <c r="J144" s="162" t="e">
        <f t="shared" ca="1" si="1050"/>
        <v>#DIV/0!</v>
      </c>
      <c r="K144" s="162" t="e">
        <f t="shared" ca="1" si="1050"/>
        <v>#DIV/0!</v>
      </c>
      <c r="L144" s="162" t="e">
        <f t="shared" ca="1" si="1050"/>
        <v>#DIV/0!</v>
      </c>
      <c r="M144" s="162" t="e">
        <f t="shared" ca="1" si="1050"/>
        <v>#DIV/0!</v>
      </c>
      <c r="N144" s="162" t="e">
        <f t="shared" ca="1" si="1050"/>
        <v>#DIV/0!</v>
      </c>
      <c r="O144" s="162" t="e">
        <f t="shared" ca="1" si="1050"/>
        <v>#DIV/0!</v>
      </c>
      <c r="P144" s="162" t="e">
        <f t="shared" ca="1" si="1050"/>
        <v>#DIV/0!</v>
      </c>
      <c r="Q144" s="162" t="e">
        <f t="shared" ca="1" si="1050"/>
        <v>#DIV/0!</v>
      </c>
      <c r="R144" s="162" t="e">
        <f t="shared" ca="1" si="1050"/>
        <v>#DIV/0!</v>
      </c>
      <c r="S144" s="162" t="e">
        <f t="shared" ca="1" si="1050"/>
        <v>#DIV/0!</v>
      </c>
      <c r="T144" s="162" t="e">
        <f t="shared" ca="1" si="1050"/>
        <v>#DIV/0!</v>
      </c>
      <c r="U144" s="162" t="e">
        <f t="shared" ca="1" si="1050"/>
        <v>#DIV/0!</v>
      </c>
      <c r="V144" s="162" t="e">
        <f t="shared" ca="1" si="1050"/>
        <v>#DIV/0!</v>
      </c>
      <c r="W144" s="162" t="e">
        <f t="shared" ca="1" si="1050"/>
        <v>#DIV/0!</v>
      </c>
      <c r="X144" s="162" t="e">
        <f t="shared" ca="1" si="1050"/>
        <v>#DIV/0!</v>
      </c>
      <c r="Y144" s="162" t="e">
        <f t="shared" ca="1" si="1050"/>
        <v>#DIV/0!</v>
      </c>
      <c r="Z144" s="162" t="e">
        <f ca="1">+Z119/Z$141</f>
        <v>#DIV/0!</v>
      </c>
      <c r="AA144" s="162" t="e">
        <f ca="1">+AA119/AA$141</f>
        <v>#DIV/0!</v>
      </c>
      <c r="AB144" s="50" t="e">
        <f t="shared" ref="AA144:AE144" ca="1" si="1051">+AB119/AB$141</f>
        <v>#DIV/0!</v>
      </c>
      <c r="AC144" s="50" t="e">
        <f t="shared" ca="1" si="1051"/>
        <v>#DIV/0!</v>
      </c>
      <c r="AD144" s="50" t="e">
        <f t="shared" ca="1" si="1051"/>
        <v>#DIV/0!</v>
      </c>
      <c r="AE144" s="50" t="e">
        <f t="shared" ca="1" si="1051"/>
        <v>#DIV/0!</v>
      </c>
      <c r="AL144" s="162" t="e">
        <f t="shared" ref="AL144:BQ144" si="1052">+AL119/AL141</f>
        <v>#DIV/0!</v>
      </c>
      <c r="AM144" s="162" t="e">
        <f t="shared" si="1052"/>
        <v>#DIV/0!</v>
      </c>
      <c r="AN144" s="162" t="e">
        <f t="shared" si="1052"/>
        <v>#DIV/0!</v>
      </c>
      <c r="AO144" s="162" t="e">
        <f t="shared" si="1052"/>
        <v>#DIV/0!</v>
      </c>
      <c r="AP144" s="162" t="e">
        <f t="shared" si="1052"/>
        <v>#DIV/0!</v>
      </c>
      <c r="AQ144" s="162" t="e">
        <f t="shared" si="1052"/>
        <v>#DIV/0!</v>
      </c>
      <c r="AR144" s="162" t="e">
        <f t="shared" si="1052"/>
        <v>#DIV/0!</v>
      </c>
      <c r="AS144" s="162" t="e">
        <f t="shared" si="1052"/>
        <v>#DIV/0!</v>
      </c>
      <c r="AT144" s="162" t="e">
        <f t="shared" si="1052"/>
        <v>#DIV/0!</v>
      </c>
      <c r="AU144" s="162">
        <f t="shared" si="1052"/>
        <v>0</v>
      </c>
      <c r="AV144" s="162">
        <f t="shared" si="1052"/>
        <v>0</v>
      </c>
      <c r="AW144" s="162">
        <f t="shared" si="1052"/>
        <v>0</v>
      </c>
      <c r="AX144" s="162">
        <f t="shared" si="1052"/>
        <v>0</v>
      </c>
      <c r="AY144" s="162">
        <f t="shared" si="1052"/>
        <v>12.001800696695007</v>
      </c>
      <c r="AZ144" s="162">
        <f t="shared" si="1052"/>
        <v>12.13846835443038</v>
      </c>
      <c r="BA144" s="162">
        <f t="shared" si="1052"/>
        <v>12.974601701579024</v>
      </c>
      <c r="BB144" s="162">
        <f t="shared" si="1052"/>
        <v>12.474340450369668</v>
      </c>
      <c r="BC144" s="162">
        <f t="shared" si="1052"/>
        <v>11.954971418441049</v>
      </c>
      <c r="BD144" s="162">
        <f t="shared" si="1052"/>
        <v>10.955611229459846</v>
      </c>
      <c r="BE144" s="162">
        <f t="shared" si="1052"/>
        <v>10.553082147670086</v>
      </c>
      <c r="BF144" s="162">
        <f t="shared" si="1052"/>
        <v>8.9505147907627514</v>
      </c>
      <c r="BG144" s="162">
        <f t="shared" si="1052"/>
        <v>8.3645648536022481</v>
      </c>
      <c r="BH144" s="162">
        <f t="shared" si="1052"/>
        <v>8.9675928643812988</v>
      </c>
      <c r="BI144" s="162">
        <f t="shared" si="1052"/>
        <v>7.0986000981437432</v>
      </c>
      <c r="BJ144" s="162">
        <f t="shared" si="1052"/>
        <v>6.9853796960445971</v>
      </c>
      <c r="BK144" s="162">
        <f t="shared" si="1052"/>
        <v>6.0224324692932969</v>
      </c>
      <c r="BL144" s="162">
        <f t="shared" si="1052"/>
        <v>6.3903319699271428</v>
      </c>
      <c r="BM144" s="162">
        <f t="shared" si="1052"/>
        <v>6.6342444266605698</v>
      </c>
      <c r="BN144" s="162">
        <f t="shared" si="1052"/>
        <v>6.0689241305016806</v>
      </c>
      <c r="BO144" s="162">
        <f t="shared" si="1052"/>
        <v>7.0693070697494917</v>
      </c>
      <c r="BP144" s="162">
        <f t="shared" si="1052"/>
        <v>9.6546245950809837</v>
      </c>
      <c r="BQ144" s="162">
        <f t="shared" si="1052"/>
        <v>10.787105640021084</v>
      </c>
      <c r="BR144" s="162">
        <f t="shared" ref="BR144:DB144" si="1053">+BR119/BR141</f>
        <v>9.6849174804062184</v>
      </c>
      <c r="BS144" s="162">
        <f t="shared" si="1053"/>
        <v>11.556724764100098</v>
      </c>
      <c r="BT144" s="162">
        <f t="shared" si="1053"/>
        <v>9.8818687796539759</v>
      </c>
      <c r="BU144" s="162">
        <f t="shared" si="1053"/>
        <v>9.6931271966066301</v>
      </c>
      <c r="BV144" s="162">
        <f t="shared" si="1053"/>
        <v>6.9715730896822006</v>
      </c>
      <c r="BW144" s="162">
        <f t="shared" si="1053"/>
        <v>5.9713354832475689</v>
      </c>
      <c r="BX144" s="162">
        <f t="shared" si="1053"/>
        <v>7.2663703529657582</v>
      </c>
      <c r="BY144" s="162">
        <f t="shared" si="1053"/>
        <v>6.2878401585627168</v>
      </c>
      <c r="BZ144" s="162">
        <f t="shared" si="1053"/>
        <v>4.3285201992392359</v>
      </c>
      <c r="CA144" s="162">
        <f t="shared" si="1053"/>
        <v>5.1475956560565939</v>
      </c>
      <c r="CB144" s="162">
        <f t="shared" si="1053"/>
        <v>5.5241249695196197</v>
      </c>
      <c r="CC144" s="162">
        <f t="shared" si="1053"/>
        <v>6.1678777257863446</v>
      </c>
      <c r="CD144" s="162">
        <f t="shared" si="1053"/>
        <v>5.4938420647688337</v>
      </c>
      <c r="CE144" s="162">
        <f t="shared" si="1053"/>
        <v>5.6648882527922693</v>
      </c>
      <c r="CF144" s="162">
        <f t="shared" si="1053"/>
        <v>6.9093782156189585</v>
      </c>
      <c r="CG144" s="162">
        <f t="shared" si="1053"/>
        <v>7.4135556098852886</v>
      </c>
      <c r="CH144" s="162">
        <f t="shared" si="1053"/>
        <v>5.250145825755915</v>
      </c>
      <c r="CI144" s="162">
        <f t="shared" si="1053"/>
        <v>7.2609448905967087</v>
      </c>
      <c r="CJ144" s="162">
        <f t="shared" si="1053"/>
        <v>8.0706263330885761</v>
      </c>
      <c r="CK144" s="162">
        <f t="shared" ref="CK144:CL144" si="1054">+CK119/CK141</f>
        <v>8.9599697065320285</v>
      </c>
      <c r="CL144" s="162">
        <f t="shared" si="1054"/>
        <v>6.7145385023641815</v>
      </c>
      <c r="CM144" s="50">
        <f t="shared" si="1053"/>
        <v>6.4663285240859461</v>
      </c>
      <c r="CN144" s="50">
        <f t="shared" si="1053"/>
        <v>6.2068217347501777</v>
      </c>
      <c r="CO144" s="50">
        <f t="shared" si="1053"/>
        <v>5.9826986673311167</v>
      </c>
      <c r="CP144" s="50">
        <f t="shared" si="1053"/>
        <v>5.7439957910680333</v>
      </c>
      <c r="CQ144" s="50">
        <f t="shared" si="1053"/>
        <v>5.510369406646511</v>
      </c>
      <c r="CR144" s="50">
        <f t="shared" si="1053"/>
        <v>5.2681885048672967</v>
      </c>
      <c r="CS144" s="50">
        <f t="shared" si="1053"/>
        <v>5.0671832079749199</v>
      </c>
      <c r="CT144" s="50">
        <f t="shared" si="1053"/>
        <v>4.8533904009762177</v>
      </c>
      <c r="CU144" s="50">
        <f t="shared" si="1053"/>
        <v>4.6544044389268251</v>
      </c>
      <c r="CV144" s="50">
        <f t="shared" si="1053"/>
        <v>4.4482751678097294</v>
      </c>
      <c r="CW144" s="50">
        <f t="shared" si="1053"/>
        <v>4.277302293976601</v>
      </c>
      <c r="CX144" s="50">
        <f t="shared" si="1053"/>
        <v>4.0955621953452157</v>
      </c>
      <c r="CY144" s="50">
        <f t="shared" si="1053"/>
        <v>3.9265105425828399</v>
      </c>
      <c r="CZ144" s="50">
        <f t="shared" si="1053"/>
        <v>3.7514932829845908</v>
      </c>
      <c r="DA144" s="50">
        <f t="shared" si="1053"/>
        <v>3.6064056473212509</v>
      </c>
      <c r="DB144" s="50">
        <f t="shared" si="1053"/>
        <v>3.4522599566529513</v>
      </c>
      <c r="DE144" s="106"/>
      <c r="DF144" s="162">
        <v>6.7472373412082236</v>
      </c>
    </row>
    <row r="145" spans="1:110" s="162" customFormat="1" x14ac:dyDescent="0.2">
      <c r="A145" s="162" t="s">
        <v>508</v>
      </c>
      <c r="E145" s="162" t="e">
        <f t="shared" ca="1" si="1050"/>
        <v>#DIV/0!</v>
      </c>
      <c r="F145" s="162" t="e">
        <f t="shared" ca="1" si="1050"/>
        <v>#DIV/0!</v>
      </c>
      <c r="G145" s="162" t="e">
        <f t="shared" ca="1" si="1050"/>
        <v>#DIV/0!</v>
      </c>
      <c r="H145" s="162" t="e">
        <f t="shared" ca="1" si="1050"/>
        <v>#DIV/0!</v>
      </c>
      <c r="I145" s="162" t="e">
        <f t="shared" ca="1" si="1050"/>
        <v>#DIV/0!</v>
      </c>
      <c r="J145" s="162" t="e">
        <f t="shared" ca="1" si="1050"/>
        <v>#DIV/0!</v>
      </c>
      <c r="K145" s="162" t="e">
        <f t="shared" ca="1" si="1050"/>
        <v>#DIV/0!</v>
      </c>
      <c r="L145" s="162" t="e">
        <f t="shared" ca="1" si="1050"/>
        <v>#DIV/0!</v>
      </c>
      <c r="M145" s="162" t="e">
        <f t="shared" ca="1" si="1050"/>
        <v>#DIV/0!</v>
      </c>
      <c r="N145" s="162" t="e">
        <f t="shared" ca="1" si="1050"/>
        <v>#DIV/0!</v>
      </c>
      <c r="O145" s="162" t="e">
        <f t="shared" ca="1" si="1050"/>
        <v>#DIV/0!</v>
      </c>
      <c r="P145" s="162" t="e">
        <f t="shared" ca="1" si="1050"/>
        <v>#DIV/0!</v>
      </c>
      <c r="Q145" s="162" t="e">
        <f t="shared" ca="1" si="1050"/>
        <v>#DIV/0!</v>
      </c>
      <c r="R145" s="162" t="e">
        <f t="shared" ca="1" si="1050"/>
        <v>#DIV/0!</v>
      </c>
      <c r="S145" s="162" t="e">
        <f t="shared" ca="1" si="1050"/>
        <v>#DIV/0!</v>
      </c>
      <c r="T145" s="162" t="e">
        <f t="shared" ca="1" si="1050"/>
        <v>#DIV/0!</v>
      </c>
      <c r="U145" s="162" t="e">
        <f t="shared" ca="1" si="1050"/>
        <v>#DIV/0!</v>
      </c>
      <c r="V145" s="162" t="e">
        <f t="shared" ca="1" si="1050"/>
        <v>#DIV/0!</v>
      </c>
      <c r="W145" s="162" t="e">
        <f t="shared" ca="1" si="1050"/>
        <v>#DIV/0!</v>
      </c>
      <c r="X145" s="162" t="e">
        <f t="shared" ca="1" si="1050"/>
        <v>#DIV/0!</v>
      </c>
      <c r="Y145" s="162" t="e">
        <f t="shared" ca="1" si="1050"/>
        <v>#DIV/0!</v>
      </c>
      <c r="Z145" s="162" t="e">
        <f t="shared" ref="Z145:AA146" ca="1" si="1055">+Z120/Z$141</f>
        <v>#DIV/0!</v>
      </c>
      <c r="AA145" s="162" t="e">
        <f t="shared" ca="1" si="1055"/>
        <v>#DIV/0!</v>
      </c>
      <c r="AB145" s="94" t="e">
        <f t="shared" ca="1" si="1050"/>
        <v>#DIV/0!</v>
      </c>
      <c r="AC145" s="94" t="e">
        <f t="shared" ca="1" si="1050"/>
        <v>#DIV/0!</v>
      </c>
      <c r="AD145" s="94" t="e">
        <f t="shared" ca="1" si="1050"/>
        <v>#DIV/0!</v>
      </c>
      <c r="AE145" s="94" t="e">
        <f t="shared" ca="1" si="1050"/>
        <v>#DIV/0!</v>
      </c>
      <c r="AL145" s="162" t="e">
        <f t="shared" ref="AL145:BQ145" si="1056">+AL120/AL141</f>
        <v>#DIV/0!</v>
      </c>
      <c r="AM145" s="162" t="e">
        <f t="shared" si="1056"/>
        <v>#DIV/0!</v>
      </c>
      <c r="AN145" s="162" t="e">
        <f t="shared" si="1056"/>
        <v>#DIV/0!</v>
      </c>
      <c r="AO145" s="162" t="e">
        <f t="shared" si="1056"/>
        <v>#DIV/0!</v>
      </c>
      <c r="AP145" s="162" t="e">
        <f t="shared" si="1056"/>
        <v>#DIV/0!</v>
      </c>
      <c r="AQ145" s="162" t="e">
        <f t="shared" si="1056"/>
        <v>#DIV/0!</v>
      </c>
      <c r="AR145" s="162" t="e">
        <f t="shared" si="1056"/>
        <v>#DIV/0!</v>
      </c>
      <c r="AS145" s="162" t="e">
        <f t="shared" si="1056"/>
        <v>#DIV/0!</v>
      </c>
      <c r="AT145" s="162" t="e">
        <f t="shared" si="1056"/>
        <v>#DIV/0!</v>
      </c>
      <c r="AU145" s="162">
        <f t="shared" si="1056"/>
        <v>0</v>
      </c>
      <c r="AV145" s="162">
        <f t="shared" si="1056"/>
        <v>0</v>
      </c>
      <c r="AW145" s="162">
        <f t="shared" si="1056"/>
        <v>0</v>
      </c>
      <c r="AX145" s="162">
        <f t="shared" si="1056"/>
        <v>0</v>
      </c>
      <c r="AY145" s="162">
        <f t="shared" si="1056"/>
        <v>14.038139104215388</v>
      </c>
      <c r="AZ145" s="162">
        <f t="shared" si="1056"/>
        <v>13.19321444527178</v>
      </c>
      <c r="BA145" s="162">
        <f t="shared" si="1056"/>
        <v>13.5270722498105</v>
      </c>
      <c r="BB145" s="162">
        <f t="shared" si="1056"/>
        <v>12.945810213094937</v>
      </c>
      <c r="BC145" s="162">
        <f t="shared" si="1056"/>
        <v>12.794075072716533</v>
      </c>
      <c r="BD145" s="162">
        <f t="shared" si="1056"/>
        <v>12.30387170332143</v>
      </c>
      <c r="BE145" s="162">
        <f t="shared" si="1056"/>
        <v>10.892714539201366</v>
      </c>
      <c r="BF145" s="162">
        <f t="shared" si="1056"/>
        <v>10.794515883395183</v>
      </c>
      <c r="BG145" s="162">
        <f t="shared" si="1056"/>
        <v>10.51735955404377</v>
      </c>
      <c r="BH145" s="162">
        <f t="shared" si="1056"/>
        <v>9.6913128559946742</v>
      </c>
      <c r="BI145" s="162">
        <f t="shared" si="1056"/>
        <v>9.1292723826928466</v>
      </c>
      <c r="BJ145" s="162">
        <f t="shared" si="1056"/>
        <v>7.9545106020368621</v>
      </c>
      <c r="BK145" s="162">
        <f t="shared" si="1056"/>
        <v>6.9590282959076557</v>
      </c>
      <c r="BL145" s="162">
        <f t="shared" si="1056"/>
        <v>6.6327516653032612</v>
      </c>
      <c r="BM145" s="162">
        <f t="shared" si="1056"/>
        <v>7.3335755497122941</v>
      </c>
      <c r="BN145" s="162">
        <f t="shared" si="1056"/>
        <v>8.4435874115112473</v>
      </c>
      <c r="BO145" s="162">
        <f t="shared" si="1056"/>
        <v>8.1297031302119134</v>
      </c>
      <c r="BP145" s="162">
        <f t="shared" si="1056"/>
        <v>10.760247150569885</v>
      </c>
      <c r="BQ145" s="162">
        <f t="shared" si="1056"/>
        <v>14.313523139594418</v>
      </c>
      <c r="BR145" s="162">
        <f t="shared" ref="BR145:CJ145" si="1057">+BR120/BR141</f>
        <v>10.791290189973662</v>
      </c>
      <c r="BS145" s="162">
        <f t="shared" si="1057"/>
        <v>12.897113038479176</v>
      </c>
      <c r="BT145" s="162">
        <f t="shared" si="1057"/>
        <v>11.735010517010924</v>
      </c>
      <c r="BU145" s="162">
        <f t="shared" si="1057"/>
        <v>11.371702748856929</v>
      </c>
      <c r="BV145" s="162">
        <f t="shared" si="1057"/>
        <v>10.18142499688644</v>
      </c>
      <c r="BW145" s="162">
        <f t="shared" si="1057"/>
        <v>8.8135469961591415</v>
      </c>
      <c r="BX145" s="162">
        <f t="shared" si="1057"/>
        <v>7.6803301221804503</v>
      </c>
      <c r="BY145" s="162">
        <f t="shared" si="1057"/>
        <v>7.8254557079377154</v>
      </c>
      <c r="BZ145" s="162">
        <f t="shared" si="1057"/>
        <v>6.2570638160517982</v>
      </c>
      <c r="CA145" s="162">
        <f t="shared" si="1057"/>
        <v>5.3270011428143214</v>
      </c>
      <c r="CB145" s="162">
        <f t="shared" si="1057"/>
        <v>5.9190171909290417</v>
      </c>
      <c r="CC145" s="162">
        <f t="shared" si="1057"/>
        <v>6.596322378999476</v>
      </c>
      <c r="CD145" s="162">
        <f t="shared" si="1057"/>
        <v>6.6979972488400934</v>
      </c>
      <c r="CE145" s="162">
        <f t="shared" si="1057"/>
        <v>6.0896543750350709</v>
      </c>
      <c r="CF145" s="162">
        <f t="shared" si="1057"/>
        <v>7.916375188524853</v>
      </c>
      <c r="CG145" s="162">
        <f t="shared" si="1057"/>
        <v>8.517279608010929</v>
      </c>
      <c r="CH145" s="162">
        <f t="shared" si="1057"/>
        <v>8.1280006789360186</v>
      </c>
      <c r="CI145" s="162">
        <f t="shared" si="1057"/>
        <v>7.8644653314350679</v>
      </c>
      <c r="CJ145" s="162">
        <f t="shared" si="1057"/>
        <v>9.977760935697054</v>
      </c>
      <c r="CK145" s="162">
        <f t="shared" ref="CK145:CL145" si="1058">+CK120/CK141</f>
        <v>10.807544924792266</v>
      </c>
      <c r="CL145" s="162">
        <f t="shared" si="1058"/>
        <v>9.7478396699797365</v>
      </c>
      <c r="CM145" s="94">
        <f t="shared" ref="CM145:DB145" si="1059">+CL145</f>
        <v>9.7478396699797365</v>
      </c>
      <c r="CN145" s="94">
        <f t="shared" si="1059"/>
        <v>9.7478396699797365</v>
      </c>
      <c r="CO145" s="94">
        <f t="shared" si="1059"/>
        <v>9.7478396699797365</v>
      </c>
      <c r="CP145" s="94">
        <f t="shared" si="1059"/>
        <v>9.7478396699797365</v>
      </c>
      <c r="CQ145" s="94">
        <f t="shared" si="1059"/>
        <v>9.7478396699797365</v>
      </c>
      <c r="CR145" s="94">
        <f t="shared" si="1059"/>
        <v>9.7478396699797365</v>
      </c>
      <c r="CS145" s="94">
        <f t="shared" si="1059"/>
        <v>9.7478396699797365</v>
      </c>
      <c r="CT145" s="94">
        <f t="shared" si="1059"/>
        <v>9.7478396699797365</v>
      </c>
      <c r="CU145" s="94">
        <f t="shared" si="1059"/>
        <v>9.7478396699797365</v>
      </c>
      <c r="CV145" s="94">
        <f t="shared" si="1059"/>
        <v>9.7478396699797365</v>
      </c>
      <c r="CW145" s="94">
        <f t="shared" si="1059"/>
        <v>9.7478396699797365</v>
      </c>
      <c r="CX145" s="94">
        <f t="shared" si="1059"/>
        <v>9.7478396699797365</v>
      </c>
      <c r="CY145" s="94">
        <f t="shared" si="1059"/>
        <v>9.7478396699797365</v>
      </c>
      <c r="CZ145" s="94">
        <f t="shared" si="1059"/>
        <v>9.7478396699797365</v>
      </c>
      <c r="DA145" s="94">
        <f t="shared" si="1059"/>
        <v>9.7478396699797365</v>
      </c>
      <c r="DB145" s="94">
        <f t="shared" si="1059"/>
        <v>9.7478396699797365</v>
      </c>
      <c r="DE145" s="163"/>
      <c r="DF145" s="162">
        <v>9.7953102501743405</v>
      </c>
    </row>
    <row r="146" spans="1:110" s="162" customFormat="1" x14ac:dyDescent="0.2">
      <c r="A146" s="162" t="s">
        <v>509</v>
      </c>
      <c r="E146" s="162" t="e">
        <f t="shared" ca="1" si="1050"/>
        <v>#DIV/0!</v>
      </c>
      <c r="F146" s="162" t="e">
        <f t="shared" ca="1" si="1050"/>
        <v>#DIV/0!</v>
      </c>
      <c r="G146" s="162" t="e">
        <f t="shared" ca="1" si="1050"/>
        <v>#DIV/0!</v>
      </c>
      <c r="H146" s="162" t="e">
        <f t="shared" ca="1" si="1050"/>
        <v>#DIV/0!</v>
      </c>
      <c r="I146" s="162" t="e">
        <f t="shared" ca="1" si="1050"/>
        <v>#DIV/0!</v>
      </c>
      <c r="J146" s="162" t="e">
        <f t="shared" ca="1" si="1050"/>
        <v>#DIV/0!</v>
      </c>
      <c r="K146" s="162" t="e">
        <f t="shared" ca="1" si="1050"/>
        <v>#DIV/0!</v>
      </c>
      <c r="L146" s="162" t="e">
        <f t="shared" ca="1" si="1050"/>
        <v>#DIV/0!</v>
      </c>
      <c r="M146" s="162" t="e">
        <f t="shared" ca="1" si="1050"/>
        <v>#DIV/0!</v>
      </c>
      <c r="N146" s="162" t="e">
        <f t="shared" ca="1" si="1050"/>
        <v>#DIV/0!</v>
      </c>
      <c r="O146" s="162" t="e">
        <f t="shared" ca="1" si="1050"/>
        <v>#DIV/0!</v>
      </c>
      <c r="P146" s="162" t="e">
        <f t="shared" ca="1" si="1050"/>
        <v>#DIV/0!</v>
      </c>
      <c r="Q146" s="162" t="e">
        <f t="shared" ca="1" si="1050"/>
        <v>#DIV/0!</v>
      </c>
      <c r="R146" s="162" t="e">
        <f t="shared" ca="1" si="1050"/>
        <v>#DIV/0!</v>
      </c>
      <c r="S146" s="162" t="e">
        <f t="shared" ca="1" si="1050"/>
        <v>#DIV/0!</v>
      </c>
      <c r="T146" s="162" t="e">
        <f t="shared" ca="1" si="1050"/>
        <v>#DIV/0!</v>
      </c>
      <c r="U146" s="162" t="e">
        <f t="shared" ca="1" si="1050"/>
        <v>#DIV/0!</v>
      </c>
      <c r="V146" s="162" t="e">
        <f t="shared" ca="1" si="1050"/>
        <v>#DIV/0!</v>
      </c>
      <c r="W146" s="162" t="e">
        <f t="shared" ca="1" si="1050"/>
        <v>#DIV/0!</v>
      </c>
      <c r="X146" s="162" t="e">
        <f t="shared" ca="1" si="1050"/>
        <v>#DIV/0!</v>
      </c>
      <c r="Y146" s="162" t="e">
        <f t="shared" ca="1" si="1050"/>
        <v>#DIV/0!</v>
      </c>
      <c r="Z146" s="162" t="e">
        <f t="shared" ca="1" si="1055"/>
        <v>#DIV/0!</v>
      </c>
      <c r="AA146" s="162" t="e">
        <f t="shared" ca="1" si="1055"/>
        <v>#DIV/0!</v>
      </c>
      <c r="AB146" s="94" t="e">
        <f t="shared" ca="1" si="1050"/>
        <v>#DIV/0!</v>
      </c>
      <c r="AC146" s="94" t="e">
        <f t="shared" ca="1" si="1050"/>
        <v>#DIV/0!</v>
      </c>
      <c r="AD146" s="94" t="e">
        <f t="shared" ca="1" si="1050"/>
        <v>#DIV/0!</v>
      </c>
      <c r="AE146" s="94" t="e">
        <f t="shared" ca="1" si="1050"/>
        <v>#DIV/0!</v>
      </c>
      <c r="AL146" s="162" t="e">
        <f t="shared" ref="AL146:BQ146" si="1060">+AL121/AL141</f>
        <v>#DIV/0!</v>
      </c>
      <c r="AM146" s="162" t="e">
        <f t="shared" si="1060"/>
        <v>#DIV/0!</v>
      </c>
      <c r="AN146" s="162" t="e">
        <f t="shared" si="1060"/>
        <v>#DIV/0!</v>
      </c>
      <c r="AO146" s="162" t="e">
        <f t="shared" si="1060"/>
        <v>#DIV/0!</v>
      </c>
      <c r="AP146" s="162" t="e">
        <f t="shared" si="1060"/>
        <v>#DIV/0!</v>
      </c>
      <c r="AQ146" s="162" t="e">
        <f t="shared" si="1060"/>
        <v>#DIV/0!</v>
      </c>
      <c r="AR146" s="162" t="e">
        <f t="shared" si="1060"/>
        <v>#DIV/0!</v>
      </c>
      <c r="AS146" s="162" t="e">
        <f t="shared" si="1060"/>
        <v>#DIV/0!</v>
      </c>
      <c r="AT146" s="162" t="e">
        <f t="shared" si="1060"/>
        <v>#DIV/0!</v>
      </c>
      <c r="AU146" s="162">
        <f t="shared" si="1060"/>
        <v>0</v>
      </c>
      <c r="AV146" s="162">
        <f t="shared" si="1060"/>
        <v>0</v>
      </c>
      <c r="AW146" s="162">
        <f t="shared" si="1060"/>
        <v>0</v>
      </c>
      <c r="AX146" s="162">
        <f t="shared" si="1060"/>
        <v>0</v>
      </c>
      <c r="AY146" s="162">
        <f t="shared" si="1060"/>
        <v>0</v>
      </c>
      <c r="AZ146" s="162">
        <f t="shared" si="1060"/>
        <v>10.591902457185405</v>
      </c>
      <c r="BA146" s="162">
        <f t="shared" si="1060"/>
        <v>10.731834356972689</v>
      </c>
      <c r="BB146" s="162">
        <f t="shared" si="1060"/>
        <v>11.601119189277702</v>
      </c>
      <c r="BC146" s="162">
        <f t="shared" si="1060"/>
        <v>11.230701108836682</v>
      </c>
      <c r="BD146" s="162">
        <f t="shared" si="1060"/>
        <v>10.505925770350146</v>
      </c>
      <c r="BE146" s="162">
        <f t="shared" si="1060"/>
        <v>9.3490700209353417</v>
      </c>
      <c r="BF146" s="162">
        <f t="shared" si="1060"/>
        <v>8.4867228324624087</v>
      </c>
      <c r="BG146" s="162">
        <f t="shared" si="1060"/>
        <v>8.3413541290692006</v>
      </c>
      <c r="BH146" s="162">
        <f t="shared" si="1060"/>
        <v>7.6153974910018656</v>
      </c>
      <c r="BI146" s="162">
        <f t="shared" si="1060"/>
        <v>7.0002983230959126</v>
      </c>
      <c r="BJ146" s="162">
        <f t="shared" si="1060"/>
        <v>6.3467540310904971</v>
      </c>
      <c r="BK146" s="162">
        <f t="shared" si="1060"/>
        <v>5.4299573996967432</v>
      </c>
      <c r="BL146" s="162">
        <f t="shared" si="1060"/>
        <v>5.0424536636671737</v>
      </c>
      <c r="BM146" s="162">
        <f t="shared" si="1060"/>
        <v>5.9100455013147366</v>
      </c>
      <c r="BN146" s="162">
        <f t="shared" si="1060"/>
        <v>5.0212065250846543</v>
      </c>
      <c r="BO146" s="162">
        <f t="shared" si="1060"/>
        <v>6.7801081441688309</v>
      </c>
      <c r="BP146" s="162">
        <f t="shared" si="1060"/>
        <v>6.1779922415517019</v>
      </c>
      <c r="BQ146" s="162">
        <f t="shared" si="1060"/>
        <v>8.8880837581343002</v>
      </c>
      <c r="BR146" s="162">
        <f t="shared" ref="BR146:CJ146" si="1061">+BR121/BR141</f>
        <v>8.9239175410576141</v>
      </c>
      <c r="BS146" s="162">
        <f t="shared" si="1061"/>
        <v>7.9424713796896773</v>
      </c>
      <c r="BT146" s="162">
        <f t="shared" si="1061"/>
        <v>9.8229648918212167</v>
      </c>
      <c r="BU146" s="162">
        <f t="shared" si="1061"/>
        <v>8.3003785600176361</v>
      </c>
      <c r="BV146" s="162">
        <f t="shared" si="1061"/>
        <v>6.6877546052557193</v>
      </c>
      <c r="BW146" s="162">
        <f t="shared" si="1061"/>
        <v>5.9617236756286687</v>
      </c>
      <c r="BX146" s="162">
        <f t="shared" si="1061"/>
        <v>6.2327694235588975</v>
      </c>
      <c r="BY146" s="162">
        <f t="shared" si="1061"/>
        <v>6.1067047728653074</v>
      </c>
      <c r="BZ146" s="162">
        <f t="shared" si="1061"/>
        <v>4.1905152499034921</v>
      </c>
      <c r="CA146" s="162">
        <f t="shared" si="1061"/>
        <v>4.2709439146698545</v>
      </c>
      <c r="CB146" s="162">
        <f t="shared" si="1061"/>
        <v>4.9720520604730654</v>
      </c>
      <c r="CC146" s="162">
        <f t="shared" si="1061"/>
        <v>4.897879592660165</v>
      </c>
      <c r="CD146" s="162">
        <f t="shared" si="1061"/>
        <v>5.1566229512018751</v>
      </c>
      <c r="CE146" s="162">
        <f t="shared" si="1061"/>
        <v>5.0985334231352084</v>
      </c>
      <c r="CF146" s="162">
        <f t="shared" si="1061"/>
        <v>5.2848188556942528</v>
      </c>
      <c r="CG146" s="162">
        <f t="shared" si="1061"/>
        <v>6.2794315750870977</v>
      </c>
      <c r="CH146" s="162">
        <f t="shared" si="1061"/>
        <v>5.0787944036274508</v>
      </c>
      <c r="CI146" s="162">
        <f t="shared" si="1061"/>
        <v>4.8402632682304345</v>
      </c>
      <c r="CJ146" s="162">
        <f t="shared" si="1061"/>
        <v>6.7384495087240746</v>
      </c>
      <c r="CK146" s="162">
        <f t="shared" ref="CK146:CL146" si="1062">+CK121/CK141</f>
        <v>7.5680939938992378</v>
      </c>
      <c r="CL146" s="162">
        <f t="shared" si="1062"/>
        <v>6.5763121200424601</v>
      </c>
      <c r="CM146" s="94">
        <f t="shared" ref="CM146:DB146" si="1063">+CL146</f>
        <v>6.5763121200424601</v>
      </c>
      <c r="CN146" s="94">
        <f t="shared" si="1063"/>
        <v>6.5763121200424601</v>
      </c>
      <c r="CO146" s="94">
        <f t="shared" si="1063"/>
        <v>6.5763121200424601</v>
      </c>
      <c r="CP146" s="94">
        <f t="shared" si="1063"/>
        <v>6.5763121200424601</v>
      </c>
      <c r="CQ146" s="94">
        <f t="shared" si="1063"/>
        <v>6.5763121200424601</v>
      </c>
      <c r="CR146" s="94">
        <f t="shared" si="1063"/>
        <v>6.5763121200424601</v>
      </c>
      <c r="CS146" s="94">
        <f t="shared" si="1063"/>
        <v>6.5763121200424601</v>
      </c>
      <c r="CT146" s="94">
        <f t="shared" si="1063"/>
        <v>6.5763121200424601</v>
      </c>
      <c r="CU146" s="94">
        <f t="shared" si="1063"/>
        <v>6.5763121200424601</v>
      </c>
      <c r="CV146" s="94">
        <f t="shared" si="1063"/>
        <v>6.5763121200424601</v>
      </c>
      <c r="CW146" s="94">
        <f t="shared" si="1063"/>
        <v>6.5763121200424601</v>
      </c>
      <c r="CX146" s="94">
        <f t="shared" si="1063"/>
        <v>6.5763121200424601</v>
      </c>
      <c r="CY146" s="94">
        <f t="shared" si="1063"/>
        <v>6.5763121200424601</v>
      </c>
      <c r="CZ146" s="94">
        <f t="shared" si="1063"/>
        <v>6.5763121200424601</v>
      </c>
      <c r="DA146" s="94">
        <f t="shared" si="1063"/>
        <v>6.5763121200424601</v>
      </c>
      <c r="DB146" s="94">
        <f t="shared" si="1063"/>
        <v>6.5763121200424601</v>
      </c>
      <c r="DE146" s="163"/>
      <c r="DF146" s="162">
        <v>6.6083378162426794</v>
      </c>
    </row>
    <row r="147" spans="1:110" s="4" customFormat="1" x14ac:dyDescent="0.2">
      <c r="A147" s="3"/>
      <c r="AB147" s="17"/>
      <c r="AC147" s="17"/>
      <c r="AD147" s="17"/>
      <c r="AE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E147" s="119"/>
    </row>
    <row r="148" spans="1:110" s="4" customFormat="1" x14ac:dyDescent="0.2">
      <c r="A148" s="3"/>
      <c r="AB148" s="17"/>
      <c r="AC148" s="17"/>
      <c r="AD148" s="17"/>
      <c r="AE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E148" s="119"/>
    </row>
    <row r="149" spans="1:110" s="161" customFormat="1" x14ac:dyDescent="0.2">
      <c r="A149" s="49" t="s">
        <v>340</v>
      </c>
      <c r="B149" s="161" t="e">
        <f t="shared" ref="B149:AE149" si="1064">+B120*B107</f>
        <v>#DIV/0!</v>
      </c>
      <c r="C149" s="161" t="e">
        <f t="shared" si="1064"/>
        <v>#DIV/0!</v>
      </c>
      <c r="D149" s="161" t="e">
        <f t="shared" si="1064"/>
        <v>#DIV/0!</v>
      </c>
      <c r="E149" s="161" t="e">
        <f t="shared" ca="1" si="1064"/>
        <v>#DIV/0!</v>
      </c>
      <c r="F149" s="161" t="e">
        <f t="shared" ca="1" si="1064"/>
        <v>#DIV/0!</v>
      </c>
      <c r="G149" s="161" t="e">
        <f t="shared" ca="1" si="1064"/>
        <v>#DIV/0!</v>
      </c>
      <c r="H149" s="161" t="e">
        <f t="shared" ca="1" si="1064"/>
        <v>#DIV/0!</v>
      </c>
      <c r="I149" s="161" t="e">
        <f t="shared" ca="1" si="1064"/>
        <v>#DIV/0!</v>
      </c>
      <c r="J149" s="161" t="e">
        <f t="shared" ca="1" si="1064"/>
        <v>#DIV/0!</v>
      </c>
      <c r="K149" s="161" t="e">
        <f t="shared" ca="1" si="1064"/>
        <v>#DIV/0!</v>
      </c>
      <c r="L149" s="161" t="e">
        <f t="shared" ca="1" si="1064"/>
        <v>#DIV/0!</v>
      </c>
      <c r="M149" s="161" t="e">
        <f t="shared" ca="1" si="1064"/>
        <v>#DIV/0!</v>
      </c>
      <c r="N149" s="161" t="e">
        <f t="shared" ca="1" si="1064"/>
        <v>#DIV/0!</v>
      </c>
      <c r="O149" s="161" t="e">
        <f t="shared" ca="1" si="1064"/>
        <v>#DIV/0!</v>
      </c>
      <c r="P149" s="161" t="e">
        <f t="shared" ca="1" si="1064"/>
        <v>#DIV/0!</v>
      </c>
      <c r="Q149" s="161" t="e">
        <f t="shared" ca="1" si="1064"/>
        <v>#DIV/0!</v>
      </c>
      <c r="R149" s="161" t="e">
        <f t="shared" ca="1" si="1064"/>
        <v>#DIV/0!</v>
      </c>
      <c r="S149" s="161" t="e">
        <f t="shared" ca="1" si="1064"/>
        <v>#DIV/0!</v>
      </c>
      <c r="T149" s="161" t="e">
        <f t="shared" ca="1" si="1064"/>
        <v>#DIV/0!</v>
      </c>
      <c r="U149" s="161" t="e">
        <f t="shared" ca="1" si="1064"/>
        <v>#DIV/0!</v>
      </c>
      <c r="V149" s="161" t="e">
        <f t="shared" ca="1" si="1064"/>
        <v>#DIV/0!</v>
      </c>
      <c r="W149" s="161" t="e">
        <f t="shared" ca="1" si="1064"/>
        <v>#DIV/0!</v>
      </c>
      <c r="X149" s="161" t="e">
        <f t="shared" ca="1" si="1064"/>
        <v>#DIV/0!</v>
      </c>
      <c r="Y149" s="161" t="e">
        <f t="shared" ca="1" si="1064"/>
        <v>#DIV/0!</v>
      </c>
      <c r="Z149" s="161" t="e">
        <f t="shared" ca="1" si="1064"/>
        <v>#DIV/0!</v>
      </c>
      <c r="AA149" s="161" t="e">
        <f t="shared" ref="AA149" ca="1" si="1065">+AA120*AA107</f>
        <v>#DIV/0!</v>
      </c>
      <c r="AB149" s="21" t="e">
        <f t="shared" ca="1" si="1064"/>
        <v>#DIV/0!</v>
      </c>
      <c r="AC149" s="21" t="e">
        <f t="shared" ca="1" si="1064"/>
        <v>#DIV/0!</v>
      </c>
      <c r="AD149" s="21" t="e">
        <f t="shared" ca="1" si="1064"/>
        <v>#DIV/0!</v>
      </c>
      <c r="AE149" s="21" t="e">
        <f t="shared" ca="1" si="1064"/>
        <v>#DIV/0!</v>
      </c>
      <c r="AL149" s="161">
        <f t="shared" ref="AL149:BQ149" si="1066">+AL120*AL107</f>
        <v>0</v>
      </c>
      <c r="AM149" s="161">
        <f t="shared" si="1066"/>
        <v>0</v>
      </c>
      <c r="AN149" s="161">
        <f t="shared" si="1066"/>
        <v>0</v>
      </c>
      <c r="AO149" s="161">
        <f t="shared" si="1066"/>
        <v>0</v>
      </c>
      <c r="AP149" s="161">
        <f t="shared" si="1066"/>
        <v>0</v>
      </c>
      <c r="AQ149" s="161">
        <f t="shared" si="1066"/>
        <v>0</v>
      </c>
      <c r="AR149" s="161">
        <f t="shared" si="1066"/>
        <v>0</v>
      </c>
      <c r="AS149" s="161">
        <f t="shared" si="1066"/>
        <v>0</v>
      </c>
      <c r="AT149" s="161">
        <f t="shared" si="1066"/>
        <v>0</v>
      </c>
      <c r="AU149" s="161">
        <f t="shared" si="1066"/>
        <v>0</v>
      </c>
      <c r="AV149" s="161">
        <f t="shared" si="1066"/>
        <v>0</v>
      </c>
      <c r="AW149" s="161">
        <f t="shared" si="1066"/>
        <v>0</v>
      </c>
      <c r="AX149" s="161">
        <f t="shared" si="1066"/>
        <v>0</v>
      </c>
      <c r="AY149" s="161">
        <f t="shared" si="1066"/>
        <v>3547.6764000000003</v>
      </c>
      <c r="AZ149" s="161">
        <f t="shared" si="1066"/>
        <v>3543.6974</v>
      </c>
      <c r="BA149" s="161">
        <f t="shared" si="1066"/>
        <v>3819.0441999999998</v>
      </c>
      <c r="BB149" s="161">
        <f t="shared" si="1066"/>
        <v>3940.536333333328</v>
      </c>
      <c r="BC149" s="161">
        <f t="shared" si="1066"/>
        <v>4137.6294666666718</v>
      </c>
      <c r="BD149" s="161">
        <f t="shared" si="1066"/>
        <v>4100.7573999999995</v>
      </c>
      <c r="BE149" s="161">
        <f t="shared" si="1066"/>
        <v>3777.3973333333283</v>
      </c>
      <c r="BF149" s="161">
        <f t="shared" si="1066"/>
        <v>3846.3666666666722</v>
      </c>
      <c r="BG149" s="161">
        <f t="shared" si="1066"/>
        <v>3846.3666666666722</v>
      </c>
      <c r="BH149" s="161">
        <f t="shared" si="1066"/>
        <v>3697.817333333328</v>
      </c>
      <c r="BI149" s="161">
        <f t="shared" si="1066"/>
        <v>3596.7507333333283</v>
      </c>
      <c r="BJ149" s="161">
        <f t="shared" si="1066"/>
        <v>3204.9518666666718</v>
      </c>
      <c r="BK149" s="161">
        <f t="shared" si="1066"/>
        <v>2891.4066666666722</v>
      </c>
      <c r="BL149" s="161">
        <f t="shared" si="1066"/>
        <v>2837.8228000000004</v>
      </c>
      <c r="BM149" s="161">
        <f t="shared" si="1066"/>
        <v>3207.3392666666718</v>
      </c>
      <c r="BN149" s="161">
        <f t="shared" si="1066"/>
        <v>3657.7620666666721</v>
      </c>
      <c r="BO149" s="161">
        <f t="shared" si="1066"/>
        <v>3087.1734666666721</v>
      </c>
      <c r="BP149" s="161">
        <f t="shared" si="1066"/>
        <v>4484.3330000000005</v>
      </c>
      <c r="BQ149" s="161">
        <f t="shared" si="1066"/>
        <v>6430.0640000000003</v>
      </c>
      <c r="BR149" s="161">
        <f t="shared" ref="BR149:CJ149" si="1067">+BR120*BR107</f>
        <v>5337.6958666666724</v>
      </c>
      <c r="BS149" s="161">
        <f t="shared" si="1067"/>
        <v>7777.0881333333282</v>
      </c>
      <c r="BT149" s="161">
        <f t="shared" si="1067"/>
        <v>7345.7645333333285</v>
      </c>
      <c r="BU149" s="161">
        <f t="shared" si="1067"/>
        <v>6881.0173333333278</v>
      </c>
      <c r="BV149" s="161">
        <f t="shared" si="1067"/>
        <v>5995.0266666666721</v>
      </c>
      <c r="BW149" s="161">
        <f t="shared" si="1067"/>
        <v>4864.7253999999994</v>
      </c>
      <c r="BX149" s="161">
        <f t="shared" si="1067"/>
        <v>3922.4982</v>
      </c>
      <c r="BY149" s="161">
        <f t="shared" si="1067"/>
        <v>4079.8013333333279</v>
      </c>
      <c r="BZ149" s="161">
        <f t="shared" si="1067"/>
        <v>3295.4078000000004</v>
      </c>
      <c r="CA149" s="161">
        <f t="shared" si="1067"/>
        <v>2843.3934000000004</v>
      </c>
      <c r="CB149" s="161">
        <f t="shared" si="1067"/>
        <v>3236.5185999999999</v>
      </c>
      <c r="CC149" s="161">
        <f t="shared" si="1067"/>
        <v>3651.1304</v>
      </c>
      <c r="CD149" s="161">
        <f t="shared" si="1067"/>
        <v>3830.4506666666721</v>
      </c>
      <c r="CE149" s="161">
        <f t="shared" si="1067"/>
        <v>3616.6457333333283</v>
      </c>
      <c r="CF149" s="161">
        <f t="shared" si="1067"/>
        <v>4933.96</v>
      </c>
      <c r="CG149" s="161">
        <f t="shared" si="1067"/>
        <v>5574.0484666666716</v>
      </c>
      <c r="CH149" s="161">
        <f t="shared" si="1067"/>
        <v>5586.7812666666723</v>
      </c>
      <c r="CI149" s="161">
        <f t="shared" si="1067"/>
        <v>5689.7047333333285</v>
      </c>
      <c r="CJ149" s="161">
        <f t="shared" si="1067"/>
        <v>7609.4396000000006</v>
      </c>
      <c r="CK149" s="161">
        <f t="shared" ref="CK149:CL149" si="1068">+CK120*CK107</f>
        <v>8562.2774666666719</v>
      </c>
      <c r="CL149" s="161">
        <f t="shared" si="1068"/>
        <v>8081.3490000000002</v>
      </c>
      <c r="CM149" s="21">
        <f t="shared" ref="CM149:DB149" si="1069">+CM120*CM107</f>
        <v>8282.3637342788297</v>
      </c>
      <c r="CN149" s="21">
        <f t="shared" si="1069"/>
        <v>8431.0085054400552</v>
      </c>
      <c r="CO149" s="21">
        <f t="shared" si="1069"/>
        <v>8928.6236737649415</v>
      </c>
      <c r="CP149" s="21">
        <f t="shared" si="1069"/>
        <v>9328.5869185198371</v>
      </c>
      <c r="CQ149" s="21">
        <f t="shared" si="1069"/>
        <v>9944.3203761941368</v>
      </c>
      <c r="CR149" s="21">
        <f t="shared" si="1069"/>
        <v>10612.34784083826</v>
      </c>
      <c r="CS149" s="21">
        <f t="shared" si="1069"/>
        <v>11248.985241598109</v>
      </c>
      <c r="CT149" s="21">
        <f t="shared" si="1069"/>
        <v>11937.648437304315</v>
      </c>
      <c r="CU149" s="21">
        <f t="shared" si="1069"/>
        <v>12635.576719933448</v>
      </c>
      <c r="CV149" s="21">
        <f t="shared" si="1069"/>
        <v>13403.25254597598</v>
      </c>
      <c r="CW149" s="21">
        <f t="shared" si="1069"/>
        <v>14099.472507541161</v>
      </c>
      <c r="CX149" s="21">
        <f t="shared" si="1069"/>
        <v>14870.153931149556</v>
      </c>
      <c r="CY149" s="21">
        <f t="shared" si="1069"/>
        <v>15682.188516899989</v>
      </c>
      <c r="CZ149" s="21">
        <f t="shared" si="1069"/>
        <v>16585.111041758853</v>
      </c>
      <c r="DA149" s="21">
        <f t="shared" si="1069"/>
        <v>17413.286424274145</v>
      </c>
      <c r="DB149" s="21">
        <f t="shared" si="1069"/>
        <v>18356.120650101082</v>
      </c>
      <c r="DE149" s="22"/>
      <c r="DF149" s="161">
        <v>8081.3490000000002</v>
      </c>
    </row>
    <row r="150" spans="1:110" s="161" customFormat="1" x14ac:dyDescent="0.2">
      <c r="A150" s="49" t="s">
        <v>341</v>
      </c>
      <c r="B150" s="161" t="e">
        <f t="shared" ref="B150:AE150" si="1070">+B121*B107</f>
        <v>#DIV/0!</v>
      </c>
      <c r="C150" s="161" t="e">
        <f t="shared" si="1070"/>
        <v>#DIV/0!</v>
      </c>
      <c r="D150" s="161" t="e">
        <f t="shared" si="1070"/>
        <v>#DIV/0!</v>
      </c>
      <c r="E150" s="161" t="e">
        <f t="shared" ca="1" si="1070"/>
        <v>#DIV/0!</v>
      </c>
      <c r="F150" s="161" t="e">
        <f t="shared" ca="1" si="1070"/>
        <v>#DIV/0!</v>
      </c>
      <c r="G150" s="161" t="e">
        <f t="shared" ca="1" si="1070"/>
        <v>#DIV/0!</v>
      </c>
      <c r="H150" s="161" t="e">
        <f t="shared" ca="1" si="1070"/>
        <v>#DIV/0!</v>
      </c>
      <c r="I150" s="161" t="e">
        <f t="shared" ca="1" si="1070"/>
        <v>#DIV/0!</v>
      </c>
      <c r="J150" s="161" t="e">
        <f t="shared" ca="1" si="1070"/>
        <v>#DIV/0!</v>
      </c>
      <c r="K150" s="161" t="e">
        <f t="shared" ca="1" si="1070"/>
        <v>#DIV/0!</v>
      </c>
      <c r="L150" s="161" t="e">
        <f t="shared" ca="1" si="1070"/>
        <v>#DIV/0!</v>
      </c>
      <c r="M150" s="161" t="e">
        <f t="shared" ca="1" si="1070"/>
        <v>#DIV/0!</v>
      </c>
      <c r="N150" s="161" t="e">
        <f t="shared" ca="1" si="1070"/>
        <v>#DIV/0!</v>
      </c>
      <c r="O150" s="161" t="e">
        <f t="shared" ca="1" si="1070"/>
        <v>#DIV/0!</v>
      </c>
      <c r="P150" s="161" t="e">
        <f t="shared" ca="1" si="1070"/>
        <v>#DIV/0!</v>
      </c>
      <c r="Q150" s="161" t="e">
        <f t="shared" ca="1" si="1070"/>
        <v>#DIV/0!</v>
      </c>
      <c r="R150" s="161" t="e">
        <f t="shared" ca="1" si="1070"/>
        <v>#DIV/0!</v>
      </c>
      <c r="S150" s="161" t="e">
        <f t="shared" ca="1" si="1070"/>
        <v>#DIV/0!</v>
      </c>
      <c r="T150" s="161" t="e">
        <f t="shared" ca="1" si="1070"/>
        <v>#DIV/0!</v>
      </c>
      <c r="U150" s="161" t="e">
        <f t="shared" ca="1" si="1070"/>
        <v>#DIV/0!</v>
      </c>
      <c r="V150" s="161" t="e">
        <f t="shared" ca="1" si="1070"/>
        <v>#DIV/0!</v>
      </c>
      <c r="W150" s="161" t="e">
        <f t="shared" ca="1" si="1070"/>
        <v>#DIV/0!</v>
      </c>
      <c r="X150" s="161" t="e">
        <f t="shared" ca="1" si="1070"/>
        <v>#DIV/0!</v>
      </c>
      <c r="Y150" s="161" t="e">
        <f t="shared" ca="1" si="1070"/>
        <v>#DIV/0!</v>
      </c>
      <c r="Z150" s="161" t="e">
        <f t="shared" ca="1" si="1070"/>
        <v>#DIV/0!</v>
      </c>
      <c r="AA150" s="161" t="e">
        <f t="shared" ref="AA150" ca="1" si="1071">+AA121*AA107</f>
        <v>#DIV/0!</v>
      </c>
      <c r="AB150" s="21" t="e">
        <f t="shared" ca="1" si="1070"/>
        <v>#DIV/0!</v>
      </c>
      <c r="AC150" s="21" t="e">
        <f t="shared" ca="1" si="1070"/>
        <v>#DIV/0!</v>
      </c>
      <c r="AD150" s="21" t="e">
        <f t="shared" ca="1" si="1070"/>
        <v>#DIV/0!</v>
      </c>
      <c r="AE150" s="21" t="e">
        <f t="shared" ca="1" si="1070"/>
        <v>#DIV/0!</v>
      </c>
      <c r="AL150" s="161">
        <f t="shared" ref="AL150:BQ150" si="1072">+AL121*AL107</f>
        <v>0</v>
      </c>
      <c r="AM150" s="161">
        <f t="shared" si="1072"/>
        <v>0</v>
      </c>
      <c r="AN150" s="161">
        <f t="shared" si="1072"/>
        <v>0</v>
      </c>
      <c r="AO150" s="161">
        <f t="shared" si="1072"/>
        <v>0</v>
      </c>
      <c r="AP150" s="161">
        <f t="shared" si="1072"/>
        <v>0</v>
      </c>
      <c r="AQ150" s="161">
        <f t="shared" si="1072"/>
        <v>0</v>
      </c>
      <c r="AR150" s="161">
        <f t="shared" si="1072"/>
        <v>0</v>
      </c>
      <c r="AS150" s="161">
        <f t="shared" si="1072"/>
        <v>0</v>
      </c>
      <c r="AT150" s="161">
        <f t="shared" si="1072"/>
        <v>0</v>
      </c>
      <c r="AU150" s="161">
        <f t="shared" si="1072"/>
        <v>0</v>
      </c>
      <c r="AV150" s="161">
        <f t="shared" si="1072"/>
        <v>0</v>
      </c>
      <c r="AW150" s="161">
        <f t="shared" si="1072"/>
        <v>0</v>
      </c>
      <c r="AX150" s="161">
        <f t="shared" si="1072"/>
        <v>0</v>
      </c>
      <c r="AY150" s="161">
        <f t="shared" si="1072"/>
        <v>0</v>
      </c>
      <c r="AZ150" s="161">
        <f t="shared" si="1072"/>
        <v>2844.9850000000001</v>
      </c>
      <c r="BA150" s="161">
        <f t="shared" si="1072"/>
        <v>3029.8758666666718</v>
      </c>
      <c r="BB150" s="161">
        <f t="shared" si="1072"/>
        <v>3531.229866666672</v>
      </c>
      <c r="BC150" s="161">
        <f t="shared" si="1072"/>
        <v>3632.0311999999999</v>
      </c>
      <c r="BD150" s="161">
        <f t="shared" si="1072"/>
        <v>3501.52</v>
      </c>
      <c r="BE150" s="161">
        <f t="shared" si="1072"/>
        <v>3242.0891999999999</v>
      </c>
      <c r="BF150" s="161">
        <f t="shared" si="1072"/>
        <v>3024.04</v>
      </c>
      <c r="BG150" s="161">
        <f t="shared" si="1072"/>
        <v>3050.5666666666721</v>
      </c>
      <c r="BH150" s="161">
        <f t="shared" si="1072"/>
        <v>2905.7310666666722</v>
      </c>
      <c r="BI150" s="161">
        <f t="shared" si="1072"/>
        <v>2757.9775333333278</v>
      </c>
      <c r="BJ150" s="161">
        <f t="shared" si="1072"/>
        <v>2557.1706666666719</v>
      </c>
      <c r="BK150" s="161">
        <f t="shared" si="1072"/>
        <v>2256.0929999999998</v>
      </c>
      <c r="BL150" s="161">
        <f t="shared" si="1072"/>
        <v>2157.4138000000003</v>
      </c>
      <c r="BM150" s="161">
        <f t="shared" si="1072"/>
        <v>2584.7584000000002</v>
      </c>
      <c r="BN150" s="161">
        <f t="shared" si="1072"/>
        <v>2175.186666666672</v>
      </c>
      <c r="BO150" s="161">
        <f t="shared" si="1072"/>
        <v>2574.6782666666718</v>
      </c>
      <c r="BP150" s="161">
        <f t="shared" si="1072"/>
        <v>2574.6782666666718</v>
      </c>
      <c r="BQ150" s="161">
        <f t="shared" si="1072"/>
        <v>3992.7938666666719</v>
      </c>
      <c r="BR150" s="161">
        <f t="shared" ref="BR150:CJ150" si="1073">+BR121*BR107</f>
        <v>4414.0373333333273</v>
      </c>
      <c r="BS150" s="161">
        <f t="shared" si="1073"/>
        <v>4789.3896666666724</v>
      </c>
      <c r="BT150" s="161">
        <f t="shared" si="1073"/>
        <v>6148.8813333333273</v>
      </c>
      <c r="BU150" s="161">
        <f t="shared" si="1073"/>
        <v>5022.5590666666722</v>
      </c>
      <c r="BV150" s="161">
        <f t="shared" si="1073"/>
        <v>3937.8836666666721</v>
      </c>
      <c r="BW150" s="161">
        <f t="shared" si="1073"/>
        <v>3290.6330000000003</v>
      </c>
      <c r="BX150" s="161">
        <f t="shared" si="1073"/>
        <v>3183.2000000000003</v>
      </c>
      <c r="BY150" s="161">
        <f t="shared" si="1073"/>
        <v>3183.7305333333279</v>
      </c>
      <c r="BZ150" s="161">
        <f t="shared" si="1073"/>
        <v>2207.0186666666718</v>
      </c>
      <c r="CA150" s="161">
        <f t="shared" si="1073"/>
        <v>2279.7017333333283</v>
      </c>
      <c r="CB150" s="161">
        <f t="shared" si="1073"/>
        <v>2718.7180666666723</v>
      </c>
      <c r="CC150" s="161">
        <f t="shared" si="1073"/>
        <v>2711.025333333328</v>
      </c>
      <c r="CD150" s="161">
        <f t="shared" si="1073"/>
        <v>2948.9695333333279</v>
      </c>
      <c r="CE150" s="161">
        <f t="shared" si="1073"/>
        <v>3028.0190000000002</v>
      </c>
      <c r="CF150" s="161">
        <f t="shared" si="1073"/>
        <v>3293.8161999999998</v>
      </c>
      <c r="CG150" s="161">
        <f t="shared" si="1073"/>
        <v>4109.5111999999999</v>
      </c>
      <c r="CH150" s="161">
        <f t="shared" si="1073"/>
        <v>3490.909333333328</v>
      </c>
      <c r="CI150" s="161">
        <f t="shared" si="1073"/>
        <v>3501.7852666666718</v>
      </c>
      <c r="CJ150" s="161">
        <f t="shared" si="1073"/>
        <v>5139.011133333328</v>
      </c>
      <c r="CK150" s="161">
        <f t="shared" ref="CK150:CL150" si="1074">+CK121*CK107</f>
        <v>5995.822466666672</v>
      </c>
      <c r="CL150" s="161">
        <f t="shared" si="1074"/>
        <v>5452.0258000000003</v>
      </c>
      <c r="CM150" s="21">
        <f t="shared" ref="CM150:DB150" si="1075">+CM121*CM107</f>
        <v>5587.6389900092836</v>
      </c>
      <c r="CN150" s="21">
        <f t="shared" si="1075"/>
        <v>5687.9211492633995</v>
      </c>
      <c r="CO150" s="21">
        <f t="shared" si="1075"/>
        <v>6023.6337556832714</v>
      </c>
      <c r="CP150" s="21">
        <f t="shared" si="1075"/>
        <v>6293.4661722087067</v>
      </c>
      <c r="CQ150" s="21">
        <f t="shared" si="1075"/>
        <v>6708.8664596066992</v>
      </c>
      <c r="CR150" s="21">
        <f t="shared" si="1075"/>
        <v>7159.5465344739459</v>
      </c>
      <c r="CS150" s="21">
        <f t="shared" si="1075"/>
        <v>7589.0495214365992</v>
      </c>
      <c r="CT150" s="21">
        <f t="shared" si="1075"/>
        <v>8053.6513484955076</v>
      </c>
      <c r="CU150" s="21">
        <f t="shared" si="1075"/>
        <v>8524.5038018970026</v>
      </c>
      <c r="CV150" s="21">
        <f t="shared" si="1075"/>
        <v>9042.4109495304237</v>
      </c>
      <c r="CW150" s="21">
        <f t="shared" si="1075"/>
        <v>9512.1108960280144</v>
      </c>
      <c r="CX150" s="21">
        <f t="shared" si="1075"/>
        <v>10032.045749119214</v>
      </c>
      <c r="CY150" s="21">
        <f t="shared" si="1075"/>
        <v>10579.879224941589</v>
      </c>
      <c r="CZ150" s="21">
        <f t="shared" si="1075"/>
        <v>11189.029615666166</v>
      </c>
      <c r="DA150" s="21">
        <f t="shared" si="1075"/>
        <v>11747.752367572837</v>
      </c>
      <c r="DB150" s="21">
        <f t="shared" si="1075"/>
        <v>12383.828909290252</v>
      </c>
      <c r="DE150" s="22"/>
      <c r="DF150" s="161">
        <v>5452.0258000000003</v>
      </c>
    </row>
    <row r="151" spans="1:110" s="161" customFormat="1" x14ac:dyDescent="0.2">
      <c r="A151" s="49" t="s">
        <v>80</v>
      </c>
      <c r="B151" s="161">
        <f>+B219</f>
        <v>0</v>
      </c>
      <c r="C151" s="161">
        <f t="shared" ref="C151:W151" si="1076">+C219</f>
        <v>0</v>
      </c>
      <c r="D151" s="161">
        <f t="shared" si="1076"/>
        <v>0</v>
      </c>
      <c r="E151" s="161">
        <f t="shared" si="1076"/>
        <v>0</v>
      </c>
      <c r="F151" s="161">
        <f t="shared" si="1076"/>
        <v>0</v>
      </c>
      <c r="G151" s="161">
        <f t="shared" si="1076"/>
        <v>0</v>
      </c>
      <c r="H151" s="161">
        <f t="shared" si="1076"/>
        <v>17.156336599999999</v>
      </c>
      <c r="I151" s="161">
        <f t="shared" si="1076"/>
        <v>12.9039982</v>
      </c>
      <c r="J151" s="161">
        <f t="shared" si="1076"/>
        <v>-3.9201234999999999</v>
      </c>
      <c r="K151" s="161">
        <f t="shared" si="1076"/>
        <v>-8.4658485999999993</v>
      </c>
      <c r="L151" s="161">
        <f t="shared" si="1076"/>
        <v>-15.040999999999997</v>
      </c>
      <c r="M151" s="161">
        <f t="shared" si="1076"/>
        <v>-34.030999999999999</v>
      </c>
      <c r="N151" s="161">
        <f t="shared" si="1076"/>
        <v>-52.13300000000001</v>
      </c>
      <c r="O151" s="161">
        <f t="shared" si="1076"/>
        <v>-88.293999999999997</v>
      </c>
      <c r="P151" s="161">
        <f t="shared" si="1076"/>
        <v>-89.376000000000005</v>
      </c>
      <c r="Q151" s="161">
        <f t="shared" si="1076"/>
        <v>-101.926</v>
      </c>
      <c r="R151" s="161">
        <f t="shared" si="1076"/>
        <v>-108.703</v>
      </c>
      <c r="S151" s="161">
        <f t="shared" si="1076"/>
        <v>-111.96</v>
      </c>
      <c r="T151" s="161">
        <f t="shared" si="1076"/>
        <v>-81.739999999999995</v>
      </c>
      <c r="U151" s="161">
        <f t="shared" si="1076"/>
        <v>-77.599999999999994</v>
      </c>
      <c r="V151" s="161">
        <f t="shared" si="1076"/>
        <v>-120.22</v>
      </c>
      <c r="W151" s="161">
        <f t="shared" si="1076"/>
        <v>-139.12</v>
      </c>
      <c r="X151" s="161">
        <f t="shared" ref="X151:Y151" si="1077">+X219</f>
        <v>-150.76999999999998</v>
      </c>
      <c r="Y151" s="161">
        <f t="shared" si="1077"/>
        <v>-155.04</v>
      </c>
      <c r="Z151" s="161">
        <f t="shared" ref="Z151:AA151" si="1078">+Z219</f>
        <v>-191.84</v>
      </c>
      <c r="AA151" s="161">
        <f t="shared" si="1078"/>
        <v>-219.66</v>
      </c>
      <c r="AB151" s="21">
        <f t="shared" ref="AA151:AD151" si="1079">+AB219</f>
        <v>-404.94527273261122</v>
      </c>
      <c r="AC151" s="21">
        <f t="shared" si="1079"/>
        <v>-641.53565599203455</v>
      </c>
      <c r="AD151" s="21">
        <f t="shared" si="1079"/>
        <v>-936.47604404757601</v>
      </c>
      <c r="AE151" s="21">
        <f t="shared" ref="AE151" si="1080">+AE219</f>
        <v>-1300.9299978186318</v>
      </c>
      <c r="AL151" s="161">
        <f t="shared" ref="AL151:AM151" si="1081">+AL219</f>
        <v>0</v>
      </c>
      <c r="AM151" s="161" t="e">
        <f t="shared" si="1081"/>
        <v>#DIV/0!</v>
      </c>
      <c r="AN151" s="161">
        <f t="shared" ref="AN151:AO151" si="1082">+AN219</f>
        <v>0</v>
      </c>
      <c r="AO151" s="161" t="e">
        <f t="shared" si="1082"/>
        <v>#DIV/0!</v>
      </c>
      <c r="AP151" s="161">
        <f t="shared" ref="AP151:CD151" si="1083">+AP219</f>
        <v>0</v>
      </c>
      <c r="AQ151" s="161" t="e">
        <f t="shared" si="1083"/>
        <v>#DIV/0!</v>
      </c>
      <c r="AR151" s="161">
        <f t="shared" si="1083"/>
        <v>0</v>
      </c>
      <c r="AS151" s="161" t="e">
        <f t="shared" si="1083"/>
        <v>#DIV/0!</v>
      </c>
      <c r="AT151" s="161">
        <f t="shared" si="1083"/>
        <v>0</v>
      </c>
      <c r="AU151" s="161" t="e">
        <f t="shared" si="1083"/>
        <v>#DIV/0!</v>
      </c>
      <c r="AV151" s="161">
        <f t="shared" si="1083"/>
        <v>0</v>
      </c>
      <c r="AW151" s="161">
        <f t="shared" si="1083"/>
        <v>-10.814000000000007</v>
      </c>
      <c r="AX151" s="161">
        <f t="shared" si="1083"/>
        <v>-101.926</v>
      </c>
      <c r="AY151" s="161">
        <f t="shared" si="1083"/>
        <v>-118.08522942125893</v>
      </c>
      <c r="AZ151" s="161">
        <f t="shared" si="1083"/>
        <v>-117.952</v>
      </c>
      <c r="BA151" s="161">
        <f t="shared" si="1083"/>
        <v>-129.23905696882838</v>
      </c>
      <c r="BB151" s="161">
        <f t="shared" si="1083"/>
        <v>-115.953</v>
      </c>
      <c r="BC151" s="161">
        <f t="shared" si="1083"/>
        <v>-137.81901740208457</v>
      </c>
      <c r="BD151" s="161">
        <f t="shared" si="1083"/>
        <v>-126.68299999999999</v>
      </c>
      <c r="BE151" s="161">
        <f t="shared" si="1083"/>
        <v>-149.05788268435643</v>
      </c>
      <c r="BF151" s="161">
        <f t="shared" si="1083"/>
        <v>-111.96</v>
      </c>
      <c r="BG151" s="161">
        <f t="shared" si="1083"/>
        <v>-135.25709290295882</v>
      </c>
      <c r="BH151" s="161">
        <f t="shared" si="1083"/>
        <v>-78.31</v>
      </c>
      <c r="BI151" s="161">
        <f t="shared" si="1083"/>
        <v>-100.90694936465152</v>
      </c>
      <c r="BJ151" s="161">
        <f t="shared" si="1083"/>
        <v>-81.739999999999995</v>
      </c>
      <c r="BK151" s="161">
        <f t="shared" si="1083"/>
        <v>-108.31879628752722</v>
      </c>
      <c r="BL151" s="161">
        <f t="shared" si="1083"/>
        <v>-41.19</v>
      </c>
      <c r="BM151" s="161">
        <f t="shared" si="1083"/>
        <v>-71.452522367515527</v>
      </c>
      <c r="BN151" s="161">
        <f t="shared" si="1083"/>
        <v>-77.599999999999994</v>
      </c>
      <c r="BO151" s="161">
        <f t="shared" si="1083"/>
        <v>-84.651809936908521</v>
      </c>
      <c r="BP151" s="161">
        <f t="shared" si="1083"/>
        <v>-85.42</v>
      </c>
      <c r="BQ151" s="161">
        <f t="shared" si="1083"/>
        <v>-122.0835765089722</v>
      </c>
      <c r="BR151" s="161">
        <f t="shared" si="1083"/>
        <v>-120.22</v>
      </c>
      <c r="BS151" s="161">
        <f t="shared" si="1083"/>
        <v>-170.58095682375375</v>
      </c>
      <c r="BT151" s="161">
        <f t="shared" si="1083"/>
        <v>-111.27999999999999</v>
      </c>
      <c r="BU151" s="161">
        <f t="shared" si="1083"/>
        <v>-170.52706883831792</v>
      </c>
      <c r="BV151" s="161">
        <f t="shared" si="1083"/>
        <v>-139.12</v>
      </c>
      <c r="BW151" s="161">
        <f t="shared" si="1083"/>
        <v>-162.99708946078437</v>
      </c>
      <c r="BX151" s="161">
        <f t="shared" si="1083"/>
        <v>-104.82</v>
      </c>
      <c r="BY151" s="161">
        <f t="shared" si="1083"/>
        <v>-124.55899236867452</v>
      </c>
      <c r="BZ151" s="161">
        <f t="shared" si="1083"/>
        <v>-150.76999999999998</v>
      </c>
      <c r="CA151" s="161">
        <f t="shared" si="1083"/>
        <v>-168.71698263173386</v>
      </c>
      <c r="CB151" s="161">
        <f t="shared" si="1083"/>
        <v>-75.430000000000007</v>
      </c>
      <c r="CC151" s="161">
        <f t="shared" si="1083"/>
        <v>-97.03639054054058</v>
      </c>
      <c r="CD151" s="161">
        <f t="shared" si="1083"/>
        <v>-155.04</v>
      </c>
      <c r="CE151" s="161">
        <f t="shared" ref="CE151:CF151" si="1084">+CE219</f>
        <v>-178.33258800648295</v>
      </c>
      <c r="CF151" s="161">
        <f t="shared" si="1084"/>
        <v>-137.44</v>
      </c>
      <c r="CG151" s="161">
        <f t="shared" ref="CG151:CH151" si="1085">+CG219</f>
        <v>-159.53513306269735</v>
      </c>
      <c r="CH151" s="161">
        <f t="shared" si="1085"/>
        <v>-191.84</v>
      </c>
      <c r="CI151" s="161">
        <f t="shared" ref="CI151:CJ151" si="1086">+CI219</f>
        <v>-240.93141750374014</v>
      </c>
      <c r="CJ151" s="161">
        <f t="shared" si="1086"/>
        <v>-192.41</v>
      </c>
      <c r="CK151" s="161">
        <f t="shared" ref="CK151:CL151" si="1087">+CK219</f>
        <v>-246.55598069551561</v>
      </c>
      <c r="CL151" s="161">
        <f t="shared" si="1087"/>
        <v>-219.66</v>
      </c>
      <c r="CM151" s="21">
        <f t="shared" ref="CM151:DB151" si="1088">+CM219</f>
        <v>-262.91933245942369</v>
      </c>
      <c r="CN151" s="21">
        <f t="shared" si="1088"/>
        <v>-306.24719651782613</v>
      </c>
      <c r="CO151" s="21">
        <f t="shared" si="1088"/>
        <v>-359.01104278813273</v>
      </c>
      <c r="CP151" s="21">
        <f t="shared" si="1088"/>
        <v>-404.94527273261122</v>
      </c>
      <c r="CQ151" s="21">
        <f t="shared" si="1088"/>
        <v>-460.24907429964355</v>
      </c>
      <c r="CR151" s="21">
        <f t="shared" si="1088"/>
        <v>-515.87066260034669</v>
      </c>
      <c r="CS151" s="21">
        <f t="shared" si="1088"/>
        <v>-583.1818613082138</v>
      </c>
      <c r="CT151" s="21">
        <f t="shared" si="1088"/>
        <v>-641.53565599203455</v>
      </c>
      <c r="CU151" s="21">
        <f t="shared" si="1088"/>
        <v>-711.17518504155896</v>
      </c>
      <c r="CV151" s="21">
        <f t="shared" si="1088"/>
        <v>-780.91649600762207</v>
      </c>
      <c r="CW151" s="21">
        <f t="shared" si="1088"/>
        <v>-864.31819840132573</v>
      </c>
      <c r="CX151" s="21">
        <f t="shared" si="1088"/>
        <v>-936.47604404757601</v>
      </c>
      <c r="CY151" s="21">
        <f t="shared" si="1088"/>
        <v>-1022.835107904205</v>
      </c>
      <c r="CZ151" s="21">
        <f t="shared" si="1088"/>
        <v>-1109.1933662357967</v>
      </c>
      <c r="DA151" s="21">
        <f t="shared" si="1088"/>
        <v>-1211.7798941364567</v>
      </c>
      <c r="DB151" s="21">
        <f t="shared" si="1088"/>
        <v>-1300.9299978186318</v>
      </c>
      <c r="DE151" s="22"/>
      <c r="DF151" s="161">
        <v>-286.99809267669565</v>
      </c>
    </row>
    <row r="152" spans="1:110" s="161" customFormat="1" x14ac:dyDescent="0.2">
      <c r="A152" s="49" t="s">
        <v>342</v>
      </c>
      <c r="B152" s="161" t="e">
        <f>+B149+B151</f>
        <v>#DIV/0!</v>
      </c>
      <c r="C152" s="161" t="e">
        <f t="shared" ref="C152:W152" si="1089">+C149+C151</f>
        <v>#DIV/0!</v>
      </c>
      <c r="D152" s="161" t="e">
        <f t="shared" si="1089"/>
        <v>#DIV/0!</v>
      </c>
      <c r="E152" s="161" t="e">
        <f t="shared" ca="1" si="1089"/>
        <v>#DIV/0!</v>
      </c>
      <c r="F152" s="161" t="e">
        <f t="shared" ca="1" si="1089"/>
        <v>#DIV/0!</v>
      </c>
      <c r="G152" s="161" t="e">
        <f t="shared" ca="1" si="1089"/>
        <v>#DIV/0!</v>
      </c>
      <c r="H152" s="161" t="e">
        <f t="shared" ca="1" si="1089"/>
        <v>#DIV/0!</v>
      </c>
      <c r="I152" s="161" t="e">
        <f t="shared" ca="1" si="1089"/>
        <v>#DIV/0!</v>
      </c>
      <c r="J152" s="161" t="e">
        <f t="shared" ca="1" si="1089"/>
        <v>#DIV/0!</v>
      </c>
      <c r="K152" s="161" t="e">
        <f t="shared" ca="1" si="1089"/>
        <v>#DIV/0!</v>
      </c>
      <c r="L152" s="161" t="e">
        <f t="shared" ca="1" si="1089"/>
        <v>#DIV/0!</v>
      </c>
      <c r="M152" s="161" t="e">
        <f t="shared" ca="1" si="1089"/>
        <v>#DIV/0!</v>
      </c>
      <c r="N152" s="161" t="e">
        <f t="shared" ca="1" si="1089"/>
        <v>#DIV/0!</v>
      </c>
      <c r="O152" s="161" t="e">
        <f t="shared" ca="1" si="1089"/>
        <v>#DIV/0!</v>
      </c>
      <c r="P152" s="161" t="e">
        <f t="shared" ca="1" si="1089"/>
        <v>#DIV/0!</v>
      </c>
      <c r="Q152" s="161" t="e">
        <f t="shared" ca="1" si="1089"/>
        <v>#DIV/0!</v>
      </c>
      <c r="R152" s="161" t="e">
        <f t="shared" ca="1" si="1089"/>
        <v>#DIV/0!</v>
      </c>
      <c r="S152" s="161" t="e">
        <f t="shared" ca="1" si="1089"/>
        <v>#DIV/0!</v>
      </c>
      <c r="T152" s="161" t="e">
        <f t="shared" ca="1" si="1089"/>
        <v>#DIV/0!</v>
      </c>
      <c r="U152" s="161" t="e">
        <f t="shared" ca="1" si="1089"/>
        <v>#DIV/0!</v>
      </c>
      <c r="V152" s="161" t="e">
        <f t="shared" ca="1" si="1089"/>
        <v>#DIV/0!</v>
      </c>
      <c r="W152" s="161" t="e">
        <f t="shared" ca="1" si="1089"/>
        <v>#DIV/0!</v>
      </c>
      <c r="X152" s="161" t="e">
        <f t="shared" ref="X152:Y152" ca="1" si="1090">+X149+X151</f>
        <v>#DIV/0!</v>
      </c>
      <c r="Y152" s="161" t="e">
        <f t="shared" ca="1" si="1090"/>
        <v>#DIV/0!</v>
      </c>
      <c r="Z152" s="161" t="e">
        <f t="shared" ref="Z152:AA152" ca="1" si="1091">+Z149+Z151</f>
        <v>#DIV/0!</v>
      </c>
      <c r="AA152" s="161" t="e">
        <f t="shared" ca="1" si="1091"/>
        <v>#DIV/0!</v>
      </c>
      <c r="AB152" s="21" t="e">
        <f t="shared" ref="AA152:AD152" ca="1" si="1092">+AB149+AB151</f>
        <v>#DIV/0!</v>
      </c>
      <c r="AC152" s="21" t="e">
        <f t="shared" ca="1" si="1092"/>
        <v>#DIV/0!</v>
      </c>
      <c r="AD152" s="21" t="e">
        <f t="shared" ca="1" si="1092"/>
        <v>#DIV/0!</v>
      </c>
      <c r="AE152" s="21" t="e">
        <f t="shared" ref="AE152" ca="1" si="1093">+AE149+AE151</f>
        <v>#DIV/0!</v>
      </c>
      <c r="AL152" s="161">
        <f t="shared" ref="AL152" si="1094">+AL149+AL151</f>
        <v>0</v>
      </c>
      <c r="AM152" s="161" t="e">
        <f t="shared" ref="AM152:AO152" si="1095">+AM149+AM151</f>
        <v>#DIV/0!</v>
      </c>
      <c r="AN152" s="161">
        <f t="shared" si="1095"/>
        <v>0</v>
      </c>
      <c r="AO152" s="161" t="e">
        <f t="shared" si="1095"/>
        <v>#DIV/0!</v>
      </c>
      <c r="AP152" s="161">
        <f t="shared" ref="AP152:CD152" si="1096">+AP149+AP151</f>
        <v>0</v>
      </c>
      <c r="AQ152" s="161" t="e">
        <f t="shared" si="1096"/>
        <v>#DIV/0!</v>
      </c>
      <c r="AR152" s="161">
        <f t="shared" si="1096"/>
        <v>0</v>
      </c>
      <c r="AS152" s="161" t="e">
        <f t="shared" si="1096"/>
        <v>#DIV/0!</v>
      </c>
      <c r="AT152" s="161">
        <f t="shared" si="1096"/>
        <v>0</v>
      </c>
      <c r="AU152" s="161" t="e">
        <f t="shared" si="1096"/>
        <v>#DIV/0!</v>
      </c>
      <c r="AV152" s="161">
        <f t="shared" si="1096"/>
        <v>0</v>
      </c>
      <c r="AW152" s="161">
        <f t="shared" si="1096"/>
        <v>-10.814000000000007</v>
      </c>
      <c r="AX152" s="161">
        <f t="shared" si="1096"/>
        <v>-101.926</v>
      </c>
      <c r="AY152" s="161">
        <f t="shared" si="1096"/>
        <v>3429.5911705787412</v>
      </c>
      <c r="AZ152" s="161">
        <f t="shared" si="1096"/>
        <v>3425.7453999999998</v>
      </c>
      <c r="BA152" s="161">
        <f t="shared" si="1096"/>
        <v>3689.8051430311716</v>
      </c>
      <c r="BB152" s="161">
        <f t="shared" si="1096"/>
        <v>3824.583333333328</v>
      </c>
      <c r="BC152" s="161">
        <f t="shared" si="1096"/>
        <v>3999.8104492645871</v>
      </c>
      <c r="BD152" s="161">
        <f t="shared" si="1096"/>
        <v>3974.0743999999995</v>
      </c>
      <c r="BE152" s="161">
        <f t="shared" si="1096"/>
        <v>3628.3394506489717</v>
      </c>
      <c r="BF152" s="161">
        <f t="shared" si="1096"/>
        <v>3734.4066666666722</v>
      </c>
      <c r="BG152" s="161">
        <f t="shared" si="1096"/>
        <v>3711.1095737637133</v>
      </c>
      <c r="BH152" s="161">
        <f t="shared" si="1096"/>
        <v>3619.507333333328</v>
      </c>
      <c r="BI152" s="161">
        <f t="shared" si="1096"/>
        <v>3495.8437839686767</v>
      </c>
      <c r="BJ152" s="161">
        <f t="shared" si="1096"/>
        <v>3123.211866666672</v>
      </c>
      <c r="BK152" s="161">
        <f t="shared" si="1096"/>
        <v>2783.087870379145</v>
      </c>
      <c r="BL152" s="161">
        <f t="shared" si="1096"/>
        <v>2796.6328000000003</v>
      </c>
      <c r="BM152" s="161">
        <f t="shared" si="1096"/>
        <v>3135.8867442991564</v>
      </c>
      <c r="BN152" s="161">
        <f t="shared" si="1096"/>
        <v>3580.1620666666722</v>
      </c>
      <c r="BO152" s="161">
        <f t="shared" si="1096"/>
        <v>3002.5216567297634</v>
      </c>
      <c r="BP152" s="161">
        <f t="shared" si="1096"/>
        <v>4398.9130000000005</v>
      </c>
      <c r="BQ152" s="161">
        <f t="shared" si="1096"/>
        <v>6307.980423491028</v>
      </c>
      <c r="BR152" s="161">
        <f t="shared" si="1096"/>
        <v>5217.4758666666721</v>
      </c>
      <c r="BS152" s="161">
        <f t="shared" si="1096"/>
        <v>7606.5071765095745</v>
      </c>
      <c r="BT152" s="161">
        <f t="shared" si="1096"/>
        <v>7234.4845333333287</v>
      </c>
      <c r="BU152" s="161">
        <f t="shared" si="1096"/>
        <v>6710.4902644950098</v>
      </c>
      <c r="BV152" s="161">
        <f t="shared" si="1096"/>
        <v>5855.9066666666722</v>
      </c>
      <c r="BW152" s="161">
        <f t="shared" si="1096"/>
        <v>4701.7283105392153</v>
      </c>
      <c r="BX152" s="161">
        <f t="shared" si="1096"/>
        <v>3817.6781999999998</v>
      </c>
      <c r="BY152" s="161">
        <f t="shared" si="1096"/>
        <v>3955.2423409646535</v>
      </c>
      <c r="BZ152" s="161">
        <f t="shared" si="1096"/>
        <v>3144.6378000000004</v>
      </c>
      <c r="CA152" s="161">
        <f t="shared" si="1096"/>
        <v>2674.6764173682664</v>
      </c>
      <c r="CB152" s="161">
        <f t="shared" si="1096"/>
        <v>3161.0886</v>
      </c>
      <c r="CC152" s="161">
        <f t="shared" si="1096"/>
        <v>3554.0940094594594</v>
      </c>
      <c r="CD152" s="161">
        <f t="shared" si="1096"/>
        <v>3675.4106666666721</v>
      </c>
      <c r="CE152" s="161">
        <f t="shared" ref="CE152:CF152" si="1097">+CE149+CE151</f>
        <v>3438.3131453268452</v>
      </c>
      <c r="CF152" s="161">
        <f t="shared" si="1097"/>
        <v>4796.5200000000004</v>
      </c>
      <c r="CG152" s="161">
        <f t="shared" ref="CG152:CH152" si="1098">+CG149+CG151</f>
        <v>5414.5133336039744</v>
      </c>
      <c r="CH152" s="161">
        <f t="shared" si="1098"/>
        <v>5394.9412666666722</v>
      </c>
      <c r="CI152" s="161">
        <f t="shared" ref="CI152:CJ152" si="1099">+CI149+CI151</f>
        <v>5448.7733158295887</v>
      </c>
      <c r="CJ152" s="161">
        <f t="shared" si="1099"/>
        <v>7417.0296000000008</v>
      </c>
      <c r="CK152" s="161">
        <f t="shared" ref="CK152:CL152" si="1100">+CK149+CK151</f>
        <v>8315.7214859711567</v>
      </c>
      <c r="CL152" s="161">
        <f t="shared" si="1100"/>
        <v>7861.6890000000003</v>
      </c>
      <c r="CM152" s="21">
        <f t="shared" ref="CM152:DB152" si="1101">+CM149+CM151</f>
        <v>8019.4444018194063</v>
      </c>
      <c r="CN152" s="21">
        <f t="shared" si="1101"/>
        <v>8124.7613089222286</v>
      </c>
      <c r="CO152" s="21">
        <f t="shared" si="1101"/>
        <v>8569.6126309768078</v>
      </c>
      <c r="CP152" s="21">
        <f t="shared" si="1101"/>
        <v>8923.6416457872256</v>
      </c>
      <c r="CQ152" s="21">
        <f t="shared" si="1101"/>
        <v>9484.0713018944934</v>
      </c>
      <c r="CR152" s="21">
        <f t="shared" si="1101"/>
        <v>10096.477178237914</v>
      </c>
      <c r="CS152" s="21">
        <f t="shared" si="1101"/>
        <v>10665.803380289895</v>
      </c>
      <c r="CT152" s="21">
        <f t="shared" si="1101"/>
        <v>11296.11278131228</v>
      </c>
      <c r="CU152" s="21">
        <f t="shared" si="1101"/>
        <v>11924.401534891889</v>
      </c>
      <c r="CV152" s="21">
        <f t="shared" si="1101"/>
        <v>12622.336049968359</v>
      </c>
      <c r="CW152" s="21">
        <f t="shared" si="1101"/>
        <v>13235.154309139834</v>
      </c>
      <c r="CX152" s="21">
        <f t="shared" si="1101"/>
        <v>13933.67788710198</v>
      </c>
      <c r="CY152" s="21">
        <f t="shared" si="1101"/>
        <v>14659.353408995783</v>
      </c>
      <c r="CZ152" s="21">
        <f t="shared" si="1101"/>
        <v>15475.917675523056</v>
      </c>
      <c r="DA152" s="21">
        <f t="shared" si="1101"/>
        <v>16201.506530137689</v>
      </c>
      <c r="DB152" s="21">
        <f t="shared" si="1101"/>
        <v>17055.19065228245</v>
      </c>
      <c r="DE152" s="22"/>
      <c r="DF152" s="161">
        <v>7794.3509073233045</v>
      </c>
    </row>
    <row r="153" spans="1:110" s="161" customFormat="1" x14ac:dyDescent="0.2">
      <c r="A153" s="49" t="s">
        <v>345</v>
      </c>
      <c r="B153" s="161" t="e">
        <f>+B150+B151</f>
        <v>#DIV/0!</v>
      </c>
      <c r="C153" s="161" t="e">
        <f t="shared" ref="C153:W153" si="1102">+C150+C151</f>
        <v>#DIV/0!</v>
      </c>
      <c r="D153" s="161" t="e">
        <f t="shared" si="1102"/>
        <v>#DIV/0!</v>
      </c>
      <c r="E153" s="161" t="e">
        <f t="shared" ca="1" si="1102"/>
        <v>#DIV/0!</v>
      </c>
      <c r="F153" s="161" t="e">
        <f t="shared" ca="1" si="1102"/>
        <v>#DIV/0!</v>
      </c>
      <c r="G153" s="161" t="e">
        <f t="shared" ca="1" si="1102"/>
        <v>#DIV/0!</v>
      </c>
      <c r="H153" s="161" t="e">
        <f t="shared" ca="1" si="1102"/>
        <v>#DIV/0!</v>
      </c>
      <c r="I153" s="161" t="e">
        <f t="shared" ca="1" si="1102"/>
        <v>#DIV/0!</v>
      </c>
      <c r="J153" s="161" t="e">
        <f t="shared" ca="1" si="1102"/>
        <v>#DIV/0!</v>
      </c>
      <c r="K153" s="161" t="e">
        <f t="shared" ca="1" si="1102"/>
        <v>#DIV/0!</v>
      </c>
      <c r="L153" s="161" t="e">
        <f t="shared" ca="1" si="1102"/>
        <v>#DIV/0!</v>
      </c>
      <c r="M153" s="161" t="e">
        <f t="shared" ca="1" si="1102"/>
        <v>#DIV/0!</v>
      </c>
      <c r="N153" s="161" t="e">
        <f t="shared" ca="1" si="1102"/>
        <v>#DIV/0!</v>
      </c>
      <c r="O153" s="161" t="e">
        <f t="shared" ca="1" si="1102"/>
        <v>#DIV/0!</v>
      </c>
      <c r="P153" s="161" t="e">
        <f t="shared" ca="1" si="1102"/>
        <v>#DIV/0!</v>
      </c>
      <c r="Q153" s="161" t="e">
        <f t="shared" ca="1" si="1102"/>
        <v>#DIV/0!</v>
      </c>
      <c r="R153" s="161" t="e">
        <f t="shared" ca="1" si="1102"/>
        <v>#DIV/0!</v>
      </c>
      <c r="S153" s="161" t="e">
        <f t="shared" ca="1" si="1102"/>
        <v>#DIV/0!</v>
      </c>
      <c r="T153" s="161" t="e">
        <f t="shared" ca="1" si="1102"/>
        <v>#DIV/0!</v>
      </c>
      <c r="U153" s="161" t="e">
        <f t="shared" ca="1" si="1102"/>
        <v>#DIV/0!</v>
      </c>
      <c r="V153" s="161" t="e">
        <f t="shared" ca="1" si="1102"/>
        <v>#DIV/0!</v>
      </c>
      <c r="W153" s="161" t="e">
        <f t="shared" ca="1" si="1102"/>
        <v>#DIV/0!</v>
      </c>
      <c r="X153" s="161" t="e">
        <f t="shared" ref="X153:Y153" ca="1" si="1103">+X150+X151</f>
        <v>#DIV/0!</v>
      </c>
      <c r="Y153" s="161" t="e">
        <f t="shared" ca="1" si="1103"/>
        <v>#DIV/0!</v>
      </c>
      <c r="Z153" s="161" t="e">
        <f t="shared" ref="Z153:AA153" ca="1" si="1104">+Z150+Z151</f>
        <v>#DIV/0!</v>
      </c>
      <c r="AA153" s="161" t="e">
        <f t="shared" ca="1" si="1104"/>
        <v>#DIV/0!</v>
      </c>
      <c r="AB153" s="21" t="e">
        <f t="shared" ref="AA153:AD153" ca="1" si="1105">+AB150+AB151</f>
        <v>#DIV/0!</v>
      </c>
      <c r="AC153" s="21" t="e">
        <f t="shared" ca="1" si="1105"/>
        <v>#DIV/0!</v>
      </c>
      <c r="AD153" s="21" t="e">
        <f t="shared" ca="1" si="1105"/>
        <v>#DIV/0!</v>
      </c>
      <c r="AE153" s="21" t="e">
        <f t="shared" ref="AE153" ca="1" si="1106">+AE150+AE151</f>
        <v>#DIV/0!</v>
      </c>
      <c r="AL153" s="161">
        <f t="shared" ref="AL153:AM153" si="1107">+AL150+AL151</f>
        <v>0</v>
      </c>
      <c r="AM153" s="161" t="e">
        <f t="shared" si="1107"/>
        <v>#DIV/0!</v>
      </c>
      <c r="AN153" s="161">
        <f t="shared" ref="AN153:AO153" si="1108">+AN150+AN151</f>
        <v>0</v>
      </c>
      <c r="AO153" s="161" t="e">
        <f t="shared" si="1108"/>
        <v>#DIV/0!</v>
      </c>
      <c r="AP153" s="161">
        <f t="shared" ref="AP153:CD153" si="1109">+AP150+AP151</f>
        <v>0</v>
      </c>
      <c r="AQ153" s="161" t="e">
        <f t="shared" si="1109"/>
        <v>#DIV/0!</v>
      </c>
      <c r="AR153" s="161">
        <f t="shared" si="1109"/>
        <v>0</v>
      </c>
      <c r="AS153" s="161" t="e">
        <f t="shared" si="1109"/>
        <v>#DIV/0!</v>
      </c>
      <c r="AT153" s="161">
        <f t="shared" si="1109"/>
        <v>0</v>
      </c>
      <c r="AU153" s="161" t="e">
        <f t="shared" si="1109"/>
        <v>#DIV/0!</v>
      </c>
      <c r="AV153" s="161">
        <f t="shared" si="1109"/>
        <v>0</v>
      </c>
      <c r="AW153" s="161">
        <f t="shared" si="1109"/>
        <v>-10.814000000000007</v>
      </c>
      <c r="AX153" s="161">
        <f t="shared" si="1109"/>
        <v>-101.926</v>
      </c>
      <c r="AY153" s="161">
        <f t="shared" si="1109"/>
        <v>-118.08522942125893</v>
      </c>
      <c r="AZ153" s="161">
        <f t="shared" si="1109"/>
        <v>2727.0330000000004</v>
      </c>
      <c r="BA153" s="161">
        <f t="shared" si="1109"/>
        <v>2900.6368096978435</v>
      </c>
      <c r="BB153" s="161">
        <f t="shared" si="1109"/>
        <v>3415.276866666672</v>
      </c>
      <c r="BC153" s="161">
        <f t="shared" si="1109"/>
        <v>3494.2121825979152</v>
      </c>
      <c r="BD153" s="161">
        <f t="shared" si="1109"/>
        <v>3374.837</v>
      </c>
      <c r="BE153" s="161">
        <f t="shared" si="1109"/>
        <v>3093.0313173156433</v>
      </c>
      <c r="BF153" s="161">
        <f t="shared" si="1109"/>
        <v>2912.08</v>
      </c>
      <c r="BG153" s="161">
        <f t="shared" si="1109"/>
        <v>2915.3095737637132</v>
      </c>
      <c r="BH153" s="161">
        <f t="shared" si="1109"/>
        <v>2827.4210666666722</v>
      </c>
      <c r="BI153" s="161">
        <f t="shared" si="1109"/>
        <v>2657.0705839686761</v>
      </c>
      <c r="BJ153" s="161">
        <f t="shared" si="1109"/>
        <v>2475.4306666666721</v>
      </c>
      <c r="BK153" s="161">
        <f t="shared" si="1109"/>
        <v>2147.7742037124726</v>
      </c>
      <c r="BL153" s="161">
        <f t="shared" si="1109"/>
        <v>2116.2238000000002</v>
      </c>
      <c r="BM153" s="161">
        <f t="shared" si="1109"/>
        <v>2513.3058776324847</v>
      </c>
      <c r="BN153" s="161">
        <f t="shared" si="1109"/>
        <v>2097.586666666672</v>
      </c>
      <c r="BO153" s="161">
        <f t="shared" si="1109"/>
        <v>2490.0264567297631</v>
      </c>
      <c r="BP153" s="161">
        <f t="shared" si="1109"/>
        <v>2489.2582666666717</v>
      </c>
      <c r="BQ153" s="161">
        <f t="shared" si="1109"/>
        <v>3870.7102901576995</v>
      </c>
      <c r="BR153" s="161">
        <f t="shared" si="1109"/>
        <v>4293.817333333327</v>
      </c>
      <c r="BS153" s="161">
        <f t="shared" si="1109"/>
        <v>4618.8087098429187</v>
      </c>
      <c r="BT153" s="161">
        <f t="shared" si="1109"/>
        <v>6037.6013333333276</v>
      </c>
      <c r="BU153" s="161">
        <f t="shared" si="1109"/>
        <v>4852.0319978283542</v>
      </c>
      <c r="BV153" s="161">
        <f t="shared" si="1109"/>
        <v>3798.7636666666722</v>
      </c>
      <c r="BW153" s="161">
        <f t="shared" si="1109"/>
        <v>3127.6359105392157</v>
      </c>
      <c r="BX153" s="161">
        <f t="shared" si="1109"/>
        <v>3078.38</v>
      </c>
      <c r="BY153" s="161">
        <f t="shared" si="1109"/>
        <v>3059.1715409646536</v>
      </c>
      <c r="BZ153" s="161">
        <f t="shared" si="1109"/>
        <v>2056.2486666666719</v>
      </c>
      <c r="CA153" s="161">
        <f t="shared" si="1109"/>
        <v>2110.9847507015943</v>
      </c>
      <c r="CB153" s="161">
        <f t="shared" si="1109"/>
        <v>2643.2880666666724</v>
      </c>
      <c r="CC153" s="161">
        <f t="shared" si="1109"/>
        <v>2613.9889427927874</v>
      </c>
      <c r="CD153" s="161">
        <f t="shared" si="1109"/>
        <v>2793.929533333328</v>
      </c>
      <c r="CE153" s="161">
        <f t="shared" ref="CE153:CF153" si="1110">+CE150+CE151</f>
        <v>2849.6864119935171</v>
      </c>
      <c r="CF153" s="161">
        <f t="shared" si="1110"/>
        <v>3156.3761999999997</v>
      </c>
      <c r="CG153" s="161">
        <f t="shared" ref="CG153:CH153" si="1111">+CG150+CG151</f>
        <v>3949.9760669373027</v>
      </c>
      <c r="CH153" s="161">
        <f t="shared" si="1111"/>
        <v>3299.0693333333279</v>
      </c>
      <c r="CI153" s="161">
        <f t="shared" ref="CI153:CJ153" si="1112">+CI150+CI151</f>
        <v>3260.8538491629315</v>
      </c>
      <c r="CJ153" s="161">
        <f t="shared" si="1112"/>
        <v>4946.6011333333281</v>
      </c>
      <c r="CK153" s="161">
        <f t="shared" ref="CK153:CL153" si="1113">+CK150+CK151</f>
        <v>5749.2664859711567</v>
      </c>
      <c r="CL153" s="161">
        <f t="shared" si="1113"/>
        <v>5232.3658000000005</v>
      </c>
      <c r="CM153" s="21">
        <f t="shared" ref="CM153:DB153" si="1114">+CM150+CM151</f>
        <v>5324.7196575498601</v>
      </c>
      <c r="CN153" s="21">
        <f t="shared" si="1114"/>
        <v>5381.6739527455729</v>
      </c>
      <c r="CO153" s="21">
        <f t="shared" si="1114"/>
        <v>5664.6227128951386</v>
      </c>
      <c r="CP153" s="21">
        <f t="shared" si="1114"/>
        <v>5888.5208994760951</v>
      </c>
      <c r="CQ153" s="21">
        <f t="shared" si="1114"/>
        <v>6248.6173853070559</v>
      </c>
      <c r="CR153" s="21">
        <f t="shared" si="1114"/>
        <v>6643.6758718735991</v>
      </c>
      <c r="CS153" s="21">
        <f t="shared" si="1114"/>
        <v>7005.8676601283851</v>
      </c>
      <c r="CT153" s="21">
        <f t="shared" si="1114"/>
        <v>7412.1156925034729</v>
      </c>
      <c r="CU153" s="21">
        <f t="shared" si="1114"/>
        <v>7813.3286168554441</v>
      </c>
      <c r="CV153" s="21">
        <f t="shared" si="1114"/>
        <v>8261.4944535228024</v>
      </c>
      <c r="CW153" s="21">
        <f t="shared" si="1114"/>
        <v>8647.7926976266881</v>
      </c>
      <c r="CX153" s="21">
        <f t="shared" si="1114"/>
        <v>9095.5697050716371</v>
      </c>
      <c r="CY153" s="21">
        <f t="shared" si="1114"/>
        <v>9557.0441170373851</v>
      </c>
      <c r="CZ153" s="21">
        <f t="shared" si="1114"/>
        <v>10079.836249430369</v>
      </c>
      <c r="DA153" s="21">
        <f t="shared" si="1114"/>
        <v>10535.972473436381</v>
      </c>
      <c r="DB153" s="21">
        <f t="shared" si="1114"/>
        <v>11082.898911471621</v>
      </c>
      <c r="DE153" s="22"/>
      <c r="DF153" s="161">
        <v>5165.0277073233046</v>
      </c>
    </row>
    <row r="154" spans="1:110" s="161" customFormat="1" x14ac:dyDescent="0.2">
      <c r="A154" s="49" t="s">
        <v>13</v>
      </c>
      <c r="B154" s="161">
        <f t="shared" ref="B154:AE154" si="1115">+B70</f>
        <v>0</v>
      </c>
      <c r="C154" s="161">
        <f t="shared" si="1115"/>
        <v>0</v>
      </c>
      <c r="D154" s="161">
        <f t="shared" si="1115"/>
        <v>0</v>
      </c>
      <c r="E154" s="161">
        <f t="shared" si="1115"/>
        <v>0</v>
      </c>
      <c r="F154" s="161">
        <f t="shared" si="1115"/>
        <v>0</v>
      </c>
      <c r="G154" s="161">
        <f t="shared" si="1115"/>
        <v>0</v>
      </c>
      <c r="H154" s="161">
        <f t="shared" si="1115"/>
        <v>1.4652084999999957</v>
      </c>
      <c r="I154" s="161">
        <f t="shared" si="1115"/>
        <v>25.776711899999995</v>
      </c>
      <c r="J154" s="161">
        <f t="shared" si="1115"/>
        <v>12.057614300000001</v>
      </c>
      <c r="K154" s="161">
        <f t="shared" si="1115"/>
        <v>27.786175499999999</v>
      </c>
      <c r="L154" s="161">
        <f t="shared" si="1115"/>
        <v>35.659999999999989</v>
      </c>
      <c r="M154" s="161">
        <f t="shared" si="1115"/>
        <v>49.066999999999986</v>
      </c>
      <c r="N154" s="161">
        <f t="shared" si="1115"/>
        <v>63.560999999999986</v>
      </c>
      <c r="O154" s="161">
        <f t="shared" si="1115"/>
        <v>68.841000000000022</v>
      </c>
      <c r="P154" s="161">
        <f t="shared" si="1115"/>
        <v>72.671999999999997</v>
      </c>
      <c r="Q154" s="161">
        <f t="shared" si="1115"/>
        <v>94.049000000000007</v>
      </c>
      <c r="R154" s="161">
        <f t="shared" si="1115"/>
        <v>115.379</v>
      </c>
      <c r="S154" s="161">
        <f t="shared" si="1115"/>
        <v>144.71999999999997</v>
      </c>
      <c r="T154" s="161">
        <f t="shared" si="1115"/>
        <v>154.22999999999999</v>
      </c>
      <c r="U154" s="161">
        <f t="shared" si="1115"/>
        <v>173.56999999999996</v>
      </c>
      <c r="V154" s="161">
        <f t="shared" si="1115"/>
        <v>171.26</v>
      </c>
      <c r="W154" s="161">
        <f t="shared" si="1115"/>
        <v>235.73000000000002</v>
      </c>
      <c r="X154" s="161">
        <f t="shared" si="1115"/>
        <v>122.52999999999994</v>
      </c>
      <c r="Y154" s="161">
        <f t="shared" si="1115"/>
        <v>138.75999999999993</v>
      </c>
      <c r="Z154" s="161">
        <f t="shared" si="1115"/>
        <v>190.56000000000012</v>
      </c>
      <c r="AA154" s="161">
        <f t="shared" ref="AA154" si="1116">+AA70</f>
        <v>245.92999999999995</v>
      </c>
      <c r="AB154" s="21">
        <f t="shared" si="1115"/>
        <v>314.13474310206266</v>
      </c>
      <c r="AC154" s="21">
        <f t="shared" si="1115"/>
        <v>379.84883696621773</v>
      </c>
      <c r="AD154" s="21">
        <f t="shared" si="1115"/>
        <v>451.07438361136008</v>
      </c>
      <c r="AE154" s="21">
        <f t="shared" si="1115"/>
        <v>535.3708816437902</v>
      </c>
      <c r="AL154" s="161">
        <f t="shared" ref="AL154:BQ154" si="1117">+SUM(AI70:AL70)</f>
        <v>0</v>
      </c>
      <c r="AM154" s="161">
        <f t="shared" si="1117"/>
        <v>0</v>
      </c>
      <c r="AN154" s="161">
        <f t="shared" si="1117"/>
        <v>0</v>
      </c>
      <c r="AO154" s="161">
        <f t="shared" si="1117"/>
        <v>0</v>
      </c>
      <c r="AP154" s="161">
        <f t="shared" si="1117"/>
        <v>0</v>
      </c>
      <c r="AQ154" s="161">
        <f t="shared" si="1117"/>
        <v>0</v>
      </c>
      <c r="AR154" s="161">
        <f t="shared" si="1117"/>
        <v>0</v>
      </c>
      <c r="AS154" s="161">
        <f t="shared" si="1117"/>
        <v>0</v>
      </c>
      <c r="AT154" s="161">
        <f t="shared" si="1117"/>
        <v>0</v>
      </c>
      <c r="AU154" s="161">
        <f t="shared" si="1117"/>
        <v>20.286999999999995</v>
      </c>
      <c r="AV154" s="161">
        <f t="shared" si="1117"/>
        <v>46.381999999999998</v>
      </c>
      <c r="AW154" s="161">
        <f t="shared" si="1117"/>
        <v>68.474000000000004</v>
      </c>
      <c r="AX154" s="161">
        <f t="shared" si="1117"/>
        <v>93.06</v>
      </c>
      <c r="AY154" s="161">
        <f t="shared" si="1117"/>
        <v>99.719000000000008</v>
      </c>
      <c r="AZ154" s="161">
        <f t="shared" si="1117"/>
        <v>103.976</v>
      </c>
      <c r="BA154" s="161">
        <f t="shared" si="1117"/>
        <v>108.16</v>
      </c>
      <c r="BB154" s="161">
        <f t="shared" si="1117"/>
        <v>115.184</v>
      </c>
      <c r="BC154" s="161">
        <f t="shared" si="1117"/>
        <v>124.66800000000001</v>
      </c>
      <c r="BD154" s="161">
        <f t="shared" si="1117"/>
        <v>130.01200000000003</v>
      </c>
      <c r="BE154" s="161">
        <f t="shared" si="1117"/>
        <v>139.11600000000004</v>
      </c>
      <c r="BF154" s="161">
        <f t="shared" si="1117"/>
        <v>144.71600000000001</v>
      </c>
      <c r="BG154" s="161">
        <f t="shared" si="1117"/>
        <v>149.48600000000005</v>
      </c>
      <c r="BH154" s="161">
        <f t="shared" si="1117"/>
        <v>156.82</v>
      </c>
      <c r="BI154" s="161">
        <f t="shared" si="1117"/>
        <v>156.96</v>
      </c>
      <c r="BJ154" s="161">
        <f t="shared" si="1117"/>
        <v>154.23000000000002</v>
      </c>
      <c r="BK154" s="161">
        <f t="shared" si="1117"/>
        <v>158.64000000000001</v>
      </c>
      <c r="BL154" s="161">
        <f t="shared" si="1117"/>
        <v>167.77</v>
      </c>
      <c r="BM154" s="161">
        <f t="shared" si="1117"/>
        <v>176.03</v>
      </c>
      <c r="BN154" s="161">
        <f t="shared" si="1117"/>
        <v>172.52</v>
      </c>
      <c r="BO154" s="161">
        <f t="shared" si="1117"/>
        <v>135.37</v>
      </c>
      <c r="BP154" s="161">
        <f t="shared" si="1117"/>
        <v>145.11000000000001</v>
      </c>
      <c r="BQ154" s="161">
        <f t="shared" si="1117"/>
        <v>150.95000000000005</v>
      </c>
      <c r="BR154" s="161">
        <f t="shared" ref="BR154:CW154" si="1118">+SUM(BO70:BR70)</f>
        <v>171.51000000000005</v>
      </c>
      <c r="BS154" s="161">
        <f t="shared" si="1118"/>
        <v>234.28000000000003</v>
      </c>
      <c r="BT154" s="161">
        <f t="shared" si="1118"/>
        <v>261.67</v>
      </c>
      <c r="BU154" s="161">
        <f t="shared" si="1118"/>
        <v>248.85</v>
      </c>
      <c r="BV154" s="161">
        <f t="shared" si="1118"/>
        <v>234.90999999999997</v>
      </c>
      <c r="BW154" s="161">
        <f t="shared" si="1118"/>
        <v>199.60000000000002</v>
      </c>
      <c r="BX154" s="161">
        <f t="shared" si="1118"/>
        <v>141.89000000000004</v>
      </c>
      <c r="BY154" s="161">
        <f t="shared" si="1118"/>
        <v>132.95000000000005</v>
      </c>
      <c r="BZ154" s="161">
        <f t="shared" si="1118"/>
        <v>120.05000000000004</v>
      </c>
      <c r="CA154" s="161">
        <f t="shared" si="1118"/>
        <v>118.64000000000003</v>
      </c>
      <c r="CB154" s="161">
        <f t="shared" si="1118"/>
        <v>124.58000000000001</v>
      </c>
      <c r="CC154" s="161">
        <f t="shared" si="1118"/>
        <v>128.31000000000006</v>
      </c>
      <c r="CD154" s="161">
        <f t="shared" si="1118"/>
        <v>137.43000000000004</v>
      </c>
      <c r="CE154" s="161">
        <f t="shared" si="1118"/>
        <v>145.56</v>
      </c>
      <c r="CF154" s="161">
        <f t="shared" si="1118"/>
        <v>156.33000000000004</v>
      </c>
      <c r="CG154" s="161">
        <f t="shared" si="1118"/>
        <v>166.47</v>
      </c>
      <c r="CH154" s="161">
        <f t="shared" si="1118"/>
        <v>190.35999999999996</v>
      </c>
      <c r="CI154" s="161">
        <f t="shared" si="1118"/>
        <v>205.48999999999998</v>
      </c>
      <c r="CJ154" s="161">
        <f t="shared" si="1118"/>
        <v>228.54999999999998</v>
      </c>
      <c r="CK154" s="161">
        <f t="shared" si="1118"/>
        <v>244.64999999999998</v>
      </c>
      <c r="CL154" s="161">
        <f t="shared" si="1118"/>
        <v>262.03999999999996</v>
      </c>
      <c r="CM154" s="21">
        <f t="shared" si="1118"/>
        <v>276.03480953857377</v>
      </c>
      <c r="CN154" s="21">
        <f t="shared" si="1118"/>
        <v>286.53820571523721</v>
      </c>
      <c r="CO154" s="21">
        <f t="shared" si="1118"/>
        <v>302.68408484241235</v>
      </c>
      <c r="CP154" s="21">
        <f t="shared" si="1118"/>
        <v>314.13474310206266</v>
      </c>
      <c r="CQ154" s="21">
        <f t="shared" si="1118"/>
        <v>329.62326043176836</v>
      </c>
      <c r="CR154" s="21">
        <f t="shared" si="1118"/>
        <v>346.52224719871896</v>
      </c>
      <c r="CS154" s="21">
        <f t="shared" si="1118"/>
        <v>362.49170087132683</v>
      </c>
      <c r="CT154" s="21">
        <f t="shared" si="1118"/>
        <v>379.84883696621762</v>
      </c>
      <c r="CU154" s="21">
        <f t="shared" si="1118"/>
        <v>396.87819295189615</v>
      </c>
      <c r="CV154" s="21">
        <f t="shared" si="1118"/>
        <v>415.72040680540465</v>
      </c>
      <c r="CW154" s="21">
        <f t="shared" si="1118"/>
        <v>432.43483984538142</v>
      </c>
      <c r="CX154" s="21">
        <f t="shared" ref="CX154:DB154" si="1119">+SUM(CU70:CX70)</f>
        <v>451.07438361136008</v>
      </c>
      <c r="CY154" s="21">
        <f t="shared" si="1119"/>
        <v>470.73688688850814</v>
      </c>
      <c r="CZ154" s="21">
        <f t="shared" si="1119"/>
        <v>492.77533279718205</v>
      </c>
      <c r="DA154" s="21">
        <f t="shared" si="1119"/>
        <v>512.566245707132</v>
      </c>
      <c r="DB154" s="21">
        <f t="shared" si="1119"/>
        <v>535.3708816437902</v>
      </c>
      <c r="DE154" s="22"/>
      <c r="DF154" s="161">
        <v>254.73576484268165</v>
      </c>
    </row>
    <row r="155" spans="1:110" s="161" customFormat="1" x14ac:dyDescent="0.2">
      <c r="A155" s="49" t="s">
        <v>343</v>
      </c>
      <c r="B155" s="161" t="e">
        <f>+B152/B154</f>
        <v>#DIV/0!</v>
      </c>
      <c r="C155" s="161" t="e">
        <f t="shared" ref="C155:W155" si="1120">+C152/C154</f>
        <v>#DIV/0!</v>
      </c>
      <c r="D155" s="161" t="e">
        <f t="shared" si="1120"/>
        <v>#DIV/0!</v>
      </c>
      <c r="E155" s="161" t="e">
        <f t="shared" ca="1" si="1120"/>
        <v>#DIV/0!</v>
      </c>
      <c r="F155" s="161" t="e">
        <f t="shared" ca="1" si="1120"/>
        <v>#DIV/0!</v>
      </c>
      <c r="G155" s="161" t="e">
        <f t="shared" ca="1" si="1120"/>
        <v>#DIV/0!</v>
      </c>
      <c r="H155" s="161" t="e">
        <f t="shared" ca="1" si="1120"/>
        <v>#DIV/0!</v>
      </c>
      <c r="I155" s="161" t="e">
        <f t="shared" ca="1" si="1120"/>
        <v>#DIV/0!</v>
      </c>
      <c r="J155" s="161" t="e">
        <f t="shared" ca="1" si="1120"/>
        <v>#DIV/0!</v>
      </c>
      <c r="K155" s="161" t="e">
        <f t="shared" ca="1" si="1120"/>
        <v>#DIV/0!</v>
      </c>
      <c r="L155" s="161" t="e">
        <f t="shared" ca="1" si="1120"/>
        <v>#DIV/0!</v>
      </c>
      <c r="M155" s="161" t="e">
        <f t="shared" ca="1" si="1120"/>
        <v>#DIV/0!</v>
      </c>
      <c r="N155" s="161" t="e">
        <f t="shared" ca="1" si="1120"/>
        <v>#DIV/0!</v>
      </c>
      <c r="O155" s="161" t="e">
        <f t="shared" ca="1" si="1120"/>
        <v>#DIV/0!</v>
      </c>
      <c r="P155" s="161" t="e">
        <f t="shared" ca="1" si="1120"/>
        <v>#DIV/0!</v>
      </c>
      <c r="Q155" s="161" t="e">
        <f t="shared" ca="1" si="1120"/>
        <v>#DIV/0!</v>
      </c>
      <c r="R155" s="161" t="e">
        <f t="shared" ca="1" si="1120"/>
        <v>#DIV/0!</v>
      </c>
      <c r="S155" s="161" t="e">
        <f t="shared" ca="1" si="1120"/>
        <v>#DIV/0!</v>
      </c>
      <c r="T155" s="161" t="e">
        <f t="shared" ca="1" si="1120"/>
        <v>#DIV/0!</v>
      </c>
      <c r="U155" s="161" t="e">
        <f t="shared" ca="1" si="1120"/>
        <v>#DIV/0!</v>
      </c>
      <c r="V155" s="161" t="e">
        <f t="shared" ca="1" si="1120"/>
        <v>#DIV/0!</v>
      </c>
      <c r="W155" s="161" t="e">
        <f t="shared" ca="1" si="1120"/>
        <v>#DIV/0!</v>
      </c>
      <c r="X155" s="161" t="e">
        <f t="shared" ref="X155:Y155" ca="1" si="1121">+X152/X154</f>
        <v>#DIV/0!</v>
      </c>
      <c r="Y155" s="161" t="e">
        <f t="shared" ca="1" si="1121"/>
        <v>#DIV/0!</v>
      </c>
      <c r="Z155" s="161" t="e">
        <f t="shared" ref="Z155:AA155" ca="1" si="1122">+Z152/Z154</f>
        <v>#DIV/0!</v>
      </c>
      <c r="AA155" s="161" t="e">
        <f t="shared" ca="1" si="1122"/>
        <v>#DIV/0!</v>
      </c>
      <c r="AB155" s="21" t="e">
        <f t="shared" ref="AA155:AD155" ca="1" si="1123">+AB152/AB154</f>
        <v>#DIV/0!</v>
      </c>
      <c r="AC155" s="21" t="e">
        <f t="shared" ca="1" si="1123"/>
        <v>#DIV/0!</v>
      </c>
      <c r="AD155" s="21" t="e">
        <f t="shared" ca="1" si="1123"/>
        <v>#DIV/0!</v>
      </c>
      <c r="AE155" s="21" t="e">
        <f t="shared" ref="AE155" ca="1" si="1124">+AE152/AE154</f>
        <v>#DIV/0!</v>
      </c>
      <c r="AL155" s="161" t="e">
        <f t="shared" ref="AL155" si="1125">+AL152/AL154</f>
        <v>#DIV/0!</v>
      </c>
      <c r="AM155" s="161" t="e">
        <f t="shared" ref="AM155:AO155" si="1126">+AM152/AM154</f>
        <v>#DIV/0!</v>
      </c>
      <c r="AN155" s="161" t="e">
        <f t="shared" si="1126"/>
        <v>#DIV/0!</v>
      </c>
      <c r="AO155" s="161" t="e">
        <f t="shared" si="1126"/>
        <v>#DIV/0!</v>
      </c>
      <c r="AP155" s="161" t="e">
        <f t="shared" ref="AP155:CD155" si="1127">+AP152/AP154</f>
        <v>#DIV/0!</v>
      </c>
      <c r="AQ155" s="161" t="e">
        <f t="shared" si="1127"/>
        <v>#DIV/0!</v>
      </c>
      <c r="AR155" s="161" t="e">
        <f t="shared" si="1127"/>
        <v>#DIV/0!</v>
      </c>
      <c r="AS155" s="161" t="e">
        <f t="shared" si="1127"/>
        <v>#DIV/0!</v>
      </c>
      <c r="AT155" s="161" t="e">
        <f t="shared" si="1127"/>
        <v>#DIV/0!</v>
      </c>
      <c r="AU155" s="161" t="e">
        <f t="shared" si="1127"/>
        <v>#DIV/0!</v>
      </c>
      <c r="AV155" s="161">
        <f t="shared" si="1127"/>
        <v>0</v>
      </c>
      <c r="AW155" s="161">
        <f t="shared" si="1127"/>
        <v>-0.15792855682448823</v>
      </c>
      <c r="AX155" s="161">
        <f t="shared" si="1127"/>
        <v>-1.0952718676122932</v>
      </c>
      <c r="AY155" s="161">
        <f t="shared" si="1127"/>
        <v>34.392554784732511</v>
      </c>
      <c r="AZ155" s="161">
        <f t="shared" si="1127"/>
        <v>32.94746287604832</v>
      </c>
      <c r="BA155" s="161">
        <f t="shared" si="1127"/>
        <v>34.114322698143226</v>
      </c>
      <c r="BB155" s="161">
        <f t="shared" si="1127"/>
        <v>33.204119785155299</v>
      </c>
      <c r="BC155" s="161">
        <f t="shared" si="1127"/>
        <v>32.083697895727745</v>
      </c>
      <c r="BD155" s="161">
        <f t="shared" si="1127"/>
        <v>30.56698150939912</v>
      </c>
      <c r="BE155" s="161">
        <f t="shared" si="1127"/>
        <v>26.081395746348161</v>
      </c>
      <c r="BF155" s="161">
        <f t="shared" si="1127"/>
        <v>25.80507108175096</v>
      </c>
      <c r="BG155" s="161">
        <f t="shared" si="1127"/>
        <v>24.825800233892888</v>
      </c>
      <c r="BH155" s="161">
        <f t="shared" si="1127"/>
        <v>23.080648726778016</v>
      </c>
      <c r="BI155" s="161">
        <f t="shared" si="1127"/>
        <v>22.272195361676072</v>
      </c>
      <c r="BJ155" s="161">
        <f t="shared" si="1127"/>
        <v>20.250352503836293</v>
      </c>
      <c r="BK155" s="161">
        <f t="shared" si="1127"/>
        <v>17.543418244951745</v>
      </c>
      <c r="BL155" s="161">
        <f t="shared" si="1127"/>
        <v>16.669445073612685</v>
      </c>
      <c r="BM155" s="161">
        <f t="shared" si="1127"/>
        <v>17.814501757082066</v>
      </c>
      <c r="BN155" s="161">
        <f t="shared" si="1127"/>
        <v>20.752156658165269</v>
      </c>
      <c r="BO155" s="161">
        <f t="shared" si="1127"/>
        <v>22.180111226488613</v>
      </c>
      <c r="BP155" s="161">
        <f t="shared" si="1127"/>
        <v>30.314333953552477</v>
      </c>
      <c r="BQ155" s="161">
        <f t="shared" si="1127"/>
        <v>41.788542056913059</v>
      </c>
      <c r="BR155" s="161">
        <f t="shared" si="1127"/>
        <v>30.420825996540554</v>
      </c>
      <c r="BS155" s="161">
        <f t="shared" si="1127"/>
        <v>32.467590816585172</v>
      </c>
      <c r="BT155" s="161">
        <f t="shared" si="1127"/>
        <v>27.647359396695563</v>
      </c>
      <c r="BU155" s="161">
        <f t="shared" si="1127"/>
        <v>26.966004679505765</v>
      </c>
      <c r="BV155" s="161">
        <f t="shared" si="1127"/>
        <v>24.928298781093496</v>
      </c>
      <c r="BW155" s="161">
        <f t="shared" si="1127"/>
        <v>23.5557530588137</v>
      </c>
      <c r="BX155" s="161">
        <f t="shared" si="1127"/>
        <v>26.90590034533793</v>
      </c>
      <c r="BY155" s="161">
        <f t="shared" si="1127"/>
        <v>29.749848371302384</v>
      </c>
      <c r="BZ155" s="161">
        <f t="shared" si="1127"/>
        <v>26.194400666389001</v>
      </c>
      <c r="CA155" s="161">
        <f t="shared" si="1127"/>
        <v>22.544474185504601</v>
      </c>
      <c r="CB155" s="161">
        <f t="shared" si="1127"/>
        <v>25.373965323486914</v>
      </c>
      <c r="CC155" s="161">
        <f t="shared" si="1127"/>
        <v>27.699275266615679</v>
      </c>
      <c r="CD155" s="161">
        <f t="shared" si="1127"/>
        <v>26.743874457299505</v>
      </c>
      <c r="CE155" s="161">
        <f t="shared" ref="CE155:CF155" si="1128">+CE152/CE154</f>
        <v>23.621277447972279</v>
      </c>
      <c r="CF155" s="161">
        <f t="shared" si="1128"/>
        <v>30.682018806371133</v>
      </c>
      <c r="CG155" s="161">
        <f t="shared" ref="CG155:CH155" si="1129">+CG152/CG154</f>
        <v>32.525460044476326</v>
      </c>
      <c r="CH155" s="161">
        <f t="shared" si="1129"/>
        <v>28.340729494991979</v>
      </c>
      <c r="CI155" s="161">
        <f t="shared" ref="CI155:CJ155" si="1130">+CI152/CI154</f>
        <v>26.516002315585133</v>
      </c>
      <c r="CJ155" s="161">
        <f t="shared" si="1130"/>
        <v>32.452546926274344</v>
      </c>
      <c r="CK155" s="161">
        <f t="shared" ref="CK155:CL155" si="1131">+CK152/CK154</f>
        <v>33.990277890746604</v>
      </c>
      <c r="CL155" s="161">
        <f t="shared" si="1131"/>
        <v>30.001866127308812</v>
      </c>
      <c r="CM155" s="21">
        <f t="shared" ref="CM155:DB155" si="1132">+CM152/CM154</f>
        <v>29.052293858245257</v>
      </c>
      <c r="CN155" s="21">
        <f t="shared" si="1132"/>
        <v>28.354896997563557</v>
      </c>
      <c r="CO155" s="21">
        <f t="shared" si="1132"/>
        <v>28.312068787622053</v>
      </c>
      <c r="CP155" s="21">
        <f t="shared" si="1132"/>
        <v>28.407050928740876</v>
      </c>
      <c r="CQ155" s="21">
        <f t="shared" si="1132"/>
        <v>28.772457652022059</v>
      </c>
      <c r="CR155" s="21">
        <f t="shared" si="1132"/>
        <v>29.136591546019616</v>
      </c>
      <c r="CS155" s="21">
        <f t="shared" si="1132"/>
        <v>29.423579504447527</v>
      </c>
      <c r="CT155" s="21">
        <f t="shared" si="1132"/>
        <v>29.738442459195724</v>
      </c>
      <c r="CU155" s="21">
        <f t="shared" si="1132"/>
        <v>30.045494427901694</v>
      </c>
      <c r="CV155" s="21">
        <f t="shared" si="1132"/>
        <v>30.362560613669302</v>
      </c>
      <c r="CW155" s="21">
        <f t="shared" si="1132"/>
        <v>30.606123951234157</v>
      </c>
      <c r="CX155" s="21">
        <f t="shared" si="1132"/>
        <v>30.889978223873289</v>
      </c>
      <c r="CY155" s="21">
        <f t="shared" si="1132"/>
        <v>31.141288939330099</v>
      </c>
      <c r="CZ155" s="21">
        <f t="shared" si="1132"/>
        <v>31.405625739575484</v>
      </c>
      <c r="DA155" s="21">
        <f t="shared" si="1132"/>
        <v>31.608609942284104</v>
      </c>
      <c r="DB155" s="21">
        <f t="shared" si="1132"/>
        <v>31.856776744967139</v>
      </c>
      <c r="DE155" s="22"/>
      <c r="DF155" s="161">
        <v>30.597787916184043</v>
      </c>
    </row>
    <row r="156" spans="1:110" s="161" customFormat="1" x14ac:dyDescent="0.2">
      <c r="A156" s="49" t="s">
        <v>344</v>
      </c>
      <c r="B156" s="161" t="e">
        <f>+B153/B154</f>
        <v>#DIV/0!</v>
      </c>
      <c r="C156" s="161" t="e">
        <f t="shared" ref="C156:W156" si="1133">+C153/C154</f>
        <v>#DIV/0!</v>
      </c>
      <c r="D156" s="161" t="e">
        <f t="shared" si="1133"/>
        <v>#DIV/0!</v>
      </c>
      <c r="E156" s="161" t="e">
        <f t="shared" ca="1" si="1133"/>
        <v>#DIV/0!</v>
      </c>
      <c r="F156" s="161" t="e">
        <f t="shared" ca="1" si="1133"/>
        <v>#DIV/0!</v>
      </c>
      <c r="G156" s="161" t="e">
        <f t="shared" ca="1" si="1133"/>
        <v>#DIV/0!</v>
      </c>
      <c r="H156" s="161" t="e">
        <f t="shared" ca="1" si="1133"/>
        <v>#DIV/0!</v>
      </c>
      <c r="I156" s="161" t="e">
        <f t="shared" ca="1" si="1133"/>
        <v>#DIV/0!</v>
      </c>
      <c r="J156" s="161" t="e">
        <f t="shared" ca="1" si="1133"/>
        <v>#DIV/0!</v>
      </c>
      <c r="K156" s="161" t="e">
        <f t="shared" ca="1" si="1133"/>
        <v>#DIV/0!</v>
      </c>
      <c r="L156" s="161" t="e">
        <f t="shared" ca="1" si="1133"/>
        <v>#DIV/0!</v>
      </c>
      <c r="M156" s="161" t="e">
        <f t="shared" ca="1" si="1133"/>
        <v>#DIV/0!</v>
      </c>
      <c r="N156" s="161" t="e">
        <f t="shared" ca="1" si="1133"/>
        <v>#DIV/0!</v>
      </c>
      <c r="O156" s="161" t="e">
        <f t="shared" ca="1" si="1133"/>
        <v>#DIV/0!</v>
      </c>
      <c r="P156" s="161" t="e">
        <f t="shared" ca="1" si="1133"/>
        <v>#DIV/0!</v>
      </c>
      <c r="Q156" s="161" t="e">
        <f t="shared" ca="1" si="1133"/>
        <v>#DIV/0!</v>
      </c>
      <c r="R156" s="161" t="e">
        <f t="shared" ca="1" si="1133"/>
        <v>#DIV/0!</v>
      </c>
      <c r="S156" s="161" t="e">
        <f t="shared" ca="1" si="1133"/>
        <v>#DIV/0!</v>
      </c>
      <c r="T156" s="161" t="e">
        <f t="shared" ca="1" si="1133"/>
        <v>#DIV/0!</v>
      </c>
      <c r="U156" s="161" t="e">
        <f t="shared" ca="1" si="1133"/>
        <v>#DIV/0!</v>
      </c>
      <c r="V156" s="161" t="e">
        <f t="shared" ca="1" si="1133"/>
        <v>#DIV/0!</v>
      </c>
      <c r="W156" s="161" t="e">
        <f t="shared" ca="1" si="1133"/>
        <v>#DIV/0!</v>
      </c>
      <c r="X156" s="161" t="e">
        <f t="shared" ref="X156:Y156" ca="1" si="1134">+X153/X154</f>
        <v>#DIV/0!</v>
      </c>
      <c r="Y156" s="161" t="e">
        <f t="shared" ca="1" si="1134"/>
        <v>#DIV/0!</v>
      </c>
      <c r="Z156" s="161" t="e">
        <f t="shared" ref="Z156:AA156" ca="1" si="1135">+Z153/Z154</f>
        <v>#DIV/0!</v>
      </c>
      <c r="AA156" s="161" t="e">
        <f t="shared" ca="1" si="1135"/>
        <v>#DIV/0!</v>
      </c>
      <c r="AB156" s="21" t="e">
        <f t="shared" ref="AA156:AD156" ca="1" si="1136">+AB153/AB154</f>
        <v>#DIV/0!</v>
      </c>
      <c r="AC156" s="21" t="e">
        <f t="shared" ca="1" si="1136"/>
        <v>#DIV/0!</v>
      </c>
      <c r="AD156" s="21" t="e">
        <f t="shared" ca="1" si="1136"/>
        <v>#DIV/0!</v>
      </c>
      <c r="AE156" s="21" t="e">
        <f t="shared" ref="AE156" ca="1" si="1137">+AE153/AE154</f>
        <v>#DIV/0!</v>
      </c>
      <c r="AL156" s="161" t="e">
        <f t="shared" ref="AL156:AM156" si="1138">+AL153/AL154</f>
        <v>#DIV/0!</v>
      </c>
      <c r="AM156" s="161" t="e">
        <f t="shared" si="1138"/>
        <v>#DIV/0!</v>
      </c>
      <c r="AN156" s="161" t="e">
        <f t="shared" ref="AN156:AO156" si="1139">+AN153/AN154</f>
        <v>#DIV/0!</v>
      </c>
      <c r="AO156" s="161" t="e">
        <f t="shared" si="1139"/>
        <v>#DIV/0!</v>
      </c>
      <c r="AP156" s="161" t="e">
        <f t="shared" ref="AP156:CD156" si="1140">+AP153/AP154</f>
        <v>#DIV/0!</v>
      </c>
      <c r="AQ156" s="161" t="e">
        <f t="shared" si="1140"/>
        <v>#DIV/0!</v>
      </c>
      <c r="AR156" s="161" t="e">
        <f t="shared" si="1140"/>
        <v>#DIV/0!</v>
      </c>
      <c r="AS156" s="161" t="e">
        <f t="shared" si="1140"/>
        <v>#DIV/0!</v>
      </c>
      <c r="AT156" s="161" t="e">
        <f t="shared" si="1140"/>
        <v>#DIV/0!</v>
      </c>
      <c r="AU156" s="161" t="e">
        <f t="shared" si="1140"/>
        <v>#DIV/0!</v>
      </c>
      <c r="AV156" s="161">
        <f t="shared" si="1140"/>
        <v>0</v>
      </c>
      <c r="AW156" s="161">
        <f t="shared" si="1140"/>
        <v>-0.15792855682448823</v>
      </c>
      <c r="AX156" s="161">
        <f t="shared" si="1140"/>
        <v>-1.0952718676122932</v>
      </c>
      <c r="AY156" s="161">
        <f t="shared" si="1140"/>
        <v>-1.1841798395617578</v>
      </c>
      <c r="AZ156" s="161">
        <f t="shared" si="1140"/>
        <v>26.227523659305998</v>
      </c>
      <c r="BA156" s="161">
        <f t="shared" si="1140"/>
        <v>26.818017841141305</v>
      </c>
      <c r="BB156" s="161">
        <f t="shared" si="1140"/>
        <v>29.650618720192668</v>
      </c>
      <c r="BC156" s="161">
        <f t="shared" si="1140"/>
        <v>28.028140201157594</v>
      </c>
      <c r="BD156" s="161">
        <f t="shared" si="1140"/>
        <v>25.957888502599754</v>
      </c>
      <c r="BE156" s="161">
        <f t="shared" si="1140"/>
        <v>22.233469315647678</v>
      </c>
      <c r="BF156" s="161">
        <f t="shared" si="1140"/>
        <v>20.122723126675695</v>
      </c>
      <c r="BG156" s="161">
        <f t="shared" si="1140"/>
        <v>19.502224782011105</v>
      </c>
      <c r="BH156" s="161">
        <f t="shared" si="1140"/>
        <v>18.029722399353862</v>
      </c>
      <c r="BI156" s="161">
        <f t="shared" si="1140"/>
        <v>16.928329408566999</v>
      </c>
      <c r="BJ156" s="161">
        <f t="shared" si="1140"/>
        <v>16.050253949728795</v>
      </c>
      <c r="BK156" s="161">
        <f t="shared" si="1140"/>
        <v>13.538667446498188</v>
      </c>
      <c r="BL156" s="161">
        <f t="shared" si="1140"/>
        <v>12.613839184597962</v>
      </c>
      <c r="BM156" s="161">
        <f t="shared" si="1140"/>
        <v>14.27771333086681</v>
      </c>
      <c r="BN156" s="161">
        <f t="shared" si="1140"/>
        <v>12.158513022644748</v>
      </c>
      <c r="BO156" s="161">
        <f t="shared" si="1140"/>
        <v>18.394226613945211</v>
      </c>
      <c r="BP156" s="161">
        <f t="shared" si="1140"/>
        <v>17.154284795442571</v>
      </c>
      <c r="BQ156" s="161">
        <f t="shared" si="1140"/>
        <v>25.642333820190117</v>
      </c>
      <c r="BR156" s="161">
        <f t="shared" si="1140"/>
        <v>25.035375974189993</v>
      </c>
      <c r="BS156" s="161">
        <f t="shared" si="1140"/>
        <v>19.714908271482493</v>
      </c>
      <c r="BT156" s="161">
        <f t="shared" si="1140"/>
        <v>23.07334174086952</v>
      </c>
      <c r="BU156" s="161">
        <f t="shared" si="1140"/>
        <v>19.497817953901365</v>
      </c>
      <c r="BV156" s="161">
        <f t="shared" si="1140"/>
        <v>16.171144977509144</v>
      </c>
      <c r="BW156" s="161">
        <f t="shared" si="1140"/>
        <v>15.669518589875828</v>
      </c>
      <c r="BX156" s="161">
        <f t="shared" si="1140"/>
        <v>21.695538797660152</v>
      </c>
      <c r="BY156" s="161">
        <f t="shared" si="1140"/>
        <v>23.009940135123372</v>
      </c>
      <c r="BZ156" s="161">
        <f t="shared" si="1140"/>
        <v>17.128268776898551</v>
      </c>
      <c r="CA156" s="161">
        <f t="shared" si="1140"/>
        <v>17.793195808341149</v>
      </c>
      <c r="CB156" s="161">
        <f t="shared" si="1140"/>
        <v>21.21759565473328</v>
      </c>
      <c r="CC156" s="161">
        <f t="shared" si="1140"/>
        <v>20.372449090427761</v>
      </c>
      <c r="CD156" s="161">
        <f t="shared" si="1140"/>
        <v>20.329837250478988</v>
      </c>
      <c r="CE156" s="161">
        <f t="shared" ref="CE156:CF156" si="1141">+CE153/CE154</f>
        <v>19.577400467116771</v>
      </c>
      <c r="CF156" s="161">
        <f t="shared" si="1141"/>
        <v>20.190470159278441</v>
      </c>
      <c r="CG156" s="161">
        <f t="shared" ref="CG156:CH156" si="1142">+CG153/CG154</f>
        <v>23.72785527084341</v>
      </c>
      <c r="CH156" s="161">
        <f t="shared" si="1142"/>
        <v>17.33068571828813</v>
      </c>
      <c r="CI156" s="161">
        <f t="shared" ref="CI156:CJ156" si="1143">+CI153/CI154</f>
        <v>15.868674140653715</v>
      </c>
      <c r="CJ156" s="161">
        <f t="shared" si="1143"/>
        <v>21.643409027929682</v>
      </c>
      <c r="CK156" s="161">
        <f t="shared" ref="CK156:CL156" si="1144">+CK153/CK154</f>
        <v>23.499965199146359</v>
      </c>
      <c r="CL156" s="161">
        <f t="shared" si="1144"/>
        <v>19.967813310944898</v>
      </c>
      <c r="CM156" s="21">
        <f t="shared" ref="CM156:DB156" si="1145">+CM153/CM154</f>
        <v>19.290029639561713</v>
      </c>
      <c r="CN156" s="21">
        <f t="shared" si="1145"/>
        <v>18.781697677320913</v>
      </c>
      <c r="CO156" s="21">
        <f t="shared" si="1145"/>
        <v>18.714636799765454</v>
      </c>
      <c r="CP156" s="21">
        <f t="shared" si="1145"/>
        <v>18.745207363334877</v>
      </c>
      <c r="CQ156" s="21">
        <f t="shared" si="1145"/>
        <v>18.956845997828218</v>
      </c>
      <c r="CR156" s="21">
        <f t="shared" si="1145"/>
        <v>19.172436764395311</v>
      </c>
      <c r="CS156" s="21">
        <f t="shared" si="1145"/>
        <v>19.326973950819493</v>
      </c>
      <c r="CT156" s="21">
        <f t="shared" si="1145"/>
        <v>19.513329964895167</v>
      </c>
      <c r="CU156" s="21">
        <f t="shared" si="1145"/>
        <v>19.686968837318968</v>
      </c>
      <c r="CV156" s="21">
        <f t="shared" si="1145"/>
        <v>19.872718101591634</v>
      </c>
      <c r="CW156" s="21">
        <f t="shared" si="1145"/>
        <v>19.997909282052149</v>
      </c>
      <c r="CX156" s="21">
        <f t="shared" si="1145"/>
        <v>20.164234626341059</v>
      </c>
      <c r="CY156" s="21">
        <f t="shared" si="1145"/>
        <v>20.302305562259722</v>
      </c>
      <c r="CZ156" s="21">
        <f t="shared" si="1145"/>
        <v>20.455237059479717</v>
      </c>
      <c r="DA156" s="21">
        <f t="shared" si="1145"/>
        <v>20.555338088837754</v>
      </c>
      <c r="DB156" s="21">
        <f t="shared" si="1145"/>
        <v>20.701347965438366</v>
      </c>
      <c r="DE156" s="22"/>
      <c r="DF156" s="161">
        <v>20.276020960437553</v>
      </c>
    </row>
    <row r="157" spans="1:110" s="10" customFormat="1" x14ac:dyDescent="0.2">
      <c r="A157" s="149" t="s">
        <v>490</v>
      </c>
      <c r="AB157" s="20"/>
      <c r="AC157" s="20"/>
      <c r="AD157" s="20"/>
      <c r="AE157" s="20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E157" s="126"/>
    </row>
    <row r="158" spans="1:110" x14ac:dyDescent="0.2">
      <c r="A158" s="152" t="s">
        <v>491</v>
      </c>
      <c r="AA158" s="2"/>
    </row>
    <row r="159" spans="1:110" s="23" customFormat="1" outlineLevel="1" x14ac:dyDescent="0.2">
      <c r="A159" s="23" t="s">
        <v>41</v>
      </c>
      <c r="B159" s="23">
        <f>'Annual Raw'!C41</f>
        <v>0</v>
      </c>
      <c r="C159" s="23">
        <f>'Annual Raw'!D41</f>
        <v>0</v>
      </c>
      <c r="D159" s="23">
        <f>'Annual Raw'!E41</f>
        <v>0</v>
      </c>
      <c r="E159" s="23">
        <f>'Annual Raw'!F41</f>
        <v>0</v>
      </c>
      <c r="F159" s="23">
        <f>'Annual Raw'!G41</f>
        <v>0</v>
      </c>
      <c r="G159" s="23">
        <f>'Annual Raw'!H41</f>
        <v>0</v>
      </c>
      <c r="H159" s="23">
        <f>'Annual Raw'!I41</f>
        <v>10.407425</v>
      </c>
      <c r="I159" s="23">
        <f>'Annual Raw'!J41</f>
        <v>10.407425</v>
      </c>
      <c r="J159" s="23">
        <f>'Annual Raw'!K41</f>
        <v>11.112425</v>
      </c>
      <c r="K159" s="23">
        <f>'Annual Raw'!L41</f>
        <v>10.809424999999999</v>
      </c>
      <c r="L159" s="23">
        <f>'Annual Raw'!M41</f>
        <v>10.808999999999999</v>
      </c>
      <c r="M159" s="23">
        <f>'Annual Raw'!N41</f>
        <v>10.808999999999999</v>
      </c>
      <c r="N159" s="23">
        <f>'Annual Raw'!O41</f>
        <v>10.917999999999999</v>
      </c>
      <c r="O159" s="23">
        <f>'Annual Raw'!P41</f>
        <v>10.917999999999999</v>
      </c>
      <c r="P159" s="23">
        <f>'Annual Raw'!Q41</f>
        <v>50.536000000000001</v>
      </c>
      <c r="Q159" s="23">
        <f>'Annual Raw'!R41</f>
        <v>53.723999999999997</v>
      </c>
      <c r="R159" s="23">
        <f>'Annual Raw'!S41</f>
        <v>53.69</v>
      </c>
      <c r="S159" s="23">
        <f>'Annual Raw'!T41</f>
        <v>53.72</v>
      </c>
      <c r="T159" s="23">
        <f>'Annual Raw'!U41</f>
        <v>52.79</v>
      </c>
      <c r="U159" s="23">
        <f>'Annual Raw'!V41</f>
        <v>52.84</v>
      </c>
      <c r="V159" s="23">
        <f>'Annual Raw'!W41</f>
        <v>52.87</v>
      </c>
      <c r="W159" s="23">
        <f>'Annual Raw'!X41</f>
        <v>52.9</v>
      </c>
      <c r="X159" s="23">
        <f>'Annual Raw'!Y41</f>
        <v>52.93</v>
      </c>
      <c r="Y159" s="23">
        <f>'Annual Raw'!Z41</f>
        <v>52.95</v>
      </c>
      <c r="Z159" s="23">
        <f>'Annual Raw'!AA41</f>
        <v>52.99</v>
      </c>
      <c r="AA159" s="23">
        <f>'Annual Raw'!AB41</f>
        <v>159.16999999999999</v>
      </c>
      <c r="AB159" s="24">
        <f>+CP159</f>
        <v>159.16999999999999</v>
      </c>
      <c r="AC159" s="24">
        <f>+CT159</f>
        <v>159.16999999999999</v>
      </c>
      <c r="AD159" s="24">
        <f>+CX159</f>
        <v>159.16999999999999</v>
      </c>
      <c r="AE159" s="24">
        <f>+DB159</f>
        <v>159.16999999999999</v>
      </c>
      <c r="AJ159" s="23">
        <f>+'QTR Raw'!D56</f>
        <v>0</v>
      </c>
      <c r="AK159" s="23">
        <f t="shared" ref="AK159:CE159" si="1146">+AJ159</f>
        <v>0</v>
      </c>
      <c r="AL159" s="23">
        <f>+'QTR Raw'!F56</f>
        <v>0</v>
      </c>
      <c r="AM159" s="23">
        <f t="shared" si="1146"/>
        <v>0</v>
      </c>
      <c r="AN159" s="23">
        <f>+'QTR Raw'!H56</f>
        <v>0</v>
      </c>
      <c r="AO159" s="23">
        <f t="shared" si="1146"/>
        <v>0</v>
      </c>
      <c r="AP159" s="23">
        <f>+'QTR Raw'!J56</f>
        <v>0</v>
      </c>
      <c r="AQ159" s="23">
        <f t="shared" si="1146"/>
        <v>0</v>
      </c>
      <c r="AR159" s="23">
        <f>+'QTR Raw'!L56</f>
        <v>0</v>
      </c>
      <c r="AS159" s="23">
        <f t="shared" si="1146"/>
        <v>0</v>
      </c>
      <c r="AT159" s="23">
        <f>+'QTR Raw'!N56</f>
        <v>0</v>
      </c>
      <c r="AU159" s="23">
        <f t="shared" si="1146"/>
        <v>0</v>
      </c>
      <c r="AV159" s="23">
        <f>+'QTR Raw'!P56</f>
        <v>0</v>
      </c>
      <c r="AW159" s="23">
        <f t="shared" si="1146"/>
        <v>0</v>
      </c>
      <c r="AX159" s="23">
        <f>+'QTR Raw'!R56</f>
        <v>53.723999999999997</v>
      </c>
      <c r="AY159" s="23">
        <f t="shared" si="1146"/>
        <v>53.723999999999997</v>
      </c>
      <c r="AZ159" s="23">
        <f>+'QTR Raw'!T56</f>
        <v>53.723999999999997</v>
      </c>
      <c r="BA159" s="23">
        <f t="shared" si="1146"/>
        <v>53.723999999999997</v>
      </c>
      <c r="BB159" s="23">
        <f>+'QTR Raw'!V56</f>
        <v>53.69</v>
      </c>
      <c r="BC159" s="23">
        <f t="shared" si="1146"/>
        <v>53.69</v>
      </c>
      <c r="BD159" s="23">
        <f>+'QTR Raw'!X56</f>
        <v>53.722999999999999</v>
      </c>
      <c r="BE159" s="23">
        <f t="shared" si="1146"/>
        <v>53.722999999999999</v>
      </c>
      <c r="BF159" s="23">
        <f>+'QTR Raw'!Z56</f>
        <v>53.72</v>
      </c>
      <c r="BG159" s="23">
        <f t="shared" si="1146"/>
        <v>53.72</v>
      </c>
      <c r="BH159" s="23">
        <f>+'QTR Raw'!AB56</f>
        <v>53.59</v>
      </c>
      <c r="BI159" s="23">
        <f t="shared" si="1146"/>
        <v>53.59</v>
      </c>
      <c r="BJ159" s="23">
        <f>+'QTR Raw'!AD56</f>
        <v>52.79</v>
      </c>
      <c r="BK159" s="23">
        <f t="shared" si="1146"/>
        <v>52.79</v>
      </c>
      <c r="BL159" s="23">
        <f>+'QTR Raw'!AF56</f>
        <v>52.8</v>
      </c>
      <c r="BM159" s="23">
        <f t="shared" si="1146"/>
        <v>52.8</v>
      </c>
      <c r="BN159" s="23">
        <f>+'QTR Raw'!AH56</f>
        <v>52.84</v>
      </c>
      <c r="BO159" s="23">
        <f t="shared" si="1146"/>
        <v>52.84</v>
      </c>
      <c r="BP159" s="23">
        <f>+'QTR Raw'!AJ56</f>
        <v>52.83</v>
      </c>
      <c r="BQ159" s="23">
        <f t="shared" si="1146"/>
        <v>52.83</v>
      </c>
      <c r="BR159" s="23">
        <f>+'QTR Raw'!AL56</f>
        <v>52.87</v>
      </c>
      <c r="BS159" s="23">
        <f t="shared" si="1146"/>
        <v>52.87</v>
      </c>
      <c r="BT159" s="23">
        <f>+'QTR Raw'!AN56</f>
        <v>52.87</v>
      </c>
      <c r="BU159" s="23">
        <f t="shared" si="1146"/>
        <v>52.87</v>
      </c>
      <c r="BV159" s="23">
        <f>+'QTR Raw'!AP56</f>
        <v>52.9</v>
      </c>
      <c r="BW159" s="23">
        <f t="shared" si="1146"/>
        <v>52.9</v>
      </c>
      <c r="BX159" s="23">
        <f>+'QTR Raw'!AR56</f>
        <v>52.93</v>
      </c>
      <c r="BY159" s="23">
        <f t="shared" si="1146"/>
        <v>52.93</v>
      </c>
      <c r="BZ159" s="23">
        <f>+'QTR Raw'!AT56</f>
        <v>52.93</v>
      </c>
      <c r="CA159" s="23">
        <f t="shared" si="1146"/>
        <v>52.93</v>
      </c>
      <c r="CB159" s="23">
        <f>+'QTR Raw'!AV56</f>
        <v>52.93</v>
      </c>
      <c r="CC159" s="23">
        <f t="shared" si="1146"/>
        <v>52.93</v>
      </c>
      <c r="CD159" s="23">
        <f>+'QTR Raw'!AX56</f>
        <v>52.95</v>
      </c>
      <c r="CE159" s="23">
        <f t="shared" si="1146"/>
        <v>52.95</v>
      </c>
      <c r="CF159" s="23">
        <f>+'QTR Raw'!AZ56</f>
        <v>52.95</v>
      </c>
      <c r="CG159" s="23">
        <f t="shared" ref="CG159:CG160" si="1147">+CF159</f>
        <v>52.95</v>
      </c>
      <c r="CH159" s="23">
        <f>Z159</f>
        <v>52.99</v>
      </c>
      <c r="CI159" s="23">
        <f>CH159</f>
        <v>52.99</v>
      </c>
      <c r="CJ159" s="23">
        <f>+'QTR Raw'!BD56</f>
        <v>52.99</v>
      </c>
      <c r="CK159" s="23">
        <f t="shared" ref="CK159:DB159" si="1148">CJ159</f>
        <v>52.99</v>
      </c>
      <c r="CL159" s="23">
        <f>+'QTR Raw'!BF56</f>
        <v>159.16999999999999</v>
      </c>
      <c r="CM159" s="24">
        <f t="shared" si="1148"/>
        <v>159.16999999999999</v>
      </c>
      <c r="CN159" s="24">
        <f t="shared" si="1148"/>
        <v>159.16999999999999</v>
      </c>
      <c r="CO159" s="24">
        <f t="shared" si="1148"/>
        <v>159.16999999999999</v>
      </c>
      <c r="CP159" s="24">
        <f t="shared" si="1148"/>
        <v>159.16999999999999</v>
      </c>
      <c r="CQ159" s="24">
        <f t="shared" si="1148"/>
        <v>159.16999999999999</v>
      </c>
      <c r="CR159" s="24">
        <f t="shared" si="1148"/>
        <v>159.16999999999999</v>
      </c>
      <c r="CS159" s="24">
        <f t="shared" si="1148"/>
        <v>159.16999999999999</v>
      </c>
      <c r="CT159" s="24">
        <f t="shared" si="1148"/>
        <v>159.16999999999999</v>
      </c>
      <c r="CU159" s="24">
        <f t="shared" si="1148"/>
        <v>159.16999999999999</v>
      </c>
      <c r="CV159" s="24">
        <f t="shared" si="1148"/>
        <v>159.16999999999999</v>
      </c>
      <c r="CW159" s="24">
        <f t="shared" si="1148"/>
        <v>159.16999999999999</v>
      </c>
      <c r="CX159" s="24">
        <f t="shared" si="1148"/>
        <v>159.16999999999999</v>
      </c>
      <c r="CY159" s="24">
        <f t="shared" si="1148"/>
        <v>159.16999999999999</v>
      </c>
      <c r="CZ159" s="24">
        <f t="shared" si="1148"/>
        <v>159.16999999999999</v>
      </c>
      <c r="DA159" s="24">
        <f t="shared" si="1148"/>
        <v>159.16999999999999</v>
      </c>
      <c r="DB159" s="24">
        <f t="shared" si="1148"/>
        <v>159.16999999999999</v>
      </c>
      <c r="DE159" s="123"/>
      <c r="DF159" s="23">
        <v>52.99</v>
      </c>
    </row>
    <row r="160" spans="1:110" s="23" customFormat="1" outlineLevel="1" x14ac:dyDescent="0.2">
      <c r="A160" s="23" t="s">
        <v>42</v>
      </c>
      <c r="B160" s="23">
        <f>'Annual Raw'!C42</f>
        <v>0</v>
      </c>
      <c r="C160" s="23">
        <f>'Annual Raw'!D42</f>
        <v>0</v>
      </c>
      <c r="D160" s="23">
        <f>'Annual Raw'!E42</f>
        <v>0</v>
      </c>
      <c r="E160" s="23">
        <f>'Annual Raw'!F42</f>
        <v>0</v>
      </c>
      <c r="F160" s="23">
        <f>'Annual Raw'!G42</f>
        <v>0</v>
      </c>
      <c r="G160" s="23">
        <f>'Annual Raw'!H42</f>
        <v>0</v>
      </c>
      <c r="H160" s="23">
        <f>'Annual Raw'!I42</f>
        <v>0</v>
      </c>
      <c r="I160" s="23">
        <f>'Annual Raw'!J42</f>
        <v>0</v>
      </c>
      <c r="J160" s="23">
        <f>'Annual Raw'!K42</f>
        <v>0</v>
      </c>
      <c r="K160" s="23">
        <f>'Annual Raw'!L42</f>
        <v>0</v>
      </c>
      <c r="L160" s="23">
        <f>'Annual Raw'!M42</f>
        <v>0</v>
      </c>
      <c r="M160" s="23">
        <f>'Annual Raw'!N42</f>
        <v>0</v>
      </c>
      <c r="N160" s="23">
        <f>'Annual Raw'!O42</f>
        <v>0</v>
      </c>
      <c r="O160" s="23">
        <f>'Annual Raw'!P42</f>
        <v>0</v>
      </c>
      <c r="P160" s="23">
        <f>'Annual Raw'!Q42</f>
        <v>0.81799999999999995</v>
      </c>
      <c r="Q160" s="23">
        <f>'Annual Raw'!R42</f>
        <v>2.5920000000000001</v>
      </c>
      <c r="R160" s="23">
        <f>'Annual Raw'!S42</f>
        <v>5.0389999999999997</v>
      </c>
      <c r="S160" s="23">
        <f>'Annual Raw'!T42</f>
        <v>2.82</v>
      </c>
      <c r="T160" s="23">
        <f>'Annual Raw'!U42</f>
        <v>3.89</v>
      </c>
      <c r="U160" s="23">
        <f>'Annual Raw'!V42</f>
        <v>3.73</v>
      </c>
      <c r="V160" s="23">
        <f>'Annual Raw'!W42</f>
        <v>2.94</v>
      </c>
      <c r="W160" s="23">
        <f>'Annual Raw'!X42</f>
        <v>3.44</v>
      </c>
      <c r="X160" s="23">
        <f>'Annual Raw'!Y42</f>
        <v>4.53</v>
      </c>
      <c r="Y160" s="23">
        <f>'Annual Raw'!Z42</f>
        <v>4.32</v>
      </c>
      <c r="Z160" s="23">
        <f>'Annual Raw'!AA42</f>
        <v>4.33</v>
      </c>
      <c r="AA160" s="23">
        <f>'Annual Raw'!AB42</f>
        <v>6.73</v>
      </c>
      <c r="AB160" s="24">
        <f t="shared" ref="AB160:AB161" si="1149">+CP160</f>
        <v>0</v>
      </c>
      <c r="AC160" s="24">
        <f t="shared" ref="AC160:AC161" si="1150">+CT160</f>
        <v>0</v>
      </c>
      <c r="AD160" s="24">
        <f t="shared" ref="AD160:AD161" si="1151">+CX160</f>
        <v>0</v>
      </c>
      <c r="AE160" s="24">
        <f t="shared" ref="AE160:AE161" si="1152">+DB160</f>
        <v>0</v>
      </c>
      <c r="AJ160" s="23">
        <f>+'QTR Raw'!D57</f>
        <v>0</v>
      </c>
      <c r="AK160" s="23">
        <f t="shared" ref="AK160:CE160" si="1153">+AJ160</f>
        <v>0</v>
      </c>
      <c r="AL160" s="23">
        <f>+'QTR Raw'!F57</f>
        <v>0</v>
      </c>
      <c r="AM160" s="23">
        <f t="shared" si="1153"/>
        <v>0</v>
      </c>
      <c r="AN160" s="23">
        <f>+'QTR Raw'!H57</f>
        <v>0</v>
      </c>
      <c r="AO160" s="23">
        <f t="shared" si="1153"/>
        <v>0</v>
      </c>
      <c r="AP160" s="23">
        <f>+'QTR Raw'!J57</f>
        <v>0</v>
      </c>
      <c r="AQ160" s="23">
        <f t="shared" si="1153"/>
        <v>0</v>
      </c>
      <c r="AR160" s="23">
        <f>+'QTR Raw'!L57</f>
        <v>0</v>
      </c>
      <c r="AS160" s="23">
        <f t="shared" si="1153"/>
        <v>0</v>
      </c>
      <c r="AT160" s="23">
        <f>+'QTR Raw'!N57</f>
        <v>0</v>
      </c>
      <c r="AU160" s="23">
        <f t="shared" si="1153"/>
        <v>0</v>
      </c>
      <c r="AV160" s="23">
        <f>+'QTR Raw'!P57</f>
        <v>0</v>
      </c>
      <c r="AW160" s="23">
        <f t="shared" si="1153"/>
        <v>0</v>
      </c>
      <c r="AX160" s="23">
        <f>+'QTR Raw'!R57</f>
        <v>0</v>
      </c>
      <c r="AY160" s="23">
        <f t="shared" si="1153"/>
        <v>0</v>
      </c>
      <c r="AZ160" s="23">
        <f>+'QTR Raw'!T57</f>
        <v>0</v>
      </c>
      <c r="BA160" s="23">
        <f t="shared" si="1153"/>
        <v>0</v>
      </c>
      <c r="BB160" s="23">
        <f>+'QTR Raw'!V57</f>
        <v>0</v>
      </c>
      <c r="BC160" s="23">
        <f t="shared" si="1153"/>
        <v>0</v>
      </c>
      <c r="BD160" s="23">
        <f>+'QTR Raw'!X57</f>
        <v>0</v>
      </c>
      <c r="BE160" s="23">
        <f t="shared" si="1153"/>
        <v>0</v>
      </c>
      <c r="BF160" s="23">
        <f>+'QTR Raw'!Z57</f>
        <v>0</v>
      </c>
      <c r="BG160" s="23">
        <f t="shared" si="1153"/>
        <v>0</v>
      </c>
      <c r="BH160" s="23">
        <f>+'QTR Raw'!AB57</f>
        <v>0</v>
      </c>
      <c r="BI160" s="23">
        <f t="shared" si="1153"/>
        <v>0</v>
      </c>
      <c r="BJ160" s="23">
        <f>+'QTR Raw'!AD57</f>
        <v>0</v>
      </c>
      <c r="BK160" s="23">
        <f t="shared" si="1153"/>
        <v>0</v>
      </c>
      <c r="BL160" s="23">
        <f>+'QTR Raw'!AF57</f>
        <v>0</v>
      </c>
      <c r="BM160" s="23">
        <f t="shared" si="1153"/>
        <v>0</v>
      </c>
      <c r="BN160" s="23">
        <f>+'QTR Raw'!AH57</f>
        <v>0</v>
      </c>
      <c r="BO160" s="23">
        <f t="shared" si="1153"/>
        <v>0</v>
      </c>
      <c r="BP160" s="23">
        <f>+'QTR Raw'!AJ57</f>
        <v>0</v>
      </c>
      <c r="BQ160" s="23">
        <f t="shared" si="1153"/>
        <v>0</v>
      </c>
      <c r="BR160" s="23">
        <f>+'QTR Raw'!AL57</f>
        <v>0</v>
      </c>
      <c r="BS160" s="23">
        <f t="shared" si="1153"/>
        <v>0</v>
      </c>
      <c r="BT160" s="23">
        <f>+'QTR Raw'!AN57</f>
        <v>0.03</v>
      </c>
      <c r="BU160" s="23">
        <f t="shared" si="1153"/>
        <v>0.03</v>
      </c>
      <c r="BV160" s="23">
        <f>+'QTR Raw'!AP57</f>
        <v>0</v>
      </c>
      <c r="BW160" s="23">
        <f t="shared" si="1153"/>
        <v>0</v>
      </c>
      <c r="BX160" s="23">
        <f>+'QTR Raw'!AR57</f>
        <v>0</v>
      </c>
      <c r="BY160" s="23">
        <f t="shared" si="1153"/>
        <v>0</v>
      </c>
      <c r="BZ160" s="23">
        <f>+'QTR Raw'!AT57</f>
        <v>0</v>
      </c>
      <c r="CA160" s="23">
        <f t="shared" si="1153"/>
        <v>0</v>
      </c>
      <c r="CB160" s="23">
        <f>+'QTR Raw'!AV57</f>
        <v>0</v>
      </c>
      <c r="CC160" s="23">
        <f t="shared" si="1153"/>
        <v>0</v>
      </c>
      <c r="CD160" s="23">
        <f>+'QTR Raw'!AX57</f>
        <v>0</v>
      </c>
      <c r="CE160" s="23">
        <f t="shared" si="1153"/>
        <v>0</v>
      </c>
      <c r="CF160" s="23">
        <f>+'QTR Raw'!AZ57</f>
        <v>0</v>
      </c>
      <c r="CG160" s="23">
        <f t="shared" si="1147"/>
        <v>0</v>
      </c>
      <c r="CH160" s="23">
        <f t="shared" ref="CH160:CH161" si="1154">Z160</f>
        <v>4.33</v>
      </c>
      <c r="CI160" s="23">
        <f>CH160</f>
        <v>4.33</v>
      </c>
      <c r="CJ160" s="23">
        <f>+'QTR Raw'!BD57</f>
        <v>0</v>
      </c>
      <c r="CK160" s="23">
        <f t="shared" ref="CK160:DB160" si="1155">CJ160</f>
        <v>0</v>
      </c>
      <c r="CL160" s="23">
        <f>+'QTR Raw'!BF57</f>
        <v>0</v>
      </c>
      <c r="CM160" s="24">
        <f t="shared" si="1155"/>
        <v>0</v>
      </c>
      <c r="CN160" s="24">
        <f t="shared" si="1155"/>
        <v>0</v>
      </c>
      <c r="CO160" s="24">
        <f t="shared" si="1155"/>
        <v>0</v>
      </c>
      <c r="CP160" s="24">
        <f t="shared" si="1155"/>
        <v>0</v>
      </c>
      <c r="CQ160" s="24">
        <f t="shared" si="1155"/>
        <v>0</v>
      </c>
      <c r="CR160" s="24">
        <f t="shared" si="1155"/>
        <v>0</v>
      </c>
      <c r="CS160" s="24">
        <f t="shared" si="1155"/>
        <v>0</v>
      </c>
      <c r="CT160" s="24">
        <f t="shared" si="1155"/>
        <v>0</v>
      </c>
      <c r="CU160" s="24">
        <f t="shared" si="1155"/>
        <v>0</v>
      </c>
      <c r="CV160" s="24">
        <f t="shared" si="1155"/>
        <v>0</v>
      </c>
      <c r="CW160" s="24">
        <f t="shared" si="1155"/>
        <v>0</v>
      </c>
      <c r="CX160" s="24">
        <f t="shared" si="1155"/>
        <v>0</v>
      </c>
      <c r="CY160" s="24">
        <f t="shared" si="1155"/>
        <v>0</v>
      </c>
      <c r="CZ160" s="24">
        <f t="shared" si="1155"/>
        <v>0</v>
      </c>
      <c r="DA160" s="24">
        <f t="shared" si="1155"/>
        <v>0</v>
      </c>
      <c r="DB160" s="24">
        <f t="shared" si="1155"/>
        <v>0</v>
      </c>
      <c r="DE160" s="123"/>
      <c r="DF160" s="23">
        <v>0</v>
      </c>
    </row>
    <row r="161" spans="1:110" s="23" customFormat="1" outlineLevel="1" x14ac:dyDescent="0.2">
      <c r="A161" s="23" t="s">
        <v>43</v>
      </c>
      <c r="B161" s="23">
        <f>'Annual Raw'!C43</f>
        <v>0</v>
      </c>
      <c r="C161" s="23">
        <f>'Annual Raw'!D43</f>
        <v>0</v>
      </c>
      <c r="D161" s="23">
        <f>'Annual Raw'!E43</f>
        <v>0</v>
      </c>
      <c r="E161" s="23">
        <f>'Annual Raw'!F43</f>
        <v>0</v>
      </c>
      <c r="F161" s="23">
        <f>'Annual Raw'!G43</f>
        <v>0</v>
      </c>
      <c r="G161" s="23">
        <f>'Annual Raw'!H43</f>
        <v>0</v>
      </c>
      <c r="H161" s="23">
        <f>'Annual Raw'!I43</f>
        <v>16.519601699999999</v>
      </c>
      <c r="I161" s="23">
        <f>'Annual Raw'!J43</f>
        <v>20.176686400000001</v>
      </c>
      <c r="J161" s="23">
        <f>'Annual Raw'!K43</f>
        <v>46.015228700000002</v>
      </c>
      <c r="K161" s="23">
        <f>'Annual Raw'!L43</f>
        <v>31.314406600000002</v>
      </c>
      <c r="L161" s="23">
        <f>'Annual Raw'!M43</f>
        <v>56.723999999999997</v>
      </c>
      <c r="M161" s="23">
        <f>'Annual Raw'!N43</f>
        <v>91.667000000000002</v>
      </c>
      <c r="N161" s="23">
        <f>'Annual Raw'!O43</f>
        <v>149.18899999999999</v>
      </c>
      <c r="O161" s="23">
        <f>'Annual Raw'!P43</f>
        <v>195.345</v>
      </c>
      <c r="P161" s="23">
        <f>'Annual Raw'!Q43</f>
        <v>225.018</v>
      </c>
      <c r="Q161" s="23">
        <f>'Annual Raw'!R43</f>
        <v>309.29399999999998</v>
      </c>
      <c r="R161" s="23">
        <f>'Annual Raw'!S43</f>
        <v>349.07900000000001</v>
      </c>
      <c r="S161" s="23">
        <f>'Annual Raw'!T43</f>
        <v>386.75</v>
      </c>
      <c r="T161" s="23">
        <f>'Annual Raw'!U43</f>
        <v>378.44</v>
      </c>
      <c r="U161" s="23">
        <f>'Annual Raw'!V43</f>
        <v>310.08</v>
      </c>
      <c r="V161" s="23">
        <f>'Annual Raw'!W43</f>
        <v>371.47</v>
      </c>
      <c r="W161" s="23">
        <f>'Annual Raw'!X43</f>
        <v>470.23</v>
      </c>
      <c r="X161" s="23">
        <f>'Annual Raw'!Y43</f>
        <v>476.84</v>
      </c>
      <c r="Y161" s="23">
        <f>'Annual Raw'!Z43</f>
        <v>469.49</v>
      </c>
      <c r="Z161" s="23">
        <f>'Annual Raw'!AA43</f>
        <v>489.43</v>
      </c>
      <c r="AA161" s="23">
        <f>'Annual Raw'!AB43</f>
        <v>419.6</v>
      </c>
      <c r="AB161" s="24">
        <f t="shared" si="1149"/>
        <v>621.64354314899106</v>
      </c>
      <c r="AC161" s="24">
        <f t="shared" si="1150"/>
        <v>871.58326430097816</v>
      </c>
      <c r="AD161" s="24">
        <f t="shared" si="1151"/>
        <v>1182.9211418200046</v>
      </c>
      <c r="AE161" s="24">
        <f t="shared" si="1152"/>
        <v>1567.2450478902786</v>
      </c>
      <c r="AJ161" s="23">
        <f>+'QTR Raw'!D58</f>
        <v>0</v>
      </c>
      <c r="AK161" s="23">
        <f>+AJ161+AK90</f>
        <v>0</v>
      </c>
      <c r="AL161" s="23">
        <f>+'QTR Raw'!F58</f>
        <v>0</v>
      </c>
      <c r="AM161" s="23">
        <f>+AL161+AM90</f>
        <v>0</v>
      </c>
      <c r="AN161" s="23">
        <f>+'QTR Raw'!H58</f>
        <v>0</v>
      </c>
      <c r="AO161" s="23">
        <f>+AN161+AO90</f>
        <v>0</v>
      </c>
      <c r="AP161" s="23">
        <f>+'QTR Raw'!J58</f>
        <v>0</v>
      </c>
      <c r="AQ161" s="23">
        <f>+AP161+AQ90</f>
        <v>0</v>
      </c>
      <c r="AR161" s="23">
        <f>+'QTR Raw'!L58</f>
        <v>0</v>
      </c>
      <c r="AS161" s="23">
        <f>+AR161+AS90</f>
        <v>0</v>
      </c>
      <c r="AT161" s="23">
        <f>+'QTR Raw'!N58</f>
        <v>0</v>
      </c>
      <c r="AU161" s="23">
        <f>+AT161+AU90</f>
        <v>11.763999999999996</v>
      </c>
      <c r="AV161" s="23">
        <f>+'QTR Raw'!P58</f>
        <v>0</v>
      </c>
      <c r="AW161" s="23">
        <f>+AV161+AW90</f>
        <v>10.814000000000007</v>
      </c>
      <c r="AX161" s="23">
        <f>+'QTR Raw'!R58</f>
        <v>311.88600000000002</v>
      </c>
      <c r="AY161" s="23">
        <f>+AX161+AY90</f>
        <v>328.964</v>
      </c>
      <c r="AZ161" s="23">
        <f>+'QTR Raw'!T58</f>
        <v>349.61799999999999</v>
      </c>
      <c r="BA161" s="23">
        <f>+AZ161+BA90</f>
        <v>358.79899999999998</v>
      </c>
      <c r="BB161" s="23">
        <f>+'QTR Raw'!V58</f>
        <v>354.11799999999999</v>
      </c>
      <c r="BC161" s="23">
        <f>+BB161+BC90</f>
        <v>376.12799999999999</v>
      </c>
      <c r="BD161" s="23">
        <f>+'QTR Raw'!X58</f>
        <v>372.10599999999999</v>
      </c>
      <c r="BE161" s="23">
        <f>+BD161+BE90</f>
        <v>393.57600000000002</v>
      </c>
      <c r="BF161" s="23">
        <f>+'QTR Raw'!Z58</f>
        <v>389.57</v>
      </c>
      <c r="BG161" s="23">
        <f>+BF161+BG90</f>
        <v>412.96999999999997</v>
      </c>
      <c r="BH161" s="23">
        <f>+'QTR Raw'!AB58</f>
        <v>397.76</v>
      </c>
      <c r="BI161" s="23">
        <f>+BH161+BI90</f>
        <v>417.90999999999997</v>
      </c>
      <c r="BJ161" s="23">
        <f>+'QTR Raw'!AD58</f>
        <v>382.33</v>
      </c>
      <c r="BK161" s="23">
        <f>+BJ161+BK90</f>
        <v>409.8</v>
      </c>
      <c r="BL161" s="23">
        <f>+'QTR Raw'!AF58</f>
        <v>318.63</v>
      </c>
      <c r="BM161" s="23">
        <f>+BL161+BM90</f>
        <v>346.12</v>
      </c>
      <c r="BN161" s="23">
        <f>+'QTR Raw'!AH58</f>
        <v>313.82</v>
      </c>
      <c r="BO161" s="23">
        <f>+BN161+BO90</f>
        <v>314.05</v>
      </c>
      <c r="BP161" s="23">
        <f>+'QTR Raw'!AJ58</f>
        <v>368.65</v>
      </c>
      <c r="BQ161" s="23">
        <f>+BP161+BQ90</f>
        <v>401.03999999999996</v>
      </c>
      <c r="BR161" s="23">
        <f>+'QTR Raw'!AL58</f>
        <v>374.4</v>
      </c>
      <c r="BS161" s="23">
        <f>+BR161+BS90</f>
        <v>429.97999999999996</v>
      </c>
      <c r="BT161" s="23">
        <f>+'QTR Raw'!AN58</f>
        <v>429.52</v>
      </c>
      <c r="BU161" s="23">
        <f>+BT161+BU90</f>
        <v>451.02</v>
      </c>
      <c r="BV161" s="23">
        <f>+'QTR Raw'!AP58</f>
        <v>473.67</v>
      </c>
      <c r="BW161" s="23">
        <f>+BV161+BW90</f>
        <v>495.40000000000003</v>
      </c>
      <c r="BX161" s="23">
        <f>+'QTR Raw'!AR58</f>
        <v>439.69</v>
      </c>
      <c r="BY161" s="23">
        <f>+BX161+BY90</f>
        <v>454.41</v>
      </c>
      <c r="BZ161" s="23">
        <f>+'QTR Raw'!AT58</f>
        <v>481.37</v>
      </c>
      <c r="CA161" s="23">
        <f>+BZ161+CA90</f>
        <v>498.67</v>
      </c>
      <c r="CB161" s="23">
        <f>+'QTR Raw'!AV58</f>
        <v>433.32</v>
      </c>
      <c r="CC161" s="23">
        <f>+CB161+CC90</f>
        <v>448.67</v>
      </c>
      <c r="CD161" s="23">
        <f>+'QTR Raw'!AX58</f>
        <v>473.82</v>
      </c>
      <c r="CE161" s="23">
        <f>+CD161+CE90</f>
        <v>497.98999999999995</v>
      </c>
      <c r="CF161" s="23">
        <f>+'QTR Raw'!AZ58</f>
        <v>435.21</v>
      </c>
      <c r="CG161" s="23">
        <f>+CF161+CG90</f>
        <v>454.32</v>
      </c>
      <c r="CH161" s="23">
        <f t="shared" si="1154"/>
        <v>489.43</v>
      </c>
      <c r="CI161" s="23">
        <f>CH161+CI90</f>
        <v>528.36</v>
      </c>
      <c r="CJ161" s="23">
        <f>+'QTR Raw'!BD58</f>
        <v>481.22</v>
      </c>
      <c r="CK161" s="23">
        <f t="shared" ref="CK161:DB161" si="1156">CJ161+CK90</f>
        <v>510.23000000000008</v>
      </c>
      <c r="CL161" s="23">
        <f>+'QTR Raw'!BF58</f>
        <v>426.33</v>
      </c>
      <c r="CM161" s="24">
        <f t="shared" si="1156"/>
        <v>469.46866529090352</v>
      </c>
      <c r="CN161" s="24">
        <f t="shared" si="1156"/>
        <v>520.57085550574004</v>
      </c>
      <c r="CO161" s="24">
        <f t="shared" si="1156"/>
        <v>566.15947329845892</v>
      </c>
      <c r="CP161" s="24">
        <f t="shared" si="1156"/>
        <v>621.64354314899106</v>
      </c>
      <c r="CQ161" s="24">
        <f t="shared" si="1156"/>
        <v>677.67388049099543</v>
      </c>
      <c r="CR161" s="24">
        <f t="shared" si="1156"/>
        <v>742.76262753165224</v>
      </c>
      <c r="CS161" s="24">
        <f t="shared" si="1156"/>
        <v>801.68058529082555</v>
      </c>
      <c r="CT161" s="24">
        <f t="shared" si="1156"/>
        <v>871.58326430097816</v>
      </c>
      <c r="CU161" s="24">
        <f t="shared" si="1156"/>
        <v>942.22619484008976</v>
      </c>
      <c r="CV161" s="24">
        <f t="shared" si="1156"/>
        <v>1023.3878462642099</v>
      </c>
      <c r="CW161" s="24">
        <f t="shared" si="1156"/>
        <v>1096.8826299341104</v>
      </c>
      <c r="CX161" s="24">
        <f t="shared" si="1156"/>
        <v>1182.9211418200046</v>
      </c>
      <c r="CY161" s="24">
        <f t="shared" si="1156"/>
        <v>1270.5657204637796</v>
      </c>
      <c r="CZ161" s="24">
        <f t="shared" si="1156"/>
        <v>1370.6319497258473</v>
      </c>
      <c r="DA161" s="24">
        <f t="shared" si="1156"/>
        <v>1461.4663229520936</v>
      </c>
      <c r="DB161" s="24">
        <f t="shared" si="1156"/>
        <v>1567.2450478902786</v>
      </c>
      <c r="DE161" s="123"/>
      <c r="DF161" s="23">
        <v>551.09399878909596</v>
      </c>
    </row>
    <row r="162" spans="1:110" s="22" customFormat="1" x14ac:dyDescent="0.2">
      <c r="A162" s="22" t="s">
        <v>44</v>
      </c>
      <c r="B162" s="22">
        <f>B159+B160+B161</f>
        <v>0</v>
      </c>
      <c r="C162" s="22">
        <f t="shared" ref="C162:V162" si="1157">C159+C160+C161</f>
        <v>0</v>
      </c>
      <c r="D162" s="22">
        <f t="shared" si="1157"/>
        <v>0</v>
      </c>
      <c r="E162" s="22">
        <f t="shared" si="1157"/>
        <v>0</v>
      </c>
      <c r="F162" s="22">
        <f t="shared" si="1157"/>
        <v>0</v>
      </c>
      <c r="G162" s="22">
        <f t="shared" si="1157"/>
        <v>0</v>
      </c>
      <c r="H162" s="22">
        <f t="shared" si="1157"/>
        <v>26.927026699999999</v>
      </c>
      <c r="I162" s="22">
        <f t="shared" si="1157"/>
        <v>30.584111400000001</v>
      </c>
      <c r="J162" s="22">
        <f t="shared" si="1157"/>
        <v>57.127653700000003</v>
      </c>
      <c r="K162" s="22">
        <f t="shared" si="1157"/>
        <v>42.123831600000003</v>
      </c>
      <c r="L162" s="22">
        <f t="shared" si="1157"/>
        <v>67.533000000000001</v>
      </c>
      <c r="M162" s="22">
        <f>M159+M160+M161</f>
        <v>102.476</v>
      </c>
      <c r="N162" s="22">
        <f t="shared" si="1157"/>
        <v>160.107</v>
      </c>
      <c r="O162" s="22">
        <f t="shared" si="1157"/>
        <v>206.26300000000001</v>
      </c>
      <c r="P162" s="22">
        <f t="shared" si="1157"/>
        <v>276.37200000000001</v>
      </c>
      <c r="Q162" s="22">
        <f t="shared" si="1157"/>
        <v>365.60999999999996</v>
      </c>
      <c r="R162" s="22">
        <f t="shared" si="1157"/>
        <v>407.80799999999999</v>
      </c>
      <c r="S162" s="22">
        <f t="shared" si="1157"/>
        <v>443.29</v>
      </c>
      <c r="T162" s="22">
        <f t="shared" si="1157"/>
        <v>435.12</v>
      </c>
      <c r="U162" s="22">
        <f t="shared" si="1157"/>
        <v>366.65</v>
      </c>
      <c r="V162" s="22">
        <f t="shared" si="1157"/>
        <v>427.28000000000003</v>
      </c>
      <c r="W162" s="22">
        <f t="shared" ref="W162" si="1158">W159+W160+W161</f>
        <v>526.57000000000005</v>
      </c>
      <c r="X162" s="22">
        <f t="shared" ref="X162:Y162" si="1159">X159+X160+X161</f>
        <v>534.29999999999995</v>
      </c>
      <c r="Y162" s="22">
        <f t="shared" si="1159"/>
        <v>526.76</v>
      </c>
      <c r="Z162" s="22">
        <f t="shared" ref="Z162:AA162" si="1160">Z159+Z160+Z161</f>
        <v>546.75</v>
      </c>
      <c r="AA162" s="22">
        <f t="shared" si="1160"/>
        <v>585.5</v>
      </c>
      <c r="AB162" s="21">
        <f t="shared" ref="AA162:AD162" si="1161">AB159+AB160+AB161</f>
        <v>780.81354314899102</v>
      </c>
      <c r="AC162" s="21">
        <f t="shared" si="1161"/>
        <v>1030.7532643009781</v>
      </c>
      <c r="AD162" s="21">
        <f t="shared" si="1161"/>
        <v>1342.0911418200046</v>
      </c>
      <c r="AE162" s="21">
        <f t="shared" ref="AE162" si="1162">AE159+AE160+AE161</f>
        <v>1726.4150478902786</v>
      </c>
      <c r="AJ162" s="22">
        <f t="shared" ref="AJ162" si="1163">AJ159+AJ160+AJ161</f>
        <v>0</v>
      </c>
      <c r="AK162" s="22">
        <f t="shared" ref="AK162" si="1164">AK159+AK160+AK161</f>
        <v>0</v>
      </c>
      <c r="AL162" s="22">
        <f t="shared" ref="AL162:AM162" si="1165">AL159+AL160+AL161</f>
        <v>0</v>
      </c>
      <c r="AM162" s="22">
        <f t="shared" si="1165"/>
        <v>0</v>
      </c>
      <c r="AN162" s="22">
        <f t="shared" ref="AN162:AO162" si="1166">AN159+AN160+AN161</f>
        <v>0</v>
      </c>
      <c r="AO162" s="22">
        <f t="shared" si="1166"/>
        <v>0</v>
      </c>
      <c r="AP162" s="22">
        <f t="shared" ref="AP162:CE162" si="1167">AP159+AP160+AP161</f>
        <v>0</v>
      </c>
      <c r="AQ162" s="22">
        <f t="shared" si="1167"/>
        <v>0</v>
      </c>
      <c r="AR162" s="22">
        <f t="shared" si="1167"/>
        <v>0</v>
      </c>
      <c r="AS162" s="22">
        <f t="shared" si="1167"/>
        <v>0</v>
      </c>
      <c r="AT162" s="22">
        <f t="shared" si="1167"/>
        <v>0</v>
      </c>
      <c r="AU162" s="22">
        <f t="shared" si="1167"/>
        <v>11.763999999999996</v>
      </c>
      <c r="AV162" s="22">
        <f t="shared" si="1167"/>
        <v>0</v>
      </c>
      <c r="AW162" s="22">
        <f t="shared" si="1167"/>
        <v>10.814000000000007</v>
      </c>
      <c r="AX162" s="22">
        <f t="shared" si="1167"/>
        <v>365.61</v>
      </c>
      <c r="AY162" s="22">
        <f t="shared" si="1167"/>
        <v>382.68799999999999</v>
      </c>
      <c r="AZ162" s="22">
        <f t="shared" si="1167"/>
        <v>403.34199999999998</v>
      </c>
      <c r="BA162" s="22">
        <f t="shared" si="1167"/>
        <v>412.52299999999997</v>
      </c>
      <c r="BB162" s="22">
        <f t="shared" si="1167"/>
        <v>407.80799999999999</v>
      </c>
      <c r="BC162" s="22">
        <f t="shared" si="1167"/>
        <v>429.81799999999998</v>
      </c>
      <c r="BD162" s="22">
        <f t="shared" si="1167"/>
        <v>425.82900000000001</v>
      </c>
      <c r="BE162" s="22">
        <f t="shared" si="1167"/>
        <v>447.29900000000004</v>
      </c>
      <c r="BF162" s="22">
        <f t="shared" si="1167"/>
        <v>443.28999999999996</v>
      </c>
      <c r="BG162" s="22">
        <f t="shared" si="1167"/>
        <v>466.68999999999994</v>
      </c>
      <c r="BH162" s="22">
        <f t="shared" si="1167"/>
        <v>451.35</v>
      </c>
      <c r="BI162" s="22">
        <f t="shared" si="1167"/>
        <v>471.5</v>
      </c>
      <c r="BJ162" s="22">
        <f t="shared" si="1167"/>
        <v>435.12</v>
      </c>
      <c r="BK162" s="22">
        <f t="shared" si="1167"/>
        <v>462.59000000000003</v>
      </c>
      <c r="BL162" s="22">
        <f t="shared" si="1167"/>
        <v>371.43</v>
      </c>
      <c r="BM162" s="22">
        <f t="shared" si="1167"/>
        <v>398.92</v>
      </c>
      <c r="BN162" s="22">
        <f t="shared" si="1167"/>
        <v>366.65999999999997</v>
      </c>
      <c r="BO162" s="22">
        <f t="shared" si="1167"/>
        <v>366.89</v>
      </c>
      <c r="BP162" s="22">
        <f t="shared" si="1167"/>
        <v>421.47999999999996</v>
      </c>
      <c r="BQ162" s="22">
        <f t="shared" si="1167"/>
        <v>453.86999999999995</v>
      </c>
      <c r="BR162" s="22">
        <f t="shared" si="1167"/>
        <v>427.27</v>
      </c>
      <c r="BS162" s="22">
        <f t="shared" si="1167"/>
        <v>482.84999999999997</v>
      </c>
      <c r="BT162" s="22">
        <f t="shared" si="1167"/>
        <v>482.41999999999996</v>
      </c>
      <c r="BU162" s="22">
        <f t="shared" si="1167"/>
        <v>503.91999999999996</v>
      </c>
      <c r="BV162" s="22">
        <f t="shared" si="1167"/>
        <v>526.57000000000005</v>
      </c>
      <c r="BW162" s="22">
        <f t="shared" si="1167"/>
        <v>548.30000000000007</v>
      </c>
      <c r="BX162" s="22">
        <f t="shared" si="1167"/>
        <v>492.62</v>
      </c>
      <c r="BY162" s="22">
        <f t="shared" si="1167"/>
        <v>507.34000000000003</v>
      </c>
      <c r="BZ162" s="22">
        <f t="shared" si="1167"/>
        <v>534.29999999999995</v>
      </c>
      <c r="CA162" s="22">
        <f t="shared" si="1167"/>
        <v>551.6</v>
      </c>
      <c r="CB162" s="22">
        <f t="shared" si="1167"/>
        <v>486.25</v>
      </c>
      <c r="CC162" s="22">
        <f t="shared" si="1167"/>
        <v>501.6</v>
      </c>
      <c r="CD162" s="22">
        <f t="shared" si="1167"/>
        <v>526.77</v>
      </c>
      <c r="CE162" s="22">
        <f t="shared" si="1167"/>
        <v>550.93999999999994</v>
      </c>
      <c r="CF162" s="22">
        <f t="shared" ref="CF162:CG162" si="1168">CF159+CF160+CF161</f>
        <v>488.15999999999997</v>
      </c>
      <c r="CG162" s="22">
        <f t="shared" si="1168"/>
        <v>507.27</v>
      </c>
      <c r="CH162" s="22">
        <f t="shared" ref="CH162:CI162" si="1169">CH159+CH160+CH161</f>
        <v>546.75</v>
      </c>
      <c r="CI162" s="22">
        <f t="shared" si="1169"/>
        <v>585.68000000000006</v>
      </c>
      <c r="CJ162" s="22">
        <f t="shared" ref="CJ162:DB162" si="1170">CJ159+CJ160+CJ161</f>
        <v>534.21</v>
      </c>
      <c r="CK162" s="22">
        <f t="shared" si="1170"/>
        <v>563.22</v>
      </c>
      <c r="CL162" s="22">
        <f t="shared" ref="CL162" si="1171">CL159+CL160+CL161</f>
        <v>585.5</v>
      </c>
      <c r="CM162" s="21">
        <f t="shared" si="1170"/>
        <v>628.63866529090353</v>
      </c>
      <c r="CN162" s="21">
        <f t="shared" si="1170"/>
        <v>679.74085550574</v>
      </c>
      <c r="CO162" s="21">
        <f t="shared" si="1170"/>
        <v>725.32947329845888</v>
      </c>
      <c r="CP162" s="21">
        <f t="shared" si="1170"/>
        <v>780.81354314899102</v>
      </c>
      <c r="CQ162" s="21">
        <f t="shared" si="1170"/>
        <v>836.84388049099539</v>
      </c>
      <c r="CR162" s="21">
        <f t="shared" si="1170"/>
        <v>901.9326275316522</v>
      </c>
      <c r="CS162" s="21">
        <f t="shared" si="1170"/>
        <v>960.85058529082551</v>
      </c>
      <c r="CT162" s="21">
        <f t="shared" si="1170"/>
        <v>1030.7532643009781</v>
      </c>
      <c r="CU162" s="21">
        <f t="shared" si="1170"/>
        <v>1101.3961948400897</v>
      </c>
      <c r="CV162" s="21">
        <f t="shared" si="1170"/>
        <v>1182.55784626421</v>
      </c>
      <c r="CW162" s="21">
        <f t="shared" si="1170"/>
        <v>1256.0526299341104</v>
      </c>
      <c r="CX162" s="21">
        <f t="shared" si="1170"/>
        <v>1342.0911418200046</v>
      </c>
      <c r="CY162" s="21">
        <f t="shared" si="1170"/>
        <v>1429.7357204637797</v>
      </c>
      <c r="CZ162" s="21">
        <f t="shared" si="1170"/>
        <v>1529.8019497258474</v>
      </c>
      <c r="DA162" s="21">
        <f t="shared" si="1170"/>
        <v>1620.6363229520937</v>
      </c>
      <c r="DB162" s="21">
        <f t="shared" si="1170"/>
        <v>1726.4150478902786</v>
      </c>
      <c r="DE162" s="126"/>
      <c r="DF162" s="22">
        <v>604.08399878909597</v>
      </c>
    </row>
    <row r="163" spans="1:110" s="22" customFormat="1" x14ac:dyDescent="0.2">
      <c r="AB163" s="21"/>
      <c r="AC163" s="21"/>
      <c r="AD163" s="21"/>
      <c r="AE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E163" s="126"/>
    </row>
    <row r="164" spans="1:110" s="23" customFormat="1" x14ac:dyDescent="0.2">
      <c r="A164" s="23" t="s">
        <v>23</v>
      </c>
      <c r="B164" s="23">
        <f>'Annual Raw'!C45</f>
        <v>0</v>
      </c>
      <c r="C164" s="23">
        <f>'Annual Raw'!D45</f>
        <v>0</v>
      </c>
      <c r="D164" s="23">
        <f>'Annual Raw'!E45</f>
        <v>0</v>
      </c>
      <c r="E164" s="23">
        <f>'Annual Raw'!F45</f>
        <v>0</v>
      </c>
      <c r="F164" s="23">
        <f>'Annual Raw'!G45</f>
        <v>0</v>
      </c>
      <c r="G164" s="23">
        <f>'Annual Raw'!H45</f>
        <v>0</v>
      </c>
      <c r="H164" s="23">
        <f>'Annual Raw'!I45</f>
        <v>0</v>
      </c>
      <c r="I164" s="23">
        <f>'Annual Raw'!J45</f>
        <v>0</v>
      </c>
      <c r="J164" s="23">
        <f>'Annual Raw'!K45</f>
        <v>0</v>
      </c>
      <c r="K164" s="23">
        <f>'Annual Raw'!L45</f>
        <v>0</v>
      </c>
      <c r="L164" s="23">
        <f>'Annual Raw'!M45</f>
        <v>0</v>
      </c>
      <c r="M164" s="23">
        <f>'Annual Raw'!N45</f>
        <v>0</v>
      </c>
      <c r="N164" s="23">
        <f>'Annual Raw'!O45</f>
        <v>0</v>
      </c>
      <c r="O164" s="23">
        <f>'Annual Raw'!P45</f>
        <v>0</v>
      </c>
      <c r="P164" s="23">
        <f>'Annual Raw'!Q45</f>
        <v>36.011000000000003</v>
      </c>
      <c r="Q164" s="23">
        <f>'Annual Raw'!R45</f>
        <v>0</v>
      </c>
      <c r="R164" s="23">
        <f>'Annual Raw'!S45</f>
        <v>0</v>
      </c>
      <c r="S164" s="23">
        <f>'Annual Raw'!T45</f>
        <v>0</v>
      </c>
      <c r="T164" s="23">
        <f>'Annual Raw'!U45</f>
        <v>0</v>
      </c>
      <c r="U164" s="23">
        <f>'Annual Raw'!V45</f>
        <v>0</v>
      </c>
      <c r="V164" s="23">
        <f>'Annual Raw'!W45</f>
        <v>0</v>
      </c>
      <c r="W164" s="23">
        <f>'Annual Raw'!X45</f>
        <v>0</v>
      </c>
      <c r="X164" s="23">
        <f>'Annual Raw'!Y45</f>
        <v>0.92</v>
      </c>
      <c r="Y164" s="23">
        <f>'Annual Raw'!Z45</f>
        <v>0.86</v>
      </c>
      <c r="Z164" s="23">
        <f>'Annual Raw'!AA45</f>
        <v>0.3</v>
      </c>
      <c r="AA164" s="23">
        <f>'Annual Raw'!AB45</f>
        <v>0.52</v>
      </c>
      <c r="AB164" s="24">
        <f>+CP164</f>
        <v>0.52</v>
      </c>
      <c r="AC164" s="24">
        <f>+CT164</f>
        <v>0.52</v>
      </c>
      <c r="AD164" s="24">
        <f>+CX164</f>
        <v>0.52</v>
      </c>
      <c r="AE164" s="24">
        <f>+DB164</f>
        <v>0.52</v>
      </c>
      <c r="AJ164" s="23">
        <f>+'QTR Raw'!D60</f>
        <v>0</v>
      </c>
      <c r="AK164" s="23">
        <f t="shared" ref="AK164:CE164" si="1172">+AJ164</f>
        <v>0</v>
      </c>
      <c r="AL164" s="23">
        <f>+'QTR Raw'!F60</f>
        <v>0</v>
      </c>
      <c r="AM164" s="23">
        <f t="shared" si="1172"/>
        <v>0</v>
      </c>
      <c r="AN164" s="23">
        <f>+'QTR Raw'!H60</f>
        <v>0</v>
      </c>
      <c r="AO164" s="23">
        <f t="shared" si="1172"/>
        <v>0</v>
      </c>
      <c r="AP164" s="23">
        <f>+'QTR Raw'!J60</f>
        <v>0</v>
      </c>
      <c r="AQ164" s="23">
        <f t="shared" si="1172"/>
        <v>0</v>
      </c>
      <c r="AR164" s="23">
        <f>+'QTR Raw'!L60</f>
        <v>0</v>
      </c>
      <c r="AS164" s="23">
        <f t="shared" si="1172"/>
        <v>0</v>
      </c>
      <c r="AT164" s="23">
        <f>+'QTR Raw'!N60</f>
        <v>0</v>
      </c>
      <c r="AU164" s="23">
        <f t="shared" si="1172"/>
        <v>0</v>
      </c>
      <c r="AV164" s="23">
        <f>+'QTR Raw'!P60</f>
        <v>0</v>
      </c>
      <c r="AW164" s="23">
        <f t="shared" si="1172"/>
        <v>0</v>
      </c>
      <c r="AX164" s="23">
        <f>+'QTR Raw'!R60</f>
        <v>0</v>
      </c>
      <c r="AY164" s="23">
        <f t="shared" si="1172"/>
        <v>0</v>
      </c>
      <c r="AZ164" s="23">
        <f>+'QTR Raw'!T60</f>
        <v>0</v>
      </c>
      <c r="BA164" s="23">
        <f t="shared" si="1172"/>
        <v>0</v>
      </c>
      <c r="BB164" s="23">
        <f>+'QTR Raw'!V60</f>
        <v>0</v>
      </c>
      <c r="BC164" s="23">
        <f t="shared" si="1172"/>
        <v>0</v>
      </c>
      <c r="BD164" s="23">
        <f>+'QTR Raw'!X60</f>
        <v>0</v>
      </c>
      <c r="BE164" s="23">
        <f t="shared" si="1172"/>
        <v>0</v>
      </c>
      <c r="BF164" s="23">
        <f>+'QTR Raw'!Z60</f>
        <v>0</v>
      </c>
      <c r="BG164" s="23">
        <f t="shared" si="1172"/>
        <v>0</v>
      </c>
      <c r="BH164" s="22">
        <f>+'QTR Raw'!AB60</f>
        <v>0</v>
      </c>
      <c r="BI164" s="23">
        <f t="shared" si="1172"/>
        <v>0</v>
      </c>
      <c r="BJ164" s="23">
        <f>+'QTR Raw'!AD60</f>
        <v>0</v>
      </c>
      <c r="BK164" s="23">
        <f t="shared" si="1172"/>
        <v>0</v>
      </c>
      <c r="BL164" s="23">
        <f>+'QTR Raw'!AF60</f>
        <v>0</v>
      </c>
      <c r="BM164" s="23">
        <f t="shared" si="1172"/>
        <v>0</v>
      </c>
      <c r="BN164" s="23">
        <f>+'QTR Raw'!AH60</f>
        <v>0</v>
      </c>
      <c r="BO164" s="23">
        <f t="shared" si="1172"/>
        <v>0</v>
      </c>
      <c r="BP164" s="23">
        <f>+'QTR Raw'!AJ60</f>
        <v>0</v>
      </c>
      <c r="BQ164" s="23">
        <f t="shared" si="1172"/>
        <v>0</v>
      </c>
      <c r="BR164" s="23">
        <f>+'QTR Raw'!AL60</f>
        <v>0</v>
      </c>
      <c r="BS164" s="23">
        <f t="shared" si="1172"/>
        <v>0</v>
      </c>
      <c r="BT164" s="23">
        <f>+'QTR Raw'!AN60</f>
        <v>0</v>
      </c>
      <c r="BU164" s="23">
        <f t="shared" si="1172"/>
        <v>0</v>
      </c>
      <c r="BV164" s="23">
        <f>+'QTR Raw'!AP60</f>
        <v>0</v>
      </c>
      <c r="BW164" s="23">
        <f t="shared" si="1172"/>
        <v>0</v>
      </c>
      <c r="BX164" s="23">
        <f>+'QTR Raw'!AR60</f>
        <v>0</v>
      </c>
      <c r="BY164" s="23">
        <f t="shared" si="1172"/>
        <v>0</v>
      </c>
      <c r="BZ164" s="23">
        <f>+'QTR Raw'!AT60</f>
        <v>0.92</v>
      </c>
      <c r="CA164" s="23">
        <f t="shared" si="1172"/>
        <v>0.92</v>
      </c>
      <c r="CB164" s="23">
        <f>+'QTR Raw'!AV60</f>
        <v>1.39</v>
      </c>
      <c r="CC164" s="23">
        <f t="shared" si="1172"/>
        <v>1.39</v>
      </c>
      <c r="CD164" s="23">
        <f>+'QTR Raw'!AX60</f>
        <v>0.86</v>
      </c>
      <c r="CE164" s="23">
        <f t="shared" si="1172"/>
        <v>0.86</v>
      </c>
      <c r="CF164" s="23">
        <f>+'QTR Raw'!AZ60</f>
        <v>0.51</v>
      </c>
      <c r="CG164" s="23">
        <f t="shared" ref="CG164:CI164" si="1173">+CF164</f>
        <v>0.51</v>
      </c>
      <c r="CH164" s="23">
        <f t="shared" ref="CH164:CH169" si="1174">Z164</f>
        <v>0.3</v>
      </c>
      <c r="CI164" s="23">
        <f t="shared" si="1173"/>
        <v>0.3</v>
      </c>
      <c r="CJ164" s="23">
        <f>+'QTR Raw'!BD60</f>
        <v>-0.1</v>
      </c>
      <c r="CK164" s="23">
        <f t="shared" ref="CK164" si="1175">+CJ164</f>
        <v>-0.1</v>
      </c>
      <c r="CL164" s="23">
        <f>+'QTR Raw'!BF60</f>
        <v>0.52</v>
      </c>
      <c r="CM164" s="24">
        <f t="shared" ref="CM164" si="1176">+CL164</f>
        <v>0.52</v>
      </c>
      <c r="CN164" s="24">
        <f t="shared" ref="CN164" si="1177">+CM164</f>
        <v>0.52</v>
      </c>
      <c r="CO164" s="24">
        <f t="shared" ref="CO164" si="1178">+CN164</f>
        <v>0.52</v>
      </c>
      <c r="CP164" s="24">
        <f t="shared" ref="CP164" si="1179">+CO164</f>
        <v>0.52</v>
      </c>
      <c r="CQ164" s="24">
        <f t="shared" ref="CQ164" si="1180">+CP164</f>
        <v>0.52</v>
      </c>
      <c r="CR164" s="24">
        <f t="shared" ref="CR164" si="1181">+CQ164</f>
        <v>0.52</v>
      </c>
      <c r="CS164" s="24">
        <f t="shared" ref="CS164" si="1182">+CR164</f>
        <v>0.52</v>
      </c>
      <c r="CT164" s="24">
        <f t="shared" ref="CT164" si="1183">+CS164</f>
        <v>0.52</v>
      </c>
      <c r="CU164" s="24">
        <f t="shared" ref="CU164" si="1184">+CT164</f>
        <v>0.52</v>
      </c>
      <c r="CV164" s="24">
        <f t="shared" ref="CV164" si="1185">+CU164</f>
        <v>0.52</v>
      </c>
      <c r="CW164" s="24">
        <f t="shared" ref="CW164" si="1186">+CV164</f>
        <v>0.52</v>
      </c>
      <c r="CX164" s="24">
        <f t="shared" ref="CX164" si="1187">+CW164</f>
        <v>0.52</v>
      </c>
      <c r="CY164" s="24">
        <f t="shared" ref="CY164" si="1188">+CX164</f>
        <v>0.52</v>
      </c>
      <c r="CZ164" s="24">
        <f t="shared" ref="CZ164" si="1189">+CY164</f>
        <v>0.52</v>
      </c>
      <c r="DA164" s="24">
        <f t="shared" ref="DA164" si="1190">+CZ164</f>
        <v>0.52</v>
      </c>
      <c r="DB164" s="24">
        <f t="shared" ref="DB164" si="1191">+DA164</f>
        <v>0.52</v>
      </c>
      <c r="DE164" s="123"/>
      <c r="DF164" s="23">
        <v>-0.1</v>
      </c>
    </row>
    <row r="165" spans="1:110" s="23" customFormat="1" x14ac:dyDescent="0.2">
      <c r="AB165" s="24"/>
      <c r="AC165" s="24"/>
      <c r="AD165" s="24"/>
      <c r="AE165" s="24"/>
      <c r="BH165" s="22"/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E165" s="123"/>
    </row>
    <row r="166" spans="1:110" s="23" customFormat="1" outlineLevel="1" x14ac:dyDescent="0.2">
      <c r="A166" s="23" t="s">
        <v>45</v>
      </c>
      <c r="B166" s="23">
        <f>'Annual Raw'!C47</f>
        <v>0</v>
      </c>
      <c r="C166" s="23">
        <f>'Annual Raw'!D47</f>
        <v>0</v>
      </c>
      <c r="D166" s="23">
        <f>'Annual Raw'!E47</f>
        <v>0</v>
      </c>
      <c r="E166" s="23">
        <f>'Annual Raw'!F47</f>
        <v>0</v>
      </c>
      <c r="F166" s="23">
        <f>'Annual Raw'!G47</f>
        <v>0</v>
      </c>
      <c r="G166" s="23">
        <f>'Annual Raw'!H47</f>
        <v>0</v>
      </c>
      <c r="H166" s="23">
        <f>'Annual Raw'!I47</f>
        <v>0</v>
      </c>
      <c r="I166" s="23">
        <f>'Annual Raw'!J47</f>
        <v>0</v>
      </c>
      <c r="J166" s="23">
        <f>'Annual Raw'!K47</f>
        <v>0</v>
      </c>
      <c r="K166" s="23">
        <f>'Annual Raw'!L47</f>
        <v>0</v>
      </c>
      <c r="L166" s="23">
        <f>'Annual Raw'!M47</f>
        <v>25</v>
      </c>
      <c r="M166" s="23">
        <f>'Annual Raw'!N47</f>
        <v>25</v>
      </c>
      <c r="N166" s="23">
        <f>'Annual Raw'!O47</f>
        <v>25</v>
      </c>
      <c r="O166" s="23">
        <f>'Annual Raw'!P47</f>
        <v>25</v>
      </c>
      <c r="P166" s="23">
        <f>'Annual Raw'!Q47</f>
        <v>0</v>
      </c>
      <c r="Q166" s="23">
        <f>'Annual Raw'!R47</f>
        <v>0</v>
      </c>
      <c r="R166" s="23">
        <f>'Annual Raw'!S47</f>
        <v>0</v>
      </c>
      <c r="S166" s="23">
        <f>'Annual Raw'!T47</f>
        <v>0</v>
      </c>
      <c r="T166" s="23">
        <f>'Annual Raw'!U47</f>
        <v>0</v>
      </c>
      <c r="U166" s="23">
        <f>'Annual Raw'!V47</f>
        <v>0</v>
      </c>
      <c r="V166" s="23">
        <f>'Annual Raw'!W47</f>
        <v>0</v>
      </c>
      <c r="W166" s="23">
        <f>'Annual Raw'!X47</f>
        <v>0</v>
      </c>
      <c r="X166" s="23">
        <f>'Annual Raw'!Y47</f>
        <v>0</v>
      </c>
      <c r="Y166" s="23">
        <f>'Annual Raw'!Z47</f>
        <v>10.91</v>
      </c>
      <c r="Z166" s="23">
        <f>'Annual Raw'!AA47</f>
        <v>0</v>
      </c>
      <c r="AA166" s="23">
        <f>'Annual Raw'!AB47</f>
        <v>0</v>
      </c>
      <c r="AB166" s="24">
        <f t="shared" ref="AB166:AB169" si="1192">+CP166</f>
        <v>0</v>
      </c>
      <c r="AC166" s="24">
        <f t="shared" ref="AC166:AC169" si="1193">+CT166</f>
        <v>0</v>
      </c>
      <c r="AD166" s="24">
        <f t="shared" ref="AD166:AD169" si="1194">+CX166</f>
        <v>0</v>
      </c>
      <c r="AE166" s="24">
        <f t="shared" ref="AE166:AE169" si="1195">+DB166</f>
        <v>0</v>
      </c>
      <c r="AJ166" s="23">
        <f>+'QTR Raw'!D62</f>
        <v>0</v>
      </c>
      <c r="AK166" s="23">
        <f t="shared" ref="AK166:CC169" si="1196">+AJ166</f>
        <v>0</v>
      </c>
      <c r="AL166" s="23">
        <f>+'QTR Raw'!F62</f>
        <v>0</v>
      </c>
      <c r="AM166" s="23">
        <f t="shared" si="1196"/>
        <v>0</v>
      </c>
      <c r="AN166" s="23">
        <f>+'QTR Raw'!H62</f>
        <v>0</v>
      </c>
      <c r="AO166" s="23">
        <f t="shared" si="1196"/>
        <v>0</v>
      </c>
      <c r="AP166" s="23">
        <f>+'QTR Raw'!J62</f>
        <v>0</v>
      </c>
      <c r="AQ166" s="23">
        <f t="shared" si="1196"/>
        <v>0</v>
      </c>
      <c r="AR166" s="23">
        <f>+'QTR Raw'!L62</f>
        <v>0</v>
      </c>
      <c r="AS166" s="23">
        <f t="shared" si="1196"/>
        <v>0</v>
      </c>
      <c r="AT166" s="23">
        <f>+'QTR Raw'!N62</f>
        <v>0</v>
      </c>
      <c r="AU166" s="23">
        <f t="shared" si="1196"/>
        <v>0</v>
      </c>
      <c r="AV166" s="23">
        <f>+'QTR Raw'!P62</f>
        <v>0</v>
      </c>
      <c r="AW166" s="23">
        <f t="shared" si="1196"/>
        <v>0</v>
      </c>
      <c r="AX166" s="23">
        <f>+'QTR Raw'!R62</f>
        <v>0</v>
      </c>
      <c r="AY166" s="23">
        <f t="shared" si="1196"/>
        <v>0</v>
      </c>
      <c r="AZ166" s="23">
        <f>+'QTR Raw'!T62</f>
        <v>0</v>
      </c>
      <c r="BA166" s="23">
        <f t="shared" si="1196"/>
        <v>0</v>
      </c>
      <c r="BB166" s="23">
        <f>+'QTR Raw'!V62</f>
        <v>0</v>
      </c>
      <c r="BC166" s="23">
        <f t="shared" si="1196"/>
        <v>0</v>
      </c>
      <c r="BD166" s="23">
        <f>+'QTR Raw'!X62</f>
        <v>0</v>
      </c>
      <c r="BE166" s="23">
        <f t="shared" si="1196"/>
        <v>0</v>
      </c>
      <c r="BF166" s="23">
        <f>+'QTR Raw'!Z62</f>
        <v>0</v>
      </c>
      <c r="BG166" s="23">
        <f t="shared" si="1196"/>
        <v>0</v>
      </c>
      <c r="BH166" s="22">
        <f>+'QTR Raw'!AB62</f>
        <v>0</v>
      </c>
      <c r="BI166" s="23">
        <f t="shared" si="1196"/>
        <v>0</v>
      </c>
      <c r="BJ166" s="23">
        <f>+'QTR Raw'!AD62</f>
        <v>0</v>
      </c>
      <c r="BK166" s="23">
        <f t="shared" si="1196"/>
        <v>0</v>
      </c>
      <c r="BL166" s="23">
        <f>+'QTR Raw'!AF62</f>
        <v>0</v>
      </c>
      <c r="BM166" s="23">
        <f t="shared" si="1196"/>
        <v>0</v>
      </c>
      <c r="BN166" s="23">
        <f>+'QTR Raw'!AH62</f>
        <v>0</v>
      </c>
      <c r="BO166" s="23">
        <f t="shared" si="1196"/>
        <v>0</v>
      </c>
      <c r="BP166" s="23">
        <f>+'QTR Raw'!AJ62</f>
        <v>0</v>
      </c>
      <c r="BQ166" s="23">
        <f t="shared" si="1196"/>
        <v>0</v>
      </c>
      <c r="BR166" s="23">
        <f>+'QTR Raw'!AL62</f>
        <v>0</v>
      </c>
      <c r="BS166" s="23">
        <f t="shared" si="1196"/>
        <v>0</v>
      </c>
      <c r="BT166" s="23">
        <f>+'QTR Raw'!AN62</f>
        <v>0</v>
      </c>
      <c r="BU166" s="23">
        <f t="shared" si="1196"/>
        <v>0</v>
      </c>
      <c r="BV166" s="23">
        <f>+'QTR Raw'!AP62</f>
        <v>0</v>
      </c>
      <c r="BW166" s="23">
        <f t="shared" si="1196"/>
        <v>0</v>
      </c>
      <c r="BX166" s="23">
        <f>+'QTR Raw'!AR62</f>
        <v>0</v>
      </c>
      <c r="BY166" s="23">
        <f t="shared" si="1196"/>
        <v>0</v>
      </c>
      <c r="BZ166" s="23">
        <f>+'QTR Raw'!AT62</f>
        <v>0</v>
      </c>
      <c r="CA166" s="23">
        <f t="shared" si="1196"/>
        <v>0</v>
      </c>
      <c r="CB166" s="23">
        <f>+'QTR Raw'!AV62</f>
        <v>0</v>
      </c>
      <c r="CC166" s="23">
        <f t="shared" si="1196"/>
        <v>0</v>
      </c>
      <c r="CD166" s="23">
        <f>+'QTR Raw'!AX62</f>
        <v>0</v>
      </c>
      <c r="CE166" s="23">
        <f t="shared" ref="CE166:CE169" si="1197">+CD166</f>
        <v>0</v>
      </c>
      <c r="CF166" s="23">
        <f>+'QTR Raw'!AZ62</f>
        <v>0</v>
      </c>
      <c r="CG166" s="23">
        <f t="shared" ref="CG166:CI169" si="1198">+CF166</f>
        <v>0</v>
      </c>
      <c r="CH166" s="23">
        <f t="shared" si="1174"/>
        <v>0</v>
      </c>
      <c r="CI166" s="23">
        <f t="shared" si="1198"/>
        <v>0</v>
      </c>
      <c r="CJ166" s="23">
        <f>+'QTR Raw'!BD62</f>
        <v>0</v>
      </c>
      <c r="CK166" s="23">
        <f t="shared" ref="CK166:CK169" si="1199">+CJ166</f>
        <v>0</v>
      </c>
      <c r="CL166" s="23">
        <f>+'QTR Raw'!BF62</f>
        <v>0</v>
      </c>
      <c r="CM166" s="24">
        <f t="shared" ref="CM166:CM169" si="1200">+CL166</f>
        <v>0</v>
      </c>
      <c r="CN166" s="24">
        <f t="shared" ref="CN166:CN169" si="1201">+CM166</f>
        <v>0</v>
      </c>
      <c r="CO166" s="24">
        <f t="shared" ref="CO166:CO169" si="1202">+CN166</f>
        <v>0</v>
      </c>
      <c r="CP166" s="24">
        <f t="shared" ref="CP166:CP169" si="1203">+CO166</f>
        <v>0</v>
      </c>
      <c r="CQ166" s="24">
        <f t="shared" ref="CQ166:CQ169" si="1204">+CP166</f>
        <v>0</v>
      </c>
      <c r="CR166" s="24">
        <f t="shared" ref="CR166:CR169" si="1205">+CQ166</f>
        <v>0</v>
      </c>
      <c r="CS166" s="24">
        <f t="shared" ref="CS166:CS169" si="1206">+CR166</f>
        <v>0</v>
      </c>
      <c r="CT166" s="24">
        <f t="shared" ref="CT166:CT169" si="1207">+CS166</f>
        <v>0</v>
      </c>
      <c r="CU166" s="24">
        <f t="shared" ref="CU166:CU169" si="1208">+CT166</f>
        <v>0</v>
      </c>
      <c r="CV166" s="24">
        <f t="shared" ref="CV166:CV169" si="1209">+CU166</f>
        <v>0</v>
      </c>
      <c r="CW166" s="24">
        <f t="shared" ref="CW166:CW169" si="1210">+CV166</f>
        <v>0</v>
      </c>
      <c r="CX166" s="24">
        <f t="shared" ref="CX166:CX169" si="1211">+CW166</f>
        <v>0</v>
      </c>
      <c r="CY166" s="24">
        <f t="shared" ref="CY166:CY169" si="1212">+CX166</f>
        <v>0</v>
      </c>
      <c r="CZ166" s="24">
        <f t="shared" ref="CZ166:CZ169" si="1213">+CY166</f>
        <v>0</v>
      </c>
      <c r="DA166" s="24">
        <f t="shared" ref="DA166:DA169" si="1214">+CZ166</f>
        <v>0</v>
      </c>
      <c r="DB166" s="24">
        <f t="shared" ref="DB166:DB169" si="1215">+DA166</f>
        <v>0</v>
      </c>
      <c r="DE166" s="123"/>
      <c r="DF166" s="23">
        <v>0</v>
      </c>
    </row>
    <row r="167" spans="1:110" s="23" customFormat="1" outlineLevel="1" x14ac:dyDescent="0.2">
      <c r="A167" s="23" t="s">
        <v>46</v>
      </c>
      <c r="B167" s="23">
        <f>'Annual Raw'!C48</f>
        <v>0</v>
      </c>
      <c r="C167" s="23">
        <f>'Annual Raw'!D48</f>
        <v>0</v>
      </c>
      <c r="D167" s="23">
        <f>'Annual Raw'!E48</f>
        <v>0</v>
      </c>
      <c r="E167" s="23">
        <f>'Annual Raw'!F48</f>
        <v>0</v>
      </c>
      <c r="F167" s="23">
        <f>'Annual Raw'!G48</f>
        <v>0</v>
      </c>
      <c r="G167" s="23">
        <f>'Annual Raw'!H48</f>
        <v>0</v>
      </c>
      <c r="H167" s="23">
        <f>'Annual Raw'!I48</f>
        <v>25</v>
      </c>
      <c r="I167" s="23">
        <f>'Annual Raw'!J48</f>
        <v>25</v>
      </c>
      <c r="J167" s="23">
        <f>'Annual Raw'!K48</f>
        <v>0</v>
      </c>
      <c r="K167" s="23">
        <f>'Annual Raw'!L48</f>
        <v>0</v>
      </c>
      <c r="L167" s="23">
        <f>'Annual Raw'!M48</f>
        <v>0</v>
      </c>
      <c r="M167" s="23">
        <f>'Annual Raw'!N48</f>
        <v>0</v>
      </c>
      <c r="N167" s="23">
        <f>'Annual Raw'!O48</f>
        <v>0</v>
      </c>
      <c r="O167" s="23">
        <f>'Annual Raw'!P48</f>
        <v>0</v>
      </c>
      <c r="P167" s="23">
        <f>'Annual Raw'!Q48</f>
        <v>0</v>
      </c>
      <c r="Q167" s="23">
        <f>'Annual Raw'!R48</f>
        <v>0</v>
      </c>
      <c r="R167" s="23">
        <f>'Annual Raw'!S48</f>
        <v>7.25</v>
      </c>
      <c r="S167" s="23">
        <f>'Annual Raw'!T48</f>
        <v>0</v>
      </c>
      <c r="T167" s="23">
        <f>'Annual Raw'!U48</f>
        <v>2.5</v>
      </c>
      <c r="U167" s="23">
        <f>'Annual Raw'!V48</f>
        <v>2.5</v>
      </c>
      <c r="V167" s="23">
        <f>'Annual Raw'!W48</f>
        <v>0</v>
      </c>
      <c r="W167" s="23">
        <f>'Annual Raw'!X48</f>
        <v>0</v>
      </c>
      <c r="X167" s="23">
        <f>'Annual Raw'!Y48</f>
        <v>0</v>
      </c>
      <c r="Y167" s="23">
        <f>'Annual Raw'!Z48</f>
        <v>0</v>
      </c>
      <c r="Z167" s="23">
        <f>'Annual Raw'!AA48</f>
        <v>0</v>
      </c>
      <c r="AA167" s="23">
        <f>'Annual Raw'!AB48</f>
        <v>0</v>
      </c>
      <c r="AB167" s="24">
        <f t="shared" si="1192"/>
        <v>0</v>
      </c>
      <c r="AC167" s="24">
        <f t="shared" si="1193"/>
        <v>0</v>
      </c>
      <c r="AD167" s="24">
        <f t="shared" si="1194"/>
        <v>0</v>
      </c>
      <c r="AE167" s="24">
        <f t="shared" si="1195"/>
        <v>0</v>
      </c>
      <c r="AJ167" s="23">
        <f>+'QTR Raw'!D63</f>
        <v>0</v>
      </c>
      <c r="AK167" s="23">
        <f t="shared" si="1196"/>
        <v>0</v>
      </c>
      <c r="AL167" s="23">
        <f>+'QTR Raw'!F63</f>
        <v>0</v>
      </c>
      <c r="AM167" s="23">
        <f t="shared" si="1196"/>
        <v>0</v>
      </c>
      <c r="AN167" s="23">
        <f>+'QTR Raw'!H63</f>
        <v>0</v>
      </c>
      <c r="AO167" s="23">
        <f t="shared" si="1196"/>
        <v>0</v>
      </c>
      <c r="AP167" s="23">
        <f>+'QTR Raw'!J63</f>
        <v>0</v>
      </c>
      <c r="AQ167" s="23">
        <f t="shared" si="1196"/>
        <v>0</v>
      </c>
      <c r="AR167" s="23">
        <f>+'QTR Raw'!L63</f>
        <v>0</v>
      </c>
      <c r="AS167" s="23">
        <f t="shared" si="1196"/>
        <v>0</v>
      </c>
      <c r="AT167" s="23">
        <f>+'QTR Raw'!N63</f>
        <v>0</v>
      </c>
      <c r="AU167" s="23">
        <f t="shared" si="1196"/>
        <v>0</v>
      </c>
      <c r="AV167" s="23">
        <f>+'QTR Raw'!P63</f>
        <v>0</v>
      </c>
      <c r="AW167" s="23">
        <f t="shared" si="1196"/>
        <v>0</v>
      </c>
      <c r="AX167" s="23">
        <f>+'QTR Raw'!R63</f>
        <v>0</v>
      </c>
      <c r="AY167" s="23">
        <f t="shared" si="1196"/>
        <v>0</v>
      </c>
      <c r="AZ167" s="23">
        <f>+'QTR Raw'!T63</f>
        <v>0</v>
      </c>
      <c r="BA167" s="23">
        <f t="shared" si="1196"/>
        <v>0</v>
      </c>
      <c r="BB167" s="23">
        <f>+'QTR Raw'!V63</f>
        <v>0</v>
      </c>
      <c r="BC167" s="23">
        <f t="shared" si="1196"/>
        <v>0</v>
      </c>
      <c r="BD167" s="23">
        <f>+'QTR Raw'!X63</f>
        <v>9.2520000000000007</v>
      </c>
      <c r="BE167" s="23">
        <f t="shared" si="1196"/>
        <v>9.2520000000000007</v>
      </c>
      <c r="BF167" s="23">
        <f>+'QTR Raw'!Z63</f>
        <v>0</v>
      </c>
      <c r="BG167" s="23">
        <f t="shared" si="1196"/>
        <v>0</v>
      </c>
      <c r="BH167" s="23">
        <f>+'QTR Raw'!AB63</f>
        <v>9.93</v>
      </c>
      <c r="BI167" s="23">
        <f t="shared" si="1196"/>
        <v>9.93</v>
      </c>
      <c r="BJ167" s="23">
        <f>+'QTR Raw'!AD63</f>
        <v>2.5</v>
      </c>
      <c r="BK167" s="23">
        <f t="shared" si="1196"/>
        <v>2.5</v>
      </c>
      <c r="BL167" s="23">
        <f>+'QTR Raw'!AF63</f>
        <v>2.61</v>
      </c>
      <c r="BM167" s="23">
        <f t="shared" si="1196"/>
        <v>2.61</v>
      </c>
      <c r="BN167" s="23">
        <f>+'QTR Raw'!AH63</f>
        <v>2.5</v>
      </c>
      <c r="BO167" s="23">
        <f t="shared" si="1196"/>
        <v>2.5</v>
      </c>
      <c r="BP167" s="23">
        <f>+'QTR Raw'!AJ63</f>
        <v>2.61</v>
      </c>
      <c r="BQ167" s="23">
        <f t="shared" si="1196"/>
        <v>2.61</v>
      </c>
      <c r="BR167" s="23">
        <f>+'QTR Raw'!AL63</f>
        <v>0</v>
      </c>
      <c r="BS167" s="23">
        <f t="shared" si="1196"/>
        <v>0</v>
      </c>
      <c r="BT167" s="23">
        <f>+'QTR Raw'!AN63</f>
        <v>0</v>
      </c>
      <c r="BU167" s="23">
        <f t="shared" si="1196"/>
        <v>0</v>
      </c>
      <c r="BV167" s="23">
        <f>+'QTR Raw'!AP63</f>
        <v>0</v>
      </c>
      <c r="BW167" s="23">
        <f t="shared" si="1196"/>
        <v>0</v>
      </c>
      <c r="BX167" s="23">
        <f>+'QTR Raw'!AR63</f>
        <v>0</v>
      </c>
      <c r="BY167" s="23">
        <f t="shared" si="1196"/>
        <v>0</v>
      </c>
      <c r="BZ167" s="23">
        <f>+'QTR Raw'!AT63</f>
        <v>0</v>
      </c>
      <c r="CA167" s="23">
        <f t="shared" si="1196"/>
        <v>0</v>
      </c>
      <c r="CB167" s="23">
        <f>+'QTR Raw'!AV63</f>
        <v>15.41</v>
      </c>
      <c r="CC167" s="23">
        <f t="shared" si="1196"/>
        <v>15.41</v>
      </c>
      <c r="CD167" s="23">
        <f>+'QTR Raw'!AX63</f>
        <v>10.91</v>
      </c>
      <c r="CE167" s="23">
        <f t="shared" si="1197"/>
        <v>10.91</v>
      </c>
      <c r="CF167" s="23">
        <f>+'QTR Raw'!AZ63</f>
        <v>0</v>
      </c>
      <c r="CG167" s="23">
        <f t="shared" si="1198"/>
        <v>0</v>
      </c>
      <c r="CH167" s="23">
        <f t="shared" si="1174"/>
        <v>0</v>
      </c>
      <c r="CI167" s="23">
        <f t="shared" si="1198"/>
        <v>0</v>
      </c>
      <c r="CJ167" s="23">
        <f>+'QTR Raw'!BD63</f>
        <v>0</v>
      </c>
      <c r="CK167" s="23">
        <f t="shared" si="1199"/>
        <v>0</v>
      </c>
      <c r="CL167" s="23">
        <f>+'QTR Raw'!BF63</f>
        <v>0</v>
      </c>
      <c r="CM167" s="24">
        <f t="shared" si="1200"/>
        <v>0</v>
      </c>
      <c r="CN167" s="24">
        <f t="shared" si="1201"/>
        <v>0</v>
      </c>
      <c r="CO167" s="24">
        <f t="shared" si="1202"/>
        <v>0</v>
      </c>
      <c r="CP167" s="24">
        <f t="shared" si="1203"/>
        <v>0</v>
      </c>
      <c r="CQ167" s="24">
        <f t="shared" si="1204"/>
        <v>0</v>
      </c>
      <c r="CR167" s="24">
        <f t="shared" si="1205"/>
        <v>0</v>
      </c>
      <c r="CS167" s="24">
        <f t="shared" si="1206"/>
        <v>0</v>
      </c>
      <c r="CT167" s="24">
        <f t="shared" si="1207"/>
        <v>0</v>
      </c>
      <c r="CU167" s="24">
        <f t="shared" si="1208"/>
        <v>0</v>
      </c>
      <c r="CV167" s="24">
        <f t="shared" si="1209"/>
        <v>0</v>
      </c>
      <c r="CW167" s="24">
        <f t="shared" si="1210"/>
        <v>0</v>
      </c>
      <c r="CX167" s="24">
        <f t="shared" si="1211"/>
        <v>0</v>
      </c>
      <c r="CY167" s="24">
        <f t="shared" si="1212"/>
        <v>0</v>
      </c>
      <c r="CZ167" s="24">
        <f t="shared" si="1213"/>
        <v>0</v>
      </c>
      <c r="DA167" s="24">
        <f t="shared" si="1214"/>
        <v>0</v>
      </c>
      <c r="DB167" s="24">
        <f t="shared" si="1215"/>
        <v>0</v>
      </c>
      <c r="DE167" s="123"/>
      <c r="DF167" s="23">
        <v>0</v>
      </c>
    </row>
    <row r="168" spans="1:110" s="23" customFormat="1" outlineLevel="1" x14ac:dyDescent="0.2">
      <c r="A168" s="23" t="s">
        <v>47</v>
      </c>
      <c r="B168" s="23">
        <f>'Annual Raw'!C87+'Annual Raw'!C88+'Annual Raw'!C89+'Annual Raw'!C90</f>
        <v>0</v>
      </c>
      <c r="C168" s="23">
        <f>'Annual Raw'!D87+'Annual Raw'!D88+'Annual Raw'!D89+'Annual Raw'!D90</f>
        <v>0</v>
      </c>
      <c r="D168" s="23">
        <f>'Annual Raw'!E87+'Annual Raw'!E88+'Annual Raw'!E89+'Annual Raw'!E90</f>
        <v>0</v>
      </c>
      <c r="E168" s="23">
        <f>'Annual Raw'!F87+'Annual Raw'!F88+'Annual Raw'!F89+'Annual Raw'!F90</f>
        <v>0</v>
      </c>
      <c r="F168" s="23">
        <f>'Annual Raw'!G87+'Annual Raw'!G88+'Annual Raw'!G89+'Annual Raw'!G90</f>
        <v>0</v>
      </c>
      <c r="G168" s="23">
        <f>'Annual Raw'!H87+'Annual Raw'!H88+'Annual Raw'!H89+'Annual Raw'!H90</f>
        <v>0</v>
      </c>
      <c r="H168" s="23">
        <f>'Annual Raw'!I87+'Annual Raw'!I88+'Annual Raw'!I89+'Annual Raw'!I90</f>
        <v>0</v>
      </c>
      <c r="I168" s="23">
        <f>'Annual Raw'!J87+'Annual Raw'!J88+'Annual Raw'!J89+'Annual Raw'!J90</f>
        <v>0</v>
      </c>
      <c r="J168" s="23">
        <f>'Annual Raw'!K87+'Annual Raw'!K88+'Annual Raw'!K89+'Annual Raw'!K90</f>
        <v>0</v>
      </c>
      <c r="K168" s="23">
        <f>'Annual Raw'!L87+'Annual Raw'!L88+'Annual Raw'!L89+'Annual Raw'!L90</f>
        <v>0</v>
      </c>
      <c r="L168" s="23">
        <f>'Annual Raw'!M87+'Annual Raw'!M88+'Annual Raw'!M89+'Annual Raw'!M90</f>
        <v>0</v>
      </c>
      <c r="M168" s="23">
        <f>'Annual Raw'!N87+'Annual Raw'!N88+'Annual Raw'!N89+'Annual Raw'!N90</f>
        <v>0</v>
      </c>
      <c r="N168" s="23">
        <f>'Annual Raw'!O87+'Annual Raw'!O88+'Annual Raw'!O89+'Annual Raw'!O90</f>
        <v>0</v>
      </c>
      <c r="O168" s="23">
        <f>'Annual Raw'!P87+'Annual Raw'!P88+'Annual Raw'!P89+'Annual Raw'!P90</f>
        <v>0</v>
      </c>
      <c r="P168" s="23">
        <f>'Annual Raw'!Q87+'Annual Raw'!Q88+'Annual Raw'!Q89+'Annual Raw'!Q90</f>
        <v>0</v>
      </c>
      <c r="Q168" s="23">
        <f>'Annual Raw'!R87+'Annual Raw'!R88+'Annual Raw'!R89+'Annual Raw'!R90</f>
        <v>0</v>
      </c>
      <c r="R168" s="23">
        <f>'Annual Raw'!S87+'Annual Raw'!S88+'Annual Raw'!S89+'Annual Raw'!S90</f>
        <v>0</v>
      </c>
      <c r="S168" s="23">
        <f>'Annual Raw'!T87+'Annual Raw'!T88+'Annual Raw'!T89+'Annual Raw'!T90</f>
        <v>0</v>
      </c>
      <c r="T168" s="23">
        <f>'Annual Raw'!U87+'Annual Raw'!U88+'Annual Raw'!U89+'Annual Raw'!U90</f>
        <v>0</v>
      </c>
      <c r="U168" s="23">
        <f>'Annual Raw'!V87+'Annual Raw'!V88+'Annual Raw'!V89+'Annual Raw'!V90</f>
        <v>0</v>
      </c>
      <c r="V168" s="23">
        <f>'Annual Raw'!W87+'Annual Raw'!W88+'Annual Raw'!W89+'Annual Raw'!W90</f>
        <v>0</v>
      </c>
      <c r="W168" s="23">
        <f>'Annual Raw'!X87+'Annual Raw'!X88+'Annual Raw'!X89+'Annual Raw'!X90</f>
        <v>0</v>
      </c>
      <c r="X168" s="23">
        <f>'Annual Raw'!Y87+'Annual Raw'!Y88+'Annual Raw'!Y89+'Annual Raw'!Y90</f>
        <v>0</v>
      </c>
      <c r="Y168" s="23">
        <f>'Annual Raw'!Z87+'Annual Raw'!Z88+'Annual Raw'!Z89+'Annual Raw'!Z90</f>
        <v>8.86</v>
      </c>
      <c r="Z168" s="23">
        <f>'Annual Raw'!AA87+'Annual Raw'!AA88+'Annual Raw'!AA89+'Annual Raw'!AA90</f>
        <v>0</v>
      </c>
      <c r="AA168" s="23">
        <f>'Annual Raw'!AB87+'Annual Raw'!AB88+'Annual Raw'!AB89+'Annual Raw'!AB90</f>
        <v>0</v>
      </c>
      <c r="AB168" s="24">
        <f t="shared" si="1192"/>
        <v>0</v>
      </c>
      <c r="AC168" s="24">
        <f t="shared" si="1193"/>
        <v>0</v>
      </c>
      <c r="AD168" s="24">
        <f t="shared" si="1194"/>
        <v>0</v>
      </c>
      <c r="AE168" s="24">
        <f t="shared" si="1195"/>
        <v>0</v>
      </c>
      <c r="AJ168" s="23">
        <f>+'QTR Raw'!D90</f>
        <v>0</v>
      </c>
      <c r="AK168" s="23">
        <f t="shared" si="1196"/>
        <v>0</v>
      </c>
      <c r="AL168" s="23">
        <f>+'QTR Raw'!F90</f>
        <v>0</v>
      </c>
      <c r="AM168" s="23">
        <f t="shared" si="1196"/>
        <v>0</v>
      </c>
      <c r="AN168" s="23">
        <f>+'QTR Raw'!H90</f>
        <v>0</v>
      </c>
      <c r="AO168" s="23">
        <f t="shared" si="1196"/>
        <v>0</v>
      </c>
      <c r="AP168" s="23">
        <f>+'QTR Raw'!J90</f>
        <v>0</v>
      </c>
      <c r="AQ168" s="23">
        <f t="shared" si="1196"/>
        <v>0</v>
      </c>
      <c r="AR168" s="23">
        <f>+'QTR Raw'!L90</f>
        <v>0</v>
      </c>
      <c r="AS168" s="23">
        <f t="shared" si="1196"/>
        <v>0</v>
      </c>
      <c r="AT168" s="23">
        <f>+'QTR Raw'!N90</f>
        <v>0</v>
      </c>
      <c r="AU168" s="23">
        <f t="shared" si="1196"/>
        <v>0</v>
      </c>
      <c r="AV168" s="23">
        <f>+'QTR Raw'!P90</f>
        <v>0</v>
      </c>
      <c r="AW168" s="23">
        <f t="shared" si="1196"/>
        <v>0</v>
      </c>
      <c r="AX168" s="23">
        <f>+'QTR Raw'!R90</f>
        <v>0</v>
      </c>
      <c r="AY168" s="23">
        <f t="shared" si="1196"/>
        <v>0</v>
      </c>
      <c r="AZ168" s="23">
        <f>+'QTR Raw'!T90</f>
        <v>0</v>
      </c>
      <c r="BA168" s="23">
        <f t="shared" si="1196"/>
        <v>0</v>
      </c>
      <c r="BB168" s="23">
        <f>+'QTR Raw'!V90</f>
        <v>0</v>
      </c>
      <c r="BC168" s="23">
        <f t="shared" si="1196"/>
        <v>0</v>
      </c>
      <c r="BD168" s="23">
        <f>+'QTR Raw'!X90</f>
        <v>0</v>
      </c>
      <c r="BE168" s="23">
        <f t="shared" si="1196"/>
        <v>0</v>
      </c>
      <c r="BF168" s="23">
        <f>+'QTR Raw'!Z90</f>
        <v>0</v>
      </c>
      <c r="BG168" s="23">
        <f t="shared" si="1196"/>
        <v>0</v>
      </c>
      <c r="BH168" s="22">
        <f>+'QTR Raw'!AB90</f>
        <v>0</v>
      </c>
      <c r="BI168" s="23">
        <f t="shared" si="1196"/>
        <v>0</v>
      </c>
      <c r="BJ168" s="23">
        <f>+'QTR Raw'!AD90</f>
        <v>0</v>
      </c>
      <c r="BK168" s="23">
        <f t="shared" si="1196"/>
        <v>0</v>
      </c>
      <c r="BL168" s="23">
        <f>+'QTR Raw'!AF90</f>
        <v>0</v>
      </c>
      <c r="BM168" s="23">
        <f t="shared" si="1196"/>
        <v>0</v>
      </c>
      <c r="BN168" s="23">
        <f>+'QTR Raw'!AH90</f>
        <v>0</v>
      </c>
      <c r="BO168" s="23">
        <f t="shared" si="1196"/>
        <v>0</v>
      </c>
      <c r="BP168" s="23">
        <f>+'QTR Raw'!AJ90</f>
        <v>0</v>
      </c>
      <c r="BQ168" s="23">
        <f t="shared" si="1196"/>
        <v>0</v>
      </c>
      <c r="BR168" s="23">
        <f>+'QTR Raw'!AL90</f>
        <v>0</v>
      </c>
      <c r="BS168" s="23">
        <f t="shared" si="1196"/>
        <v>0</v>
      </c>
      <c r="BT168" s="23">
        <f>+'QTR Raw'!AN90</f>
        <v>0</v>
      </c>
      <c r="BU168" s="23">
        <f t="shared" si="1196"/>
        <v>0</v>
      </c>
      <c r="BV168" s="23">
        <f>+'QTR Raw'!AP90</f>
        <v>0</v>
      </c>
      <c r="BW168" s="23">
        <f t="shared" si="1196"/>
        <v>0</v>
      </c>
      <c r="BX168" s="23">
        <f>+'QTR Raw'!AR90</f>
        <v>0</v>
      </c>
      <c r="BY168" s="23">
        <f t="shared" si="1196"/>
        <v>0</v>
      </c>
      <c r="BZ168" s="23">
        <f>+'QTR Raw'!AT90</f>
        <v>0</v>
      </c>
      <c r="CA168" s="23">
        <f t="shared" si="1196"/>
        <v>0</v>
      </c>
      <c r="CB168" s="23">
        <f>+'QTR Raw'!AV90</f>
        <v>0</v>
      </c>
      <c r="CC168" s="23">
        <f t="shared" si="1196"/>
        <v>0</v>
      </c>
      <c r="CD168" s="23">
        <f>+'QTR Raw'!AX90</f>
        <v>0</v>
      </c>
      <c r="CE168" s="23">
        <f t="shared" si="1197"/>
        <v>0</v>
      </c>
      <c r="CF168" s="23">
        <f>+'QTR Raw'!AZ90</f>
        <v>0</v>
      </c>
      <c r="CG168" s="23">
        <f t="shared" si="1198"/>
        <v>0</v>
      </c>
      <c r="CH168" s="23">
        <f>+Z168</f>
        <v>0</v>
      </c>
      <c r="CI168" s="23">
        <f t="shared" si="1198"/>
        <v>0</v>
      </c>
      <c r="CJ168" s="23">
        <f>+'QTR Raw'!BD90</f>
        <v>0</v>
      </c>
      <c r="CK168" s="23">
        <f t="shared" si="1199"/>
        <v>0</v>
      </c>
      <c r="CL168" s="23">
        <f>+'QTR Raw'!BF90</f>
        <v>0</v>
      </c>
      <c r="CM168" s="24">
        <f t="shared" si="1200"/>
        <v>0</v>
      </c>
      <c r="CN168" s="24">
        <f t="shared" si="1201"/>
        <v>0</v>
      </c>
      <c r="CO168" s="24">
        <f t="shared" si="1202"/>
        <v>0</v>
      </c>
      <c r="CP168" s="24">
        <f t="shared" si="1203"/>
        <v>0</v>
      </c>
      <c r="CQ168" s="24">
        <f t="shared" si="1204"/>
        <v>0</v>
      </c>
      <c r="CR168" s="24">
        <f t="shared" si="1205"/>
        <v>0</v>
      </c>
      <c r="CS168" s="24">
        <f t="shared" si="1206"/>
        <v>0</v>
      </c>
      <c r="CT168" s="24">
        <f t="shared" si="1207"/>
        <v>0</v>
      </c>
      <c r="CU168" s="24">
        <f t="shared" si="1208"/>
        <v>0</v>
      </c>
      <c r="CV168" s="24">
        <f t="shared" si="1209"/>
        <v>0</v>
      </c>
      <c r="CW168" s="24">
        <f t="shared" si="1210"/>
        <v>0</v>
      </c>
      <c r="CX168" s="24">
        <f t="shared" si="1211"/>
        <v>0</v>
      </c>
      <c r="CY168" s="24">
        <f t="shared" si="1212"/>
        <v>0</v>
      </c>
      <c r="CZ168" s="24">
        <f t="shared" si="1213"/>
        <v>0</v>
      </c>
      <c r="DA168" s="24">
        <f t="shared" si="1214"/>
        <v>0</v>
      </c>
      <c r="DB168" s="24">
        <f t="shared" si="1215"/>
        <v>0</v>
      </c>
      <c r="DE168" s="123"/>
      <c r="DF168" s="23">
        <v>0</v>
      </c>
    </row>
    <row r="169" spans="1:110" s="23" customFormat="1" outlineLevel="1" x14ac:dyDescent="0.2">
      <c r="A169" s="23" t="s">
        <v>48</v>
      </c>
      <c r="B169" s="23">
        <f>'Annual Raw'!C56</f>
        <v>0</v>
      </c>
      <c r="C169" s="23">
        <f>'Annual Raw'!D56</f>
        <v>0</v>
      </c>
      <c r="D169" s="23">
        <f>'Annual Raw'!E56</f>
        <v>0</v>
      </c>
      <c r="E169" s="23">
        <f>'Annual Raw'!F56</f>
        <v>0</v>
      </c>
      <c r="F169" s="23">
        <f>'Annual Raw'!G56</f>
        <v>0</v>
      </c>
      <c r="G169" s="23">
        <f>'Annual Raw'!H56</f>
        <v>0</v>
      </c>
      <c r="H169" s="23">
        <f>'Annual Raw'!I56</f>
        <v>0</v>
      </c>
      <c r="I169" s="23">
        <f>'Annual Raw'!J56</f>
        <v>0</v>
      </c>
      <c r="J169" s="23">
        <f>'Annual Raw'!K56</f>
        <v>0</v>
      </c>
      <c r="K169" s="23">
        <f>'Annual Raw'!L56</f>
        <v>0</v>
      </c>
      <c r="L169" s="23">
        <f>'Annual Raw'!M56</f>
        <v>0</v>
      </c>
      <c r="M169" s="23">
        <f>'Annual Raw'!N56</f>
        <v>0</v>
      </c>
      <c r="N169" s="23">
        <f>'Annual Raw'!O56</f>
        <v>0</v>
      </c>
      <c r="O169" s="23">
        <f>'Annual Raw'!P56</f>
        <v>0</v>
      </c>
      <c r="P169" s="23">
        <f>'Annual Raw'!Q56</f>
        <v>0</v>
      </c>
      <c r="Q169" s="23">
        <f>'Annual Raw'!R56</f>
        <v>0</v>
      </c>
      <c r="R169" s="23">
        <f>'Annual Raw'!S56</f>
        <v>0</v>
      </c>
      <c r="S169" s="23">
        <f>'Annual Raw'!T56</f>
        <v>0</v>
      </c>
      <c r="T169" s="23">
        <f>'Annual Raw'!U56</f>
        <v>0</v>
      </c>
      <c r="U169" s="23">
        <f>'Annual Raw'!V56</f>
        <v>0</v>
      </c>
      <c r="V169" s="23">
        <f>'Annual Raw'!W56</f>
        <v>0</v>
      </c>
      <c r="W169" s="23">
        <f>'Annual Raw'!X56</f>
        <v>0</v>
      </c>
      <c r="X169" s="23">
        <f>'Annual Raw'!Y56</f>
        <v>0</v>
      </c>
      <c r="Y169" s="23">
        <f>'Annual Raw'!Z56</f>
        <v>1.83</v>
      </c>
      <c r="Z169" s="23">
        <f>'Annual Raw'!AA56</f>
        <v>0</v>
      </c>
      <c r="AA169" s="23">
        <f>'Annual Raw'!AB56</f>
        <v>0</v>
      </c>
      <c r="AB169" s="24">
        <f t="shared" si="1192"/>
        <v>0</v>
      </c>
      <c r="AC169" s="24">
        <f t="shared" si="1193"/>
        <v>0</v>
      </c>
      <c r="AD169" s="24">
        <f t="shared" si="1194"/>
        <v>0</v>
      </c>
      <c r="AE169" s="24">
        <f t="shared" si="1195"/>
        <v>0</v>
      </c>
      <c r="AJ169" s="23">
        <f>+'QTR Raw'!D88</f>
        <v>0</v>
      </c>
      <c r="AK169" s="23">
        <f t="shared" si="1196"/>
        <v>0</v>
      </c>
      <c r="AL169" s="23">
        <f>+'QTR Raw'!F88</f>
        <v>0</v>
      </c>
      <c r="AM169" s="23">
        <f t="shared" si="1196"/>
        <v>0</v>
      </c>
      <c r="AN169" s="23">
        <f>+'QTR Raw'!H88</f>
        <v>0</v>
      </c>
      <c r="AO169" s="23">
        <f t="shared" si="1196"/>
        <v>0</v>
      </c>
      <c r="AP169" s="23">
        <f>+'QTR Raw'!J88</f>
        <v>0</v>
      </c>
      <c r="AQ169" s="23">
        <f t="shared" si="1196"/>
        <v>0</v>
      </c>
      <c r="AR169" s="23">
        <f>+'QTR Raw'!L88</f>
        <v>0</v>
      </c>
      <c r="AS169" s="23">
        <f t="shared" si="1196"/>
        <v>0</v>
      </c>
      <c r="AT169" s="23">
        <f>+'QTR Raw'!N88</f>
        <v>0</v>
      </c>
      <c r="AU169" s="23">
        <f t="shared" si="1196"/>
        <v>0</v>
      </c>
      <c r="AV169" s="23">
        <f>+'QTR Raw'!P88</f>
        <v>0</v>
      </c>
      <c r="AW169" s="23">
        <f t="shared" si="1196"/>
        <v>0</v>
      </c>
      <c r="AX169" s="23">
        <f>+'QTR Raw'!R88</f>
        <v>0</v>
      </c>
      <c r="AY169" s="23">
        <f t="shared" si="1196"/>
        <v>0</v>
      </c>
      <c r="AZ169" s="23">
        <f>+'QTR Raw'!T88</f>
        <v>0</v>
      </c>
      <c r="BA169" s="23">
        <f t="shared" si="1196"/>
        <v>0</v>
      </c>
      <c r="BB169" s="23">
        <f>+'QTR Raw'!V88</f>
        <v>0</v>
      </c>
      <c r="BC169" s="23">
        <f t="shared" si="1196"/>
        <v>0</v>
      </c>
      <c r="BD169" s="23">
        <f>+'QTR Raw'!X88</f>
        <v>0.59199999999999997</v>
      </c>
      <c r="BE169" s="23">
        <f t="shared" si="1196"/>
        <v>0.59199999999999997</v>
      </c>
      <c r="BF169" s="23">
        <f>+'QTR Raw'!Z88</f>
        <v>0</v>
      </c>
      <c r="BG169" s="23">
        <f t="shared" si="1196"/>
        <v>0</v>
      </c>
      <c r="BH169" s="23">
        <f>+'QTR Raw'!AB88</f>
        <v>0</v>
      </c>
      <c r="BI169" s="23">
        <f t="shared" si="1196"/>
        <v>0</v>
      </c>
      <c r="BJ169" s="23">
        <f>+'QTR Raw'!AD88</f>
        <v>0</v>
      </c>
      <c r="BK169" s="23">
        <f t="shared" si="1196"/>
        <v>0</v>
      </c>
      <c r="BL169" s="23">
        <f>+'QTR Raw'!AF88</f>
        <v>0</v>
      </c>
      <c r="BM169" s="23">
        <f t="shared" si="1196"/>
        <v>0</v>
      </c>
      <c r="BN169" s="23">
        <f>+'QTR Raw'!AH88</f>
        <v>0</v>
      </c>
      <c r="BO169" s="23">
        <f t="shared" si="1196"/>
        <v>0</v>
      </c>
      <c r="BP169" s="23">
        <f>+'QTR Raw'!AJ88</f>
        <v>0</v>
      </c>
      <c r="BQ169" s="23">
        <f t="shared" si="1196"/>
        <v>0</v>
      </c>
      <c r="BR169" s="23">
        <f>+'QTR Raw'!AL88</f>
        <v>0</v>
      </c>
      <c r="BS169" s="23">
        <f t="shared" si="1196"/>
        <v>0</v>
      </c>
      <c r="BT169" s="23">
        <f>+'QTR Raw'!AN88</f>
        <v>0</v>
      </c>
      <c r="BU169" s="23">
        <f t="shared" si="1196"/>
        <v>0</v>
      </c>
      <c r="BV169" s="23">
        <f>+'QTR Raw'!AP88</f>
        <v>0</v>
      </c>
      <c r="BW169" s="23">
        <f t="shared" si="1196"/>
        <v>0</v>
      </c>
      <c r="BX169" s="23">
        <f>+'QTR Raw'!AR88</f>
        <v>0</v>
      </c>
      <c r="BY169" s="23">
        <f t="shared" si="1196"/>
        <v>0</v>
      </c>
      <c r="BZ169" s="23">
        <f>+'QTR Raw'!AT88</f>
        <v>0</v>
      </c>
      <c r="CA169" s="23">
        <f t="shared" si="1196"/>
        <v>0</v>
      </c>
      <c r="CB169" s="23">
        <f>+'QTR Raw'!AV88</f>
        <v>8.5</v>
      </c>
      <c r="CC169" s="23">
        <f t="shared" si="1196"/>
        <v>8.5</v>
      </c>
      <c r="CD169" s="23">
        <f>+'QTR Raw'!AX88</f>
        <v>10.69</v>
      </c>
      <c r="CE169" s="23">
        <f t="shared" si="1197"/>
        <v>10.69</v>
      </c>
      <c r="CF169" s="23">
        <f>+'QTR Raw'!AZ88</f>
        <v>0.12</v>
      </c>
      <c r="CG169" s="23">
        <f t="shared" si="1198"/>
        <v>0.12</v>
      </c>
      <c r="CH169" s="23">
        <f t="shared" si="1174"/>
        <v>0</v>
      </c>
      <c r="CI169" s="23">
        <f t="shared" si="1198"/>
        <v>0</v>
      </c>
      <c r="CJ169" s="23">
        <f>+'QTR Raw'!BD88</f>
        <v>0</v>
      </c>
      <c r="CK169" s="23">
        <f t="shared" si="1199"/>
        <v>0</v>
      </c>
      <c r="CL169" s="23">
        <f>+'QTR Raw'!BF88</f>
        <v>0</v>
      </c>
      <c r="CM169" s="24">
        <f t="shared" si="1200"/>
        <v>0</v>
      </c>
      <c r="CN169" s="24">
        <f t="shared" si="1201"/>
        <v>0</v>
      </c>
      <c r="CO169" s="24">
        <f t="shared" si="1202"/>
        <v>0</v>
      </c>
      <c r="CP169" s="24">
        <f t="shared" si="1203"/>
        <v>0</v>
      </c>
      <c r="CQ169" s="24">
        <f t="shared" si="1204"/>
        <v>0</v>
      </c>
      <c r="CR169" s="24">
        <f t="shared" si="1205"/>
        <v>0</v>
      </c>
      <c r="CS169" s="24">
        <f t="shared" si="1206"/>
        <v>0</v>
      </c>
      <c r="CT169" s="24">
        <f t="shared" si="1207"/>
        <v>0</v>
      </c>
      <c r="CU169" s="24">
        <f t="shared" si="1208"/>
        <v>0</v>
      </c>
      <c r="CV169" s="24">
        <f t="shared" si="1209"/>
        <v>0</v>
      </c>
      <c r="CW169" s="24">
        <f t="shared" si="1210"/>
        <v>0</v>
      </c>
      <c r="CX169" s="24">
        <f t="shared" si="1211"/>
        <v>0</v>
      </c>
      <c r="CY169" s="24">
        <f t="shared" si="1212"/>
        <v>0</v>
      </c>
      <c r="CZ169" s="24">
        <f t="shared" si="1213"/>
        <v>0</v>
      </c>
      <c r="DA169" s="24">
        <f t="shared" si="1214"/>
        <v>0</v>
      </c>
      <c r="DB169" s="24">
        <f t="shared" si="1215"/>
        <v>0</v>
      </c>
      <c r="DE169" s="123"/>
      <c r="DF169" s="23">
        <v>0</v>
      </c>
    </row>
    <row r="170" spans="1:110" s="22" customFormat="1" x14ac:dyDescent="0.2">
      <c r="A170" s="22" t="s">
        <v>49</v>
      </c>
      <c r="B170" s="22">
        <f>SUM(B166:B169)</f>
        <v>0</v>
      </c>
      <c r="C170" s="22">
        <f t="shared" ref="C170:V170" si="1216">SUM(C166:C169)</f>
        <v>0</v>
      </c>
      <c r="D170" s="22">
        <f t="shared" si="1216"/>
        <v>0</v>
      </c>
      <c r="E170" s="22">
        <f t="shared" si="1216"/>
        <v>0</v>
      </c>
      <c r="F170" s="22">
        <f t="shared" si="1216"/>
        <v>0</v>
      </c>
      <c r="G170" s="22">
        <f t="shared" si="1216"/>
        <v>0</v>
      </c>
      <c r="H170" s="22">
        <f t="shared" si="1216"/>
        <v>25</v>
      </c>
      <c r="I170" s="22">
        <f t="shared" si="1216"/>
        <v>25</v>
      </c>
      <c r="J170" s="22">
        <f t="shared" si="1216"/>
        <v>0</v>
      </c>
      <c r="K170" s="22">
        <f t="shared" si="1216"/>
        <v>0</v>
      </c>
      <c r="L170" s="22">
        <f t="shared" si="1216"/>
        <v>25</v>
      </c>
      <c r="M170" s="22">
        <f t="shared" si="1216"/>
        <v>25</v>
      </c>
      <c r="N170" s="22">
        <f t="shared" si="1216"/>
        <v>25</v>
      </c>
      <c r="O170" s="22">
        <f t="shared" si="1216"/>
        <v>25</v>
      </c>
      <c r="P170" s="22">
        <f t="shared" si="1216"/>
        <v>0</v>
      </c>
      <c r="Q170" s="22">
        <f t="shared" si="1216"/>
        <v>0</v>
      </c>
      <c r="R170" s="22">
        <f t="shared" si="1216"/>
        <v>7.25</v>
      </c>
      <c r="S170" s="22">
        <f t="shared" si="1216"/>
        <v>0</v>
      </c>
      <c r="T170" s="22">
        <f t="shared" si="1216"/>
        <v>2.5</v>
      </c>
      <c r="U170" s="22">
        <f t="shared" si="1216"/>
        <v>2.5</v>
      </c>
      <c r="V170" s="22">
        <f t="shared" si="1216"/>
        <v>0</v>
      </c>
      <c r="W170" s="22">
        <f t="shared" ref="W170" si="1217">SUM(W166:W169)</f>
        <v>0</v>
      </c>
      <c r="X170" s="22">
        <f t="shared" ref="X170:Y170" si="1218">SUM(X166:X169)</f>
        <v>0</v>
      </c>
      <c r="Y170" s="22">
        <f t="shared" si="1218"/>
        <v>21.6</v>
      </c>
      <c r="Z170" s="22">
        <f t="shared" ref="Z170:AA170" si="1219">SUM(Z166:Z169)</f>
        <v>0</v>
      </c>
      <c r="AA170" s="22">
        <f t="shared" si="1219"/>
        <v>0</v>
      </c>
      <c r="AB170" s="21">
        <f t="shared" ref="AA170:AD170" si="1220">SUM(AB166:AB169)</f>
        <v>0</v>
      </c>
      <c r="AC170" s="21">
        <f t="shared" si="1220"/>
        <v>0</v>
      </c>
      <c r="AD170" s="21">
        <f t="shared" si="1220"/>
        <v>0</v>
      </c>
      <c r="AE170" s="21">
        <f t="shared" ref="AE170" si="1221">SUM(AE166:AE169)</f>
        <v>0</v>
      </c>
      <c r="AJ170" s="22">
        <f t="shared" ref="AJ170" si="1222">SUM(AJ166:AJ169)</f>
        <v>0</v>
      </c>
      <c r="AK170" s="22">
        <f t="shared" ref="AK170" si="1223">SUM(AK166:AK169)</f>
        <v>0</v>
      </c>
      <c r="AL170" s="22">
        <f t="shared" ref="AL170:AM170" si="1224">SUM(AL166:AL169)</f>
        <v>0</v>
      </c>
      <c r="AM170" s="22">
        <f t="shared" si="1224"/>
        <v>0</v>
      </c>
      <c r="AN170" s="22">
        <f t="shared" ref="AN170:AO170" si="1225">SUM(AN166:AN169)</f>
        <v>0</v>
      </c>
      <c r="AO170" s="22">
        <f t="shared" si="1225"/>
        <v>0</v>
      </c>
      <c r="AP170" s="22">
        <f t="shared" ref="AP170:CE170" si="1226">SUM(AP166:AP169)</f>
        <v>0</v>
      </c>
      <c r="AQ170" s="22">
        <f t="shared" si="1226"/>
        <v>0</v>
      </c>
      <c r="AR170" s="22">
        <f t="shared" si="1226"/>
        <v>0</v>
      </c>
      <c r="AS170" s="22">
        <f t="shared" si="1226"/>
        <v>0</v>
      </c>
      <c r="AT170" s="22">
        <f t="shared" si="1226"/>
        <v>0</v>
      </c>
      <c r="AU170" s="22">
        <f t="shared" si="1226"/>
        <v>0</v>
      </c>
      <c r="AV170" s="22">
        <f t="shared" si="1226"/>
        <v>0</v>
      </c>
      <c r="AW170" s="22">
        <f t="shared" si="1226"/>
        <v>0</v>
      </c>
      <c r="AX170" s="22">
        <f t="shared" si="1226"/>
        <v>0</v>
      </c>
      <c r="AY170" s="22">
        <f t="shared" si="1226"/>
        <v>0</v>
      </c>
      <c r="AZ170" s="22">
        <f t="shared" si="1226"/>
        <v>0</v>
      </c>
      <c r="BA170" s="22">
        <f t="shared" si="1226"/>
        <v>0</v>
      </c>
      <c r="BB170" s="22">
        <f t="shared" si="1226"/>
        <v>0</v>
      </c>
      <c r="BC170" s="22">
        <f t="shared" si="1226"/>
        <v>0</v>
      </c>
      <c r="BD170" s="22">
        <f t="shared" si="1226"/>
        <v>9.8440000000000012</v>
      </c>
      <c r="BE170" s="22">
        <f t="shared" si="1226"/>
        <v>9.8440000000000012</v>
      </c>
      <c r="BF170" s="22">
        <f t="shared" si="1226"/>
        <v>0</v>
      </c>
      <c r="BG170" s="22">
        <f t="shared" si="1226"/>
        <v>0</v>
      </c>
      <c r="BH170" s="22">
        <f t="shared" ref="BH170" si="1227">SUM(BH166:BH169)</f>
        <v>9.93</v>
      </c>
      <c r="BI170" s="22">
        <f t="shared" si="1226"/>
        <v>9.93</v>
      </c>
      <c r="BJ170" s="22">
        <f t="shared" si="1226"/>
        <v>2.5</v>
      </c>
      <c r="BK170" s="22">
        <f t="shared" si="1226"/>
        <v>2.5</v>
      </c>
      <c r="BL170" s="22">
        <f t="shared" si="1226"/>
        <v>2.61</v>
      </c>
      <c r="BM170" s="22">
        <f t="shared" si="1226"/>
        <v>2.61</v>
      </c>
      <c r="BN170" s="22">
        <f t="shared" si="1226"/>
        <v>2.5</v>
      </c>
      <c r="BO170" s="22">
        <f t="shared" si="1226"/>
        <v>2.5</v>
      </c>
      <c r="BP170" s="22">
        <f t="shared" si="1226"/>
        <v>2.61</v>
      </c>
      <c r="BQ170" s="22">
        <f t="shared" si="1226"/>
        <v>2.61</v>
      </c>
      <c r="BR170" s="22">
        <f t="shared" si="1226"/>
        <v>0</v>
      </c>
      <c r="BS170" s="22">
        <f t="shared" si="1226"/>
        <v>0</v>
      </c>
      <c r="BT170" s="22">
        <f t="shared" si="1226"/>
        <v>0</v>
      </c>
      <c r="BU170" s="22">
        <f t="shared" si="1226"/>
        <v>0</v>
      </c>
      <c r="BV170" s="22">
        <f t="shared" si="1226"/>
        <v>0</v>
      </c>
      <c r="BW170" s="22">
        <f t="shared" si="1226"/>
        <v>0</v>
      </c>
      <c r="BX170" s="22">
        <f t="shared" si="1226"/>
        <v>0</v>
      </c>
      <c r="BY170" s="22">
        <f t="shared" si="1226"/>
        <v>0</v>
      </c>
      <c r="BZ170" s="22">
        <f t="shared" si="1226"/>
        <v>0</v>
      </c>
      <c r="CA170" s="22">
        <f t="shared" si="1226"/>
        <v>0</v>
      </c>
      <c r="CB170" s="22">
        <f t="shared" si="1226"/>
        <v>23.91</v>
      </c>
      <c r="CC170" s="22">
        <f t="shared" si="1226"/>
        <v>23.91</v>
      </c>
      <c r="CD170" s="22">
        <f t="shared" si="1226"/>
        <v>21.6</v>
      </c>
      <c r="CE170" s="22">
        <f t="shared" si="1226"/>
        <v>21.6</v>
      </c>
      <c r="CF170" s="22">
        <f t="shared" ref="CF170:CG170" si="1228">SUM(CF166:CF169)</f>
        <v>0.12</v>
      </c>
      <c r="CG170" s="22">
        <f t="shared" si="1228"/>
        <v>0.12</v>
      </c>
      <c r="CH170" s="22">
        <f t="shared" ref="CH170:CI170" si="1229">SUM(CH166:CH169)</f>
        <v>0</v>
      </c>
      <c r="CI170" s="22">
        <f t="shared" si="1229"/>
        <v>0</v>
      </c>
      <c r="CJ170" s="22">
        <f t="shared" ref="CJ170:DB170" si="1230">SUM(CJ166:CJ169)</f>
        <v>0</v>
      </c>
      <c r="CK170" s="22">
        <f t="shared" si="1230"/>
        <v>0</v>
      </c>
      <c r="CL170" s="22">
        <f t="shared" ref="CL170" si="1231">SUM(CL166:CL169)</f>
        <v>0</v>
      </c>
      <c r="CM170" s="21">
        <f t="shared" si="1230"/>
        <v>0</v>
      </c>
      <c r="CN170" s="21">
        <f t="shared" si="1230"/>
        <v>0</v>
      </c>
      <c r="CO170" s="21">
        <f t="shared" si="1230"/>
        <v>0</v>
      </c>
      <c r="CP170" s="21">
        <f t="shared" si="1230"/>
        <v>0</v>
      </c>
      <c r="CQ170" s="21">
        <f t="shared" si="1230"/>
        <v>0</v>
      </c>
      <c r="CR170" s="21">
        <f t="shared" si="1230"/>
        <v>0</v>
      </c>
      <c r="CS170" s="21">
        <f t="shared" si="1230"/>
        <v>0</v>
      </c>
      <c r="CT170" s="21">
        <f t="shared" si="1230"/>
        <v>0</v>
      </c>
      <c r="CU170" s="21">
        <f t="shared" si="1230"/>
        <v>0</v>
      </c>
      <c r="CV170" s="21">
        <f t="shared" si="1230"/>
        <v>0</v>
      </c>
      <c r="CW170" s="21">
        <f t="shared" si="1230"/>
        <v>0</v>
      </c>
      <c r="CX170" s="21">
        <f t="shared" si="1230"/>
        <v>0</v>
      </c>
      <c r="CY170" s="21">
        <f t="shared" si="1230"/>
        <v>0</v>
      </c>
      <c r="CZ170" s="21">
        <f t="shared" si="1230"/>
        <v>0</v>
      </c>
      <c r="DA170" s="21">
        <f t="shared" si="1230"/>
        <v>0</v>
      </c>
      <c r="DB170" s="21">
        <f t="shared" si="1230"/>
        <v>0</v>
      </c>
      <c r="DE170" s="126"/>
      <c r="DF170" s="22">
        <v>0</v>
      </c>
    </row>
    <row r="171" spans="1:110" s="26" customFormat="1" x14ac:dyDescent="0.2">
      <c r="A171" s="26" t="s">
        <v>437</v>
      </c>
      <c r="B171" s="26">
        <f>B170+B162+B164</f>
        <v>0</v>
      </c>
      <c r="C171" s="26">
        <f t="shared" ref="C171:V171" si="1232">C170+C162+C164</f>
        <v>0</v>
      </c>
      <c r="D171" s="26">
        <f>D170+D162+D164</f>
        <v>0</v>
      </c>
      <c r="E171" s="26">
        <f t="shared" si="1232"/>
        <v>0</v>
      </c>
      <c r="F171" s="26">
        <f t="shared" si="1232"/>
        <v>0</v>
      </c>
      <c r="G171" s="26">
        <f t="shared" si="1232"/>
        <v>0</v>
      </c>
      <c r="H171" s="26">
        <f t="shared" si="1232"/>
        <v>51.927026699999999</v>
      </c>
      <c r="I171" s="26">
        <f t="shared" si="1232"/>
        <v>55.584111399999998</v>
      </c>
      <c r="J171" s="26">
        <f t="shared" si="1232"/>
        <v>57.127653700000003</v>
      </c>
      <c r="K171" s="26">
        <f t="shared" si="1232"/>
        <v>42.123831600000003</v>
      </c>
      <c r="L171" s="26">
        <f t="shared" si="1232"/>
        <v>92.533000000000001</v>
      </c>
      <c r="M171" s="26">
        <f t="shared" si="1232"/>
        <v>127.476</v>
      </c>
      <c r="N171" s="26">
        <f t="shared" si="1232"/>
        <v>185.107</v>
      </c>
      <c r="O171" s="26">
        <f t="shared" si="1232"/>
        <v>231.26300000000001</v>
      </c>
      <c r="P171" s="26">
        <f t="shared" si="1232"/>
        <v>312.38300000000004</v>
      </c>
      <c r="Q171" s="26">
        <f t="shared" si="1232"/>
        <v>365.60999999999996</v>
      </c>
      <c r="R171" s="26">
        <f t="shared" si="1232"/>
        <v>415.05799999999999</v>
      </c>
      <c r="S171" s="26">
        <f t="shared" si="1232"/>
        <v>443.29</v>
      </c>
      <c r="T171" s="26">
        <f t="shared" si="1232"/>
        <v>437.62</v>
      </c>
      <c r="U171" s="26">
        <f t="shared" si="1232"/>
        <v>369.15</v>
      </c>
      <c r="V171" s="26">
        <f t="shared" si="1232"/>
        <v>427.28000000000003</v>
      </c>
      <c r="W171" s="26">
        <f t="shared" ref="W171" si="1233">W170+W162+W164</f>
        <v>526.57000000000005</v>
      </c>
      <c r="X171" s="26">
        <f t="shared" ref="X171:Y171" si="1234">X170+X162+X164</f>
        <v>535.21999999999991</v>
      </c>
      <c r="Y171" s="26">
        <f t="shared" si="1234"/>
        <v>549.22</v>
      </c>
      <c r="Z171" s="26">
        <f t="shared" ref="Z171:AA171" si="1235">Z170+Z162+Z164</f>
        <v>547.04999999999995</v>
      </c>
      <c r="AA171" s="26">
        <f t="shared" si="1235"/>
        <v>586.02</v>
      </c>
      <c r="AB171" s="27">
        <f t="shared" ref="AA171:AD171" si="1236">AB170+AB162+AB164</f>
        <v>781.333543148991</v>
      </c>
      <c r="AC171" s="27">
        <f t="shared" si="1236"/>
        <v>1031.2732643009781</v>
      </c>
      <c r="AD171" s="27">
        <f t="shared" si="1236"/>
        <v>1342.6111418200046</v>
      </c>
      <c r="AE171" s="27">
        <f t="shared" ref="AE171" si="1237">AE170+AE162+AE164</f>
        <v>1726.9350478902786</v>
      </c>
      <c r="AJ171" s="26">
        <f t="shared" ref="AJ171" si="1238">AJ170+AJ162+AJ164</f>
        <v>0</v>
      </c>
      <c r="AK171" s="26">
        <f t="shared" ref="AK171" si="1239">AK170+AK162+AK164</f>
        <v>0</v>
      </c>
      <c r="AL171" s="26">
        <f t="shared" ref="AL171" si="1240">AL170+AL162+AL164</f>
        <v>0</v>
      </c>
      <c r="AM171" s="26">
        <f t="shared" ref="AM171:AO171" si="1241">AM170+AM162+AM164</f>
        <v>0</v>
      </c>
      <c r="AN171" s="26">
        <f t="shared" si="1241"/>
        <v>0</v>
      </c>
      <c r="AO171" s="26">
        <f t="shared" si="1241"/>
        <v>0</v>
      </c>
      <c r="AP171" s="26">
        <f t="shared" ref="AP171:CE171" si="1242">AP170+AP162+AP164</f>
        <v>0</v>
      </c>
      <c r="AQ171" s="26">
        <f t="shared" si="1242"/>
        <v>0</v>
      </c>
      <c r="AR171" s="26">
        <f t="shared" si="1242"/>
        <v>0</v>
      </c>
      <c r="AS171" s="26">
        <f t="shared" si="1242"/>
        <v>0</v>
      </c>
      <c r="AT171" s="26">
        <f t="shared" si="1242"/>
        <v>0</v>
      </c>
      <c r="AU171" s="26">
        <f t="shared" si="1242"/>
        <v>11.763999999999996</v>
      </c>
      <c r="AV171" s="26">
        <f t="shared" si="1242"/>
        <v>0</v>
      </c>
      <c r="AW171" s="26">
        <f t="shared" si="1242"/>
        <v>10.814000000000007</v>
      </c>
      <c r="AX171" s="26">
        <f t="shared" si="1242"/>
        <v>365.61</v>
      </c>
      <c r="AY171" s="26">
        <f t="shared" si="1242"/>
        <v>382.68799999999999</v>
      </c>
      <c r="AZ171" s="26">
        <f t="shared" si="1242"/>
        <v>403.34199999999998</v>
      </c>
      <c r="BA171" s="26">
        <f t="shared" si="1242"/>
        <v>412.52299999999997</v>
      </c>
      <c r="BB171" s="26">
        <f t="shared" si="1242"/>
        <v>407.80799999999999</v>
      </c>
      <c r="BC171" s="26">
        <f t="shared" si="1242"/>
        <v>429.81799999999998</v>
      </c>
      <c r="BD171" s="26">
        <f t="shared" si="1242"/>
        <v>435.673</v>
      </c>
      <c r="BE171" s="26">
        <f t="shared" si="1242"/>
        <v>457.14300000000003</v>
      </c>
      <c r="BF171" s="26">
        <f t="shared" si="1242"/>
        <v>443.28999999999996</v>
      </c>
      <c r="BG171" s="26">
        <f t="shared" si="1242"/>
        <v>466.68999999999994</v>
      </c>
      <c r="BH171" s="26">
        <f t="shared" ref="BH171" si="1243">BH170+BH162+BH164</f>
        <v>461.28000000000003</v>
      </c>
      <c r="BI171" s="26">
        <f t="shared" si="1242"/>
        <v>481.43</v>
      </c>
      <c r="BJ171" s="26">
        <f t="shared" si="1242"/>
        <v>437.62</v>
      </c>
      <c r="BK171" s="26">
        <f t="shared" si="1242"/>
        <v>465.09000000000003</v>
      </c>
      <c r="BL171" s="26">
        <f t="shared" si="1242"/>
        <v>374.04</v>
      </c>
      <c r="BM171" s="26">
        <f t="shared" si="1242"/>
        <v>401.53000000000003</v>
      </c>
      <c r="BN171" s="26">
        <f t="shared" si="1242"/>
        <v>369.15999999999997</v>
      </c>
      <c r="BO171" s="26">
        <f t="shared" si="1242"/>
        <v>369.39</v>
      </c>
      <c r="BP171" s="26">
        <f t="shared" si="1242"/>
        <v>424.09</v>
      </c>
      <c r="BQ171" s="26">
        <f t="shared" si="1242"/>
        <v>456.47999999999996</v>
      </c>
      <c r="BR171" s="26">
        <f t="shared" si="1242"/>
        <v>427.27</v>
      </c>
      <c r="BS171" s="26">
        <f t="shared" si="1242"/>
        <v>482.84999999999997</v>
      </c>
      <c r="BT171" s="26">
        <f t="shared" si="1242"/>
        <v>482.41999999999996</v>
      </c>
      <c r="BU171" s="26">
        <f t="shared" si="1242"/>
        <v>503.91999999999996</v>
      </c>
      <c r="BV171" s="26">
        <f t="shared" si="1242"/>
        <v>526.57000000000005</v>
      </c>
      <c r="BW171" s="26">
        <f t="shared" si="1242"/>
        <v>548.30000000000007</v>
      </c>
      <c r="BX171" s="26">
        <f t="shared" si="1242"/>
        <v>492.62</v>
      </c>
      <c r="BY171" s="26">
        <f t="shared" si="1242"/>
        <v>507.34000000000003</v>
      </c>
      <c r="BZ171" s="26">
        <f t="shared" si="1242"/>
        <v>535.21999999999991</v>
      </c>
      <c r="CA171" s="26">
        <f t="shared" si="1242"/>
        <v>552.52</v>
      </c>
      <c r="CB171" s="26">
        <f t="shared" si="1242"/>
        <v>511.55</v>
      </c>
      <c r="CC171" s="26">
        <f t="shared" si="1242"/>
        <v>526.9</v>
      </c>
      <c r="CD171" s="26">
        <f t="shared" si="1242"/>
        <v>549.23</v>
      </c>
      <c r="CE171" s="26">
        <f t="shared" si="1242"/>
        <v>573.4</v>
      </c>
      <c r="CF171" s="26">
        <f t="shared" ref="CF171:CG171" si="1244">CF170+CF162+CF164</f>
        <v>488.78999999999996</v>
      </c>
      <c r="CG171" s="26">
        <f t="shared" si="1244"/>
        <v>507.9</v>
      </c>
      <c r="CH171" s="26">
        <f t="shared" ref="CH171:CI171" si="1245">CH170+CH162+CH164</f>
        <v>547.04999999999995</v>
      </c>
      <c r="CI171" s="26">
        <f t="shared" si="1245"/>
        <v>585.98</v>
      </c>
      <c r="CJ171" s="26">
        <f t="shared" ref="CJ171:DB171" si="1246">CJ170+CJ162+CJ164</f>
        <v>534.11</v>
      </c>
      <c r="CK171" s="26">
        <f t="shared" si="1246"/>
        <v>563.12</v>
      </c>
      <c r="CL171" s="26">
        <f t="shared" ref="CL171" si="1247">CL170+CL162+CL164</f>
        <v>586.02</v>
      </c>
      <c r="CM171" s="27">
        <f t="shared" si="1246"/>
        <v>629.15866529090351</v>
      </c>
      <c r="CN171" s="27">
        <f t="shared" si="1246"/>
        <v>680.26085550573998</v>
      </c>
      <c r="CO171" s="27">
        <f t="shared" si="1246"/>
        <v>725.84947329845886</v>
      </c>
      <c r="CP171" s="27">
        <f t="shared" si="1246"/>
        <v>781.333543148991</v>
      </c>
      <c r="CQ171" s="27">
        <f t="shared" si="1246"/>
        <v>837.36388049099537</v>
      </c>
      <c r="CR171" s="27">
        <f t="shared" si="1246"/>
        <v>902.45262753165218</v>
      </c>
      <c r="CS171" s="27">
        <f t="shared" si="1246"/>
        <v>961.37058529082549</v>
      </c>
      <c r="CT171" s="27">
        <f t="shared" si="1246"/>
        <v>1031.2732643009781</v>
      </c>
      <c r="CU171" s="27">
        <f t="shared" si="1246"/>
        <v>1101.9161948400897</v>
      </c>
      <c r="CV171" s="27">
        <f t="shared" si="1246"/>
        <v>1183.0778462642099</v>
      </c>
      <c r="CW171" s="27">
        <f t="shared" si="1246"/>
        <v>1256.5726299341104</v>
      </c>
      <c r="CX171" s="27">
        <f t="shared" si="1246"/>
        <v>1342.6111418200046</v>
      </c>
      <c r="CY171" s="27">
        <f t="shared" si="1246"/>
        <v>1430.2557204637797</v>
      </c>
      <c r="CZ171" s="27">
        <f t="shared" si="1246"/>
        <v>1530.3219497258474</v>
      </c>
      <c r="DA171" s="27">
        <f t="shared" si="1246"/>
        <v>1621.1563229520937</v>
      </c>
      <c r="DB171" s="27">
        <f t="shared" si="1246"/>
        <v>1726.9350478902786</v>
      </c>
      <c r="DE171" s="121"/>
      <c r="DF171" s="26">
        <v>603.98399878909595</v>
      </c>
    </row>
    <row r="172" spans="1:110" s="23" customFormat="1" x14ac:dyDescent="0.2">
      <c r="AB172" s="24"/>
      <c r="AC172" s="24"/>
      <c r="AD172" s="24"/>
      <c r="AE172" s="24"/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E172" s="123"/>
    </row>
    <row r="173" spans="1:110" s="23" customFormat="1" outlineLevel="1" x14ac:dyDescent="0.2">
      <c r="A173" s="23" t="s">
        <v>50</v>
      </c>
      <c r="B173" s="23">
        <f>'Annual Raw'!C62</f>
        <v>0</v>
      </c>
      <c r="C173" s="23">
        <f>'Annual Raw'!D62</f>
        <v>0</v>
      </c>
      <c r="D173" s="23">
        <f>'Annual Raw'!E62</f>
        <v>0</v>
      </c>
      <c r="E173" s="23">
        <f>'Annual Raw'!F62-E177</f>
        <v>0</v>
      </c>
      <c r="F173" s="23">
        <f>'Annual Raw'!G62-F177</f>
        <v>0</v>
      </c>
      <c r="G173" s="23">
        <f>'Annual Raw'!H62-G177</f>
        <v>0</v>
      </c>
      <c r="H173" s="23">
        <f>'Annual Raw'!I62-H177</f>
        <v>17.770501899999999</v>
      </c>
      <c r="I173" s="23">
        <f>'Annual Raw'!J62-I177</f>
        <v>21.8549334</v>
      </c>
      <c r="J173" s="23">
        <f>'Annual Raw'!K62-J177</f>
        <v>25.128222999999998</v>
      </c>
      <c r="K173" s="23">
        <f>'Annual Raw'!L62-K177</f>
        <v>21.336715000000002</v>
      </c>
      <c r="L173" s="23">
        <f>'Annual Raw'!M62-L177</f>
        <v>16.402999999999999</v>
      </c>
      <c r="M173" s="23">
        <f>'Annual Raw'!N62-M177</f>
        <v>19.634</v>
      </c>
      <c r="N173" s="23">
        <f>'Annual Raw'!O62-N177</f>
        <v>75.013000000000005</v>
      </c>
      <c r="O173" s="23">
        <f>'Annual Raw'!P62-O177</f>
        <v>87.326999999999998</v>
      </c>
      <c r="P173" s="23">
        <f>'Annual Raw'!Q62-P177</f>
        <v>191.71699999999998</v>
      </c>
      <c r="Q173" s="23">
        <f>'Annual Raw'!R62-Q177</f>
        <v>211.31799999999998</v>
      </c>
      <c r="R173" s="23">
        <f>'Annual Raw'!S62-R177</f>
        <v>169.86200000000002</v>
      </c>
      <c r="S173" s="23">
        <f>'Annual Raw'!T62-S177</f>
        <v>229.18</v>
      </c>
      <c r="T173" s="23">
        <f>'Annual Raw'!U62-T177</f>
        <v>248.53999999999996</v>
      </c>
      <c r="U173" s="23">
        <f>'Annual Raw'!V62-U177</f>
        <v>258.79999999999995</v>
      </c>
      <c r="V173" s="23">
        <f>'Annual Raw'!W62-V177</f>
        <v>265.64999999999998</v>
      </c>
      <c r="W173" s="23">
        <f>'Annual Raw'!X62-W177</f>
        <v>322.30999999999995</v>
      </c>
      <c r="X173" s="23">
        <f>'Annual Raw'!Y62-X177</f>
        <v>360.82000000000005</v>
      </c>
      <c r="Y173" s="23">
        <f>'Annual Raw'!Z62-Y177</f>
        <v>397.09000000000003</v>
      </c>
      <c r="Z173" s="23">
        <f>'Annual Raw'!AA62-Z177</f>
        <v>432.27000000000004</v>
      </c>
      <c r="AA173" s="23">
        <f>'Annual Raw'!AB62-AA177</f>
        <v>490.7</v>
      </c>
      <c r="AB173" s="24">
        <f t="shared" ref="AB173:AB179" si="1248">+CP173</f>
        <v>512.62999999999988</v>
      </c>
      <c r="AC173" s="24">
        <f t="shared" ref="AC173:AC179" si="1249">+CT173</f>
        <v>572.62999999999988</v>
      </c>
      <c r="AD173" s="24">
        <f t="shared" ref="AD173:AD179" si="1250">+CX173</f>
        <v>632.62999999999988</v>
      </c>
      <c r="AE173" s="24">
        <f t="shared" ref="AE173:AE179" si="1251">+DB173</f>
        <v>692.62999999999988</v>
      </c>
      <c r="AJ173" s="23">
        <f>+'QTR Raw'!D68</f>
        <v>0</v>
      </c>
      <c r="AL173" s="23">
        <f>+'QTR Raw'!F68</f>
        <v>0</v>
      </c>
      <c r="AN173" s="23">
        <f>+'QTR Raw'!H68</f>
        <v>0</v>
      </c>
      <c r="AP173" s="23">
        <f>+'QTR Raw'!J68</f>
        <v>0</v>
      </c>
      <c r="AR173" s="23">
        <f>+'QTR Raw'!L68</f>
        <v>0</v>
      </c>
      <c r="AT173" s="23">
        <f>+'QTR Raw'!N68</f>
        <v>0</v>
      </c>
      <c r="AV173" s="23">
        <f>+'QTR Raw'!P68</f>
        <v>0</v>
      </c>
      <c r="AX173" s="23">
        <f>+'QTR Raw'!R68</f>
        <v>152.62</v>
      </c>
      <c r="AZ173" s="23">
        <f>+'QTR Raw'!T68</f>
        <v>158.55099999999999</v>
      </c>
      <c r="BB173" s="23">
        <f>+'QTR Raw'!V68</f>
        <v>151.81100000000001</v>
      </c>
      <c r="BD173" s="23">
        <f>+'QTR Raw'!X68</f>
        <v>156.11500000000001</v>
      </c>
      <c r="BF173" s="23">
        <f>+'QTR Raw'!Z68</f>
        <v>191.89</v>
      </c>
      <c r="BH173" s="23">
        <f>+'QTR Raw'!AB68</f>
        <v>181.43</v>
      </c>
      <c r="BJ173" s="23">
        <f>+'QTR Raw'!AD68</f>
        <v>187.44</v>
      </c>
      <c r="BL173" s="23">
        <f>+'QTR Raw'!AF68</f>
        <v>166.11</v>
      </c>
      <c r="BN173" s="23">
        <f>+'QTR Raw'!AH68</f>
        <v>144.12</v>
      </c>
      <c r="BP173" s="23">
        <f>+'QTR Raw'!AJ68</f>
        <v>146.33000000000001</v>
      </c>
      <c r="BR173" s="23">
        <f>+'QTR Raw'!AL68</f>
        <v>130.28</v>
      </c>
      <c r="BT173" s="23">
        <f>+'QTR Raw'!AN68</f>
        <v>135.59</v>
      </c>
      <c r="BV173" s="23">
        <f>+'QTR Raw'!AP68</f>
        <v>150.41999999999999</v>
      </c>
      <c r="BX173" s="23">
        <f>+'QTR Raw'!AR68</f>
        <v>145.66999999999999</v>
      </c>
      <c r="BZ173" s="23">
        <f>+'QTR Raw'!AT68</f>
        <v>158.22999999999999</v>
      </c>
      <c r="CB173" s="23">
        <f>+'QTR Raw'!AV68</f>
        <v>157.21</v>
      </c>
      <c r="CD173" s="23">
        <f>+'QTR Raw'!AX68</f>
        <v>169.13</v>
      </c>
      <c r="CF173" s="23">
        <f>+'QTR Raw'!AZ68</f>
        <v>158.88999999999999</v>
      </c>
      <c r="CH173" s="23">
        <f t="shared" ref="CH173:CH179" si="1252">Z173</f>
        <v>432.27000000000004</v>
      </c>
      <c r="CI173" s="23">
        <f>CH173</f>
        <v>432.27000000000004</v>
      </c>
      <c r="CJ173" s="23">
        <f>+CJ174+CJ176</f>
        <v>425.51</v>
      </c>
      <c r="CK173" s="23">
        <f>+CJ173</f>
        <v>425.51</v>
      </c>
      <c r="CL173" s="23">
        <f>+CL174+CL176</f>
        <v>452.62999999999994</v>
      </c>
      <c r="CM173" s="24">
        <f t="shared" ref="CM173:DB173" si="1253">+CL173+15</f>
        <v>467.62999999999994</v>
      </c>
      <c r="CN173" s="24">
        <f t="shared" si="1253"/>
        <v>482.62999999999994</v>
      </c>
      <c r="CO173" s="24">
        <f t="shared" si="1253"/>
        <v>497.62999999999994</v>
      </c>
      <c r="CP173" s="24">
        <f t="shared" si="1253"/>
        <v>512.62999999999988</v>
      </c>
      <c r="CQ173" s="24">
        <f t="shared" si="1253"/>
        <v>527.62999999999988</v>
      </c>
      <c r="CR173" s="24">
        <f t="shared" si="1253"/>
        <v>542.62999999999988</v>
      </c>
      <c r="CS173" s="24">
        <f t="shared" si="1253"/>
        <v>557.62999999999988</v>
      </c>
      <c r="CT173" s="24">
        <f t="shared" si="1253"/>
        <v>572.62999999999988</v>
      </c>
      <c r="CU173" s="24">
        <f t="shared" si="1253"/>
        <v>587.62999999999988</v>
      </c>
      <c r="CV173" s="24">
        <f t="shared" si="1253"/>
        <v>602.62999999999988</v>
      </c>
      <c r="CW173" s="24">
        <f t="shared" si="1253"/>
        <v>617.62999999999988</v>
      </c>
      <c r="CX173" s="24">
        <f t="shared" si="1253"/>
        <v>632.62999999999988</v>
      </c>
      <c r="CY173" s="24">
        <f t="shared" si="1253"/>
        <v>647.62999999999988</v>
      </c>
      <c r="CZ173" s="24">
        <f t="shared" si="1253"/>
        <v>662.62999999999988</v>
      </c>
      <c r="DA173" s="24">
        <f t="shared" si="1253"/>
        <v>677.62999999999988</v>
      </c>
      <c r="DB173" s="24">
        <f t="shared" si="1253"/>
        <v>692.62999999999988</v>
      </c>
      <c r="DE173" s="123"/>
      <c r="DF173" s="23">
        <v>440.51</v>
      </c>
    </row>
    <row r="174" spans="1:110" s="23" customFormat="1" outlineLevel="1" x14ac:dyDescent="0.2">
      <c r="A174" s="23" t="s">
        <v>51</v>
      </c>
      <c r="B174" s="23">
        <f>'Annual Raw'!C63</f>
        <v>0</v>
      </c>
      <c r="C174" s="23">
        <f>'Annual Raw'!D63</f>
        <v>0</v>
      </c>
      <c r="D174" s="23">
        <f>'Annual Raw'!E63</f>
        <v>0</v>
      </c>
      <c r="E174" s="23">
        <f>'Annual Raw'!F63</f>
        <v>0</v>
      </c>
      <c r="F174" s="23">
        <f>'Annual Raw'!G63</f>
        <v>0</v>
      </c>
      <c r="G174" s="23">
        <f>'Annual Raw'!H63</f>
        <v>0</v>
      </c>
      <c r="H174" s="23">
        <f>'Annual Raw'!I63</f>
        <v>3.9537798999999998</v>
      </c>
      <c r="I174" s="23">
        <f>'Annual Raw'!J63</f>
        <v>4.3166696</v>
      </c>
      <c r="J174" s="23">
        <f>'Annual Raw'!K63</f>
        <v>5.5200068</v>
      </c>
      <c r="K174" s="23">
        <f>'Annual Raw'!L63</f>
        <v>6.3162151</v>
      </c>
      <c r="L174" s="23">
        <f>'Annual Raw'!M63</f>
        <v>0</v>
      </c>
      <c r="M174" s="23">
        <f>'Annual Raw'!N63</f>
        <v>0</v>
      </c>
      <c r="N174" s="23">
        <f>'Annual Raw'!O63</f>
        <v>0</v>
      </c>
      <c r="O174" s="23">
        <f>'Annual Raw'!P63</f>
        <v>0</v>
      </c>
      <c r="P174" s="23">
        <f>'Annual Raw'!Q63</f>
        <v>41.05</v>
      </c>
      <c r="Q174" s="23">
        <f>'Annual Raw'!R63</f>
        <v>59.073</v>
      </c>
      <c r="R174" s="23">
        <f>'Annual Raw'!S63</f>
        <v>18.050999999999998</v>
      </c>
      <c r="S174" s="23">
        <f>'Annual Raw'!T63</f>
        <v>37.29</v>
      </c>
      <c r="T174" s="23">
        <f>'Annual Raw'!U63</f>
        <v>61.1</v>
      </c>
      <c r="U174" s="23">
        <f>'Annual Raw'!V63</f>
        <v>89.99</v>
      </c>
      <c r="V174" s="23">
        <f>'Annual Raw'!W63</f>
        <v>112.87</v>
      </c>
      <c r="W174" s="23">
        <f>'Annual Raw'!X63</f>
        <v>137.63999999999999</v>
      </c>
      <c r="X174" s="23">
        <f>'Annual Raw'!Y63</f>
        <v>167.21</v>
      </c>
      <c r="Y174" s="23">
        <f>'Annual Raw'!Z63</f>
        <v>195.24</v>
      </c>
      <c r="Z174" s="23">
        <f>'Annual Raw'!AA63</f>
        <v>245.48</v>
      </c>
      <c r="AA174" s="23">
        <f>'Annual Raw'!AB63</f>
        <v>283.33999999999997</v>
      </c>
      <c r="AB174" s="24">
        <f t="shared" si="1248"/>
        <v>365.37882094419172</v>
      </c>
      <c r="AC174" s="24">
        <f t="shared" si="1249"/>
        <v>426.23049841716801</v>
      </c>
      <c r="AD174" s="24">
        <f t="shared" si="1250"/>
        <v>486.78050069091859</v>
      </c>
      <c r="AE174" s="24">
        <f t="shared" si="1251"/>
        <v>547.1356850309171</v>
      </c>
      <c r="AJ174" s="23">
        <f>+'QTR Raw'!D69</f>
        <v>0</v>
      </c>
      <c r="AL174" s="23">
        <f>+'QTR Raw'!F69</f>
        <v>0</v>
      </c>
      <c r="AN174" s="23">
        <f>+'QTR Raw'!H69</f>
        <v>0</v>
      </c>
      <c r="AP174" s="23">
        <f>+'QTR Raw'!J69</f>
        <v>0</v>
      </c>
      <c r="AR174" s="23">
        <f>+'QTR Raw'!L69</f>
        <v>0</v>
      </c>
      <c r="AT174" s="23">
        <f>+'QTR Raw'!N69</f>
        <v>0</v>
      </c>
      <c r="AV174" s="23">
        <f>+'QTR Raw'!P69</f>
        <v>0</v>
      </c>
      <c r="AX174" s="23">
        <f>+'QTR Raw'!R69</f>
        <v>0</v>
      </c>
      <c r="AZ174" s="23">
        <f>+'QTR Raw'!T69</f>
        <v>0</v>
      </c>
      <c r="BB174" s="23">
        <f>+'QTR Raw'!V69</f>
        <v>0</v>
      </c>
      <c r="BD174" s="23">
        <f>+'QTR Raw'!X69</f>
        <v>0</v>
      </c>
      <c r="BF174" s="23">
        <f>+'QTR Raw'!Z69</f>
        <v>0</v>
      </c>
      <c r="BH174" s="23">
        <f>+'QTR Raw'!AB69</f>
        <v>0</v>
      </c>
      <c r="BJ174" s="23">
        <f>+'QTR Raw'!AD69</f>
        <v>0</v>
      </c>
      <c r="BL174" s="23">
        <f>+'QTR Raw'!AF69</f>
        <v>0</v>
      </c>
      <c r="BN174" s="23">
        <f>+'QTR Raw'!AH69</f>
        <v>0</v>
      </c>
      <c r="BP174" s="23">
        <f>+'QTR Raw'!AJ69</f>
        <v>0</v>
      </c>
      <c r="BR174" s="23">
        <f>+'QTR Raw'!AL69</f>
        <v>0</v>
      </c>
      <c r="BT174" s="23">
        <f>+'QTR Raw'!AN69</f>
        <v>0</v>
      </c>
      <c r="BV174" s="23">
        <f>+'QTR Raw'!AP69</f>
        <v>0</v>
      </c>
      <c r="BX174" s="23">
        <f>+'QTR Raw'!AR69</f>
        <v>0</v>
      </c>
      <c r="BZ174" s="23">
        <f>+'QTR Raw'!AT69</f>
        <v>0</v>
      </c>
      <c r="CB174" s="23">
        <f>+'QTR Raw'!AV69</f>
        <v>0</v>
      </c>
      <c r="CD174" s="23">
        <f>+'QTR Raw'!AX69</f>
        <v>0</v>
      </c>
      <c r="CF174" s="23">
        <f>+'QTR Raw'!AZ69</f>
        <v>0</v>
      </c>
      <c r="CH174" s="23">
        <f t="shared" si="1252"/>
        <v>245.48</v>
      </c>
      <c r="CI174" s="23">
        <f t="shared" ref="CI174:DB174" si="1254">CH174+CI74</f>
        <v>256.89</v>
      </c>
      <c r="CJ174" s="23">
        <f t="shared" si="1254"/>
        <v>268.39999999999998</v>
      </c>
      <c r="CK174" s="23">
        <f t="shared" si="1254"/>
        <v>290.02999999999997</v>
      </c>
      <c r="CL174" s="23">
        <f t="shared" si="1254"/>
        <v>304.05999999999995</v>
      </c>
      <c r="CM174" s="24">
        <f t="shared" si="1254"/>
        <v>319.4455705639208</v>
      </c>
      <c r="CN174" s="24">
        <f t="shared" si="1254"/>
        <v>334.79121231907425</v>
      </c>
      <c r="CO174" s="24">
        <f t="shared" si="1254"/>
        <v>350.10106020188636</v>
      </c>
      <c r="CP174" s="24">
        <f t="shared" si="1254"/>
        <v>365.37882094419172</v>
      </c>
      <c r="CQ174" s="24">
        <f t="shared" si="1254"/>
        <v>380.6278174171249</v>
      </c>
      <c r="CR174" s="24">
        <f t="shared" si="1254"/>
        <v>395.85102838285957</v>
      </c>
      <c r="CS174" s="24">
        <f t="shared" si="1254"/>
        <v>411.05112412974825</v>
      </c>
      <c r="CT174" s="24">
        <f t="shared" si="1254"/>
        <v>426.23049841716801</v>
      </c>
      <c r="CU174" s="24">
        <f t="shared" si="1254"/>
        <v>441.39129711223097</v>
      </c>
      <c r="CV174" s="24">
        <f t="shared" si="1254"/>
        <v>456.53544386094222</v>
      </c>
      <c r="CW174" s="24">
        <f t="shared" si="1254"/>
        <v>471.66466310091107</v>
      </c>
      <c r="CX174" s="24">
        <f t="shared" si="1254"/>
        <v>486.78050069091859</v>
      </c>
      <c r="CY174" s="24">
        <f t="shared" si="1254"/>
        <v>501.88434240413392</v>
      </c>
      <c r="CZ174" s="24">
        <f t="shared" si="1254"/>
        <v>516.97743050621534</v>
      </c>
      <c r="DA174" s="24">
        <f t="shared" si="1254"/>
        <v>532.06087861662127</v>
      </c>
      <c r="DB174" s="24">
        <f t="shared" si="1254"/>
        <v>547.1356850309171</v>
      </c>
      <c r="DE174" s="123"/>
      <c r="DF174" s="23">
        <v>308.68210616765322</v>
      </c>
    </row>
    <row r="175" spans="1:110" s="23" customFormat="1" outlineLevel="1" x14ac:dyDescent="0.2">
      <c r="A175" s="23" t="s">
        <v>52</v>
      </c>
      <c r="B175" s="23">
        <f>'Annual Raw'!C64</f>
        <v>0</v>
      </c>
      <c r="C175" s="23">
        <f>'Annual Raw'!D64</f>
        <v>0</v>
      </c>
      <c r="D175" s="23">
        <f>'Annual Raw'!E64</f>
        <v>0</v>
      </c>
      <c r="E175" s="23">
        <f>'Annual Raw'!F64</f>
        <v>0</v>
      </c>
      <c r="F175" s="23">
        <f>'Annual Raw'!G64</f>
        <v>0</v>
      </c>
      <c r="G175" s="23">
        <f>'Annual Raw'!H64</f>
        <v>0</v>
      </c>
      <c r="H175" s="23">
        <f>'Annual Raw'!I64</f>
        <v>0</v>
      </c>
      <c r="I175" s="23">
        <f>'Annual Raw'!J64</f>
        <v>0</v>
      </c>
      <c r="J175" s="23">
        <f>'Annual Raw'!K64</f>
        <v>0</v>
      </c>
      <c r="K175" s="23">
        <f>'Annual Raw'!L64</f>
        <v>0</v>
      </c>
      <c r="L175" s="23">
        <f>'Annual Raw'!M64</f>
        <v>0</v>
      </c>
      <c r="M175" s="23">
        <f>'Annual Raw'!N64</f>
        <v>0</v>
      </c>
      <c r="N175" s="23">
        <f>'Annual Raw'!O64</f>
        <v>0</v>
      </c>
      <c r="O175" s="23">
        <f>'Annual Raw'!P64</f>
        <v>0</v>
      </c>
      <c r="P175" s="23">
        <f>'Annual Raw'!Q64</f>
        <v>0</v>
      </c>
      <c r="Q175" s="23">
        <f>'Annual Raw'!R64</f>
        <v>0</v>
      </c>
      <c r="R175" s="23">
        <f>'Annual Raw'!S64</f>
        <v>0</v>
      </c>
      <c r="S175" s="23">
        <f>'Annual Raw'!T64</f>
        <v>0</v>
      </c>
      <c r="T175" s="23">
        <f>'Annual Raw'!U64</f>
        <v>0</v>
      </c>
      <c r="U175" s="23">
        <f>'Annual Raw'!V64</f>
        <v>0</v>
      </c>
      <c r="V175" s="23">
        <f>'Annual Raw'!W64</f>
        <v>0</v>
      </c>
      <c r="W175" s="23">
        <f>'Annual Raw'!X64</f>
        <v>0</v>
      </c>
      <c r="X175" s="23">
        <f>'Annual Raw'!Y64</f>
        <v>0</v>
      </c>
      <c r="Y175" s="23">
        <f>'Annual Raw'!Z64</f>
        <v>0</v>
      </c>
      <c r="Z175" s="23">
        <f>'Annual Raw'!AA64</f>
        <v>0</v>
      </c>
      <c r="AA175" s="23">
        <f>'Annual Raw'!AB64</f>
        <v>0</v>
      </c>
      <c r="AB175" s="24">
        <f t="shared" si="1248"/>
        <v>0</v>
      </c>
      <c r="AC175" s="24">
        <f t="shared" si="1249"/>
        <v>0</v>
      </c>
      <c r="AD175" s="24">
        <f t="shared" si="1250"/>
        <v>0</v>
      </c>
      <c r="AE175" s="24">
        <f t="shared" si="1251"/>
        <v>0</v>
      </c>
      <c r="AJ175" s="23">
        <f>+'QTR Raw'!D70</f>
        <v>0</v>
      </c>
      <c r="AL175" s="23">
        <f>+'QTR Raw'!F70</f>
        <v>0</v>
      </c>
      <c r="AN175" s="23">
        <f>+'QTR Raw'!H70</f>
        <v>0</v>
      </c>
      <c r="AP175" s="23">
        <f>+'QTR Raw'!J70</f>
        <v>0</v>
      </c>
      <c r="AR175" s="23">
        <f>+'QTR Raw'!L70</f>
        <v>0</v>
      </c>
      <c r="AT175" s="23">
        <f>+'QTR Raw'!N70</f>
        <v>0</v>
      </c>
      <c r="AV175" s="23">
        <f>+'QTR Raw'!P70</f>
        <v>0</v>
      </c>
      <c r="AX175" s="23">
        <f>+'QTR Raw'!R70</f>
        <v>0</v>
      </c>
      <c r="AZ175" s="23">
        <f>+'QTR Raw'!T70</f>
        <v>0</v>
      </c>
      <c r="BB175" s="23">
        <f>+'QTR Raw'!V70</f>
        <v>0</v>
      </c>
      <c r="BD175" s="23">
        <f>+'QTR Raw'!X70</f>
        <v>0</v>
      </c>
      <c r="BF175" s="23">
        <f>+'QTR Raw'!Z70</f>
        <v>0</v>
      </c>
      <c r="BH175" s="23">
        <f>+'QTR Raw'!AB70</f>
        <v>0</v>
      </c>
      <c r="BJ175" s="23">
        <f>+'QTR Raw'!AD70</f>
        <v>0</v>
      </c>
      <c r="BL175" s="23">
        <f>+'QTR Raw'!AF70</f>
        <v>0</v>
      </c>
      <c r="BN175" s="23">
        <f>+'QTR Raw'!AH70</f>
        <v>0</v>
      </c>
      <c r="BP175" s="23">
        <f>+'QTR Raw'!AJ70</f>
        <v>0</v>
      </c>
      <c r="BR175" s="23">
        <f>+'QTR Raw'!AL70</f>
        <v>0</v>
      </c>
      <c r="BT175" s="23">
        <f>+'QTR Raw'!AN70</f>
        <v>0</v>
      </c>
      <c r="BV175" s="23">
        <f>+'QTR Raw'!AP70</f>
        <v>0</v>
      </c>
      <c r="BX175" s="23">
        <f>+'QTR Raw'!AR70</f>
        <v>0</v>
      </c>
      <c r="BZ175" s="23">
        <f>+'QTR Raw'!AT70</f>
        <v>0</v>
      </c>
      <c r="CB175" s="23">
        <f>+'QTR Raw'!AV70</f>
        <v>0</v>
      </c>
      <c r="CD175" s="23">
        <f>+'QTR Raw'!AX70</f>
        <v>0</v>
      </c>
      <c r="CF175" s="23">
        <f>+'QTR Raw'!AZ70</f>
        <v>0</v>
      </c>
      <c r="CH175" s="23">
        <f t="shared" si="1252"/>
        <v>0</v>
      </c>
      <c r="CI175" s="23">
        <f>CH175</f>
        <v>0</v>
      </c>
      <c r="CJ175" s="23">
        <f>+'QTR Raw'!BD70</f>
        <v>0</v>
      </c>
      <c r="CK175" s="23">
        <f t="shared" ref="CK175:DB175" si="1255">CJ175</f>
        <v>0</v>
      </c>
      <c r="CL175" s="23">
        <f>+'QTR Raw'!BF70</f>
        <v>0</v>
      </c>
      <c r="CM175" s="24">
        <f t="shared" si="1255"/>
        <v>0</v>
      </c>
      <c r="CN175" s="24">
        <f t="shared" si="1255"/>
        <v>0</v>
      </c>
      <c r="CO175" s="24">
        <f t="shared" si="1255"/>
        <v>0</v>
      </c>
      <c r="CP175" s="24">
        <f t="shared" si="1255"/>
        <v>0</v>
      </c>
      <c r="CQ175" s="24">
        <f t="shared" si="1255"/>
        <v>0</v>
      </c>
      <c r="CR175" s="24">
        <f t="shared" si="1255"/>
        <v>0</v>
      </c>
      <c r="CS175" s="24">
        <f t="shared" si="1255"/>
        <v>0</v>
      </c>
      <c r="CT175" s="24">
        <f t="shared" si="1255"/>
        <v>0</v>
      </c>
      <c r="CU175" s="24">
        <f t="shared" si="1255"/>
        <v>0</v>
      </c>
      <c r="CV175" s="24">
        <f t="shared" si="1255"/>
        <v>0</v>
      </c>
      <c r="CW175" s="24">
        <f t="shared" si="1255"/>
        <v>0</v>
      </c>
      <c r="CX175" s="24">
        <f t="shared" si="1255"/>
        <v>0</v>
      </c>
      <c r="CY175" s="24">
        <f t="shared" si="1255"/>
        <v>0</v>
      </c>
      <c r="CZ175" s="24">
        <f t="shared" si="1255"/>
        <v>0</v>
      </c>
      <c r="DA175" s="24">
        <f t="shared" si="1255"/>
        <v>0</v>
      </c>
      <c r="DB175" s="24">
        <f t="shared" si="1255"/>
        <v>0</v>
      </c>
      <c r="DE175" s="123"/>
      <c r="DF175" s="23">
        <v>0</v>
      </c>
    </row>
    <row r="176" spans="1:110" s="22" customFormat="1" outlineLevel="1" x14ac:dyDescent="0.2">
      <c r="A176" s="22" t="s">
        <v>53</v>
      </c>
      <c r="B176" s="22">
        <f>+B173-B174-B175</f>
        <v>0</v>
      </c>
      <c r="C176" s="22">
        <f t="shared" ref="C176:W176" si="1256">+C173-C174-C175</f>
        <v>0</v>
      </c>
      <c r="D176" s="22">
        <f t="shared" si="1256"/>
        <v>0</v>
      </c>
      <c r="E176" s="22">
        <f t="shared" si="1256"/>
        <v>0</v>
      </c>
      <c r="F176" s="22">
        <f t="shared" si="1256"/>
        <v>0</v>
      </c>
      <c r="G176" s="22">
        <f t="shared" si="1256"/>
        <v>0</v>
      </c>
      <c r="H176" s="22">
        <f t="shared" si="1256"/>
        <v>13.816721999999999</v>
      </c>
      <c r="I176" s="22">
        <f t="shared" si="1256"/>
        <v>17.538263799999999</v>
      </c>
      <c r="J176" s="22">
        <f t="shared" si="1256"/>
        <v>19.608216199999998</v>
      </c>
      <c r="K176" s="22">
        <f t="shared" si="1256"/>
        <v>15.020499900000001</v>
      </c>
      <c r="L176" s="22">
        <f t="shared" si="1256"/>
        <v>16.402999999999999</v>
      </c>
      <c r="M176" s="22">
        <f t="shared" si="1256"/>
        <v>19.634</v>
      </c>
      <c r="N176" s="22">
        <f t="shared" si="1256"/>
        <v>75.013000000000005</v>
      </c>
      <c r="O176" s="22">
        <f t="shared" si="1256"/>
        <v>87.326999999999998</v>
      </c>
      <c r="P176" s="22">
        <f t="shared" si="1256"/>
        <v>150.66699999999997</v>
      </c>
      <c r="Q176" s="22">
        <f t="shared" si="1256"/>
        <v>152.24499999999998</v>
      </c>
      <c r="R176" s="22">
        <f t="shared" si="1256"/>
        <v>151.81100000000004</v>
      </c>
      <c r="S176" s="22">
        <f t="shared" si="1256"/>
        <v>191.89000000000001</v>
      </c>
      <c r="T176" s="22">
        <f t="shared" si="1256"/>
        <v>187.43999999999997</v>
      </c>
      <c r="U176" s="22">
        <f t="shared" si="1256"/>
        <v>168.80999999999995</v>
      </c>
      <c r="V176" s="22">
        <f t="shared" si="1256"/>
        <v>152.77999999999997</v>
      </c>
      <c r="W176" s="22">
        <f t="shared" si="1256"/>
        <v>184.66999999999996</v>
      </c>
      <c r="X176" s="22">
        <f t="shared" ref="X176:Y176" si="1257">+X173-X174-X175</f>
        <v>193.61000000000004</v>
      </c>
      <c r="Y176" s="22">
        <f t="shared" si="1257"/>
        <v>201.85000000000002</v>
      </c>
      <c r="Z176" s="22">
        <f t="shared" ref="Z176:AE176" si="1258">+Z173-Z174-Z175</f>
        <v>186.79000000000005</v>
      </c>
      <c r="AA176" s="22">
        <f t="shared" ref="AA176" si="1259">+AA173-AA174-AA175</f>
        <v>207.36</v>
      </c>
      <c r="AB176" s="21">
        <f t="shared" si="1258"/>
        <v>147.25117905580817</v>
      </c>
      <c r="AC176" s="21">
        <f t="shared" si="1258"/>
        <v>146.39950158283187</v>
      </c>
      <c r="AD176" s="21">
        <f t="shared" si="1258"/>
        <v>145.8494993090813</v>
      </c>
      <c r="AE176" s="21">
        <f t="shared" si="1258"/>
        <v>145.49431496908278</v>
      </c>
      <c r="AJ176" s="22">
        <f t="shared" ref="AJ176:AL176" si="1260">+AJ173-AJ174-AJ175</f>
        <v>0</v>
      </c>
      <c r="AK176" s="22">
        <f t="shared" ref="AK176:CE176" si="1261">+AJ176</f>
        <v>0</v>
      </c>
      <c r="AL176" s="22">
        <f t="shared" si="1260"/>
        <v>0</v>
      </c>
      <c r="AM176" s="22">
        <f t="shared" si="1261"/>
        <v>0</v>
      </c>
      <c r="AN176" s="22">
        <f t="shared" ref="AN176" si="1262">+AN173-AN174-AN175</f>
        <v>0</v>
      </c>
      <c r="AO176" s="22">
        <f t="shared" si="1261"/>
        <v>0</v>
      </c>
      <c r="AP176" s="22">
        <f t="shared" ref="AP176:CD176" si="1263">+AP173-AP174-AP175</f>
        <v>0</v>
      </c>
      <c r="AQ176" s="22">
        <f t="shared" si="1261"/>
        <v>0</v>
      </c>
      <c r="AR176" s="22">
        <f t="shared" si="1263"/>
        <v>0</v>
      </c>
      <c r="AS176" s="22">
        <f t="shared" si="1261"/>
        <v>0</v>
      </c>
      <c r="AT176" s="22">
        <f t="shared" si="1263"/>
        <v>0</v>
      </c>
      <c r="AU176" s="22">
        <f t="shared" si="1261"/>
        <v>0</v>
      </c>
      <c r="AV176" s="22">
        <f t="shared" si="1263"/>
        <v>0</v>
      </c>
      <c r="AW176" s="22">
        <f t="shared" si="1261"/>
        <v>0</v>
      </c>
      <c r="AX176" s="22">
        <f t="shared" si="1263"/>
        <v>152.62</v>
      </c>
      <c r="AY176" s="22">
        <f t="shared" si="1261"/>
        <v>152.62</v>
      </c>
      <c r="AZ176" s="22">
        <f t="shared" si="1263"/>
        <v>158.55099999999999</v>
      </c>
      <c r="BA176" s="22">
        <f t="shared" si="1261"/>
        <v>158.55099999999999</v>
      </c>
      <c r="BB176" s="22">
        <f t="shared" si="1263"/>
        <v>151.81100000000001</v>
      </c>
      <c r="BC176" s="22">
        <f t="shared" si="1261"/>
        <v>151.81100000000001</v>
      </c>
      <c r="BD176" s="22">
        <f t="shared" si="1263"/>
        <v>156.11500000000001</v>
      </c>
      <c r="BE176" s="22">
        <f t="shared" si="1261"/>
        <v>156.11500000000001</v>
      </c>
      <c r="BF176" s="22">
        <f t="shared" si="1263"/>
        <v>191.89</v>
      </c>
      <c r="BG176" s="22">
        <f t="shared" si="1261"/>
        <v>191.89</v>
      </c>
      <c r="BH176" s="22">
        <f t="shared" si="1263"/>
        <v>181.43</v>
      </c>
      <c r="BI176" s="22">
        <f t="shared" si="1261"/>
        <v>181.43</v>
      </c>
      <c r="BJ176" s="22">
        <f t="shared" si="1263"/>
        <v>187.44</v>
      </c>
      <c r="BK176" s="22">
        <f t="shared" si="1261"/>
        <v>187.44</v>
      </c>
      <c r="BL176" s="22">
        <f t="shared" si="1263"/>
        <v>166.11</v>
      </c>
      <c r="BM176" s="22">
        <f t="shared" si="1261"/>
        <v>166.11</v>
      </c>
      <c r="BN176" s="22">
        <f t="shared" si="1263"/>
        <v>144.12</v>
      </c>
      <c r="BO176" s="22">
        <f t="shared" si="1261"/>
        <v>144.12</v>
      </c>
      <c r="BP176" s="22">
        <f t="shared" si="1263"/>
        <v>146.33000000000001</v>
      </c>
      <c r="BQ176" s="22">
        <f t="shared" si="1261"/>
        <v>146.33000000000001</v>
      </c>
      <c r="BR176" s="22">
        <f t="shared" si="1263"/>
        <v>130.28</v>
      </c>
      <c r="BS176" s="22">
        <f t="shared" si="1261"/>
        <v>130.28</v>
      </c>
      <c r="BT176" s="22">
        <f t="shared" si="1263"/>
        <v>135.59</v>
      </c>
      <c r="BU176" s="22">
        <f t="shared" si="1261"/>
        <v>135.59</v>
      </c>
      <c r="BV176" s="22">
        <f t="shared" si="1263"/>
        <v>150.41999999999999</v>
      </c>
      <c r="BW176" s="22">
        <f t="shared" si="1261"/>
        <v>150.41999999999999</v>
      </c>
      <c r="BX176" s="22">
        <f t="shared" si="1263"/>
        <v>145.66999999999999</v>
      </c>
      <c r="BY176" s="22">
        <f t="shared" si="1261"/>
        <v>145.66999999999999</v>
      </c>
      <c r="BZ176" s="22">
        <f t="shared" si="1263"/>
        <v>158.22999999999999</v>
      </c>
      <c r="CA176" s="22">
        <f t="shared" si="1261"/>
        <v>158.22999999999999</v>
      </c>
      <c r="CB176" s="22">
        <f t="shared" si="1263"/>
        <v>157.21</v>
      </c>
      <c r="CC176" s="22">
        <f t="shared" si="1261"/>
        <v>157.21</v>
      </c>
      <c r="CD176" s="22">
        <f t="shared" si="1263"/>
        <v>169.13</v>
      </c>
      <c r="CE176" s="22">
        <f t="shared" si="1261"/>
        <v>169.13</v>
      </c>
      <c r="CF176" s="22">
        <f t="shared" ref="CF176:CI176" si="1264">+CF173-CF174-CF175</f>
        <v>158.88999999999999</v>
      </c>
      <c r="CG176" s="22">
        <f t="shared" ref="CG176:CI179" si="1265">+CF176</f>
        <v>158.88999999999999</v>
      </c>
      <c r="CH176" s="22">
        <f t="shared" si="1264"/>
        <v>186.79000000000005</v>
      </c>
      <c r="CI176" s="22">
        <f t="shared" si="1264"/>
        <v>175.38000000000005</v>
      </c>
      <c r="CJ176" s="23">
        <f>+'QTR Raw'!BD68</f>
        <v>157.11000000000001</v>
      </c>
      <c r="CK176" s="23">
        <f t="shared" ref="CK176:DB176" si="1266">+CK173-CK174-CK175</f>
        <v>135.48000000000002</v>
      </c>
      <c r="CL176" s="23">
        <f>+'QTR Raw'!BF68</f>
        <v>148.57</v>
      </c>
      <c r="CM176" s="21">
        <f t="shared" si="1266"/>
        <v>148.18442943607914</v>
      </c>
      <c r="CN176" s="21">
        <f t="shared" si="1266"/>
        <v>147.83878768092569</v>
      </c>
      <c r="CO176" s="21">
        <f t="shared" si="1266"/>
        <v>147.52893979811358</v>
      </c>
      <c r="CP176" s="21">
        <f t="shared" si="1266"/>
        <v>147.25117905580817</v>
      </c>
      <c r="CQ176" s="21">
        <f t="shared" si="1266"/>
        <v>147.00218258287498</v>
      </c>
      <c r="CR176" s="21">
        <f t="shared" si="1266"/>
        <v>146.77897161714031</v>
      </c>
      <c r="CS176" s="21">
        <f t="shared" si="1266"/>
        <v>146.57887587025164</v>
      </c>
      <c r="CT176" s="21">
        <f t="shared" si="1266"/>
        <v>146.39950158283187</v>
      </c>
      <c r="CU176" s="21">
        <f t="shared" si="1266"/>
        <v>146.23870288776891</v>
      </c>
      <c r="CV176" s="21">
        <f t="shared" si="1266"/>
        <v>146.09455613905766</v>
      </c>
      <c r="CW176" s="21">
        <f t="shared" si="1266"/>
        <v>145.96533689908881</v>
      </c>
      <c r="CX176" s="21">
        <f t="shared" si="1266"/>
        <v>145.8494993090813</v>
      </c>
      <c r="CY176" s="21">
        <f t="shared" si="1266"/>
        <v>145.74565759586596</v>
      </c>
      <c r="CZ176" s="21">
        <f t="shared" si="1266"/>
        <v>145.65256949378454</v>
      </c>
      <c r="DA176" s="21">
        <f t="shared" si="1266"/>
        <v>145.56912138337862</v>
      </c>
      <c r="DB176" s="21">
        <f t="shared" si="1266"/>
        <v>145.49431496908278</v>
      </c>
      <c r="DE176" s="126"/>
      <c r="DF176" s="22">
        <v>131.82789383234677</v>
      </c>
    </row>
    <row r="177" spans="1:110" s="23" customFormat="1" outlineLevel="1" x14ac:dyDescent="0.2">
      <c r="A177" s="23" t="s">
        <v>54</v>
      </c>
      <c r="B177" s="23">
        <f>'Annual Raw'!C86</f>
        <v>0</v>
      </c>
      <c r="C177" s="23">
        <f>'Annual Raw'!D86</f>
        <v>0</v>
      </c>
      <c r="D177" s="23">
        <f>'Annual Raw'!E86</f>
        <v>0</v>
      </c>
      <c r="E177" s="23">
        <f>'Annual Raw'!F86</f>
        <v>0</v>
      </c>
      <c r="F177" s="23">
        <f>'Annual Raw'!G86</f>
        <v>0</v>
      </c>
      <c r="G177" s="23">
        <f>'Annual Raw'!H86</f>
        <v>0</v>
      </c>
      <c r="H177" s="23">
        <f>'Annual Raw'!I86</f>
        <v>0</v>
      </c>
      <c r="I177" s="23">
        <f>'Annual Raw'!J86</f>
        <v>0</v>
      </c>
      <c r="J177" s="23">
        <f>'Annual Raw'!K86</f>
        <v>0</v>
      </c>
      <c r="K177" s="23">
        <f>'Annual Raw'!L86</f>
        <v>0</v>
      </c>
      <c r="L177" s="23">
        <f>'Annual Raw'!M86</f>
        <v>0</v>
      </c>
      <c r="M177" s="23">
        <f>'Annual Raw'!N86</f>
        <v>0</v>
      </c>
      <c r="N177" s="23">
        <f>'Annual Raw'!O86</f>
        <v>0</v>
      </c>
      <c r="O177" s="23">
        <f>'Annual Raw'!P86</f>
        <v>0</v>
      </c>
      <c r="P177" s="23">
        <f>'Annual Raw'!Q86</f>
        <v>45.343000000000004</v>
      </c>
      <c r="Q177" s="23">
        <f>'Annual Raw'!R86</f>
        <v>106.858</v>
      </c>
      <c r="R177" s="23">
        <f>'Annual Raw'!S86</f>
        <v>106.858</v>
      </c>
      <c r="S177" s="23">
        <f>'Annual Raw'!T86</f>
        <v>106.86</v>
      </c>
      <c r="T177" s="23">
        <f>'Annual Raw'!U86</f>
        <v>106.86</v>
      </c>
      <c r="U177" s="23">
        <f>'Annual Raw'!V86</f>
        <v>100.28</v>
      </c>
      <c r="V177" s="23">
        <f>'Annual Raw'!W86</f>
        <v>100.28</v>
      </c>
      <c r="W177" s="23">
        <f>'Annual Raw'!X86</f>
        <v>100.28</v>
      </c>
      <c r="X177" s="23">
        <f>'Annual Raw'!Y86</f>
        <v>100.28</v>
      </c>
      <c r="Y177" s="23">
        <f>'Annual Raw'!Z86</f>
        <v>104.03</v>
      </c>
      <c r="Z177" s="23">
        <f>'Annual Raw'!AA86</f>
        <v>110.42</v>
      </c>
      <c r="AA177" s="23">
        <f>'Annual Raw'!AB86</f>
        <v>109.95</v>
      </c>
      <c r="AB177" s="24">
        <f t="shared" si="1248"/>
        <v>108.21</v>
      </c>
      <c r="AC177" s="24">
        <f t="shared" si="1249"/>
        <v>108.21</v>
      </c>
      <c r="AD177" s="24">
        <f t="shared" si="1250"/>
        <v>108.21</v>
      </c>
      <c r="AE177" s="24">
        <f t="shared" si="1251"/>
        <v>108.21</v>
      </c>
      <c r="AJ177" s="23">
        <f>+'QTR Raw'!D72</f>
        <v>0</v>
      </c>
      <c r="AK177" s="23">
        <f>+AJ177</f>
        <v>0</v>
      </c>
      <c r="AL177" s="23">
        <f>+'QTR Raw'!F72</f>
        <v>0</v>
      </c>
      <c r="AM177" s="23">
        <f t="shared" ref="AK177:CE179" si="1267">+AL177</f>
        <v>0</v>
      </c>
      <c r="AN177" s="23">
        <f>+'QTR Raw'!H72</f>
        <v>0</v>
      </c>
      <c r="AO177" s="23">
        <f t="shared" si="1267"/>
        <v>0</v>
      </c>
      <c r="AP177" s="23">
        <f>+'QTR Raw'!J72</f>
        <v>0</v>
      </c>
      <c r="AQ177" s="23">
        <f t="shared" si="1267"/>
        <v>0</v>
      </c>
      <c r="AR177" s="23">
        <f>+'QTR Raw'!L72</f>
        <v>0</v>
      </c>
      <c r="AS177" s="23">
        <f t="shared" si="1267"/>
        <v>0</v>
      </c>
      <c r="AT177" s="23">
        <f>+'QTR Raw'!N72</f>
        <v>0</v>
      </c>
      <c r="AU177" s="23">
        <f t="shared" si="1267"/>
        <v>0</v>
      </c>
      <c r="AV177" s="23">
        <f>+'QTR Raw'!P72</f>
        <v>0</v>
      </c>
      <c r="AW177" s="23">
        <f t="shared" si="1267"/>
        <v>0</v>
      </c>
      <c r="AX177" s="23">
        <f>+'QTR Raw'!R72</f>
        <v>106.858</v>
      </c>
      <c r="AY177" s="23">
        <f t="shared" si="1267"/>
        <v>106.858</v>
      </c>
      <c r="AZ177" s="23">
        <f>+'QTR Raw'!T72</f>
        <v>106.858</v>
      </c>
      <c r="BA177" s="23">
        <f t="shared" si="1267"/>
        <v>106.858</v>
      </c>
      <c r="BB177" s="23">
        <f>+'QTR Raw'!V72</f>
        <v>106.858</v>
      </c>
      <c r="BC177" s="23">
        <f t="shared" si="1267"/>
        <v>106.858</v>
      </c>
      <c r="BD177" s="23">
        <f>+'QTR Raw'!X72</f>
        <v>106.858</v>
      </c>
      <c r="BE177" s="23">
        <f t="shared" si="1267"/>
        <v>106.858</v>
      </c>
      <c r="BF177" s="23">
        <f>+'QTR Raw'!Z72</f>
        <v>106.86</v>
      </c>
      <c r="BG177" s="23">
        <f t="shared" si="1267"/>
        <v>106.86</v>
      </c>
      <c r="BH177" s="23">
        <f>+'QTR Raw'!AB72</f>
        <v>106.86</v>
      </c>
      <c r="BI177" s="23">
        <f t="shared" si="1267"/>
        <v>106.86</v>
      </c>
      <c r="BJ177" s="23">
        <f>+'QTR Raw'!AD72</f>
        <v>106.86</v>
      </c>
      <c r="BK177" s="23">
        <f t="shared" si="1267"/>
        <v>106.86</v>
      </c>
      <c r="BL177" s="23">
        <f>+'QTR Raw'!AF72</f>
        <v>106.86</v>
      </c>
      <c r="BM177" s="23">
        <f t="shared" si="1267"/>
        <v>106.86</v>
      </c>
      <c r="BN177" s="23">
        <f>+'QTR Raw'!AH72</f>
        <v>100.28</v>
      </c>
      <c r="BO177" s="23">
        <f t="shared" si="1267"/>
        <v>100.28</v>
      </c>
      <c r="BP177" s="23">
        <f>+'QTR Raw'!AJ72</f>
        <v>100.28</v>
      </c>
      <c r="BQ177" s="23">
        <f t="shared" si="1267"/>
        <v>100.28</v>
      </c>
      <c r="BR177" s="23">
        <f>+'QTR Raw'!AL72</f>
        <v>100.28</v>
      </c>
      <c r="BS177" s="23">
        <f t="shared" si="1267"/>
        <v>100.28</v>
      </c>
      <c r="BT177" s="23">
        <f>+'QTR Raw'!AN72</f>
        <v>100.28</v>
      </c>
      <c r="BU177" s="23">
        <f t="shared" si="1267"/>
        <v>100.28</v>
      </c>
      <c r="BV177" s="23">
        <f>+'QTR Raw'!AP72</f>
        <v>100.28</v>
      </c>
      <c r="BW177" s="23">
        <f t="shared" si="1267"/>
        <v>100.28</v>
      </c>
      <c r="BX177" s="23">
        <f>+'QTR Raw'!AR72</f>
        <v>100.28</v>
      </c>
      <c r="BY177" s="23">
        <f t="shared" si="1267"/>
        <v>100.28</v>
      </c>
      <c r="BZ177" s="23">
        <f>+'QTR Raw'!AT72</f>
        <v>100.28</v>
      </c>
      <c r="CA177" s="23">
        <f t="shared" si="1267"/>
        <v>100.28</v>
      </c>
      <c r="CB177" s="23">
        <f>+'QTR Raw'!AV72</f>
        <v>100.28</v>
      </c>
      <c r="CC177" s="23">
        <f t="shared" si="1267"/>
        <v>100.28</v>
      </c>
      <c r="CD177" s="23">
        <f>+'QTR Raw'!AX72</f>
        <v>104.03</v>
      </c>
      <c r="CE177" s="23">
        <f t="shared" si="1267"/>
        <v>104.03</v>
      </c>
      <c r="CF177" s="23">
        <f>+'QTR Raw'!AZ72</f>
        <v>105.25</v>
      </c>
      <c r="CG177" s="23">
        <f t="shared" si="1265"/>
        <v>105.25</v>
      </c>
      <c r="CH177" s="23">
        <f t="shared" si="1252"/>
        <v>110.42</v>
      </c>
      <c r="CI177" s="23">
        <f t="shared" si="1265"/>
        <v>110.42</v>
      </c>
      <c r="CJ177" s="23">
        <f>+'QTR Raw'!BD72</f>
        <v>108.21</v>
      </c>
      <c r="CK177" s="23">
        <f t="shared" ref="CK177:CK179" si="1268">+CJ177</f>
        <v>108.21</v>
      </c>
      <c r="CL177" s="23">
        <f>+'QTR Raw'!BF72</f>
        <v>108.21</v>
      </c>
      <c r="CM177" s="24">
        <f t="shared" ref="CM177:CM179" si="1269">+CL177</f>
        <v>108.21</v>
      </c>
      <c r="CN177" s="24">
        <f t="shared" ref="CN177:CN179" si="1270">+CM177</f>
        <v>108.21</v>
      </c>
      <c r="CO177" s="24">
        <f t="shared" ref="CO177:CO179" si="1271">+CN177</f>
        <v>108.21</v>
      </c>
      <c r="CP177" s="24">
        <f t="shared" ref="CP177:CP179" si="1272">+CO177</f>
        <v>108.21</v>
      </c>
      <c r="CQ177" s="24">
        <f t="shared" ref="CQ177:CQ179" si="1273">+CP177</f>
        <v>108.21</v>
      </c>
      <c r="CR177" s="24">
        <f t="shared" ref="CR177:CR179" si="1274">+CQ177</f>
        <v>108.21</v>
      </c>
      <c r="CS177" s="24">
        <f t="shared" ref="CS177:CS179" si="1275">+CR177</f>
        <v>108.21</v>
      </c>
      <c r="CT177" s="24">
        <f t="shared" ref="CT177:CT179" si="1276">+CS177</f>
        <v>108.21</v>
      </c>
      <c r="CU177" s="24">
        <f t="shared" ref="CU177:CU179" si="1277">+CT177</f>
        <v>108.21</v>
      </c>
      <c r="CV177" s="24">
        <f t="shared" ref="CV177:CV179" si="1278">+CU177</f>
        <v>108.21</v>
      </c>
      <c r="CW177" s="24">
        <f t="shared" ref="CW177:CW179" si="1279">+CV177</f>
        <v>108.21</v>
      </c>
      <c r="CX177" s="24">
        <f t="shared" ref="CX177:CX179" si="1280">+CW177</f>
        <v>108.21</v>
      </c>
      <c r="CY177" s="24">
        <f t="shared" ref="CY177:CY179" si="1281">+CX177</f>
        <v>108.21</v>
      </c>
      <c r="CZ177" s="24">
        <f t="shared" ref="CZ177:CZ179" si="1282">+CY177</f>
        <v>108.21</v>
      </c>
      <c r="DA177" s="24">
        <f t="shared" ref="DA177:DA179" si="1283">+CZ177</f>
        <v>108.21</v>
      </c>
      <c r="DB177" s="24">
        <f t="shared" ref="DB177:DB179" si="1284">+DA177</f>
        <v>108.21</v>
      </c>
      <c r="DE177" s="123"/>
      <c r="DF177" s="23">
        <v>108.21</v>
      </c>
    </row>
    <row r="178" spans="1:110" s="23" customFormat="1" outlineLevel="1" x14ac:dyDescent="0.2">
      <c r="A178" s="23" t="s">
        <v>55</v>
      </c>
      <c r="B178" s="23">
        <f>'Annual Raw'!C68</f>
        <v>0</v>
      </c>
      <c r="C178" s="23">
        <f>'Annual Raw'!D68</f>
        <v>0</v>
      </c>
      <c r="D178" s="23">
        <f>'Annual Raw'!E68</f>
        <v>0</v>
      </c>
      <c r="E178" s="23">
        <f>'Annual Raw'!F68</f>
        <v>0</v>
      </c>
      <c r="F178" s="23">
        <f>'Annual Raw'!G68</f>
        <v>0</v>
      </c>
      <c r="G178" s="23">
        <f>'Annual Raw'!H68</f>
        <v>0</v>
      </c>
      <c r="H178" s="23">
        <f>'Annual Raw'!I68</f>
        <v>0</v>
      </c>
      <c r="I178" s="23">
        <f>'Annual Raw'!J68</f>
        <v>0</v>
      </c>
      <c r="J178" s="23">
        <f>'Annual Raw'!K68</f>
        <v>0</v>
      </c>
      <c r="K178" s="23">
        <f>'Annual Raw'!L68</f>
        <v>0</v>
      </c>
      <c r="L178" s="23">
        <f>'Annual Raw'!M68</f>
        <v>0</v>
      </c>
      <c r="M178" s="23">
        <f>'Annual Raw'!N68</f>
        <v>0</v>
      </c>
      <c r="N178" s="23">
        <f>'Annual Raw'!O68</f>
        <v>0</v>
      </c>
      <c r="O178" s="23">
        <f>'Annual Raw'!P68</f>
        <v>0</v>
      </c>
      <c r="P178" s="23">
        <f>'Annual Raw'!Q68</f>
        <v>0.51700000000000002</v>
      </c>
      <c r="Q178" s="23">
        <f>'Annual Raw'!R68</f>
        <v>0.375</v>
      </c>
      <c r="R178" s="23">
        <f>'Annual Raw'!S68</f>
        <v>0</v>
      </c>
      <c r="S178" s="23">
        <f>'Annual Raw'!T68</f>
        <v>0</v>
      </c>
      <c r="T178" s="23">
        <f>'Annual Raw'!U68</f>
        <v>0</v>
      </c>
      <c r="U178" s="23">
        <f>'Annual Raw'!V68</f>
        <v>0</v>
      </c>
      <c r="V178" s="23">
        <f>'Annual Raw'!W68</f>
        <v>0</v>
      </c>
      <c r="W178" s="23">
        <f>'Annual Raw'!X68</f>
        <v>0</v>
      </c>
      <c r="X178" s="23">
        <f>'Annual Raw'!Y68</f>
        <v>0</v>
      </c>
      <c r="Y178" s="23">
        <f>'Annual Raw'!Z68</f>
        <v>0</v>
      </c>
      <c r="Z178" s="23">
        <f>'Annual Raw'!AA68</f>
        <v>0</v>
      </c>
      <c r="AA178" s="23">
        <f>'Annual Raw'!AB68</f>
        <v>0</v>
      </c>
      <c r="AB178" s="24">
        <f t="shared" si="1248"/>
        <v>0</v>
      </c>
      <c r="AC178" s="24">
        <f t="shared" si="1249"/>
        <v>0</v>
      </c>
      <c r="AD178" s="24">
        <f t="shared" si="1250"/>
        <v>0</v>
      </c>
      <c r="AE178" s="24">
        <f t="shared" si="1251"/>
        <v>0</v>
      </c>
      <c r="AK178" s="23">
        <f t="shared" si="1267"/>
        <v>0</v>
      </c>
      <c r="AM178" s="23">
        <f t="shared" si="1267"/>
        <v>0</v>
      </c>
      <c r="AO178" s="23">
        <f t="shared" si="1267"/>
        <v>0</v>
      </c>
      <c r="AQ178" s="23">
        <f t="shared" si="1267"/>
        <v>0</v>
      </c>
      <c r="AS178" s="23">
        <f t="shared" si="1267"/>
        <v>0</v>
      </c>
      <c r="AU178" s="23">
        <f t="shared" si="1267"/>
        <v>0</v>
      </c>
      <c r="AW178" s="23">
        <f t="shared" si="1267"/>
        <v>0</v>
      </c>
      <c r="AY178" s="23">
        <f t="shared" si="1267"/>
        <v>0</v>
      </c>
      <c r="BA178" s="23">
        <f t="shared" si="1267"/>
        <v>0</v>
      </c>
      <c r="BC178" s="23">
        <f t="shared" si="1267"/>
        <v>0</v>
      </c>
      <c r="BE178" s="23">
        <f t="shared" si="1267"/>
        <v>0</v>
      </c>
      <c r="BG178" s="23">
        <f t="shared" si="1267"/>
        <v>0</v>
      </c>
      <c r="BI178" s="23">
        <f t="shared" si="1267"/>
        <v>0</v>
      </c>
      <c r="BK178" s="23">
        <f t="shared" si="1267"/>
        <v>0</v>
      </c>
      <c r="BM178" s="23">
        <f t="shared" si="1267"/>
        <v>0</v>
      </c>
      <c r="BO178" s="23">
        <f t="shared" si="1267"/>
        <v>0</v>
      </c>
      <c r="BQ178" s="23">
        <f t="shared" si="1267"/>
        <v>0</v>
      </c>
      <c r="BS178" s="23">
        <f t="shared" si="1267"/>
        <v>0</v>
      </c>
      <c r="BU178" s="23">
        <f t="shared" si="1267"/>
        <v>0</v>
      </c>
      <c r="BW178" s="23">
        <f t="shared" si="1267"/>
        <v>0</v>
      </c>
      <c r="BY178" s="23">
        <f t="shared" si="1267"/>
        <v>0</v>
      </c>
      <c r="CA178" s="23">
        <f t="shared" si="1267"/>
        <v>0</v>
      </c>
      <c r="CC178" s="23">
        <f t="shared" si="1267"/>
        <v>0</v>
      </c>
      <c r="CE178" s="23">
        <f t="shared" si="1267"/>
        <v>0</v>
      </c>
      <c r="CG178" s="23">
        <f t="shared" si="1265"/>
        <v>0</v>
      </c>
      <c r="CH178" s="23">
        <f t="shared" si="1252"/>
        <v>0</v>
      </c>
      <c r="CI178" s="23">
        <f t="shared" si="1265"/>
        <v>0</v>
      </c>
      <c r="CK178" s="23">
        <f t="shared" si="1268"/>
        <v>0</v>
      </c>
      <c r="CM178" s="24">
        <f t="shared" si="1269"/>
        <v>0</v>
      </c>
      <c r="CN178" s="24">
        <f t="shared" si="1270"/>
        <v>0</v>
      </c>
      <c r="CO178" s="24">
        <f t="shared" si="1271"/>
        <v>0</v>
      </c>
      <c r="CP178" s="24">
        <f t="shared" si="1272"/>
        <v>0</v>
      </c>
      <c r="CQ178" s="24">
        <f t="shared" si="1273"/>
        <v>0</v>
      </c>
      <c r="CR178" s="24">
        <f t="shared" si="1274"/>
        <v>0</v>
      </c>
      <c r="CS178" s="24">
        <f t="shared" si="1275"/>
        <v>0</v>
      </c>
      <c r="CT178" s="24">
        <f t="shared" si="1276"/>
        <v>0</v>
      </c>
      <c r="CU178" s="24">
        <f t="shared" si="1277"/>
        <v>0</v>
      </c>
      <c r="CV178" s="24">
        <f t="shared" si="1278"/>
        <v>0</v>
      </c>
      <c r="CW178" s="24">
        <f t="shared" si="1279"/>
        <v>0</v>
      </c>
      <c r="CX178" s="24">
        <f t="shared" si="1280"/>
        <v>0</v>
      </c>
      <c r="CY178" s="24">
        <f t="shared" si="1281"/>
        <v>0</v>
      </c>
      <c r="CZ178" s="24">
        <f t="shared" si="1282"/>
        <v>0</v>
      </c>
      <c r="DA178" s="24">
        <f t="shared" si="1283"/>
        <v>0</v>
      </c>
      <c r="DB178" s="24">
        <f t="shared" si="1284"/>
        <v>0</v>
      </c>
      <c r="DE178" s="123"/>
      <c r="DF178" s="23">
        <v>0</v>
      </c>
    </row>
    <row r="179" spans="1:110" s="23" customFormat="1" outlineLevel="1" x14ac:dyDescent="0.2">
      <c r="A179" s="23" t="s">
        <v>56</v>
      </c>
      <c r="B179" s="23">
        <f>'Annual Raw'!C67+'Annual Raw'!C66+'Annual Raw'!C69+'Annual Raw'!C70</f>
        <v>0</v>
      </c>
      <c r="C179" s="23">
        <f>'Annual Raw'!D67+'Annual Raw'!D66+'Annual Raw'!D69+'Annual Raw'!D70</f>
        <v>0</v>
      </c>
      <c r="D179" s="23">
        <f>'Annual Raw'!E67+'Annual Raw'!E66+'Annual Raw'!E69+'Annual Raw'!E70</f>
        <v>0</v>
      </c>
      <c r="E179" s="23">
        <f>'Annual Raw'!F67+'Annual Raw'!F66+'Annual Raw'!F69+'Annual Raw'!F70</f>
        <v>0</v>
      </c>
      <c r="F179" s="23">
        <f>'Annual Raw'!G67+'Annual Raw'!G66+'Annual Raw'!G69+'Annual Raw'!G70</f>
        <v>0</v>
      </c>
      <c r="G179" s="23">
        <f>'Annual Raw'!H67+'Annual Raw'!H66+'Annual Raw'!H69+'Annual Raw'!H70</f>
        <v>0</v>
      </c>
      <c r="H179" s="23">
        <f>'Annual Raw'!I67+'Annual Raw'!I66+'Annual Raw'!I69+'Annual Raw'!I70</f>
        <v>7.0672700000000005E-2</v>
      </c>
      <c r="I179" s="23">
        <f>'Annual Raw'!J67+'Annual Raw'!J66+'Annual Raw'!J69+'Annual Raw'!J70</f>
        <v>0.1097969</v>
      </c>
      <c r="J179" s="23">
        <f>'Annual Raw'!K67+'Annual Raw'!K66+'Annual Raw'!K69+'Annual Raw'!K70</f>
        <v>0</v>
      </c>
      <c r="K179" s="23">
        <f>'Annual Raw'!L67+'Annual Raw'!L66+'Annual Raw'!L69+'Annual Raw'!L70</f>
        <v>0.1197387</v>
      </c>
      <c r="L179" s="23">
        <f>'Annual Raw'!M67+'Annual Raw'!M66+'Annual Raw'!M69+'Annual Raw'!M70</f>
        <v>0</v>
      </c>
      <c r="M179" s="23">
        <f>'Annual Raw'!N67+'Annual Raw'!N66+'Annual Raw'!N69+'Annual Raw'!N70</f>
        <v>0</v>
      </c>
      <c r="N179" s="23">
        <f>'Annual Raw'!O67+'Annual Raw'!O66+'Annual Raw'!O69+'Annual Raw'!O70</f>
        <v>10.461</v>
      </c>
      <c r="O179" s="23">
        <f>'Annual Raw'!P67+'Annual Raw'!P66+'Annual Raw'!P69+'Annual Raw'!P70</f>
        <v>6.4340000000000002</v>
      </c>
      <c r="P179" s="23">
        <f>'Annual Raw'!Q67+'Annual Raw'!Q66+'Annual Raw'!Q69+'Annual Raw'!Q70</f>
        <v>5.0359999999999996</v>
      </c>
      <c r="Q179" s="23">
        <f>'Annual Raw'!R67+'Annual Raw'!R66+'Annual Raw'!R69+'Annual Raw'!R70</f>
        <v>1.018</v>
      </c>
      <c r="R179" s="23">
        <f>'Annual Raw'!S67+'Annual Raw'!S66+'Annual Raw'!S69+'Annual Raw'!S70</f>
        <v>17.448</v>
      </c>
      <c r="S179" s="23">
        <f>'Annual Raw'!T67+'Annual Raw'!T66+'Annual Raw'!T69+'Annual Raw'!T70</f>
        <v>0</v>
      </c>
      <c r="T179" s="23">
        <f>'Annual Raw'!U67+'Annual Raw'!U66+'Annual Raw'!U69+'Annual Raw'!U70</f>
        <v>1.47</v>
      </c>
      <c r="U179" s="23">
        <f>'Annual Raw'!V67+'Annual Raw'!V66+'Annual Raw'!V69+'Annual Raw'!V70</f>
        <v>4.93</v>
      </c>
      <c r="V179" s="23">
        <f>'Annual Raw'!W67+'Annual Raw'!W66+'Annual Raw'!W69+'Annual Raw'!W70</f>
        <v>8.2799999999999994</v>
      </c>
      <c r="W179" s="23">
        <f>'Annual Raw'!X67+'Annual Raw'!X66+'Annual Raw'!X69+'Annual Raw'!X70</f>
        <v>2.95</v>
      </c>
      <c r="X179" s="23">
        <f>'Annual Raw'!Y67+'Annual Raw'!Y66+'Annual Raw'!Y69+'Annual Raw'!Y70</f>
        <v>1.61</v>
      </c>
      <c r="Y179" s="23">
        <f>'Annual Raw'!Z67+'Annual Raw'!Z66+'Annual Raw'!Z69+'Annual Raw'!Z70</f>
        <v>2.5499999999999998</v>
      </c>
      <c r="Z179" s="23">
        <f>'Annual Raw'!AA67+'Annual Raw'!AA66+'Annual Raw'!AA69+'Annual Raw'!AA70</f>
        <v>14.15</v>
      </c>
      <c r="AA179" s="23">
        <f>'Annual Raw'!AB67+'Annual Raw'!AB66+'Annual Raw'!AB69+'Annual Raw'!AB70</f>
        <v>3.07</v>
      </c>
      <c r="AB179" s="24">
        <f t="shared" si="1248"/>
        <v>3.06</v>
      </c>
      <c r="AC179" s="24">
        <f t="shared" si="1249"/>
        <v>3.06</v>
      </c>
      <c r="AD179" s="24">
        <f t="shared" si="1250"/>
        <v>3.06</v>
      </c>
      <c r="AE179" s="24">
        <f t="shared" si="1251"/>
        <v>3.06</v>
      </c>
      <c r="AJ179" s="23">
        <f>+'QTR Raw'!D74+'QTR Raw'!D75</f>
        <v>0</v>
      </c>
      <c r="AK179" s="23">
        <f t="shared" si="1267"/>
        <v>0</v>
      </c>
      <c r="AL179" s="23">
        <f>+'QTR Raw'!F74+'QTR Raw'!F75</f>
        <v>0</v>
      </c>
      <c r="AM179" s="23">
        <f t="shared" si="1267"/>
        <v>0</v>
      </c>
      <c r="AN179" s="23">
        <f>+'QTR Raw'!H74+'QTR Raw'!H75</f>
        <v>0</v>
      </c>
      <c r="AO179" s="23">
        <f t="shared" si="1267"/>
        <v>0</v>
      </c>
      <c r="AP179" s="23">
        <f>+'QTR Raw'!J74+'QTR Raw'!J75</f>
        <v>0</v>
      </c>
      <c r="AQ179" s="23">
        <f t="shared" si="1267"/>
        <v>0</v>
      </c>
      <c r="AR179" s="23">
        <f>+'QTR Raw'!L74+'QTR Raw'!L75</f>
        <v>0</v>
      </c>
      <c r="AS179" s="23">
        <f t="shared" si="1267"/>
        <v>0</v>
      </c>
      <c r="AT179" s="23">
        <f>+'QTR Raw'!N74+'QTR Raw'!N75</f>
        <v>0</v>
      </c>
      <c r="AU179" s="23">
        <f t="shared" si="1267"/>
        <v>0</v>
      </c>
      <c r="AV179" s="23">
        <f>+'QTR Raw'!P74+'QTR Raw'!P75</f>
        <v>0</v>
      </c>
      <c r="AW179" s="23">
        <f t="shared" si="1267"/>
        <v>0</v>
      </c>
      <c r="AX179" s="23">
        <f>+'QTR Raw'!R74+'QTR Raw'!R75</f>
        <v>1.018</v>
      </c>
      <c r="AY179" s="23">
        <f t="shared" si="1267"/>
        <v>1.018</v>
      </c>
      <c r="AZ179" s="23">
        <f>+'QTR Raw'!T74+'QTR Raw'!T75</f>
        <v>0</v>
      </c>
      <c r="BA179" s="23">
        <f t="shared" si="1267"/>
        <v>0</v>
      </c>
      <c r="BB179" s="23">
        <f>+'QTR Raw'!V74+'QTR Raw'!V75</f>
        <v>17.448</v>
      </c>
      <c r="BC179" s="23">
        <f t="shared" si="1267"/>
        <v>17.448</v>
      </c>
      <c r="BD179" s="23">
        <f>+'QTR Raw'!X74+'QTR Raw'!X75</f>
        <v>15.337999999999999</v>
      </c>
      <c r="BE179" s="23">
        <f t="shared" si="1267"/>
        <v>15.337999999999999</v>
      </c>
      <c r="BF179" s="23">
        <f>+'QTR Raw'!Z74+'QTR Raw'!Z75</f>
        <v>0</v>
      </c>
      <c r="BG179" s="23">
        <f t="shared" si="1267"/>
        <v>0</v>
      </c>
      <c r="BH179" s="23">
        <f>+'QTR Raw'!AB74+'QTR Raw'!AB75</f>
        <v>12.73</v>
      </c>
      <c r="BI179" s="23">
        <f t="shared" si="1267"/>
        <v>12.73</v>
      </c>
      <c r="BJ179" s="23">
        <f>+'QTR Raw'!AD74+'QTR Raw'!AD75</f>
        <v>1.47</v>
      </c>
      <c r="BK179" s="23">
        <f t="shared" si="1267"/>
        <v>1.47</v>
      </c>
      <c r="BL179" s="23">
        <f>+'QTR Raw'!AF74+'QTR Raw'!AF75</f>
        <v>0</v>
      </c>
      <c r="BM179" s="23">
        <f t="shared" si="1267"/>
        <v>0</v>
      </c>
      <c r="BN179" s="23">
        <f>+'QTR Raw'!AH74+'QTR Raw'!AH75</f>
        <v>4.93</v>
      </c>
      <c r="BO179" s="23">
        <f t="shared" si="1267"/>
        <v>4.93</v>
      </c>
      <c r="BP179" s="23">
        <f>+'QTR Raw'!AJ74+'QTR Raw'!AJ75</f>
        <v>2.73</v>
      </c>
      <c r="BQ179" s="23">
        <f t="shared" si="1267"/>
        <v>2.73</v>
      </c>
      <c r="BR179" s="23">
        <f>+'QTR Raw'!AL74+'QTR Raw'!AL75</f>
        <v>8.2799999999999994</v>
      </c>
      <c r="BS179" s="23">
        <f t="shared" si="1267"/>
        <v>8.2799999999999994</v>
      </c>
      <c r="BT179" s="23">
        <f>+'QTR Raw'!AN74+'QTR Raw'!AN75</f>
        <v>7.46</v>
      </c>
      <c r="BU179" s="23">
        <f t="shared" si="1267"/>
        <v>7.46</v>
      </c>
      <c r="BV179" s="23">
        <f>+'QTR Raw'!AP74+'QTR Raw'!AP75</f>
        <v>2.95</v>
      </c>
      <c r="BW179" s="23">
        <f t="shared" si="1267"/>
        <v>2.95</v>
      </c>
      <c r="BX179" s="23">
        <f>+'QTR Raw'!AR74+'QTR Raw'!AR75</f>
        <v>4.88</v>
      </c>
      <c r="BY179" s="23">
        <f t="shared" si="1267"/>
        <v>4.88</v>
      </c>
      <c r="BZ179" s="23">
        <f>+'QTR Raw'!AT74+'QTR Raw'!AT75</f>
        <v>1.61</v>
      </c>
      <c r="CA179" s="23">
        <f t="shared" si="1267"/>
        <v>1.61</v>
      </c>
      <c r="CB179" s="23">
        <f>+'QTR Raw'!AV74+'QTR Raw'!AV75</f>
        <v>2.83</v>
      </c>
      <c r="CC179" s="23">
        <f t="shared" si="1267"/>
        <v>2.83</v>
      </c>
      <c r="CD179" s="23">
        <f>+'QTR Raw'!AX74+'QTR Raw'!AX75</f>
        <v>2.5499999999999998</v>
      </c>
      <c r="CE179" s="23">
        <f t="shared" si="1267"/>
        <v>2.5499999999999998</v>
      </c>
      <c r="CF179" s="23">
        <f>+'QTR Raw'!AZ74+'QTR Raw'!AZ75</f>
        <v>0.6</v>
      </c>
      <c r="CG179" s="23">
        <f t="shared" si="1265"/>
        <v>0.6</v>
      </c>
      <c r="CH179" s="23">
        <f t="shared" si="1252"/>
        <v>14.15</v>
      </c>
      <c r="CI179" s="23">
        <f t="shared" si="1265"/>
        <v>14.15</v>
      </c>
      <c r="CJ179" s="23">
        <f>+'QTR Raw'!BD74+'QTR Raw'!BD75</f>
        <v>3.05</v>
      </c>
      <c r="CK179" s="23">
        <f t="shared" si="1268"/>
        <v>3.05</v>
      </c>
      <c r="CL179" s="23">
        <f>+'QTR Raw'!BF74+'QTR Raw'!BF75</f>
        <v>3.06</v>
      </c>
      <c r="CM179" s="24">
        <f t="shared" si="1269"/>
        <v>3.06</v>
      </c>
      <c r="CN179" s="24">
        <f t="shared" si="1270"/>
        <v>3.06</v>
      </c>
      <c r="CO179" s="24">
        <f t="shared" si="1271"/>
        <v>3.06</v>
      </c>
      <c r="CP179" s="24">
        <f t="shared" si="1272"/>
        <v>3.06</v>
      </c>
      <c r="CQ179" s="24">
        <f t="shared" si="1273"/>
        <v>3.06</v>
      </c>
      <c r="CR179" s="24">
        <f t="shared" si="1274"/>
        <v>3.06</v>
      </c>
      <c r="CS179" s="24">
        <f t="shared" si="1275"/>
        <v>3.06</v>
      </c>
      <c r="CT179" s="24">
        <f t="shared" si="1276"/>
        <v>3.06</v>
      </c>
      <c r="CU179" s="24">
        <f t="shared" si="1277"/>
        <v>3.06</v>
      </c>
      <c r="CV179" s="24">
        <f t="shared" si="1278"/>
        <v>3.06</v>
      </c>
      <c r="CW179" s="24">
        <f t="shared" si="1279"/>
        <v>3.06</v>
      </c>
      <c r="CX179" s="24">
        <f t="shared" si="1280"/>
        <v>3.06</v>
      </c>
      <c r="CY179" s="24">
        <f t="shared" si="1281"/>
        <v>3.06</v>
      </c>
      <c r="CZ179" s="24">
        <f t="shared" si="1282"/>
        <v>3.06</v>
      </c>
      <c r="DA179" s="24">
        <f t="shared" si="1283"/>
        <v>3.06</v>
      </c>
      <c r="DB179" s="24">
        <f t="shared" si="1284"/>
        <v>3.06</v>
      </c>
      <c r="DE179" s="123"/>
      <c r="DF179" s="23">
        <v>3.05</v>
      </c>
    </row>
    <row r="180" spans="1:110" s="22" customFormat="1" x14ac:dyDescent="0.2">
      <c r="A180" s="22" t="s">
        <v>57</v>
      </c>
      <c r="B180" s="22">
        <f>B176+B179+B178</f>
        <v>0</v>
      </c>
      <c r="C180" s="22">
        <f t="shared" ref="C180:D180" si="1285">C176+C179+C178</f>
        <v>0</v>
      </c>
      <c r="D180" s="22">
        <f t="shared" si="1285"/>
        <v>0</v>
      </c>
      <c r="E180" s="22">
        <f t="shared" ref="E180:Y180" si="1286">E176+E179+E178+E177</f>
        <v>0</v>
      </c>
      <c r="F180" s="22">
        <f t="shared" si="1286"/>
        <v>0</v>
      </c>
      <c r="G180" s="22">
        <f t="shared" si="1286"/>
        <v>0</v>
      </c>
      <c r="H180" s="22">
        <f t="shared" si="1286"/>
        <v>13.887394699999998</v>
      </c>
      <c r="I180" s="22">
        <f t="shared" si="1286"/>
        <v>17.648060699999998</v>
      </c>
      <c r="J180" s="22">
        <f t="shared" si="1286"/>
        <v>19.608216199999998</v>
      </c>
      <c r="K180" s="22">
        <f t="shared" si="1286"/>
        <v>15.1402386</v>
      </c>
      <c r="L180" s="22">
        <f t="shared" si="1286"/>
        <v>16.402999999999999</v>
      </c>
      <c r="M180" s="22">
        <f t="shared" si="1286"/>
        <v>19.634</v>
      </c>
      <c r="N180" s="22">
        <f t="shared" si="1286"/>
        <v>85.474000000000004</v>
      </c>
      <c r="O180" s="22">
        <f t="shared" si="1286"/>
        <v>93.760999999999996</v>
      </c>
      <c r="P180" s="22">
        <f t="shared" si="1286"/>
        <v>201.56299999999999</v>
      </c>
      <c r="Q180" s="22">
        <f t="shared" si="1286"/>
        <v>260.49599999999998</v>
      </c>
      <c r="R180" s="22">
        <f t="shared" si="1286"/>
        <v>276.11700000000008</v>
      </c>
      <c r="S180" s="22">
        <f t="shared" si="1286"/>
        <v>298.75</v>
      </c>
      <c r="T180" s="22">
        <f t="shared" si="1286"/>
        <v>295.77</v>
      </c>
      <c r="U180" s="22">
        <f t="shared" si="1286"/>
        <v>274.02</v>
      </c>
      <c r="V180" s="22">
        <f t="shared" si="1286"/>
        <v>261.33999999999997</v>
      </c>
      <c r="W180" s="22">
        <f t="shared" si="1286"/>
        <v>287.89999999999998</v>
      </c>
      <c r="X180" s="22">
        <f t="shared" si="1286"/>
        <v>295.50000000000006</v>
      </c>
      <c r="Y180" s="22">
        <f t="shared" si="1286"/>
        <v>308.43000000000006</v>
      </c>
      <c r="Z180" s="22">
        <f>Z176+Z179+Z178+Z177</f>
        <v>311.36000000000007</v>
      </c>
      <c r="AA180" s="22">
        <f>AA176+AA179+AA178+AA177</f>
        <v>320.38</v>
      </c>
      <c r="AB180" s="21">
        <f t="shared" ref="AB180:AE180" si="1287">AB176+AB179+AB178+AB177</f>
        <v>258.52117905580815</v>
      </c>
      <c r="AC180" s="21">
        <f t="shared" si="1287"/>
        <v>257.66950158283186</v>
      </c>
      <c r="AD180" s="21">
        <f t="shared" si="1287"/>
        <v>257.11949930908128</v>
      </c>
      <c r="AE180" s="21">
        <f t="shared" si="1287"/>
        <v>256.76431496908276</v>
      </c>
      <c r="AJ180" s="22">
        <f t="shared" ref="AJ180" si="1288">AJ176+AJ179+AJ177+AJ178</f>
        <v>0</v>
      </c>
      <c r="AK180" s="22">
        <f t="shared" ref="AK180" si="1289">AK176+AK179+AK177+AK178</f>
        <v>0</v>
      </c>
      <c r="AL180" s="22">
        <f t="shared" ref="AL180:AM180" si="1290">AL176+AL179+AL177+AL178</f>
        <v>0</v>
      </c>
      <c r="AM180" s="22">
        <f t="shared" si="1290"/>
        <v>0</v>
      </c>
      <c r="AN180" s="22">
        <f t="shared" ref="AN180:AO180" si="1291">AN176+AN179+AN177+AN178</f>
        <v>0</v>
      </c>
      <c r="AO180" s="22">
        <f t="shared" si="1291"/>
        <v>0</v>
      </c>
      <c r="AP180" s="22">
        <f t="shared" ref="AP180:CE180" si="1292">AP176+AP179+AP177+AP178</f>
        <v>0</v>
      </c>
      <c r="AQ180" s="22">
        <f t="shared" si="1292"/>
        <v>0</v>
      </c>
      <c r="AR180" s="22">
        <f t="shared" si="1292"/>
        <v>0</v>
      </c>
      <c r="AS180" s="22">
        <f t="shared" si="1292"/>
        <v>0</v>
      </c>
      <c r="AT180" s="22">
        <f t="shared" si="1292"/>
        <v>0</v>
      </c>
      <c r="AU180" s="22">
        <f t="shared" si="1292"/>
        <v>0</v>
      </c>
      <c r="AV180" s="22">
        <f t="shared" si="1292"/>
        <v>0</v>
      </c>
      <c r="AW180" s="22">
        <f t="shared" si="1292"/>
        <v>0</v>
      </c>
      <c r="AX180" s="22">
        <f t="shared" si="1292"/>
        <v>260.49599999999998</v>
      </c>
      <c r="AY180" s="22">
        <f t="shared" si="1292"/>
        <v>260.49599999999998</v>
      </c>
      <c r="AZ180" s="22">
        <f t="shared" si="1292"/>
        <v>265.40899999999999</v>
      </c>
      <c r="BA180" s="22">
        <f t="shared" si="1292"/>
        <v>265.40899999999999</v>
      </c>
      <c r="BB180" s="22">
        <f t="shared" si="1292"/>
        <v>276.11700000000002</v>
      </c>
      <c r="BC180" s="22">
        <f t="shared" si="1292"/>
        <v>276.11700000000002</v>
      </c>
      <c r="BD180" s="22">
        <f t="shared" si="1292"/>
        <v>278.31100000000004</v>
      </c>
      <c r="BE180" s="22">
        <f t="shared" si="1292"/>
        <v>278.31100000000004</v>
      </c>
      <c r="BF180" s="22">
        <f t="shared" si="1292"/>
        <v>298.75</v>
      </c>
      <c r="BG180" s="22">
        <f t="shared" si="1292"/>
        <v>298.75</v>
      </c>
      <c r="BH180" s="22">
        <f t="shared" si="1292"/>
        <v>301.02</v>
      </c>
      <c r="BI180" s="22">
        <f t="shared" si="1292"/>
        <v>301.02</v>
      </c>
      <c r="BJ180" s="22">
        <f t="shared" si="1292"/>
        <v>295.77</v>
      </c>
      <c r="BK180" s="22">
        <f t="shared" si="1292"/>
        <v>295.77</v>
      </c>
      <c r="BL180" s="22">
        <f t="shared" si="1292"/>
        <v>272.97000000000003</v>
      </c>
      <c r="BM180" s="22">
        <f t="shared" si="1292"/>
        <v>272.97000000000003</v>
      </c>
      <c r="BN180" s="22">
        <f t="shared" si="1292"/>
        <v>249.33</v>
      </c>
      <c r="BO180" s="22">
        <f t="shared" si="1292"/>
        <v>249.33</v>
      </c>
      <c r="BP180" s="22">
        <f t="shared" si="1292"/>
        <v>249.34</v>
      </c>
      <c r="BQ180" s="22">
        <f t="shared" si="1292"/>
        <v>249.34</v>
      </c>
      <c r="BR180" s="22">
        <f t="shared" si="1292"/>
        <v>238.84</v>
      </c>
      <c r="BS180" s="22">
        <f t="shared" si="1292"/>
        <v>238.84</v>
      </c>
      <c r="BT180" s="22">
        <f t="shared" si="1292"/>
        <v>243.33</v>
      </c>
      <c r="BU180" s="22">
        <f t="shared" si="1292"/>
        <v>243.33</v>
      </c>
      <c r="BV180" s="22">
        <f t="shared" si="1292"/>
        <v>253.64999999999998</v>
      </c>
      <c r="BW180" s="22">
        <f t="shared" si="1292"/>
        <v>253.64999999999998</v>
      </c>
      <c r="BX180" s="22">
        <f t="shared" si="1292"/>
        <v>250.82999999999998</v>
      </c>
      <c r="BY180" s="22">
        <f t="shared" si="1292"/>
        <v>250.82999999999998</v>
      </c>
      <c r="BZ180" s="22">
        <f t="shared" si="1292"/>
        <v>260.12</v>
      </c>
      <c r="CA180" s="22">
        <f t="shared" si="1292"/>
        <v>260.12</v>
      </c>
      <c r="CB180" s="22">
        <f t="shared" si="1292"/>
        <v>260.32000000000005</v>
      </c>
      <c r="CC180" s="22">
        <f t="shared" si="1292"/>
        <v>260.32000000000005</v>
      </c>
      <c r="CD180" s="22">
        <f t="shared" si="1292"/>
        <v>275.71000000000004</v>
      </c>
      <c r="CE180" s="22">
        <f t="shared" si="1292"/>
        <v>275.71000000000004</v>
      </c>
      <c r="CF180" s="22">
        <f t="shared" ref="CF180:CG180" si="1293">CF176+CF179+CF177+CF178</f>
        <v>264.74</v>
      </c>
      <c r="CG180" s="22">
        <f t="shared" si="1293"/>
        <v>264.74</v>
      </c>
      <c r="CH180" s="22">
        <f t="shared" ref="CH180:CJ180" si="1294">CH176+CH179+CH177+CH178</f>
        <v>311.36000000000007</v>
      </c>
      <c r="CI180" s="22">
        <f t="shared" si="1294"/>
        <v>299.95000000000005</v>
      </c>
      <c r="CJ180" s="22">
        <f t="shared" si="1294"/>
        <v>268.37</v>
      </c>
      <c r="CK180" s="22">
        <f t="shared" ref="CK180:DB180" si="1295">CK176+CK179+CK177+CK178</f>
        <v>246.74</v>
      </c>
      <c r="CL180" s="22">
        <f t="shared" si="1295"/>
        <v>259.83999999999997</v>
      </c>
      <c r="CM180" s="21">
        <f t="shared" si="1295"/>
        <v>259.45442943607912</v>
      </c>
      <c r="CN180" s="21">
        <f t="shared" si="1295"/>
        <v>259.10878768092567</v>
      </c>
      <c r="CO180" s="21">
        <f t="shared" si="1295"/>
        <v>258.79893979811357</v>
      </c>
      <c r="CP180" s="21">
        <f t="shared" si="1295"/>
        <v>258.52117905580815</v>
      </c>
      <c r="CQ180" s="21">
        <f t="shared" si="1295"/>
        <v>258.27218258287496</v>
      </c>
      <c r="CR180" s="21">
        <f t="shared" si="1295"/>
        <v>258.0489716171403</v>
      </c>
      <c r="CS180" s="21">
        <f t="shared" si="1295"/>
        <v>257.84887587025162</v>
      </c>
      <c r="CT180" s="21">
        <f t="shared" si="1295"/>
        <v>257.66950158283186</v>
      </c>
      <c r="CU180" s="21">
        <f t="shared" si="1295"/>
        <v>257.50870288776889</v>
      </c>
      <c r="CV180" s="21">
        <f t="shared" si="1295"/>
        <v>257.36455613905764</v>
      </c>
      <c r="CW180" s="21">
        <f t="shared" si="1295"/>
        <v>257.23533689908879</v>
      </c>
      <c r="CX180" s="21">
        <f t="shared" si="1295"/>
        <v>257.11949930908128</v>
      </c>
      <c r="CY180" s="21">
        <f t="shared" si="1295"/>
        <v>257.01565759586595</v>
      </c>
      <c r="CZ180" s="21">
        <f t="shared" si="1295"/>
        <v>256.92256949378452</v>
      </c>
      <c r="DA180" s="21">
        <f t="shared" si="1295"/>
        <v>256.8391213833786</v>
      </c>
      <c r="DB180" s="21">
        <f t="shared" si="1295"/>
        <v>256.76431496908276</v>
      </c>
      <c r="DE180" s="126"/>
      <c r="DF180" s="22">
        <v>243.08789383234677</v>
      </c>
    </row>
    <row r="181" spans="1:110" s="23" customFormat="1" x14ac:dyDescent="0.2">
      <c r="AB181" s="24"/>
      <c r="AC181" s="24"/>
      <c r="AD181" s="24"/>
      <c r="AE181" s="24"/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E181" s="123"/>
    </row>
    <row r="182" spans="1:110" s="23" customFormat="1" x14ac:dyDescent="0.2">
      <c r="A182" s="23" t="s">
        <v>58</v>
      </c>
      <c r="B182" s="23">
        <f>'Annual Raw'!C71</f>
        <v>0</v>
      </c>
      <c r="C182" s="23">
        <f>'Annual Raw'!D71</f>
        <v>0</v>
      </c>
      <c r="D182" s="23">
        <f>'Annual Raw'!E71</f>
        <v>0</v>
      </c>
      <c r="E182" s="23">
        <f>'Annual Raw'!F71</f>
        <v>0</v>
      </c>
      <c r="F182" s="23">
        <f>'Annual Raw'!G71</f>
        <v>0</v>
      </c>
      <c r="G182" s="23">
        <f>'Annual Raw'!H71</f>
        <v>0</v>
      </c>
      <c r="H182" s="23">
        <f>'Annual Raw'!I71</f>
        <v>1.4070499999999999</v>
      </c>
      <c r="I182" s="23">
        <f>'Annual Raw'!J71</f>
        <v>1.4079999999999999</v>
      </c>
      <c r="J182" s="23">
        <f>'Annual Raw'!K71</f>
        <v>1.4079999999999999</v>
      </c>
      <c r="K182" s="23">
        <f>'Annual Raw'!L71</f>
        <v>0</v>
      </c>
      <c r="L182" s="23">
        <f>'Annual Raw'!M71</f>
        <v>24</v>
      </c>
      <c r="M182" s="23">
        <f>'Annual Raw'!N71</f>
        <v>24</v>
      </c>
      <c r="N182" s="23">
        <f>'Annual Raw'!O71</f>
        <v>17.614999999999998</v>
      </c>
      <c r="O182" s="23">
        <f>'Annual Raw'!P71</f>
        <v>17.614999999999998</v>
      </c>
      <c r="P182" s="23">
        <f>'Annual Raw'!Q71</f>
        <v>1.615</v>
      </c>
      <c r="Q182" s="23">
        <f>'Annual Raw'!R71</f>
        <v>1.615</v>
      </c>
      <c r="R182" s="23">
        <f>'Annual Raw'!S71</f>
        <v>0</v>
      </c>
      <c r="S182" s="23">
        <f>'Annual Raw'!T71</f>
        <v>20</v>
      </c>
      <c r="T182" s="23">
        <f>'Annual Raw'!U71</f>
        <v>20.66</v>
      </c>
      <c r="U182" s="23">
        <f>'Annual Raw'!V71</f>
        <v>21.17</v>
      </c>
      <c r="V182" s="23">
        <f>'Annual Raw'!W71</f>
        <v>21.1</v>
      </c>
      <c r="W182" s="23">
        <f>'Annual Raw'!X71</f>
        <v>20.92</v>
      </c>
      <c r="X182" s="23">
        <f>'Annual Raw'!Y71</f>
        <v>22.1</v>
      </c>
      <c r="Y182" s="23">
        <f>'Annual Raw'!Z71</f>
        <v>25.62</v>
      </c>
      <c r="Z182" s="23">
        <f>'Annual Raw'!AA71</f>
        <v>24.17</v>
      </c>
      <c r="AA182" s="23">
        <f>'Annual Raw'!AB71</f>
        <v>25.14</v>
      </c>
      <c r="AB182" s="24">
        <f>+CP182</f>
        <v>25.14</v>
      </c>
      <c r="AC182" s="24">
        <f>+CT182</f>
        <v>25.14</v>
      </c>
      <c r="AD182" s="24">
        <f>+CX182</f>
        <v>25.14</v>
      </c>
      <c r="AE182" s="24">
        <f>+DB182</f>
        <v>25.14</v>
      </c>
      <c r="AJ182" s="23">
        <f>+'QTR Raw'!D77</f>
        <v>0</v>
      </c>
      <c r="AK182" s="23">
        <f t="shared" ref="AK182:CE182" si="1296">+AJ182</f>
        <v>0</v>
      </c>
      <c r="AL182" s="23">
        <f>+'QTR Raw'!F77</f>
        <v>0</v>
      </c>
      <c r="AM182" s="23">
        <f t="shared" si="1296"/>
        <v>0</v>
      </c>
      <c r="AN182" s="23">
        <f>+'QTR Raw'!H77</f>
        <v>0</v>
      </c>
      <c r="AO182" s="23">
        <f t="shared" si="1296"/>
        <v>0</v>
      </c>
      <c r="AP182" s="23">
        <f>+'QTR Raw'!J77</f>
        <v>0</v>
      </c>
      <c r="AQ182" s="23">
        <f t="shared" si="1296"/>
        <v>0</v>
      </c>
      <c r="AR182" s="23">
        <f>+'QTR Raw'!L77</f>
        <v>0</v>
      </c>
      <c r="AS182" s="23">
        <f t="shared" si="1296"/>
        <v>0</v>
      </c>
      <c r="AT182" s="23">
        <f>+'QTR Raw'!N77</f>
        <v>0</v>
      </c>
      <c r="AU182" s="23">
        <f t="shared" si="1296"/>
        <v>0</v>
      </c>
      <c r="AV182" s="23">
        <f>+'QTR Raw'!P77</f>
        <v>0</v>
      </c>
      <c r="AW182" s="23">
        <f t="shared" si="1296"/>
        <v>0</v>
      </c>
      <c r="AX182" s="23">
        <f>+'QTR Raw'!R77</f>
        <v>1.615</v>
      </c>
      <c r="AY182" s="23">
        <f t="shared" si="1296"/>
        <v>1.615</v>
      </c>
      <c r="AZ182" s="23">
        <f>+'QTR Raw'!T77</f>
        <v>0</v>
      </c>
      <c r="BA182" s="23">
        <f t="shared" si="1296"/>
        <v>0</v>
      </c>
      <c r="BB182" s="23">
        <f>+'QTR Raw'!V77</f>
        <v>0</v>
      </c>
      <c r="BC182" s="23">
        <f t="shared" si="1296"/>
        <v>0</v>
      </c>
      <c r="BD182" s="23">
        <f>+'QTR Raw'!X77</f>
        <v>1.7390000000000001</v>
      </c>
      <c r="BE182" s="23">
        <f t="shared" si="1296"/>
        <v>1.7390000000000001</v>
      </c>
      <c r="BF182" s="23">
        <f>+'QTR Raw'!Z77</f>
        <v>0</v>
      </c>
      <c r="BG182" s="23">
        <f t="shared" si="1296"/>
        <v>0</v>
      </c>
      <c r="BH182" s="23">
        <f>+'QTR Raw'!AB77</f>
        <v>20.41</v>
      </c>
      <c r="BI182" s="23">
        <f t="shared" si="1296"/>
        <v>20.41</v>
      </c>
      <c r="BJ182" s="23">
        <f>+'QTR Raw'!AD77</f>
        <v>20.66</v>
      </c>
      <c r="BK182" s="23">
        <f t="shared" si="1296"/>
        <v>20.66</v>
      </c>
      <c r="BL182" s="23">
        <f>+'QTR Raw'!AF77</f>
        <v>21.11</v>
      </c>
      <c r="BM182" s="23">
        <f t="shared" si="1296"/>
        <v>21.11</v>
      </c>
      <c r="BN182" s="23">
        <f>+'QTR Raw'!AH77</f>
        <v>21.17</v>
      </c>
      <c r="BO182" s="23">
        <f t="shared" si="1296"/>
        <v>21.17</v>
      </c>
      <c r="BP182" s="23">
        <f>+'QTR Raw'!AJ77</f>
        <v>20.86</v>
      </c>
      <c r="BQ182" s="23">
        <f t="shared" si="1296"/>
        <v>20.86</v>
      </c>
      <c r="BR182" s="23">
        <f>+'QTR Raw'!AL77</f>
        <v>21.1</v>
      </c>
      <c r="BS182" s="23">
        <f t="shared" si="1296"/>
        <v>21.1</v>
      </c>
      <c r="BT182" s="23">
        <f>+'QTR Raw'!AN77</f>
        <v>20.62</v>
      </c>
      <c r="BU182" s="23">
        <f t="shared" si="1296"/>
        <v>20.62</v>
      </c>
      <c r="BV182" s="23">
        <f>+'QTR Raw'!AP77</f>
        <v>20.92</v>
      </c>
      <c r="BW182" s="23">
        <f t="shared" si="1296"/>
        <v>20.92</v>
      </c>
      <c r="BX182" s="23">
        <f>+'QTR Raw'!AR77</f>
        <v>21.28</v>
      </c>
      <c r="BY182" s="23">
        <f t="shared" si="1296"/>
        <v>21.28</v>
      </c>
      <c r="BZ182" s="23">
        <f>+'QTR Raw'!AT77</f>
        <v>22.1</v>
      </c>
      <c r="CA182" s="23">
        <f t="shared" si="1296"/>
        <v>22.1</v>
      </c>
      <c r="CB182" s="23">
        <f>+'QTR Raw'!AV77</f>
        <v>22.58</v>
      </c>
      <c r="CC182" s="23">
        <f t="shared" si="1296"/>
        <v>22.58</v>
      </c>
      <c r="CD182" s="23">
        <f>+'QTR Raw'!AX77</f>
        <v>25.62</v>
      </c>
      <c r="CE182" s="23">
        <f t="shared" si="1296"/>
        <v>25.62</v>
      </c>
      <c r="CF182" s="23">
        <f>+'QTR Raw'!AZ77</f>
        <v>24.97</v>
      </c>
      <c r="CG182" s="23">
        <f t="shared" ref="CG182:CI182" si="1297">+CF182</f>
        <v>24.97</v>
      </c>
      <c r="CH182" s="23">
        <f t="shared" ref="CH182" si="1298">Z182</f>
        <v>24.17</v>
      </c>
      <c r="CI182" s="23">
        <f t="shared" si="1297"/>
        <v>24.17</v>
      </c>
      <c r="CJ182" s="23">
        <f>+'QTR Raw'!BD77</f>
        <v>24.28</v>
      </c>
      <c r="CK182" s="23">
        <f t="shared" ref="CK182" si="1299">+CJ182</f>
        <v>24.28</v>
      </c>
      <c r="CL182" s="23">
        <f>+'QTR Raw'!BF77</f>
        <v>25.14</v>
      </c>
      <c r="CM182" s="24">
        <f t="shared" ref="CM182" si="1300">+CL182</f>
        <v>25.14</v>
      </c>
      <c r="CN182" s="24">
        <f t="shared" ref="CN182" si="1301">+CM182</f>
        <v>25.14</v>
      </c>
      <c r="CO182" s="24">
        <f t="shared" ref="CO182" si="1302">+CN182</f>
        <v>25.14</v>
      </c>
      <c r="CP182" s="24">
        <f t="shared" ref="CP182" si="1303">+CO182</f>
        <v>25.14</v>
      </c>
      <c r="CQ182" s="24">
        <f t="shared" ref="CQ182" si="1304">+CP182</f>
        <v>25.14</v>
      </c>
      <c r="CR182" s="24">
        <f t="shared" ref="CR182" si="1305">+CQ182</f>
        <v>25.14</v>
      </c>
      <c r="CS182" s="24">
        <f t="shared" ref="CS182" si="1306">+CR182</f>
        <v>25.14</v>
      </c>
      <c r="CT182" s="24">
        <f t="shared" ref="CT182" si="1307">+CS182</f>
        <v>25.14</v>
      </c>
      <c r="CU182" s="24">
        <f t="shared" ref="CU182" si="1308">+CT182</f>
        <v>25.14</v>
      </c>
      <c r="CV182" s="24">
        <f t="shared" ref="CV182" si="1309">+CU182</f>
        <v>25.14</v>
      </c>
      <c r="CW182" s="24">
        <f t="shared" ref="CW182" si="1310">+CV182</f>
        <v>25.14</v>
      </c>
      <c r="CX182" s="24">
        <f t="shared" ref="CX182" si="1311">+CW182</f>
        <v>25.14</v>
      </c>
      <c r="CY182" s="24">
        <f t="shared" ref="CY182" si="1312">+CX182</f>
        <v>25.14</v>
      </c>
      <c r="CZ182" s="24">
        <f t="shared" ref="CZ182" si="1313">+CY182</f>
        <v>25.14</v>
      </c>
      <c r="DA182" s="24">
        <f t="shared" ref="DA182" si="1314">+CZ182</f>
        <v>25.14</v>
      </c>
      <c r="DB182" s="24">
        <f t="shared" ref="DB182" si="1315">+DA182</f>
        <v>25.14</v>
      </c>
      <c r="DE182" s="123"/>
      <c r="DF182" s="23">
        <v>24.28</v>
      </c>
    </row>
    <row r="183" spans="1:110" s="28" customFormat="1" x14ac:dyDescent="0.2">
      <c r="A183" s="28" t="s">
        <v>557</v>
      </c>
      <c r="P183" s="28">
        <v>1.62</v>
      </c>
      <c r="Q183" s="28">
        <v>1.62</v>
      </c>
      <c r="R183" s="28">
        <v>1.62</v>
      </c>
      <c r="S183" s="28">
        <v>21.61</v>
      </c>
      <c r="T183" s="28">
        <v>22.27</v>
      </c>
      <c r="U183" s="28">
        <v>21.17</v>
      </c>
      <c r="V183" s="28">
        <v>21.1</v>
      </c>
      <c r="W183" s="28">
        <v>20.92</v>
      </c>
      <c r="X183" s="28">
        <v>22.1</v>
      </c>
      <c r="Y183" s="28">
        <v>25.62</v>
      </c>
      <c r="Z183" s="28">
        <v>24.17</v>
      </c>
      <c r="AA183" s="28">
        <v>24.17</v>
      </c>
      <c r="AB183" s="30"/>
      <c r="AC183" s="30"/>
      <c r="AD183" s="30"/>
      <c r="AE183" s="30"/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30"/>
      <c r="DE183" s="139"/>
    </row>
    <row r="184" spans="1:110" s="23" customFormat="1" x14ac:dyDescent="0.2">
      <c r="AB184" s="24"/>
      <c r="AC184" s="24"/>
      <c r="AD184" s="24"/>
      <c r="AE184" s="24"/>
      <c r="CM184" s="24"/>
      <c r="CN184" s="24"/>
      <c r="CO184" s="24"/>
      <c r="CP184" s="24"/>
      <c r="CQ184" s="24"/>
      <c r="CR184" s="24"/>
      <c r="CS184" s="24"/>
      <c r="CT184" s="24"/>
      <c r="CU184" s="24"/>
      <c r="CV184" s="24"/>
      <c r="CW184" s="24"/>
      <c r="CX184" s="24"/>
      <c r="CY184" s="24"/>
      <c r="CZ184" s="24"/>
      <c r="DA184" s="24"/>
      <c r="DB184" s="24"/>
      <c r="DE184" s="123"/>
    </row>
    <row r="185" spans="1:110" s="23" customFormat="1" outlineLevel="1" x14ac:dyDescent="0.2">
      <c r="A185" s="23" t="s">
        <v>62</v>
      </c>
      <c r="B185" s="23">
        <f>'Annual Raw'!C77</f>
        <v>0</v>
      </c>
      <c r="C185" s="23">
        <f>'Annual Raw'!D77</f>
        <v>0</v>
      </c>
      <c r="D185" s="23">
        <f>'Annual Raw'!E77</f>
        <v>0</v>
      </c>
      <c r="E185" s="23">
        <f>'Annual Raw'!F77</f>
        <v>0</v>
      </c>
      <c r="F185" s="23">
        <f>'Annual Raw'!G77</f>
        <v>0</v>
      </c>
      <c r="G185" s="23">
        <f>'Annual Raw'!H77</f>
        <v>0</v>
      </c>
      <c r="H185" s="23">
        <f>'Annual Raw'!I77</f>
        <v>5.5359255999999997</v>
      </c>
      <c r="I185" s="23">
        <f>'Annual Raw'!J77</f>
        <v>2.4613976000000002</v>
      </c>
      <c r="J185" s="23">
        <f>'Annual Raw'!K77</f>
        <v>1.4401482000000001</v>
      </c>
      <c r="K185" s="23">
        <f>'Annual Raw'!L77</f>
        <v>1.7908550999999999</v>
      </c>
      <c r="L185" s="23">
        <f>'Annual Raw'!M77</f>
        <v>2.9569999999999999</v>
      </c>
      <c r="M185" s="23">
        <f>'Annual Raw'!N77</f>
        <v>3.4329999999999998</v>
      </c>
      <c r="N185" s="23">
        <f>'Annual Raw'!O77</f>
        <v>3.3330000000000002</v>
      </c>
      <c r="O185" s="23">
        <f>'Annual Raw'!P77</f>
        <v>4.9059999999999997</v>
      </c>
      <c r="P185" s="23">
        <f>'Annual Raw'!Q77</f>
        <v>4.9119999999999999</v>
      </c>
      <c r="Q185" s="23">
        <f>'Annual Raw'!R77</f>
        <v>7.5049999999999999</v>
      </c>
      <c r="R185" s="23">
        <f>'Annual Raw'!S77</f>
        <v>6.2750000000000004</v>
      </c>
      <c r="S185" s="23">
        <f>'Annual Raw'!T77</f>
        <v>9.5399999999999991</v>
      </c>
      <c r="T185" s="23">
        <f>'Annual Raw'!U77</f>
        <v>12.16</v>
      </c>
      <c r="U185" s="23">
        <f>'Annual Raw'!V77</f>
        <v>16.3</v>
      </c>
      <c r="V185" s="23">
        <f>'Annual Raw'!W77</f>
        <v>44.68</v>
      </c>
      <c r="W185" s="23">
        <f>'Annual Raw'!X77</f>
        <v>93.2</v>
      </c>
      <c r="X185" s="23">
        <f>'Annual Raw'!Y77</f>
        <v>85.11</v>
      </c>
      <c r="Y185" s="23">
        <f>'Annual Raw'!Z77</f>
        <v>43.47</v>
      </c>
      <c r="Z185" s="23">
        <v>73</v>
      </c>
      <c r="AA185" s="23">
        <v>73</v>
      </c>
      <c r="AB185" s="24">
        <f>+CP185</f>
        <v>86.635981584282206</v>
      </c>
      <c r="AC185" s="24">
        <f>+CT185</f>
        <v>102.60023927153256</v>
      </c>
      <c r="AD185" s="24">
        <f>+CX185</f>
        <v>121.65198439549717</v>
      </c>
      <c r="AE185" s="24">
        <f>+DB185</f>
        <v>144.38833702643649</v>
      </c>
      <c r="AJ185" s="23">
        <f>+'QTR Raw'!D82</f>
        <v>0</v>
      </c>
      <c r="AK185" s="23" t="e">
        <f>+AK231*AK43/90</f>
        <v>#DIV/0!</v>
      </c>
      <c r="AL185" s="23">
        <f>+'QTR Raw'!F82</f>
        <v>0</v>
      </c>
      <c r="AM185" s="23" t="e">
        <f>+AM231*AM43/90</f>
        <v>#DIV/0!</v>
      </c>
      <c r="AN185" s="23">
        <f>+'QTR Raw'!H82</f>
        <v>0</v>
      </c>
      <c r="AO185" s="23" t="e">
        <f>+AO231*AO43/90</f>
        <v>#DIV/0!</v>
      </c>
      <c r="AP185" s="23">
        <f>+'QTR Raw'!J82</f>
        <v>0</v>
      </c>
      <c r="AQ185" s="23" t="e">
        <f>+AQ231*AQ43/90</f>
        <v>#DIV/0!</v>
      </c>
      <c r="AR185" s="23">
        <f>+'QTR Raw'!L82</f>
        <v>0</v>
      </c>
      <c r="AS185" s="23" t="e">
        <f>+AS231*AS43/90</f>
        <v>#DIV/0!</v>
      </c>
      <c r="AT185" s="23">
        <f>+'QTR Raw'!N82</f>
        <v>0</v>
      </c>
      <c r="AU185" s="23" t="e">
        <f>+AU231*AU43/90</f>
        <v>#DIV/0!</v>
      </c>
      <c r="AV185" s="23">
        <f>+'QTR Raw'!P82</f>
        <v>0</v>
      </c>
      <c r="AW185" s="23">
        <f>+AW231*AW43/90</f>
        <v>0</v>
      </c>
      <c r="AX185" s="23">
        <f>+'QTR Raw'!R82</f>
        <v>7.5049999999999999</v>
      </c>
      <c r="AY185" s="23">
        <f>+AY231*AY43/90</f>
        <v>7.9306928752593953</v>
      </c>
      <c r="AZ185" s="23">
        <f>+'QTR Raw'!T82</f>
        <v>8.3680000000000003</v>
      </c>
      <c r="BA185" s="23">
        <f>+BA231*BA43/90</f>
        <v>7.535997133643856</v>
      </c>
      <c r="BB185" s="23">
        <f>+'QTR Raw'!V82</f>
        <v>6.2750000000000004</v>
      </c>
      <c r="BC185" s="23">
        <f>+BC231*BC43/90</f>
        <v>6.3213875751871065</v>
      </c>
      <c r="BD185" s="23">
        <f>+'QTR Raw'!X82</f>
        <v>7.609</v>
      </c>
      <c r="BE185" s="23">
        <f>+BE231*BE43/90</f>
        <v>7.2489303239583807</v>
      </c>
      <c r="BF185" s="23">
        <f>+'QTR Raw'!Z82</f>
        <v>9.84</v>
      </c>
      <c r="BG185" s="23">
        <f>+BG231*BG43/90</f>
        <v>9.8898820608317823</v>
      </c>
      <c r="BH185" s="23">
        <f>+'QTR Raw'!AB82</f>
        <v>12.98</v>
      </c>
      <c r="BI185" s="23">
        <f>+BI231*BI43/90</f>
        <v>12.031615325375434</v>
      </c>
      <c r="BJ185" s="23">
        <f>+'QTR Raw'!AD82</f>
        <v>12.16</v>
      </c>
      <c r="BK185" s="23">
        <f>+BK231*BK43/90</f>
        <v>12.636772421630836</v>
      </c>
      <c r="BL185" s="23">
        <f>+'QTR Raw'!AF82</f>
        <v>16.23</v>
      </c>
      <c r="BM185" s="23">
        <f>+BM231*BM43/90</f>
        <v>14.770919649002069</v>
      </c>
      <c r="BN185" s="23">
        <f>+'QTR Raw'!AH82</f>
        <v>16.559999999999999</v>
      </c>
      <c r="BO185" s="23">
        <f>+BO231*BO43/90</f>
        <v>9.1860331230283911</v>
      </c>
      <c r="BP185" s="23">
        <f>+'QTR Raw'!AJ82</f>
        <v>38.06</v>
      </c>
      <c r="BQ185" s="23">
        <f>+BQ231*BQ43/90</f>
        <v>34.339681566068521</v>
      </c>
      <c r="BR185" s="23">
        <f>+'QTR Raw'!AL82</f>
        <v>44.68</v>
      </c>
      <c r="BS185" s="23">
        <f>+BS231*BS43/90</f>
        <v>50.099169163715608</v>
      </c>
      <c r="BT185" s="23">
        <f>+'QTR Raw'!AN82</f>
        <v>109.79</v>
      </c>
      <c r="BU185" s="23">
        <f>+BU231*BU43/90</f>
        <v>73.147642018046653</v>
      </c>
      <c r="BV185" s="23">
        <f>+'QTR Raw'!AP82</f>
        <v>93.2</v>
      </c>
      <c r="BW185" s="23">
        <f>+BW231*BW43/90</f>
        <v>91.222640931372553</v>
      </c>
      <c r="BX185" s="23">
        <f>+'QTR Raw'!AR82</f>
        <v>89.61</v>
      </c>
      <c r="BY185" s="23">
        <f>+BY231*BY43/90</f>
        <v>85.002358301844865</v>
      </c>
      <c r="BZ185" s="23">
        <f>+'QTR Raw'!AT82</f>
        <v>85.12</v>
      </c>
      <c r="CA185" s="23">
        <f>+CA231*CA43/90</f>
        <v>84.499829261112737</v>
      </c>
      <c r="CB185" s="23">
        <f>+'QTR Raw'!AV82</f>
        <v>55.36</v>
      </c>
      <c r="CC185" s="23">
        <f>+CC231*CC43/90</f>
        <v>50.400043243243253</v>
      </c>
      <c r="CD185" s="23">
        <f>+'QTR Raw'!AX82</f>
        <v>43.47</v>
      </c>
      <c r="CE185" s="23">
        <f>+CE231*CE43/90</f>
        <v>44.219628525121557</v>
      </c>
      <c r="CF185" s="23">
        <f>+'QTR Raw'!AZ82</f>
        <v>47.93</v>
      </c>
      <c r="CG185" s="23">
        <f>+CG231*CG43/90</f>
        <v>44.838439332431207</v>
      </c>
      <c r="CH185" s="23">
        <f>Z185</f>
        <v>73</v>
      </c>
      <c r="CI185" s="23">
        <f>+CI231*CI43/90</f>
        <v>75.289538362898057</v>
      </c>
      <c r="CJ185" s="23">
        <f>+'QTR Raw'!BD82</f>
        <v>75.489999999999995</v>
      </c>
      <c r="CK185" s="23">
        <f t="shared" ref="CK185:DB185" si="1316">+CK231*CK43/90</f>
        <v>68.168658846349217</v>
      </c>
      <c r="CL185" s="23">
        <f>+'QTR Raw'!BF82</f>
        <v>73.88</v>
      </c>
      <c r="CM185" s="24">
        <f t="shared" si="1316"/>
        <v>74.177794626479141</v>
      </c>
      <c r="CN185" s="24">
        <f t="shared" si="1316"/>
        <v>83.305963057825409</v>
      </c>
      <c r="CO185" s="24">
        <f t="shared" si="1316"/>
        <v>75.588155414154954</v>
      </c>
      <c r="CP185" s="24">
        <f t="shared" si="1316"/>
        <v>86.635981584282206</v>
      </c>
      <c r="CQ185" s="24">
        <f t="shared" si="1316"/>
        <v>87.732638956090383</v>
      </c>
      <c r="CR185" s="24">
        <f t="shared" si="1316"/>
        <v>98.626195162059048</v>
      </c>
      <c r="CS185" s="24">
        <f t="shared" si="1316"/>
        <v>89.415763520102701</v>
      </c>
      <c r="CT185" s="24">
        <f t="shared" si="1316"/>
        <v>102.60023927153256</v>
      </c>
      <c r="CU185" s="24">
        <f t="shared" si="1316"/>
        <v>103.90899017904849</v>
      </c>
      <c r="CV185" s="24">
        <f t="shared" si="1316"/>
        <v>116.90936015525143</v>
      </c>
      <c r="CW185" s="24">
        <f t="shared" si="1316"/>
        <v>105.91763103374073</v>
      </c>
      <c r="CX185" s="24">
        <f t="shared" si="1316"/>
        <v>121.65198439549717</v>
      </c>
      <c r="CY185" s="24">
        <f t="shared" si="1316"/>
        <v>123.21384772852664</v>
      </c>
      <c r="CZ185" s="24">
        <f t="shared" si="1316"/>
        <v>138.72848925812724</v>
      </c>
      <c r="DA185" s="24">
        <f t="shared" si="1316"/>
        <v>125.61095972451642</v>
      </c>
      <c r="DB185" s="24">
        <f t="shared" si="1316"/>
        <v>144.38833702643649</v>
      </c>
      <c r="DE185" s="123"/>
      <c r="DF185" s="23">
        <v>76.676147912067592</v>
      </c>
    </row>
    <row r="186" spans="1:110" s="23" customFormat="1" outlineLevel="1" x14ac:dyDescent="0.2">
      <c r="A186" s="23" t="s">
        <v>61</v>
      </c>
      <c r="B186" s="23">
        <f>'Annual Raw'!C76</f>
        <v>0</v>
      </c>
      <c r="C186" s="23">
        <f>'Annual Raw'!D76</f>
        <v>0</v>
      </c>
      <c r="D186" s="23">
        <f>'Annual Raw'!E76</f>
        <v>0</v>
      </c>
      <c r="E186" s="23">
        <f>'Annual Raw'!F76</f>
        <v>0</v>
      </c>
      <c r="F186" s="23">
        <f>'Annual Raw'!G76</f>
        <v>0</v>
      </c>
      <c r="G186" s="23">
        <f>'Annual Raw'!H76</f>
        <v>0</v>
      </c>
      <c r="H186" s="23">
        <f>'Annual Raw'!I76</f>
        <v>2.3098105000000002</v>
      </c>
      <c r="I186" s="23">
        <f>'Annual Raw'!J76</f>
        <v>3.0263909</v>
      </c>
      <c r="J186" s="23">
        <f>'Annual Raw'!K76</f>
        <v>3.4157829999999998</v>
      </c>
      <c r="K186" s="23">
        <f>'Annual Raw'!L76</f>
        <v>2.4854639000000001</v>
      </c>
      <c r="L186" s="23">
        <f>'Annual Raw'!M76</f>
        <v>4.0019999999999998</v>
      </c>
      <c r="M186" s="23">
        <f>'Annual Raw'!N76</f>
        <v>5.0970000000000004</v>
      </c>
      <c r="N186" s="23">
        <f>'Annual Raw'!O76</f>
        <v>5.2450000000000001</v>
      </c>
      <c r="O186" s="23">
        <f>'Annual Raw'!P76</f>
        <v>6.2949999999999999</v>
      </c>
      <c r="P186" s="23">
        <f>'Annual Raw'!Q76</f>
        <v>7.3659999999999997</v>
      </c>
      <c r="Q186" s="23">
        <f>'Annual Raw'!R76</f>
        <v>10.717000000000001</v>
      </c>
      <c r="R186" s="23">
        <f>'Annual Raw'!S76</f>
        <v>14.497999999999999</v>
      </c>
      <c r="S186" s="23">
        <f>'Annual Raw'!T76</f>
        <v>17.05</v>
      </c>
      <c r="T186" s="23">
        <f>'Annual Raw'!U76</f>
        <v>18.079999999999998</v>
      </c>
      <c r="U186" s="23">
        <f>'Annual Raw'!V76</f>
        <v>20.62</v>
      </c>
      <c r="V186" s="23">
        <f>'Annual Raw'!W76</f>
        <v>23.36</v>
      </c>
      <c r="W186" s="23">
        <f>'Annual Raw'!X76</f>
        <v>24.53</v>
      </c>
      <c r="X186" s="23">
        <f>'Annual Raw'!Y76</f>
        <v>27.67</v>
      </c>
      <c r="Y186" s="23">
        <f>'Annual Raw'!Z76</f>
        <v>47.52</v>
      </c>
      <c r="Z186" s="23">
        <f>'Annual Raw'!AA76</f>
        <v>46.54</v>
      </c>
      <c r="AA186" s="23">
        <f>'Annual Raw'!AB76</f>
        <v>48.46</v>
      </c>
      <c r="AB186" s="24">
        <f>+CP186</f>
        <v>56.827012284438496</v>
      </c>
      <c r="AC186" s="24">
        <f>+CT186</f>
        <v>67.298424405772451</v>
      </c>
      <c r="AD186" s="24">
        <f>+CX186</f>
        <v>79.7950076313724</v>
      </c>
      <c r="AE186" s="24">
        <f>+DB186</f>
        <v>94.708430052803365</v>
      </c>
      <c r="AJ186" s="23">
        <f>+'QTR Raw'!D81</f>
        <v>0</v>
      </c>
      <c r="AK186" s="23" t="e">
        <f>+AK230*AK43/90</f>
        <v>#DIV/0!</v>
      </c>
      <c r="AL186" s="23">
        <f>+'QTR Raw'!F81</f>
        <v>0</v>
      </c>
      <c r="AM186" s="23" t="e">
        <f>+AM230*AM43/90</f>
        <v>#DIV/0!</v>
      </c>
      <c r="AN186" s="23">
        <f>+'QTR Raw'!H81</f>
        <v>0</v>
      </c>
      <c r="AO186" s="23" t="e">
        <f>+AO230*AO43/90</f>
        <v>#DIV/0!</v>
      </c>
      <c r="AP186" s="23">
        <f>+'QTR Raw'!J81</f>
        <v>0</v>
      </c>
      <c r="AQ186" s="23" t="e">
        <f>+AQ230*AQ43/90</f>
        <v>#DIV/0!</v>
      </c>
      <c r="AR186" s="23">
        <f>+'QTR Raw'!L81</f>
        <v>0</v>
      </c>
      <c r="AS186" s="23" t="e">
        <f>+AS230*AS43/90</f>
        <v>#DIV/0!</v>
      </c>
      <c r="AT186" s="23">
        <f>+'QTR Raw'!N81</f>
        <v>0</v>
      </c>
      <c r="AU186" s="23" t="e">
        <f>+AU230*AU43/90</f>
        <v>#DIV/0!</v>
      </c>
      <c r="AV186" s="23">
        <f>+'QTR Raw'!P81</f>
        <v>0</v>
      </c>
      <c r="AW186" s="23">
        <f>+AW230*AW43/90</f>
        <v>0</v>
      </c>
      <c r="AX186" s="23">
        <f>+'QTR Raw'!R81</f>
        <v>10.717000000000001</v>
      </c>
      <c r="AY186" s="23">
        <f>+AY230*AY43/90</f>
        <v>11.324881484897396</v>
      </c>
      <c r="AZ186" s="23">
        <f>+'QTR Raw'!T81</f>
        <v>13.715</v>
      </c>
      <c r="BA186" s="23">
        <f>+BA230*BA43/90</f>
        <v>12.351362414905052</v>
      </c>
      <c r="BB186" s="23">
        <f>+'QTR Raw'!V81</f>
        <v>14.497999999999999</v>
      </c>
      <c r="BC186" s="23">
        <f>+BC230*BC43/90</f>
        <v>14.605175627898433</v>
      </c>
      <c r="BD186" s="23">
        <f>+'QTR Raw'!X81</f>
        <v>16.779</v>
      </c>
      <c r="BE186" s="23">
        <f>+BE230*BE43/90</f>
        <v>15.984991707937663</v>
      </c>
      <c r="BF186" s="23">
        <f>+'QTR Raw'!Z81</f>
        <v>17.05</v>
      </c>
      <c r="BG186" s="23">
        <f>+BG230*BG43/90</f>
        <v>17.13643182288434</v>
      </c>
      <c r="BH186" s="23">
        <f>+'QTR Raw'!AB81</f>
        <v>21.95</v>
      </c>
      <c r="BI186" s="23">
        <f>+BI230*BI43/90</f>
        <v>20.346221601848285</v>
      </c>
      <c r="BJ186" s="23">
        <f>+'QTR Raw'!AD81</f>
        <v>18.079999999999998</v>
      </c>
      <c r="BK186" s="23">
        <f>+BK230*BK43/90</f>
        <v>18.788885311109006</v>
      </c>
      <c r="BL186" s="23">
        <f>+'QTR Raw'!AF81</f>
        <v>23.18</v>
      </c>
      <c r="BM186" s="23">
        <f>+BM230*BM43/90</f>
        <v>21.096113214039917</v>
      </c>
      <c r="BN186" s="23">
        <f>+'QTR Raw'!AH81</f>
        <v>20.62</v>
      </c>
      <c r="BO186" s="23">
        <f>+BO230*BO43/90</f>
        <v>11.438164432176658</v>
      </c>
      <c r="BP186" s="23">
        <f>+'QTR Raw'!AJ81</f>
        <v>26.99</v>
      </c>
      <c r="BQ186" s="23">
        <f>+BQ230*BQ43/90</f>
        <v>24.35176052202284</v>
      </c>
      <c r="BR186" s="23">
        <f>+'QTR Raw'!AL81</f>
        <v>23.36</v>
      </c>
      <c r="BS186" s="23">
        <f>+BS230*BS43/90</f>
        <v>26.193298828657042</v>
      </c>
      <c r="BT186" s="23">
        <f>+'QTR Raw'!AN81</f>
        <v>21.32</v>
      </c>
      <c r="BU186" s="23">
        <f>+BU230*BU43/90</f>
        <v>14.204460586799842</v>
      </c>
      <c r="BV186" s="23">
        <f>+'QTR Raw'!AP81</f>
        <v>24.53</v>
      </c>
      <c r="BW186" s="23">
        <f>+BW230*BW43/90</f>
        <v>24.009564185049022</v>
      </c>
      <c r="BX186" s="23">
        <f>+'QTR Raw'!AR81</f>
        <v>26.81</v>
      </c>
      <c r="BY186" s="23">
        <f>+BY230*BY43/90</f>
        <v>25.431461065421949</v>
      </c>
      <c r="BZ186" s="23">
        <f>+'QTR Raw'!AT81</f>
        <v>27.67</v>
      </c>
      <c r="CA186" s="23">
        <f>+CA230*CA43/90</f>
        <v>27.468400794818958</v>
      </c>
      <c r="CB186" s="23">
        <f>+'QTR Raw'!AV81</f>
        <v>32.28</v>
      </c>
      <c r="CC186" s="23">
        <f>+CC230*CC43/90</f>
        <v>29.387886486486494</v>
      </c>
      <c r="CD186" s="23">
        <f>+'QTR Raw'!AX81</f>
        <v>47.52</v>
      </c>
      <c r="CE186" s="23">
        <f>+CE230*CE43/90</f>
        <v>48.339469692058358</v>
      </c>
      <c r="CF186" s="23">
        <f>+'QTR Raw'!AZ81</f>
        <v>44.07</v>
      </c>
      <c r="CG186" s="23">
        <f>+CG230*CG43/90</f>
        <v>41.227415426251682</v>
      </c>
      <c r="CH186" s="23">
        <f>Z186</f>
        <v>46.54</v>
      </c>
      <c r="CI186" s="23">
        <f>+CI230*CI43/90</f>
        <v>47.999659115195556</v>
      </c>
      <c r="CJ186" s="23">
        <f>+'QTR Raw'!BD81</f>
        <v>37.92</v>
      </c>
      <c r="CK186" s="23">
        <f t="shared" ref="CK186:DB186" si="1317">+CK230*CK43/90</f>
        <v>34.242357179143767</v>
      </c>
      <c r="CL186" s="23">
        <f>+'QTR Raw'!BF81</f>
        <v>48.46</v>
      </c>
      <c r="CM186" s="24">
        <f t="shared" si="1317"/>
        <v>48.655331992409032</v>
      </c>
      <c r="CN186" s="24">
        <f t="shared" si="1317"/>
        <v>54.642758118329986</v>
      </c>
      <c r="CO186" s="24">
        <f t="shared" si="1317"/>
        <v>49.580427874525583</v>
      </c>
      <c r="CP186" s="24">
        <f t="shared" si="1317"/>
        <v>56.827012284438496</v>
      </c>
      <c r="CQ186" s="24">
        <f t="shared" si="1317"/>
        <v>57.546341145264485</v>
      </c>
      <c r="CR186" s="24">
        <f t="shared" si="1317"/>
        <v>64.691735483938572</v>
      </c>
      <c r="CS186" s="24">
        <f t="shared" si="1317"/>
        <v>58.650350570982361</v>
      </c>
      <c r="CT186" s="24">
        <f t="shared" si="1317"/>
        <v>67.298424405772451</v>
      </c>
      <c r="CU186" s="24">
        <f t="shared" si="1317"/>
        <v>68.156871468282219</v>
      </c>
      <c r="CV186" s="24">
        <f t="shared" si="1317"/>
        <v>76.684185072055826</v>
      </c>
      <c r="CW186" s="24">
        <f t="shared" si="1317"/>
        <v>69.474396316933891</v>
      </c>
      <c r="CX186" s="24">
        <f t="shared" si="1317"/>
        <v>79.7950076313724</v>
      </c>
      <c r="CY186" s="24">
        <f t="shared" si="1317"/>
        <v>80.819478355771537</v>
      </c>
      <c r="CZ186" s="24">
        <f t="shared" si="1317"/>
        <v>90.995974410514975</v>
      </c>
      <c r="DA186" s="24">
        <f t="shared" si="1317"/>
        <v>82.391812510152491</v>
      </c>
      <c r="DB186" s="24">
        <f t="shared" si="1317"/>
        <v>94.708430052803365</v>
      </c>
      <c r="DE186" s="123"/>
      <c r="DF186" s="23">
        <v>38.515823669699351</v>
      </c>
    </row>
    <row r="187" spans="1:110" s="23" customFormat="1" outlineLevel="1" x14ac:dyDescent="0.2">
      <c r="A187" s="23" t="s">
        <v>64</v>
      </c>
      <c r="B187" s="23">
        <f>'Annual Raw'!C80</f>
        <v>0</v>
      </c>
      <c r="C187" s="23">
        <f>'Annual Raw'!D80</f>
        <v>0</v>
      </c>
      <c r="D187" s="23">
        <f>'Annual Raw'!E80</f>
        <v>0</v>
      </c>
      <c r="E187" s="23">
        <f>'Annual Raw'!F80</f>
        <v>0</v>
      </c>
      <c r="F187" s="23">
        <f>'Annual Raw'!G80</f>
        <v>0</v>
      </c>
      <c r="G187" s="23">
        <f>'Annual Raw'!H80</f>
        <v>0</v>
      </c>
      <c r="H187" s="23">
        <f>'Annual Raw'!I80</f>
        <v>28.810276099999999</v>
      </c>
      <c r="I187" s="23">
        <f>'Annual Raw'!J80</f>
        <v>53.879570600000001</v>
      </c>
      <c r="J187" s="23">
        <f>'Annual Raw'!K80</f>
        <v>48.450961900000003</v>
      </c>
      <c r="K187" s="23">
        <f>'Annual Raw'!L80</f>
        <v>44.277788999999999</v>
      </c>
      <c r="L187" s="23">
        <f>'Annual Raw'!M80</f>
        <v>7.8609999999999998</v>
      </c>
      <c r="M187" s="23">
        <f>'Annual Raw'!N80</f>
        <v>21.84</v>
      </c>
      <c r="N187" s="23">
        <f>'Annual Raw'!O80</f>
        <v>1.613</v>
      </c>
      <c r="O187" s="23">
        <f>'Annual Raw'!P80</f>
        <v>3.9729999999999999</v>
      </c>
      <c r="P187" s="23">
        <f>'Annual Raw'!Q80</f>
        <v>6.6130000000000004</v>
      </c>
      <c r="Q187" s="23">
        <f>'Annual Raw'!R80</f>
        <v>6.8479999999999999</v>
      </c>
      <c r="R187" s="23">
        <f>'Annual Raw'!S80</f>
        <v>7.5640000000000001</v>
      </c>
      <c r="S187" s="23">
        <f>'Annual Raw'!T80</f>
        <v>1.87</v>
      </c>
      <c r="T187" s="23">
        <f>'Annual Raw'!U80</f>
        <v>1.66</v>
      </c>
      <c r="U187" s="23">
        <f>'Annual Raw'!V80</f>
        <v>2.82</v>
      </c>
      <c r="V187" s="23">
        <f>'Annual Raw'!W80</f>
        <v>4.5199999999999996</v>
      </c>
      <c r="W187" s="23">
        <f>'Annual Raw'!X80</f>
        <v>161.47</v>
      </c>
      <c r="X187" s="23">
        <f>'Annual Raw'!Y80</f>
        <v>6.27</v>
      </c>
      <c r="Y187" s="23">
        <f>'Annual Raw'!Z80</f>
        <v>7.49</v>
      </c>
      <c r="Z187" s="23">
        <f>'Annual Raw'!AA80</f>
        <v>13.44</v>
      </c>
      <c r="AA187" s="23">
        <f>'Annual Raw'!AB80</f>
        <v>16.809999999999999</v>
      </c>
      <c r="AB187" s="24">
        <f>+CP187</f>
        <v>0</v>
      </c>
      <c r="AC187" s="24">
        <f>+CT187</f>
        <v>0</v>
      </c>
      <c r="AD187" s="24">
        <f>+CX187</f>
        <v>0</v>
      </c>
      <c r="AE187" s="24">
        <f>+DB187</f>
        <v>0</v>
      </c>
      <c r="AJ187" s="23">
        <f>+'QTR Raw'!D85</f>
        <v>0</v>
      </c>
      <c r="AK187" s="23">
        <f>+AJ187</f>
        <v>0</v>
      </c>
      <c r="AL187" s="23">
        <f>+'QTR Raw'!F85</f>
        <v>0</v>
      </c>
      <c r="AM187" s="23">
        <f>+AL187</f>
        <v>0</v>
      </c>
      <c r="AN187" s="23">
        <f>+'QTR Raw'!H85</f>
        <v>0</v>
      </c>
      <c r="AO187" s="23">
        <f>+AN187</f>
        <v>0</v>
      </c>
      <c r="AP187" s="23">
        <f>+'QTR Raw'!J85</f>
        <v>0</v>
      </c>
      <c r="AQ187" s="23">
        <f>+AP187</f>
        <v>0</v>
      </c>
      <c r="AR187" s="23">
        <f>+'QTR Raw'!L85</f>
        <v>0</v>
      </c>
      <c r="AS187" s="23">
        <f>+AR187</f>
        <v>0</v>
      </c>
      <c r="AT187" s="23">
        <f>+'QTR Raw'!N85</f>
        <v>0</v>
      </c>
      <c r="AU187" s="23">
        <f>+AT187</f>
        <v>0</v>
      </c>
      <c r="AV187" s="23">
        <f>+'QTR Raw'!P85</f>
        <v>0</v>
      </c>
      <c r="AW187" s="23">
        <f>+AV187</f>
        <v>0</v>
      </c>
      <c r="AX187" s="23">
        <f>+'QTR Raw'!R85</f>
        <v>7.6950000000000003</v>
      </c>
      <c r="AY187" s="23">
        <f>+AX187</f>
        <v>7.6950000000000003</v>
      </c>
      <c r="AZ187" s="23">
        <f>+'QTR Raw'!T85</f>
        <v>18.756</v>
      </c>
      <c r="BA187" s="23">
        <f>+AZ187</f>
        <v>18.756</v>
      </c>
      <c r="BB187" s="23">
        <f>+'QTR Raw'!V85</f>
        <v>6.9820000000000002</v>
      </c>
      <c r="BC187" s="23">
        <f>+BB187</f>
        <v>6.9820000000000002</v>
      </c>
      <c r="BD187" s="23">
        <f>+'QTR Raw'!X85</f>
        <v>2.0110000000000001</v>
      </c>
      <c r="BE187" s="23">
        <f>+BD187</f>
        <v>2.0110000000000001</v>
      </c>
      <c r="BF187" s="23">
        <f>+'QTR Raw'!Z85</f>
        <v>0.02</v>
      </c>
      <c r="BG187" s="23">
        <f>+BF187</f>
        <v>0.02</v>
      </c>
      <c r="BH187" s="23">
        <f>+'QTR Raw'!AB85</f>
        <v>0.71</v>
      </c>
      <c r="BI187" s="23">
        <f>+BH187</f>
        <v>0.71</v>
      </c>
      <c r="BJ187" s="23">
        <f>+'QTR Raw'!AD85</f>
        <v>7.0000000000000007E-2</v>
      </c>
      <c r="BK187" s="23">
        <f>+BJ187</f>
        <v>7.0000000000000007E-2</v>
      </c>
      <c r="BL187" s="23">
        <f>+'QTR Raw'!AF85</f>
        <v>0.05</v>
      </c>
      <c r="BM187" s="23">
        <f>+BL187</f>
        <v>0.05</v>
      </c>
      <c r="BN187" s="23">
        <f>+'QTR Raw'!AH85</f>
        <v>0.66</v>
      </c>
      <c r="BO187" s="23">
        <f>+BN187</f>
        <v>0.66</v>
      </c>
      <c r="BP187" s="23">
        <f>+'QTR Raw'!AJ85</f>
        <v>0.75</v>
      </c>
      <c r="BQ187" s="23">
        <f>+BP187</f>
        <v>0.75</v>
      </c>
      <c r="BR187" s="23">
        <f>+'QTR Raw'!AL85</f>
        <v>0.6</v>
      </c>
      <c r="BS187" s="23">
        <f>+BR187</f>
        <v>0.6</v>
      </c>
      <c r="BT187" s="23">
        <f>+'QTR Raw'!AN85</f>
        <v>0.05</v>
      </c>
      <c r="BU187" s="23">
        <f>+BT187</f>
        <v>0.05</v>
      </c>
      <c r="BV187" s="23">
        <f>+'QTR Raw'!AP85</f>
        <v>0.06</v>
      </c>
      <c r="BW187" s="23">
        <f>+BV187</f>
        <v>0.06</v>
      </c>
      <c r="BX187" s="23">
        <f>+'QTR Raw'!AR85</f>
        <v>0.01</v>
      </c>
      <c r="BY187" s="23">
        <f>+BX187</f>
        <v>0.01</v>
      </c>
      <c r="BZ187" s="23">
        <f>+'QTR Raw'!AT85</f>
        <v>0</v>
      </c>
      <c r="CA187" s="23">
        <f>+BZ187</f>
        <v>0</v>
      </c>
      <c r="CB187" s="23">
        <f>+'QTR Raw'!AV85</f>
        <v>0</v>
      </c>
      <c r="CC187" s="23">
        <f>+CB187</f>
        <v>0</v>
      </c>
      <c r="CD187" s="23">
        <f>+'QTR Raw'!AX85</f>
        <v>0</v>
      </c>
      <c r="CE187" s="23">
        <f>+CD187</f>
        <v>0</v>
      </c>
      <c r="CF187" s="23">
        <f>+'QTR Raw'!AZ85</f>
        <v>0</v>
      </c>
      <c r="CG187" s="23">
        <f>+CF187</f>
        <v>0</v>
      </c>
      <c r="CH187" s="23">
        <f>Z187</f>
        <v>13.44</v>
      </c>
      <c r="CJ187" s="23">
        <f>+'QTR Raw'!BD85</f>
        <v>0</v>
      </c>
      <c r="CL187" s="23">
        <f>+'QTR Raw'!BF85</f>
        <v>0</v>
      </c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  <c r="CW187" s="24"/>
      <c r="CX187" s="24"/>
      <c r="CY187" s="24"/>
      <c r="CZ187" s="24"/>
      <c r="DA187" s="24"/>
      <c r="DB187" s="24"/>
      <c r="DE187" s="123"/>
      <c r="DF187" s="23">
        <v>0</v>
      </c>
    </row>
    <row r="188" spans="1:110" s="23" customFormat="1" outlineLevel="1" x14ac:dyDescent="0.2">
      <c r="A188" s="23" t="s">
        <v>63</v>
      </c>
      <c r="B188" s="23">
        <f>'Annual Raw'!C79</f>
        <v>0</v>
      </c>
      <c r="C188" s="23">
        <f>'Annual Raw'!D79</f>
        <v>0</v>
      </c>
      <c r="D188" s="23">
        <f>'Annual Raw'!E79</f>
        <v>0</v>
      </c>
      <c r="E188" s="23">
        <f>'Annual Raw'!F79</f>
        <v>0</v>
      </c>
      <c r="F188" s="23">
        <f>'Annual Raw'!G79</f>
        <v>0</v>
      </c>
      <c r="G188" s="23">
        <f>'Annual Raw'!H79</f>
        <v>0</v>
      </c>
      <c r="H188" s="23">
        <f>'Annual Raw'!I79</f>
        <v>0</v>
      </c>
      <c r="I188" s="23">
        <f>'Annual Raw'!J79</f>
        <v>0</v>
      </c>
      <c r="J188" s="23">
        <f>'Annual Raw'!K79</f>
        <v>0</v>
      </c>
      <c r="K188" s="23">
        <f>'Annual Raw'!L79</f>
        <v>0</v>
      </c>
      <c r="L188" s="23">
        <f>'Annual Raw'!M79</f>
        <v>1.1060000000000001</v>
      </c>
      <c r="M188" s="23">
        <f>'Annual Raw'!N79</f>
        <v>0.38</v>
      </c>
      <c r="N188" s="23">
        <f>'Annual Raw'!O79</f>
        <v>0.72799999999999998</v>
      </c>
      <c r="O188" s="23">
        <f>'Annual Raw'!P79</f>
        <v>0.28199999999999997</v>
      </c>
      <c r="P188" s="23">
        <f>('Annual Raw'!Q79)-0.92</f>
        <v>1.4849999999999999</v>
      </c>
      <c r="Q188" s="23">
        <f>('Annual Raw'!R79)-0.85</f>
        <v>6.5570000000000004</v>
      </c>
      <c r="R188" s="23">
        <f>('Annual Raw'!S79)-5.11</f>
        <v>0.13300000000000001</v>
      </c>
      <c r="S188" s="23">
        <f>('Annual Raw'!T79)-1.61</f>
        <v>6.999999999999984E-2</v>
      </c>
      <c r="T188" s="23">
        <f>('Annual Raw'!U79)-0.89</f>
        <v>0.23000000000000009</v>
      </c>
      <c r="U188" s="23">
        <f>('Annual Raw'!V79)-0.97</f>
        <v>0.30000000000000004</v>
      </c>
      <c r="V188" s="23">
        <f>('Annual Raw'!W79)-1.24</f>
        <v>6.0699999999999994</v>
      </c>
      <c r="W188" s="23">
        <f>('Annual Raw'!X79)-1.22</f>
        <v>1.22</v>
      </c>
      <c r="X188" s="23">
        <f>('Annual Raw'!Y79)-2.56</f>
        <v>0.54999999999999982</v>
      </c>
      <c r="Y188" s="23">
        <f>('Annual Raw'!Z79)-2.7</f>
        <v>0.69</v>
      </c>
      <c r="Z188" s="23">
        <f>('Annual Raw'!AA79)-3.69</f>
        <v>9.2100000000000009</v>
      </c>
      <c r="AA188" s="23">
        <f>('Annual Raw'!AB79)-3.69</f>
        <v>9.7900000000000009</v>
      </c>
      <c r="AB188" s="24">
        <f>+CP188</f>
        <v>122.63658573476219</v>
      </c>
      <c r="AC188" s="24">
        <f>+CT188</f>
        <v>145.23461049021213</v>
      </c>
      <c r="AD188" s="24">
        <f>+CX188</f>
        <v>172.20309323336616</v>
      </c>
      <c r="AE188" s="24">
        <f>+DB188</f>
        <v>204.38728053904612</v>
      </c>
      <c r="AJ188" s="23">
        <f>+'QTR Raw'!D84</f>
        <v>0</v>
      </c>
      <c r="AK188" s="23">
        <f>+AJ188</f>
        <v>0</v>
      </c>
      <c r="AL188" s="23">
        <f>+'QTR Raw'!F84</f>
        <v>0</v>
      </c>
      <c r="AM188" s="23">
        <f>+AL188</f>
        <v>0</v>
      </c>
      <c r="AN188" s="23">
        <f>+'QTR Raw'!H84</f>
        <v>0</v>
      </c>
      <c r="AO188" s="23">
        <f>+AN188</f>
        <v>0</v>
      </c>
      <c r="AP188" s="23">
        <f>+'QTR Raw'!J84</f>
        <v>0</v>
      </c>
      <c r="AQ188" s="23">
        <f>+AP188</f>
        <v>0</v>
      </c>
      <c r="AR188" s="23">
        <f>+'QTR Raw'!L84</f>
        <v>0</v>
      </c>
      <c r="AS188" s="23">
        <f>+AR188</f>
        <v>0</v>
      </c>
      <c r="AT188" s="23">
        <f>+'QTR Raw'!N84</f>
        <v>0</v>
      </c>
      <c r="AU188" s="23">
        <f>+AT188</f>
        <v>0</v>
      </c>
      <c r="AV188" s="23">
        <f>+'QTR Raw'!P84</f>
        <v>0</v>
      </c>
      <c r="AW188" s="23">
        <f>+AV188</f>
        <v>0</v>
      </c>
      <c r="AX188" s="23">
        <f>+'QTR Raw'!R84</f>
        <v>6.56</v>
      </c>
      <c r="AY188" s="23">
        <f>+AX188</f>
        <v>6.56</v>
      </c>
      <c r="AZ188" s="23">
        <f>+'QTR Raw'!T84</f>
        <v>6.7000000000000004E-2</v>
      </c>
      <c r="BA188" s="23">
        <f>+AZ188</f>
        <v>6.7000000000000004E-2</v>
      </c>
      <c r="BB188" s="23">
        <f>+'QTR Raw'!V84</f>
        <v>5.8259999999999996</v>
      </c>
      <c r="BC188" s="23">
        <f>+BB188</f>
        <v>5.8259999999999996</v>
      </c>
      <c r="BD188" s="23">
        <f>+'QTR Raw'!X84</f>
        <v>3.4159999999999999</v>
      </c>
      <c r="BE188" s="23">
        <f>+BD188</f>
        <v>3.4159999999999999</v>
      </c>
      <c r="BF188" s="23">
        <f>+'QTR Raw'!Z84</f>
        <v>3.53</v>
      </c>
      <c r="BG188" s="23">
        <f>+BF188</f>
        <v>3.53</v>
      </c>
      <c r="BH188" s="23">
        <f>+'QTR Raw'!AB84</f>
        <v>28.12</v>
      </c>
      <c r="BI188" s="23">
        <f>+BH188</f>
        <v>28.12</v>
      </c>
      <c r="BJ188" s="23">
        <f>+'QTR Raw'!AD84</f>
        <v>21.47</v>
      </c>
      <c r="BK188" s="23">
        <f>+BJ188</f>
        <v>21.47</v>
      </c>
      <c r="BL188" s="23">
        <f>+'QTR Raw'!AF84</f>
        <v>37.1</v>
      </c>
      <c r="BM188" s="23">
        <f>+BL188</f>
        <v>37.1</v>
      </c>
      <c r="BN188" s="23">
        <f>+'QTR Raw'!AH84</f>
        <v>34.31</v>
      </c>
      <c r="BO188" s="23">
        <f>+BN188</f>
        <v>34.31</v>
      </c>
      <c r="BP188" s="23">
        <f>+'QTR Raw'!AJ84</f>
        <v>38.46</v>
      </c>
      <c r="BQ188" s="23">
        <f>+BP188</f>
        <v>38.46</v>
      </c>
      <c r="BR188" s="23">
        <f>+'QTR Raw'!AL84</f>
        <v>49.27</v>
      </c>
      <c r="BS188" s="23">
        <f>+BR188</f>
        <v>49.27</v>
      </c>
      <c r="BT188" s="23">
        <f>+'QTR Raw'!AN84</f>
        <v>12.24</v>
      </c>
      <c r="BU188" s="23">
        <f>+BT188</f>
        <v>12.24</v>
      </c>
      <c r="BV188" s="23">
        <f>+'QTR Raw'!AP84</f>
        <v>13.11</v>
      </c>
      <c r="BW188" s="23">
        <f>+BV188</f>
        <v>13.11</v>
      </c>
      <c r="BX188" s="23">
        <f>+'QTR Raw'!AR84</f>
        <v>15.19</v>
      </c>
      <c r="BY188" s="23">
        <f>+BX188</f>
        <v>15.19</v>
      </c>
      <c r="BZ188" s="23">
        <f>+'QTR Raw'!AT84</f>
        <v>9.3800000000000008</v>
      </c>
      <c r="CA188" s="23">
        <f>+BZ188</f>
        <v>9.3800000000000008</v>
      </c>
      <c r="CB188" s="23">
        <f>+'QTR Raw'!AV84</f>
        <v>22.08</v>
      </c>
      <c r="CC188" s="23">
        <f>+CB188</f>
        <v>22.08</v>
      </c>
      <c r="CD188" s="23">
        <f>+'QTR Raw'!AX84</f>
        <v>10.88</v>
      </c>
      <c r="CE188" s="23">
        <f>+CD188</f>
        <v>10.88</v>
      </c>
      <c r="CF188" s="23">
        <f>+'QTR Raw'!AZ84</f>
        <v>15.27</v>
      </c>
      <c r="CG188" s="23">
        <f t="shared" ref="CG188" si="1318">+CF188</f>
        <v>15.27</v>
      </c>
      <c r="CH188" s="23">
        <f>Z188</f>
        <v>9.2100000000000009</v>
      </c>
      <c r="CI188" s="23">
        <f>CI43/90*CI232</f>
        <v>81.353955973498586</v>
      </c>
      <c r="CJ188" s="23">
        <f>+'QTR Raw'!BD84</f>
        <v>17.739999999999998</v>
      </c>
      <c r="CK188" s="23">
        <f t="shared" ref="CK188:DB188" si="1319">CK43/90*CK232</f>
        <v>62.163604119521572</v>
      </c>
      <c r="CL188" s="23">
        <f>+'QTR Raw'!BF84</f>
        <v>30.29</v>
      </c>
      <c r="CM188" s="24">
        <f t="shared" si="1319"/>
        <v>105.00153982183522</v>
      </c>
      <c r="CN188" s="24">
        <f t="shared" si="1319"/>
        <v>117.92281560080373</v>
      </c>
      <c r="CO188" s="24">
        <f t="shared" si="1319"/>
        <v>106.99796011386471</v>
      </c>
      <c r="CP188" s="24">
        <f t="shared" si="1319"/>
        <v>122.63658573476219</v>
      </c>
      <c r="CQ188" s="24">
        <f t="shared" si="1319"/>
        <v>124.18894669772509</v>
      </c>
      <c r="CR188" s="24">
        <f t="shared" si="1319"/>
        <v>139.60919721234615</v>
      </c>
      <c r="CS188" s="24">
        <f t="shared" si="1319"/>
        <v>126.57147467423306</v>
      </c>
      <c r="CT188" s="24">
        <f t="shared" si="1319"/>
        <v>145.23461049021213</v>
      </c>
      <c r="CU188" s="24">
        <f t="shared" si="1319"/>
        <v>147.08719806341213</v>
      </c>
      <c r="CV188" s="24">
        <f t="shared" si="1319"/>
        <v>165.48972502756081</v>
      </c>
      <c r="CW188" s="24">
        <f t="shared" si="1319"/>
        <v>149.93050695057667</v>
      </c>
      <c r="CX188" s="24">
        <f t="shared" si="1319"/>
        <v>172.20309323336616</v>
      </c>
      <c r="CY188" s="24">
        <f t="shared" si="1319"/>
        <v>174.41397124322296</v>
      </c>
      <c r="CZ188" s="24">
        <f t="shared" si="1319"/>
        <v>196.37554692223802</v>
      </c>
      <c r="DA188" s="24">
        <f t="shared" si="1319"/>
        <v>177.80717606916519</v>
      </c>
      <c r="DB188" s="24">
        <f t="shared" si="1319"/>
        <v>204.38728053904612</v>
      </c>
      <c r="DE188" s="123"/>
      <c r="DF188" s="23">
        <v>69.921658792777023</v>
      </c>
    </row>
    <row r="189" spans="1:110" s="23" customFormat="1" outlineLevel="1" x14ac:dyDescent="0.2">
      <c r="A189" s="23" t="s">
        <v>59</v>
      </c>
      <c r="B189" s="23">
        <f>'Annual Raw'!C72</f>
        <v>0</v>
      </c>
      <c r="C189" s="23">
        <f>'Annual Raw'!D72</f>
        <v>0</v>
      </c>
      <c r="D189" s="23">
        <f>'Annual Raw'!E72</f>
        <v>0</v>
      </c>
      <c r="E189" s="23">
        <f>'Annual Raw'!F72+'Annual Raw'!F61</f>
        <v>0</v>
      </c>
      <c r="F189" s="23">
        <f>'Annual Raw'!G72+'Annual Raw'!G61</f>
        <v>0</v>
      </c>
      <c r="G189" s="23">
        <f>'Annual Raw'!H72+'Annual Raw'!H61</f>
        <v>0</v>
      </c>
      <c r="H189" s="23">
        <f>'Annual Raw'!I72+'Annual Raw'!I61</f>
        <v>0</v>
      </c>
      <c r="I189" s="23">
        <f>'Annual Raw'!J72+'Annual Raw'!J61</f>
        <v>0</v>
      </c>
      <c r="J189" s="23">
        <f>'Annual Raw'!K72+'Annual Raw'!K61</f>
        <v>0</v>
      </c>
      <c r="K189" s="23">
        <f>'Annual Raw'!L72+'Annual Raw'!L61</f>
        <v>0</v>
      </c>
      <c r="L189" s="23">
        <f>'Annual Raw'!M72+'Annual Raw'!M61</f>
        <v>4.4550000000000001</v>
      </c>
      <c r="M189" s="23">
        <f>'Annual Raw'!N72+'Annual Raw'!N61</f>
        <v>3.3929999999999998</v>
      </c>
      <c r="N189" s="23">
        <f>'Annual Raw'!O72+'Annual Raw'!O61</f>
        <v>5.3940000000000001</v>
      </c>
      <c r="O189" s="23">
        <f>'Annual Raw'!P72+'Annual Raw'!P61</f>
        <v>5.6050000000000004</v>
      </c>
      <c r="P189" s="23">
        <f>('Annual Raw'!Q72+'Annual Raw'!Q61)-4.25</f>
        <v>10.25</v>
      </c>
      <c r="Q189" s="23">
        <f>('Annual Raw'!R72+'Annual Raw'!R61)-4.61</f>
        <v>5.9939999999999989</v>
      </c>
      <c r="R189" s="23">
        <f>('Annual Raw'!S72+'Annual Raw'!S61)-4.24</f>
        <v>3.9919999999999991</v>
      </c>
      <c r="S189" s="23">
        <f>('Annual Raw'!T72+'Annual Raw'!T61)-4.21</f>
        <v>8.48</v>
      </c>
      <c r="T189" s="23">
        <f>('Annual Raw'!U72+'Annual Raw'!U61)-7.97</f>
        <v>8.9200000000000017</v>
      </c>
      <c r="U189" s="23">
        <f>('Annual Raw'!V72+'Annual Raw'!V61)-9.43</f>
        <v>8.89</v>
      </c>
      <c r="V189" s="23">
        <f>('Annual Raw'!W72+'Annual Raw'!W61)-10.4</f>
        <v>3.76</v>
      </c>
      <c r="W189" s="23">
        <f>('Annual Raw'!X72+'Annual Raw'!X61)-105.78</f>
        <v>7.7000000000000028</v>
      </c>
      <c r="X189" s="23">
        <f>('Annual Raw'!Y72+'Annual Raw'!Y61)-159.11</f>
        <v>10.289999999999992</v>
      </c>
      <c r="Y189" s="23">
        <f>('Annual Raw'!Z72+'Annual Raw'!Z61)-7.58</f>
        <v>7.8699999999999992</v>
      </c>
      <c r="Z189" s="23">
        <f>('Annual Raw'!AA72+'Annual Raw'!AA61)-1.65</f>
        <v>55.51</v>
      </c>
      <c r="AA189" s="23">
        <f>('Annual Raw'!AB72+'Annual Raw'!AB61)-1.65</f>
        <v>67.14</v>
      </c>
      <c r="AB189" s="24">
        <f t="shared" ref="AB189:AB194" si="1320">+CP189</f>
        <v>0</v>
      </c>
      <c r="AC189" s="24">
        <f t="shared" ref="AC189:AC194" si="1321">+CT189</f>
        <v>0</v>
      </c>
      <c r="AD189" s="24">
        <f t="shared" ref="AD189:AD194" si="1322">+CX189</f>
        <v>0</v>
      </c>
      <c r="AE189" s="24">
        <f t="shared" ref="AE189:AE194" si="1323">+DB189</f>
        <v>0</v>
      </c>
      <c r="AJ189" s="23">
        <f>+'QTR Raw'!D78</f>
        <v>0</v>
      </c>
      <c r="AK189" s="23">
        <f>+AJ189</f>
        <v>0</v>
      </c>
      <c r="AL189" s="23">
        <f>+'QTR Raw'!F78</f>
        <v>0</v>
      </c>
      <c r="AM189" s="23">
        <f>+AL189</f>
        <v>0</v>
      </c>
      <c r="AN189" s="23">
        <f>+'QTR Raw'!H78</f>
        <v>0</v>
      </c>
      <c r="AO189" s="23">
        <f>+AN189</f>
        <v>0</v>
      </c>
      <c r="AP189" s="23">
        <f>+'QTR Raw'!J78</f>
        <v>0</v>
      </c>
      <c r="AQ189" s="23">
        <f>+AP189</f>
        <v>0</v>
      </c>
      <c r="AR189" s="23">
        <f>+'QTR Raw'!L78</f>
        <v>0</v>
      </c>
      <c r="AS189" s="23">
        <f>+AR189</f>
        <v>0</v>
      </c>
      <c r="AT189" s="23">
        <f>+'QTR Raw'!N78</f>
        <v>0</v>
      </c>
      <c r="AU189" s="23">
        <f>+AT189</f>
        <v>0</v>
      </c>
      <c r="AV189" s="23">
        <f>+'QTR Raw'!P78</f>
        <v>0</v>
      </c>
      <c r="AW189" s="23">
        <f>+AV189</f>
        <v>0</v>
      </c>
      <c r="AX189" s="23">
        <f>+'QTR Raw'!R78</f>
        <v>10.603999999999999</v>
      </c>
      <c r="AY189" s="23">
        <f>+AX189</f>
        <v>10.603999999999999</v>
      </c>
      <c r="AZ189" s="23">
        <f>+'QTR Raw'!T78</f>
        <v>14.17</v>
      </c>
      <c r="BA189" s="23">
        <f>+AZ189</f>
        <v>14.17</v>
      </c>
      <c r="BB189" s="23">
        <f>+'QTR Raw'!V78</f>
        <v>0.628</v>
      </c>
      <c r="BC189" s="23">
        <f>+BB189</f>
        <v>0.628</v>
      </c>
      <c r="BD189" s="23">
        <f>+'QTR Raw'!X78</f>
        <v>0</v>
      </c>
      <c r="BE189" s="23">
        <f>+BD189</f>
        <v>0</v>
      </c>
      <c r="BF189" s="23">
        <f>+'QTR Raw'!Z78</f>
        <v>3.31</v>
      </c>
      <c r="BG189" s="23">
        <f>+BF189</f>
        <v>3.31</v>
      </c>
      <c r="BH189" s="23">
        <f>+'QTR Raw'!AB78</f>
        <v>2.38</v>
      </c>
      <c r="BI189" s="23">
        <f>+BH189</f>
        <v>2.38</v>
      </c>
      <c r="BJ189" s="23">
        <f>+'QTR Raw'!AD78</f>
        <v>4.1900000000000004</v>
      </c>
      <c r="BK189" s="23">
        <f>+BJ189</f>
        <v>4.1900000000000004</v>
      </c>
      <c r="BL189" s="23">
        <f>+'QTR Raw'!AF78</f>
        <v>0</v>
      </c>
      <c r="BM189" s="23">
        <f>+BL189</f>
        <v>0</v>
      </c>
      <c r="BN189" s="23">
        <f>+'QTR Raw'!AH78</f>
        <v>4.26</v>
      </c>
      <c r="BO189" s="23">
        <f>+BN189</f>
        <v>4.26</v>
      </c>
      <c r="BP189" s="23">
        <f>+'QTR Raw'!AJ78</f>
        <v>4.51</v>
      </c>
      <c r="BQ189" s="23">
        <f>+BP189</f>
        <v>4.51</v>
      </c>
      <c r="BR189" s="23">
        <f>+'QTR Raw'!AL78</f>
        <v>2.89</v>
      </c>
      <c r="BS189" s="23">
        <f>+BR189</f>
        <v>2.89</v>
      </c>
      <c r="BT189" s="23">
        <f>+'QTR Raw'!AN78</f>
        <v>0</v>
      </c>
      <c r="BU189" s="23">
        <f>+BT189</f>
        <v>0</v>
      </c>
      <c r="BV189" s="23">
        <f>+'QTR Raw'!AP78</f>
        <v>0</v>
      </c>
      <c r="BW189" s="23">
        <f>+BV189</f>
        <v>0</v>
      </c>
      <c r="BX189" s="23">
        <f>+'QTR Raw'!AR78</f>
        <v>0</v>
      </c>
      <c r="BY189" s="23">
        <f>+BX189</f>
        <v>0</v>
      </c>
      <c r="BZ189" s="23">
        <f>+'QTR Raw'!AT78</f>
        <v>0</v>
      </c>
      <c r="CA189" s="23">
        <f>+BZ189</f>
        <v>0</v>
      </c>
      <c r="CB189" s="23">
        <f>+'QTR Raw'!AV78</f>
        <v>0</v>
      </c>
      <c r="CC189" s="23">
        <f>+CB189</f>
        <v>0</v>
      </c>
      <c r="CD189" s="23">
        <f>+'QTR Raw'!AX78</f>
        <v>0</v>
      </c>
      <c r="CE189" s="23">
        <f>+CD189</f>
        <v>0</v>
      </c>
      <c r="CF189" s="23">
        <f>+'QTR Raw'!AZ78</f>
        <v>0</v>
      </c>
      <c r="CG189" s="23">
        <f>+CF189</f>
        <v>0</v>
      </c>
      <c r="CH189" s="23">
        <f>Z189</f>
        <v>55.51</v>
      </c>
      <c r="CJ189" s="23">
        <f>+'QTR Raw'!BD78</f>
        <v>0</v>
      </c>
      <c r="CL189" s="23">
        <f>+'QTR Raw'!BF78</f>
        <v>0</v>
      </c>
      <c r="CM189" s="24"/>
      <c r="CN189" s="24"/>
      <c r="CO189" s="24"/>
      <c r="CP189" s="24"/>
      <c r="CQ189" s="24"/>
      <c r="CR189" s="24"/>
      <c r="CS189" s="24"/>
      <c r="CT189" s="24"/>
      <c r="CU189" s="24"/>
      <c r="CV189" s="24"/>
      <c r="CW189" s="24"/>
      <c r="CX189" s="24"/>
      <c r="CY189" s="24"/>
      <c r="CZ189" s="24"/>
      <c r="DA189" s="24"/>
      <c r="DB189" s="24"/>
      <c r="DE189" s="123"/>
      <c r="DF189" s="23">
        <v>0</v>
      </c>
    </row>
    <row r="190" spans="1:110" s="23" customFormat="1" outlineLevel="1" x14ac:dyDescent="0.2">
      <c r="A190" s="23" t="s">
        <v>548</v>
      </c>
      <c r="P190" s="23">
        <v>0.92</v>
      </c>
      <c r="Q190" s="23">
        <v>0.85</v>
      </c>
      <c r="R190" s="23">
        <v>5.1100000000000003</v>
      </c>
      <c r="S190" s="23">
        <v>1.61</v>
      </c>
      <c r="T190" s="23">
        <v>0.89</v>
      </c>
      <c r="U190" s="23">
        <v>0.97</v>
      </c>
      <c r="V190" s="23">
        <v>1.24</v>
      </c>
      <c r="W190" s="23">
        <v>1.22</v>
      </c>
      <c r="X190" s="23">
        <v>2.56</v>
      </c>
      <c r="Y190" s="23">
        <v>2.7</v>
      </c>
      <c r="Z190" s="23">
        <v>3.69</v>
      </c>
      <c r="AA190" s="23">
        <v>3.69</v>
      </c>
      <c r="AB190" s="24">
        <f t="shared" si="1320"/>
        <v>0</v>
      </c>
      <c r="AC190" s="24">
        <f t="shared" si="1321"/>
        <v>0</v>
      </c>
      <c r="AD190" s="24">
        <f t="shared" si="1322"/>
        <v>0</v>
      </c>
      <c r="AE190" s="24">
        <f t="shared" si="1323"/>
        <v>0</v>
      </c>
      <c r="CM190" s="24"/>
      <c r="CN190" s="24"/>
      <c r="CO190" s="24"/>
      <c r="CP190" s="24"/>
      <c r="CQ190" s="24"/>
      <c r="CR190" s="24"/>
      <c r="CS190" s="24"/>
      <c r="CT190" s="24"/>
      <c r="CU190" s="24"/>
      <c r="CV190" s="24"/>
      <c r="CW190" s="24"/>
      <c r="CX190" s="24"/>
      <c r="CY190" s="24"/>
      <c r="CZ190" s="24"/>
      <c r="DA190" s="24"/>
      <c r="DB190" s="24"/>
      <c r="DE190" s="123"/>
      <c r="DF190" s="23">
        <v>0</v>
      </c>
    </row>
    <row r="191" spans="1:110" s="23" customFormat="1" outlineLevel="1" x14ac:dyDescent="0.2">
      <c r="A191" s="23" t="s">
        <v>556</v>
      </c>
      <c r="P191" s="23">
        <v>4.25</v>
      </c>
      <c r="Q191" s="23">
        <v>4.6100000000000003</v>
      </c>
      <c r="R191" s="23">
        <v>4.24</v>
      </c>
      <c r="S191" s="23">
        <v>4.21</v>
      </c>
      <c r="T191" s="23">
        <v>7.97</v>
      </c>
      <c r="U191" s="23">
        <v>9.43</v>
      </c>
      <c r="V191" s="23">
        <v>10.4</v>
      </c>
      <c r="W191" s="23">
        <v>105.78</v>
      </c>
      <c r="X191" s="23">
        <v>159.11000000000001</v>
      </c>
      <c r="Y191" s="23">
        <v>7.58</v>
      </c>
      <c r="Z191" s="23">
        <v>1.65</v>
      </c>
      <c r="AA191" s="23">
        <v>1.65</v>
      </c>
      <c r="AB191" s="24">
        <f t="shared" si="1320"/>
        <v>0</v>
      </c>
      <c r="AC191" s="24">
        <f t="shared" si="1321"/>
        <v>0</v>
      </c>
      <c r="AD191" s="24">
        <f t="shared" si="1322"/>
        <v>0</v>
      </c>
      <c r="AE191" s="24">
        <f t="shared" si="1323"/>
        <v>0</v>
      </c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  <c r="CW191" s="24"/>
      <c r="CX191" s="24"/>
      <c r="CY191" s="24"/>
      <c r="CZ191" s="24"/>
      <c r="DA191" s="24"/>
      <c r="DB191" s="24"/>
      <c r="DE191" s="123"/>
      <c r="DF191" s="23">
        <v>0</v>
      </c>
    </row>
    <row r="192" spans="1:110" s="23" customFormat="1" outlineLevel="1" x14ac:dyDescent="0.2">
      <c r="A192" s="23" t="s">
        <v>549</v>
      </c>
      <c r="R192" s="23">
        <v>0.16</v>
      </c>
      <c r="S192" s="23">
        <v>0.23</v>
      </c>
      <c r="T192" s="23">
        <v>0.24</v>
      </c>
      <c r="U192" s="23">
        <v>0.27</v>
      </c>
      <c r="V192" s="23">
        <v>0.05</v>
      </c>
      <c r="W192" s="23">
        <v>1.29</v>
      </c>
      <c r="X192" s="23">
        <v>0.86</v>
      </c>
      <c r="Y192" s="23">
        <v>0.84</v>
      </c>
      <c r="Z192" s="23">
        <v>0.91</v>
      </c>
      <c r="AA192" s="23">
        <v>0.91</v>
      </c>
      <c r="AB192" s="24">
        <f t="shared" si="1320"/>
        <v>0</v>
      </c>
      <c r="AC192" s="24">
        <f t="shared" si="1321"/>
        <v>0</v>
      </c>
      <c r="AD192" s="24">
        <f t="shared" si="1322"/>
        <v>0</v>
      </c>
      <c r="AE192" s="24">
        <f t="shared" si="1323"/>
        <v>0</v>
      </c>
      <c r="CM192" s="24"/>
      <c r="CN192" s="24"/>
      <c r="CO192" s="24"/>
      <c r="CP192" s="24"/>
      <c r="CQ192" s="24"/>
      <c r="CR192" s="24"/>
      <c r="CS192" s="24"/>
      <c r="CT192" s="24"/>
      <c r="CU192" s="24"/>
      <c r="CV192" s="24"/>
      <c r="CW192" s="24"/>
      <c r="CX192" s="24"/>
      <c r="CY192" s="24"/>
      <c r="CZ192" s="24"/>
      <c r="DA192" s="24"/>
      <c r="DB192" s="24"/>
      <c r="DE192" s="123"/>
      <c r="DF192" s="23">
        <v>0</v>
      </c>
    </row>
    <row r="193" spans="1:110" s="23" customFormat="1" outlineLevel="1" x14ac:dyDescent="0.2">
      <c r="A193" s="23" t="s">
        <v>60</v>
      </c>
      <c r="B193" s="23">
        <f>'Annual Raw'!C73+'Annual Raw'!C81</f>
        <v>0</v>
      </c>
      <c r="C193" s="23">
        <f>'Annual Raw'!D73+'Annual Raw'!D81</f>
        <v>0</v>
      </c>
      <c r="D193" s="23">
        <f>'Annual Raw'!E73+'Annual Raw'!E81</f>
        <v>0</v>
      </c>
      <c r="E193" s="23">
        <f>'Annual Raw'!F73+'Annual Raw'!F81</f>
        <v>0</v>
      </c>
      <c r="F193" s="23">
        <f>'Annual Raw'!G73+'Annual Raw'!G81</f>
        <v>0</v>
      </c>
      <c r="G193" s="23">
        <f>'Annual Raw'!H73+'Annual Raw'!H81</f>
        <v>0</v>
      </c>
      <c r="H193" s="23">
        <f>'Annual Raw'!I73+'Annual Raw'!I81</f>
        <v>0</v>
      </c>
      <c r="I193" s="23">
        <f>'Annual Raw'!J73+'Annual Raw'!J81</f>
        <v>0</v>
      </c>
      <c r="J193" s="23">
        <f>'Annual Raw'!K73+'Annual Raw'!K81</f>
        <v>0</v>
      </c>
      <c r="K193" s="23">
        <f>'Annual Raw'!L73+'Annual Raw'!L81</f>
        <v>0</v>
      </c>
      <c r="L193" s="23">
        <f>'Annual Raw'!M73+'Annual Raw'!M81</f>
        <v>0</v>
      </c>
      <c r="M193" s="23">
        <f>'Annual Raw'!N73+'Annual Raw'!N81</f>
        <v>0</v>
      </c>
      <c r="N193" s="23">
        <f>'Annual Raw'!O73+'Annual Raw'!O81</f>
        <v>0</v>
      </c>
      <c r="O193" s="23">
        <f>'Annual Raw'!P73+'Annual Raw'!P81</f>
        <v>0</v>
      </c>
      <c r="P193" s="23">
        <f>'Annual Raw'!Q73+'Annual Raw'!Q81</f>
        <v>0</v>
      </c>
      <c r="Q193" s="23">
        <f>'Annual Raw'!R73+'Annual Raw'!R81</f>
        <v>0</v>
      </c>
      <c r="R193" s="23">
        <f>('Annual Raw'!S73+'Annual Raw'!S81)-0.16</f>
        <v>-2.0000000000000018E-3</v>
      </c>
      <c r="S193" s="23">
        <f>('Annual Raw'!T73+'Annual Raw'!T81)-0.23</f>
        <v>0</v>
      </c>
      <c r="T193" s="23">
        <f>(('Annual Raw'!U73+'Annual Raw'!U81)-0.24)-18.76</f>
        <v>0</v>
      </c>
      <c r="U193" s="23">
        <f>(('Annual Raw'!V73+'Annual Raw'!V81)-0.27)-31.14</f>
        <v>2.8200000000000003</v>
      </c>
      <c r="V193" s="23">
        <f>(('Annual Raw'!W73+'Annual Raw'!W81)-0.05)-40.35</f>
        <v>3.0800000000000054</v>
      </c>
      <c r="W193" s="23">
        <f>('Annual Raw'!X73+'Annual Raw'!X81)-1.29</f>
        <v>3.46</v>
      </c>
      <c r="X193" s="23">
        <f>('Annual Raw'!Y73+'Annual Raw'!Y81)-0.86</f>
        <v>0.21000000000000008</v>
      </c>
      <c r="Y193" s="23">
        <f>('Annual Raw'!Z73+'Annual Raw'!Z81)-0.84</f>
        <v>0.21000000000000008</v>
      </c>
      <c r="Z193" s="23">
        <f>('Annual Raw'!AA73+'Annual Raw'!AA81)-0.91</f>
        <v>0.71999999999999986</v>
      </c>
      <c r="AA193" s="23">
        <f>('Annual Raw'!AB73+'Annual Raw'!AB81)-0.91</f>
        <v>1.3399999999999999</v>
      </c>
      <c r="AB193" s="24">
        <f t="shared" si="1320"/>
        <v>0</v>
      </c>
      <c r="AC193" s="24">
        <f t="shared" si="1321"/>
        <v>0</v>
      </c>
      <c r="AD193" s="24">
        <f t="shared" si="1322"/>
        <v>0</v>
      </c>
      <c r="AE193" s="24">
        <f t="shared" si="1323"/>
        <v>0</v>
      </c>
      <c r="AJ193" s="23">
        <f>+'QTR Raw'!D79+'QTR Raw'!D76</f>
        <v>0</v>
      </c>
      <c r="AK193" s="23">
        <f t="shared" ref="AK193:CE193" si="1324">+AJ193</f>
        <v>0</v>
      </c>
      <c r="AL193" s="23">
        <f>+'QTR Raw'!F79+'QTR Raw'!F76</f>
        <v>0</v>
      </c>
      <c r="AM193" s="23">
        <f t="shared" si="1324"/>
        <v>0</v>
      </c>
      <c r="AN193" s="23">
        <f>+'QTR Raw'!H79+'QTR Raw'!H76</f>
        <v>0</v>
      </c>
      <c r="AO193" s="23">
        <f t="shared" si="1324"/>
        <v>0</v>
      </c>
      <c r="AP193" s="23">
        <f>+'QTR Raw'!J79+'QTR Raw'!J76</f>
        <v>0</v>
      </c>
      <c r="AQ193" s="23">
        <f t="shared" si="1324"/>
        <v>0</v>
      </c>
      <c r="AR193" s="23">
        <f>+'QTR Raw'!L79+'QTR Raw'!L76</f>
        <v>0</v>
      </c>
      <c r="AS193" s="23">
        <f t="shared" si="1324"/>
        <v>0</v>
      </c>
      <c r="AT193" s="23">
        <f>+'QTR Raw'!N79+'QTR Raw'!N76</f>
        <v>0</v>
      </c>
      <c r="AU193" s="23">
        <f t="shared" si="1324"/>
        <v>0</v>
      </c>
      <c r="AV193" s="23">
        <f>+'QTR Raw'!P79+'QTR Raw'!P76</f>
        <v>0</v>
      </c>
      <c r="AW193" s="23">
        <f t="shared" si="1324"/>
        <v>0</v>
      </c>
      <c r="AX193" s="23">
        <f>+'QTR Raw'!R79+'QTR Raw'!R76</f>
        <v>0</v>
      </c>
      <c r="AY193" s="23">
        <f t="shared" si="1324"/>
        <v>0</v>
      </c>
      <c r="AZ193" s="23">
        <f>+'QTR Raw'!T79+'QTR Raw'!T76</f>
        <v>0</v>
      </c>
      <c r="BA193" s="23">
        <f t="shared" si="1324"/>
        <v>0</v>
      </c>
      <c r="BB193" s="23">
        <f>+'QTR Raw'!V79+'QTR Raw'!V76</f>
        <v>7.7619999999999996</v>
      </c>
      <c r="BC193" s="23">
        <f t="shared" si="1324"/>
        <v>7.7619999999999996</v>
      </c>
      <c r="BD193" s="23">
        <f>+'QTR Raw'!X79+'QTR Raw'!X76</f>
        <v>10.726000000000001</v>
      </c>
      <c r="BE193" s="23">
        <f t="shared" si="1324"/>
        <v>10.726000000000001</v>
      </c>
      <c r="BF193" s="23">
        <f>+'QTR Raw'!Z79+'QTR Raw'!Z76</f>
        <v>29.31</v>
      </c>
      <c r="BG193" s="23">
        <f t="shared" si="1324"/>
        <v>29.31</v>
      </c>
      <c r="BH193" s="23">
        <f>+'QTR Raw'!AB79+'QTR Raw'!AB76</f>
        <v>9.8000000000000007</v>
      </c>
      <c r="BI193" s="23">
        <f t="shared" si="1324"/>
        <v>9.8000000000000007</v>
      </c>
      <c r="BJ193" s="23">
        <f>+'QTR Raw'!AD79+'QTR Raw'!AD76</f>
        <v>12.94</v>
      </c>
      <c r="BK193" s="23">
        <f t="shared" si="1324"/>
        <v>12.94</v>
      </c>
      <c r="BL193" s="23">
        <f>+'QTR Raw'!AF79+'QTR Raw'!AF76</f>
        <v>29.66</v>
      </c>
      <c r="BM193" s="23">
        <f t="shared" si="1324"/>
        <v>29.66</v>
      </c>
      <c r="BN193" s="23">
        <f>+'QTR Raw'!AH79+'QTR Raw'!AH76</f>
        <v>41.84</v>
      </c>
      <c r="BO193" s="23">
        <f t="shared" si="1324"/>
        <v>41.84</v>
      </c>
      <c r="BP193" s="23">
        <f>+'QTR Raw'!AJ79+'QTR Raw'!AJ76</f>
        <v>44.87</v>
      </c>
      <c r="BQ193" s="23">
        <f t="shared" si="1324"/>
        <v>44.87</v>
      </c>
      <c r="BR193" s="23">
        <f>+'QTR Raw'!AL79+'QTR Raw'!AL76</f>
        <v>39.200000000000003</v>
      </c>
      <c r="BS193" s="23">
        <f t="shared" si="1324"/>
        <v>39.200000000000003</v>
      </c>
      <c r="BT193" s="23">
        <f>+'QTR Raw'!AN79+'QTR Raw'!AN76</f>
        <v>56.83</v>
      </c>
      <c r="BU193" s="23">
        <f t="shared" si="1324"/>
        <v>56.83</v>
      </c>
      <c r="BV193" s="23">
        <f>+'QTR Raw'!AP79+'QTR Raw'!AP76</f>
        <v>56.58</v>
      </c>
      <c r="BW193" s="23">
        <f t="shared" si="1324"/>
        <v>56.58</v>
      </c>
      <c r="BX193" s="23">
        <f>+'QTR Raw'!AR79+'QTR Raw'!AR76</f>
        <v>54.67</v>
      </c>
      <c r="BY193" s="23">
        <f t="shared" si="1324"/>
        <v>54.67</v>
      </c>
      <c r="BZ193" s="23">
        <f>+'QTR Raw'!AT79+'QTR Raw'!AT76</f>
        <v>65.290000000000006</v>
      </c>
      <c r="CA193" s="23">
        <f t="shared" si="1324"/>
        <v>65.290000000000006</v>
      </c>
      <c r="CB193" s="23">
        <f>+'QTR Raw'!AV79+'QTR Raw'!AV76</f>
        <v>87.43</v>
      </c>
      <c r="CC193" s="23">
        <f t="shared" si="1324"/>
        <v>87.43</v>
      </c>
      <c r="CD193" s="23">
        <f>+'QTR Raw'!AX79+'QTR Raw'!AX76</f>
        <v>49.22</v>
      </c>
      <c r="CE193" s="23">
        <f t="shared" si="1324"/>
        <v>49.22</v>
      </c>
      <c r="CF193" s="23">
        <f>+'QTR Raw'!AZ79+'QTR Raw'!AZ76</f>
        <v>45.21</v>
      </c>
      <c r="CG193" s="23">
        <f>+CF193</f>
        <v>45.21</v>
      </c>
      <c r="CH193" s="23">
        <f>Z193</f>
        <v>0.71999999999999986</v>
      </c>
      <c r="CJ193" s="23">
        <f>+'QTR Raw'!BD79+'QTR Raw'!BD76</f>
        <v>51.1</v>
      </c>
      <c r="CL193" s="23">
        <f>+'QTR Raw'!BF79+'QTR Raw'!BF76</f>
        <v>74.290000000000006</v>
      </c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  <c r="CW193" s="24"/>
      <c r="CX193" s="24"/>
      <c r="CY193" s="24"/>
      <c r="CZ193" s="24"/>
      <c r="DA193" s="24"/>
      <c r="DB193" s="24"/>
      <c r="DE193" s="123"/>
      <c r="DF193" s="23">
        <v>74.290000000000006</v>
      </c>
    </row>
    <row r="194" spans="1:110" s="23" customFormat="1" outlineLevel="1" x14ac:dyDescent="0.2">
      <c r="A194" s="23" t="s">
        <v>550</v>
      </c>
      <c r="T194" s="23">
        <v>18.760000000000002</v>
      </c>
      <c r="U194" s="23">
        <v>31.14</v>
      </c>
      <c r="V194" s="23">
        <v>40.35</v>
      </c>
      <c r="AB194" s="24">
        <f t="shared" si="1320"/>
        <v>0</v>
      </c>
      <c r="AC194" s="24">
        <f t="shared" si="1321"/>
        <v>0</v>
      </c>
      <c r="AD194" s="24">
        <f t="shared" si="1322"/>
        <v>0</v>
      </c>
      <c r="AE194" s="24">
        <f t="shared" si="1323"/>
        <v>0</v>
      </c>
      <c r="CM194" s="24"/>
      <c r="CN194" s="24"/>
      <c r="CO194" s="24"/>
      <c r="CP194" s="24"/>
      <c r="CQ194" s="24"/>
      <c r="CR194" s="24"/>
      <c r="CS194" s="24"/>
      <c r="CT194" s="24"/>
      <c r="CU194" s="24"/>
      <c r="CV194" s="24"/>
      <c r="CW194" s="24"/>
      <c r="CX194" s="24"/>
      <c r="CY194" s="24"/>
      <c r="CZ194" s="24"/>
      <c r="DA194" s="24"/>
      <c r="DB194" s="24"/>
      <c r="DE194" s="123"/>
      <c r="DF194" s="23">
        <v>0</v>
      </c>
    </row>
    <row r="195" spans="1:110" s="22" customFormat="1" x14ac:dyDescent="0.2">
      <c r="A195" s="22" t="s">
        <v>65</v>
      </c>
      <c r="B195" s="22">
        <f t="shared" ref="B195:Y195" si="1325">SUM(B185:B194)</f>
        <v>0</v>
      </c>
      <c r="C195" s="22">
        <f t="shared" si="1325"/>
        <v>0</v>
      </c>
      <c r="D195" s="22">
        <f t="shared" si="1325"/>
        <v>0</v>
      </c>
      <c r="E195" s="22">
        <f t="shared" si="1325"/>
        <v>0</v>
      </c>
      <c r="F195" s="22">
        <f t="shared" si="1325"/>
        <v>0</v>
      </c>
      <c r="G195" s="22">
        <f t="shared" si="1325"/>
        <v>0</v>
      </c>
      <c r="H195" s="22">
        <f t="shared" si="1325"/>
        <v>36.656012199999999</v>
      </c>
      <c r="I195" s="22">
        <f t="shared" si="1325"/>
        <v>59.367359100000002</v>
      </c>
      <c r="J195" s="22">
        <f t="shared" si="1325"/>
        <v>53.306893100000003</v>
      </c>
      <c r="K195" s="22">
        <f t="shared" si="1325"/>
        <v>48.554107999999999</v>
      </c>
      <c r="L195" s="22">
        <f t="shared" si="1325"/>
        <v>20.381</v>
      </c>
      <c r="M195" s="22">
        <f t="shared" si="1325"/>
        <v>34.143000000000001</v>
      </c>
      <c r="N195" s="22">
        <f t="shared" si="1325"/>
        <v>16.312999999999999</v>
      </c>
      <c r="O195" s="22">
        <f t="shared" si="1325"/>
        <v>21.061</v>
      </c>
      <c r="P195" s="22">
        <f t="shared" si="1325"/>
        <v>35.795999999999999</v>
      </c>
      <c r="Q195" s="22">
        <f t="shared" si="1325"/>
        <v>43.081000000000003</v>
      </c>
      <c r="R195" s="22">
        <f t="shared" si="1325"/>
        <v>41.969999999999992</v>
      </c>
      <c r="S195" s="22">
        <f t="shared" si="1325"/>
        <v>43.06</v>
      </c>
      <c r="T195" s="22">
        <f t="shared" si="1325"/>
        <v>68.91</v>
      </c>
      <c r="U195" s="22">
        <f t="shared" si="1325"/>
        <v>93.56</v>
      </c>
      <c r="V195" s="22">
        <f t="shared" si="1325"/>
        <v>137.51</v>
      </c>
      <c r="W195" s="22">
        <f t="shared" si="1325"/>
        <v>399.87</v>
      </c>
      <c r="X195" s="22">
        <f t="shared" si="1325"/>
        <v>292.63</v>
      </c>
      <c r="Y195" s="22">
        <f t="shared" si="1325"/>
        <v>118.37</v>
      </c>
      <c r="Z195" s="22">
        <f>SUM(Z185:Z194)</f>
        <v>204.67</v>
      </c>
      <c r="AA195" s="22">
        <f>SUM(AA185:AA194)</f>
        <v>222.79</v>
      </c>
      <c r="AB195" s="21">
        <f t="shared" ref="AA195:AE195" si="1326">SUM(AB185:AB194)</f>
        <v>266.09957960348288</v>
      </c>
      <c r="AC195" s="21">
        <f t="shared" si="1326"/>
        <v>315.13327416751713</v>
      </c>
      <c r="AD195" s="21">
        <f t="shared" si="1326"/>
        <v>373.65008526023576</v>
      </c>
      <c r="AE195" s="21">
        <f t="shared" si="1326"/>
        <v>443.48404761828596</v>
      </c>
      <c r="AJ195" s="22">
        <f t="shared" ref="AJ195" si="1327">SUM(AJ185:AJ194)</f>
        <v>0</v>
      </c>
      <c r="AK195" s="22" t="e">
        <f t="shared" ref="AK195" si="1328">SUM(AK185:AK194)</f>
        <v>#DIV/0!</v>
      </c>
      <c r="AL195" s="22">
        <f t="shared" ref="AL195" si="1329">SUM(AL185:AL194)</f>
        <v>0</v>
      </c>
      <c r="AM195" s="22" t="e">
        <f t="shared" ref="AM195" si="1330">SUM(AM185:AM194)</f>
        <v>#DIV/0!</v>
      </c>
      <c r="AN195" s="22">
        <f t="shared" ref="AN195" si="1331">SUM(AN185:AN194)</f>
        <v>0</v>
      </c>
      <c r="AO195" s="22" t="e">
        <f t="shared" ref="AO195" si="1332">SUM(AO185:AO194)</f>
        <v>#DIV/0!</v>
      </c>
      <c r="AP195" s="22">
        <f t="shared" ref="AP195" si="1333">SUM(AP185:AP194)</f>
        <v>0</v>
      </c>
      <c r="AQ195" s="22" t="e">
        <f t="shared" ref="AQ195" si="1334">SUM(AQ185:AQ194)</f>
        <v>#DIV/0!</v>
      </c>
      <c r="AR195" s="22">
        <f t="shared" ref="AR195" si="1335">SUM(AR185:AR194)</f>
        <v>0</v>
      </c>
      <c r="AS195" s="22" t="e">
        <f t="shared" ref="AS195" si="1336">SUM(AS185:AS194)</f>
        <v>#DIV/0!</v>
      </c>
      <c r="AT195" s="22">
        <f t="shared" ref="AT195" si="1337">SUM(AT185:AT194)</f>
        <v>0</v>
      </c>
      <c r="AU195" s="22" t="e">
        <f t="shared" ref="AU195" si="1338">SUM(AU185:AU194)</f>
        <v>#DIV/0!</v>
      </c>
      <c r="AV195" s="22">
        <f t="shared" ref="AV195" si="1339">SUM(AV185:AV194)</f>
        <v>0</v>
      </c>
      <c r="AW195" s="22">
        <f t="shared" ref="AW195" si="1340">SUM(AW185:AW194)</f>
        <v>0</v>
      </c>
      <c r="AX195" s="22">
        <f t="shared" ref="AX195" si="1341">SUM(AX185:AX194)</f>
        <v>43.081000000000003</v>
      </c>
      <c r="AY195" s="22">
        <f t="shared" ref="AY195" si="1342">SUM(AY185:AY194)</f>
        <v>44.114574360156794</v>
      </c>
      <c r="AZ195" s="22">
        <f t="shared" ref="AZ195" si="1343">SUM(AZ185:AZ194)</f>
        <v>55.076000000000001</v>
      </c>
      <c r="BA195" s="22">
        <f t="shared" ref="BA195" si="1344">SUM(BA185:BA194)</f>
        <v>52.88035954854891</v>
      </c>
      <c r="BB195" s="22">
        <f t="shared" ref="BB195" si="1345">SUM(BB185:BB194)</f>
        <v>41.970999999999997</v>
      </c>
      <c r="BC195" s="22">
        <f t="shared" ref="BC195" si="1346">SUM(BC185:BC194)</f>
        <v>42.124563203085536</v>
      </c>
      <c r="BD195" s="22">
        <f t="shared" ref="BD195" si="1347">SUM(BD185:BD194)</f>
        <v>40.540999999999997</v>
      </c>
      <c r="BE195" s="22">
        <f t="shared" ref="BE195" si="1348">SUM(BE185:BE194)</f>
        <v>39.386922031896042</v>
      </c>
      <c r="BF195" s="22">
        <f t="shared" ref="BF195" si="1349">SUM(BF185:BF194)</f>
        <v>63.06</v>
      </c>
      <c r="BG195" s="22">
        <f t="shared" ref="BG195" si="1350">SUM(BG185:BG194)</f>
        <v>63.196313883716115</v>
      </c>
      <c r="BH195" s="22">
        <f t="shared" ref="BH195" si="1351">SUM(BH185:BH194)</f>
        <v>75.94</v>
      </c>
      <c r="BI195" s="22">
        <f t="shared" ref="BI195" si="1352">SUM(BI185:BI194)</f>
        <v>73.387836927223731</v>
      </c>
      <c r="BJ195" s="22">
        <f t="shared" ref="BJ195" si="1353">SUM(BJ185:BJ194)</f>
        <v>68.91</v>
      </c>
      <c r="BK195" s="22">
        <f t="shared" ref="BK195" si="1354">SUM(BK185:BK194)</f>
        <v>70.095657732739838</v>
      </c>
      <c r="BL195" s="22">
        <f t="shared" ref="BL195" si="1355">SUM(BL185:BL194)</f>
        <v>106.22</v>
      </c>
      <c r="BM195" s="22">
        <f t="shared" ref="BM195" si="1356">SUM(BM185:BM194)</f>
        <v>102.67703286304197</v>
      </c>
      <c r="BN195" s="22">
        <f t="shared" ref="BN195" si="1357">SUM(BN185:BN194)</f>
        <v>118.25000000000001</v>
      </c>
      <c r="BO195" s="22">
        <f t="shared" ref="BO195" si="1358">SUM(BO185:BO194)</f>
        <v>101.69419755520505</v>
      </c>
      <c r="BP195" s="22">
        <f t="shared" ref="BP195" si="1359">SUM(BP185:BP194)</f>
        <v>153.63999999999999</v>
      </c>
      <c r="BQ195" s="22">
        <f t="shared" ref="BQ195" si="1360">SUM(BQ185:BQ194)</f>
        <v>147.28144208809135</v>
      </c>
      <c r="BR195" s="22">
        <f t="shared" ref="BR195" si="1361">SUM(BR185:BR194)</f>
        <v>160</v>
      </c>
      <c r="BS195" s="22">
        <f t="shared" ref="BS195" si="1362">SUM(BS185:BS194)</f>
        <v>168.25246799237266</v>
      </c>
      <c r="BT195" s="22">
        <f t="shared" ref="BT195" si="1363">SUM(BT185:BT194)</f>
        <v>200.23000000000002</v>
      </c>
      <c r="BU195" s="22">
        <f t="shared" ref="BU195" si="1364">SUM(BU185:BU194)</f>
        <v>156.4721026048465</v>
      </c>
      <c r="BV195" s="22">
        <f t="shared" ref="BV195" si="1365">SUM(BV185:BV194)</f>
        <v>187.48000000000002</v>
      </c>
      <c r="BW195" s="22">
        <f t="shared" ref="BW195" si="1366">SUM(BW185:BW194)</f>
        <v>184.98220511642154</v>
      </c>
      <c r="BX195" s="22">
        <f t="shared" ref="BX195" si="1367">SUM(BX185:BX194)</f>
        <v>186.29000000000002</v>
      </c>
      <c r="BY195" s="22">
        <f t="shared" ref="BY195" si="1368">SUM(BY185:BY194)</f>
        <v>180.30381936726681</v>
      </c>
      <c r="BZ195" s="22">
        <f t="shared" ref="BZ195" si="1369">SUM(BZ185:BZ194)</f>
        <v>187.46</v>
      </c>
      <c r="CA195" s="22">
        <f t="shared" ref="CA195" si="1370">SUM(CA185:CA194)</f>
        <v>186.6382300559317</v>
      </c>
      <c r="CB195" s="22">
        <f t="shared" ref="CB195" si="1371">SUM(CB185:CB194)</f>
        <v>197.15</v>
      </c>
      <c r="CC195" s="22">
        <f t="shared" ref="CC195" si="1372">SUM(CC185:CC194)</f>
        <v>189.29792972972973</v>
      </c>
      <c r="CD195" s="22">
        <f t="shared" ref="CD195" si="1373">SUM(CD185:CD194)</f>
        <v>151.09</v>
      </c>
      <c r="CE195" s="22">
        <f t="shared" ref="CE195" si="1374">SUM(CE185:CE194)</f>
        <v>152.65909821717992</v>
      </c>
      <c r="CF195" s="22">
        <f t="shared" ref="CF195" si="1375">SUM(CF185:CF194)</f>
        <v>152.47999999999999</v>
      </c>
      <c r="CG195" s="22">
        <f t="shared" ref="CG195" si="1376">SUM(CG185:CG194)</f>
        <v>146.54585475868288</v>
      </c>
      <c r="CH195" s="22">
        <f t="shared" ref="CH195" si="1377">SUM(CH185:CH194)</f>
        <v>198.42</v>
      </c>
      <c r="CI195" s="22">
        <f t="shared" ref="CI195" si="1378">SUM(CI185:CI194)</f>
        <v>204.64315345159218</v>
      </c>
      <c r="CJ195" s="22">
        <f t="shared" ref="CJ195:CL195" si="1379">SUM(CJ185:CJ194)</f>
        <v>182.25</v>
      </c>
      <c r="CK195" s="22">
        <f t="shared" ref="CK195" si="1380">SUM(CK185:CK194)</f>
        <v>164.57462014501456</v>
      </c>
      <c r="CL195" s="22">
        <f t="shared" si="1379"/>
        <v>226.92000000000002</v>
      </c>
      <c r="CM195" s="21">
        <f t="shared" ref="CM195" si="1381">SUM(CM185:CM194)</f>
        <v>227.8346664407234</v>
      </c>
      <c r="CN195" s="21">
        <f t="shared" ref="CN195" si="1382">SUM(CN185:CN194)</f>
        <v>255.87153677695915</v>
      </c>
      <c r="CO195" s="21">
        <f t="shared" ref="CO195" si="1383">SUM(CO185:CO194)</f>
        <v>232.16654340254524</v>
      </c>
      <c r="CP195" s="21">
        <f t="shared" ref="CP195" si="1384">SUM(CP185:CP194)</f>
        <v>266.09957960348288</v>
      </c>
      <c r="CQ195" s="21">
        <f t="shared" ref="CQ195" si="1385">SUM(CQ185:CQ194)</f>
        <v>269.46792679907998</v>
      </c>
      <c r="CR195" s="21">
        <f t="shared" ref="CR195" si="1386">SUM(CR185:CR194)</f>
        <v>302.92712785834374</v>
      </c>
      <c r="CS195" s="21">
        <f t="shared" ref="CS195" si="1387">SUM(CS185:CS194)</f>
        <v>274.63758876531813</v>
      </c>
      <c r="CT195" s="21">
        <f t="shared" ref="CT195" si="1388">SUM(CT185:CT194)</f>
        <v>315.13327416751713</v>
      </c>
      <c r="CU195" s="21">
        <f t="shared" ref="CU195" si="1389">SUM(CU185:CU194)</f>
        <v>319.15305971074281</v>
      </c>
      <c r="CV195" s="21">
        <f t="shared" ref="CV195" si="1390">SUM(CV185:CV194)</f>
        <v>359.08327025486807</v>
      </c>
      <c r="CW195" s="21">
        <f t="shared" ref="CW195" si="1391">SUM(CW185:CW194)</f>
        <v>325.32253430125127</v>
      </c>
      <c r="CX195" s="21">
        <f t="shared" ref="CX195" si="1392">SUM(CX185:CX194)</f>
        <v>373.65008526023576</v>
      </c>
      <c r="CY195" s="21">
        <f t="shared" ref="CY195" si="1393">SUM(CY185:CY194)</f>
        <v>378.44729732752114</v>
      </c>
      <c r="CZ195" s="21">
        <f t="shared" ref="CZ195" si="1394">SUM(CZ185:CZ194)</f>
        <v>426.10001059088023</v>
      </c>
      <c r="DA195" s="21">
        <f t="shared" ref="DA195" si="1395">SUM(DA185:DA194)</f>
        <v>385.80994830383406</v>
      </c>
      <c r="DB195" s="21">
        <f t="shared" ref="DB195" si="1396">SUM(DB185:DB194)</f>
        <v>443.48404761828596</v>
      </c>
      <c r="DE195" s="126"/>
      <c r="DF195" s="22">
        <v>185.11363037454396</v>
      </c>
    </row>
    <row r="196" spans="1:110" s="23" customFormat="1" outlineLevel="1" x14ac:dyDescent="0.2">
      <c r="A196" s="23" t="s">
        <v>70</v>
      </c>
      <c r="B196" s="23">
        <f>'Annual Raw'!C54</f>
        <v>0</v>
      </c>
      <c r="C196" s="23">
        <f>'Annual Raw'!D54</f>
        <v>0</v>
      </c>
      <c r="D196" s="23">
        <f>'Annual Raw'!E54</f>
        <v>0</v>
      </c>
      <c r="E196" s="23">
        <f>'Annual Raw'!F54</f>
        <v>0</v>
      </c>
      <c r="F196" s="23">
        <f>'Annual Raw'!G54</f>
        <v>0</v>
      </c>
      <c r="G196" s="23">
        <f>'Annual Raw'!H54</f>
        <v>0</v>
      </c>
      <c r="H196" s="23">
        <f>'Annual Raw'!I54</f>
        <v>3.2752748</v>
      </c>
      <c r="I196" s="23">
        <f>'Annual Raw'!J54</f>
        <v>2.9756673</v>
      </c>
      <c r="J196" s="23">
        <f>'Annual Raw'!K54</f>
        <v>3.9480954000000001</v>
      </c>
      <c r="K196" s="23">
        <f>'Annual Raw'!L54</f>
        <v>3.2858206999999999</v>
      </c>
      <c r="L196" s="23">
        <f>'Annual Raw'!M54</f>
        <v>3.5390000000000001</v>
      </c>
      <c r="M196" s="23">
        <f>'Annual Raw'!N54</f>
        <v>0.55600000000000005</v>
      </c>
      <c r="N196" s="23">
        <f>'Annual Raw'!O54</f>
        <v>0.20599999999999999</v>
      </c>
      <c r="O196" s="23">
        <f>'Annual Raw'!P54</f>
        <v>1.514</v>
      </c>
      <c r="P196" s="23">
        <f>'Annual Raw'!Q54</f>
        <v>0.83499999999999996</v>
      </c>
      <c r="Q196" s="23">
        <f>'Annual Raw'!R54</f>
        <v>2.024</v>
      </c>
      <c r="R196" s="23">
        <f>'Annual Raw'!S54</f>
        <v>1.296</v>
      </c>
      <c r="S196" s="23">
        <f>'Annual Raw'!T54</f>
        <v>6.59</v>
      </c>
      <c r="T196" s="23">
        <f>'Annual Raw'!U54</f>
        <v>7.51</v>
      </c>
      <c r="U196" s="23">
        <f>'Annual Raw'!V54</f>
        <v>21.86</v>
      </c>
      <c r="V196" s="23">
        <f>'Annual Raw'!W54</f>
        <v>25.01</v>
      </c>
      <c r="W196" s="23">
        <f>'Annual Raw'!X54</f>
        <v>16.53</v>
      </c>
      <c r="X196" s="23">
        <f>'Annual Raw'!Y54</f>
        <v>23.99</v>
      </c>
      <c r="Y196" s="23">
        <f>'Annual Raw'!Z54</f>
        <v>40.11</v>
      </c>
      <c r="Z196" s="23">
        <f>'Annual Raw'!AA54</f>
        <v>76.209999999999994</v>
      </c>
      <c r="AA196" s="23">
        <f>'Annual Raw'!AB54</f>
        <v>65.37</v>
      </c>
      <c r="AB196" s="24">
        <f>+CP196</f>
        <v>76.656661020093779</v>
      </c>
      <c r="AC196" s="24">
        <f>+CT196</f>
        <v>90.782047119383932</v>
      </c>
      <c r="AD196" s="24">
        <f>+CX196</f>
        <v>107.6392828902768</v>
      </c>
      <c r="AE196" s="24">
        <f>+DB196</f>
        <v>127.75670805926036</v>
      </c>
      <c r="AJ196" s="23">
        <f>+'QTR Raw'!D89</f>
        <v>0</v>
      </c>
      <c r="AK196" s="23" t="e">
        <f>+AK234*AK43/90</f>
        <v>#DIV/0!</v>
      </c>
      <c r="AL196" s="23">
        <f>+'QTR Raw'!F89</f>
        <v>0</v>
      </c>
      <c r="AM196" s="23" t="e">
        <f>+AM234*AM43/90</f>
        <v>#DIV/0!</v>
      </c>
      <c r="AN196" s="23">
        <f>+'QTR Raw'!H89</f>
        <v>0</v>
      </c>
      <c r="AO196" s="23" t="e">
        <f>+AO234*AO43/90</f>
        <v>#DIV/0!</v>
      </c>
      <c r="AP196" s="23">
        <f>+'QTR Raw'!J89</f>
        <v>0</v>
      </c>
      <c r="AQ196" s="23" t="e">
        <f>+AQ234*AQ43/90</f>
        <v>#DIV/0!</v>
      </c>
      <c r="AR196" s="23">
        <f>+'QTR Raw'!L89</f>
        <v>0</v>
      </c>
      <c r="AS196" s="23" t="e">
        <f>+AS234*AS43/90</f>
        <v>#DIV/0!</v>
      </c>
      <c r="AT196" s="23">
        <f>+'QTR Raw'!N89</f>
        <v>0</v>
      </c>
      <c r="AU196" s="23" t="e">
        <f>+AU234*AU43/90</f>
        <v>#DIV/0!</v>
      </c>
      <c r="AV196" s="23">
        <f>+'QTR Raw'!P89</f>
        <v>0</v>
      </c>
      <c r="AW196" s="23">
        <f>+AW234*AW43/90</f>
        <v>0</v>
      </c>
      <c r="AX196" s="23">
        <f>+'QTR Raw'!R89</f>
        <v>2.024</v>
      </c>
      <c r="AY196" s="23">
        <f>+AY234*AY43/90</f>
        <v>2.1388037814157252</v>
      </c>
      <c r="AZ196" s="23">
        <f>+'QTR Raw'!T89</f>
        <v>0.90100000000000002</v>
      </c>
      <c r="BA196" s="23">
        <f>+BA234*BA43/90</f>
        <v>0.81141651737728415</v>
      </c>
      <c r="BB196" s="23">
        <f>+'QTR Raw'!V89</f>
        <v>1.296</v>
      </c>
      <c r="BC196" s="23">
        <f>+BC234*BC43/90</f>
        <v>1.305580605170118</v>
      </c>
      <c r="BD196" s="23">
        <f>+'QTR Raw'!X89</f>
        <v>5.266</v>
      </c>
      <c r="BE196" s="23">
        <f>+BE234*BE43/90</f>
        <v>5.0168047162524427</v>
      </c>
      <c r="BF196" s="23">
        <f>+'QTR Raw'!Z89</f>
        <v>6.59</v>
      </c>
      <c r="BG196" s="23">
        <f>+BG234*BG43/90</f>
        <v>6.6234067866749431</v>
      </c>
      <c r="BH196" s="23">
        <f>+'QTR Raw'!AB89</f>
        <v>1.44</v>
      </c>
      <c r="BI196" s="23">
        <f>+BI234*BI43/90</f>
        <v>1.3347862918752407</v>
      </c>
      <c r="BJ196" s="23">
        <f>+'QTR Raw'!AD89</f>
        <v>7.51</v>
      </c>
      <c r="BK196" s="23">
        <f>+BK234*BK43/90</f>
        <v>7.8044540202670714</v>
      </c>
      <c r="BL196" s="23">
        <f>+'QTR Raw'!AF89</f>
        <v>8.57</v>
      </c>
      <c r="BM196" s="23">
        <f>+BM234*BM43/90</f>
        <v>7.799555230557468</v>
      </c>
      <c r="BN196" s="23">
        <f>+'QTR Raw'!AH89</f>
        <v>21.86</v>
      </c>
      <c r="BO196" s="23">
        <f>+BO234*BO43/90</f>
        <v>12.126007492113564</v>
      </c>
      <c r="BP196" s="23">
        <f>+'QTR Raw'!AJ89</f>
        <v>21.33</v>
      </c>
      <c r="BQ196" s="23">
        <f>+BQ234*BQ43/90</f>
        <v>19.24501859706362</v>
      </c>
      <c r="BR196" s="23">
        <f>+'QTR Raw'!AL89</f>
        <v>25.01</v>
      </c>
      <c r="BS196" s="23">
        <f>+BS234*BS43/90</f>
        <v>28.0434248161264</v>
      </c>
      <c r="BT196" s="23">
        <f>+'QTR Raw'!AN89</f>
        <v>18.010000000000002</v>
      </c>
      <c r="BU196" s="23">
        <f>+BU234*BU43/90</f>
        <v>11.999171443164409</v>
      </c>
      <c r="BV196" s="23">
        <f>+'QTR Raw'!AP89</f>
        <v>16.53</v>
      </c>
      <c r="BW196" s="23">
        <f>+BW234*BW43/90</f>
        <v>16.179294577205887</v>
      </c>
      <c r="BX196" s="23">
        <f>+'QTR Raw'!AR89</f>
        <v>18.809999999999999</v>
      </c>
      <c r="BY196" s="23">
        <f>+BY234*BY43/90</f>
        <v>17.842811735941321</v>
      </c>
      <c r="BZ196" s="23">
        <f>+'QTR Raw'!AT89</f>
        <v>23.99</v>
      </c>
      <c r="CA196" s="23">
        <f>+CA234*CA43/90</f>
        <v>23.815212687665582</v>
      </c>
      <c r="CB196" s="23">
        <f>+'QTR Raw'!AV89</f>
        <v>17.809999999999999</v>
      </c>
      <c r="CC196" s="23">
        <f>+CC234*CC43/90</f>
        <v>16.214320270270267</v>
      </c>
      <c r="CD196" s="23">
        <f>+'QTR Raw'!AX89</f>
        <v>40.11</v>
      </c>
      <c r="CE196" s="23">
        <f>+CE234*CE43/90</f>
        <v>40.801686223662877</v>
      </c>
      <c r="CF196" s="23">
        <f>+'QTR Raw'!AZ89</f>
        <v>45.72</v>
      </c>
      <c r="CG196" s="23">
        <f>+CG234*CG43/90</f>
        <v>42.770987821380238</v>
      </c>
      <c r="CH196" s="23">
        <f>Z196</f>
        <v>76.209999999999994</v>
      </c>
      <c r="CI196" s="23">
        <f>+CI234*CI43/90</f>
        <v>78.600215323787125</v>
      </c>
      <c r="CJ196" s="23">
        <f>+'QTR Raw'!BD89</f>
        <v>66.010000000000005</v>
      </c>
      <c r="CK196" s="23">
        <f t="shared" ref="CK196:DB196" si="1397">+CK234*CK43/90</f>
        <v>59.608069551563304</v>
      </c>
      <c r="CL196" s="23">
        <f>+'QTR Raw'!BF89</f>
        <v>65.37</v>
      </c>
      <c r="CM196" s="24">
        <f t="shared" si="1397"/>
        <v>65.633492619557956</v>
      </c>
      <c r="CN196" s="24">
        <f t="shared" si="1397"/>
        <v>73.710216636302761</v>
      </c>
      <c r="CO196" s="24">
        <f t="shared" si="1397"/>
        <v>66.881398476222401</v>
      </c>
      <c r="CP196" s="24">
        <f t="shared" si="1397"/>
        <v>76.656661020093779</v>
      </c>
      <c r="CQ196" s="24">
        <f t="shared" si="1397"/>
        <v>77.626997950184474</v>
      </c>
      <c r="CR196" s="24">
        <f t="shared" si="1397"/>
        <v>87.265760391767742</v>
      </c>
      <c r="CS196" s="24">
        <f t="shared" si="1397"/>
        <v>79.11624879952781</v>
      </c>
      <c r="CT196" s="24">
        <f t="shared" si="1397"/>
        <v>90.782047119383932</v>
      </c>
      <c r="CU196" s="24">
        <f t="shared" si="1397"/>
        <v>91.940047211754205</v>
      </c>
      <c r="CV196" s="24">
        <f t="shared" si="1397"/>
        <v>103.44294630953962</v>
      </c>
      <c r="CW196" s="24">
        <f t="shared" si="1397"/>
        <v>93.717319175360501</v>
      </c>
      <c r="CX196" s="24">
        <f t="shared" si="1397"/>
        <v>107.6392828902768</v>
      </c>
      <c r="CY196" s="24">
        <f t="shared" si="1397"/>
        <v>109.02124020051149</v>
      </c>
      <c r="CZ196" s="24">
        <f t="shared" si="1397"/>
        <v>122.74879998380861</v>
      </c>
      <c r="DA196" s="24">
        <f t="shared" si="1397"/>
        <v>111.14223656187924</v>
      </c>
      <c r="DB196" s="24">
        <f t="shared" si="1397"/>
        <v>127.75670805926036</v>
      </c>
      <c r="DE196" s="123"/>
      <c r="DF196" s="23">
        <v>67.047191994642787</v>
      </c>
    </row>
    <row r="197" spans="1:110" s="23" customFormat="1" outlineLevel="1" x14ac:dyDescent="0.2">
      <c r="A197" s="23" t="s">
        <v>551</v>
      </c>
      <c r="B197" s="23">
        <f>'Annual Raw'!C50+'Annual Raw'!C58</f>
        <v>0</v>
      </c>
      <c r="C197" s="23">
        <f>'Annual Raw'!D50+'Annual Raw'!D58</f>
        <v>0</v>
      </c>
      <c r="D197" s="23">
        <f>'Annual Raw'!E50+'Annual Raw'!E58</f>
        <v>0</v>
      </c>
      <c r="E197" s="23">
        <f>'Annual Raw'!F50+'Annual Raw'!F58</f>
        <v>0</v>
      </c>
      <c r="F197" s="23">
        <f>'Annual Raw'!G50+'Annual Raw'!G58</f>
        <v>0</v>
      </c>
      <c r="G197" s="23">
        <f>'Annual Raw'!H50+'Annual Raw'!H58</f>
        <v>0</v>
      </c>
      <c r="H197" s="23">
        <f>'Annual Raw'!I50+'Annual Raw'!I58</f>
        <v>0</v>
      </c>
      <c r="I197" s="23">
        <f>'Annual Raw'!J50+'Annual Raw'!J58</f>
        <v>0</v>
      </c>
      <c r="J197" s="23">
        <f>'Annual Raw'!K50+'Annual Raw'!K58</f>
        <v>0</v>
      </c>
      <c r="K197" s="23">
        <f>'Annual Raw'!L50+'Annual Raw'!L58</f>
        <v>0</v>
      </c>
      <c r="L197" s="23">
        <f>'Annual Raw'!M50+'Annual Raw'!M58</f>
        <v>3.234</v>
      </c>
      <c r="M197" s="23">
        <f>'Annual Raw'!N50+'Annual Raw'!N58</f>
        <v>5.2809999999999997</v>
      </c>
      <c r="N197" s="23">
        <f>'Annual Raw'!O50+'Annual Raw'!O58</f>
        <v>6.4089999999999998</v>
      </c>
      <c r="O197" s="23">
        <f>'Annual Raw'!P50+'Annual Raw'!P58</f>
        <v>5.9119999999999999</v>
      </c>
      <c r="P197" s="23">
        <f>'Annual Raw'!Q50+'Annual Raw'!Q58</f>
        <v>6.3780000000000001</v>
      </c>
      <c r="Q197" s="23">
        <f>'Annual Raw'!R50+'Annual Raw'!R58</f>
        <v>5.835</v>
      </c>
      <c r="R197" s="23">
        <f>'Annual Raw'!S50+'Annual Raw'!S58</f>
        <v>0</v>
      </c>
      <c r="S197" s="23">
        <f>'Annual Raw'!T50+'Annual Raw'!T58</f>
        <v>10.08</v>
      </c>
      <c r="T197" s="23">
        <f>'Annual Raw'!U50+'Annual Raw'!U58</f>
        <v>9.7899999999999991</v>
      </c>
      <c r="U197" s="23">
        <f>'Annual Raw'!V50+'Annual Raw'!V58</f>
        <v>5.69</v>
      </c>
      <c r="V197" s="23">
        <f>'Annual Raw'!W50+'Annual Raw'!W58</f>
        <v>5.45</v>
      </c>
      <c r="W197" s="23">
        <f>'Annual Raw'!X50+'Annual Raw'!X58</f>
        <v>15.7</v>
      </c>
      <c r="X197" s="23">
        <f>'Annual Raw'!Y50+'Annual Raw'!Y58</f>
        <v>16.12</v>
      </c>
      <c r="Y197" s="23">
        <f>'Annual Raw'!Z50+'Annual Raw'!Z58</f>
        <v>11.8</v>
      </c>
      <c r="Z197" s="23">
        <f>'Annual Raw'!AA50+'Annual Raw'!AA58</f>
        <v>16.920000000000002</v>
      </c>
      <c r="AA197" s="23">
        <f>'Annual Raw'!AB50+'Annual Raw'!AB58</f>
        <v>39.18</v>
      </c>
      <c r="AB197" s="24">
        <f t="shared" ref="AB197:AB205" si="1398">+CP197</f>
        <v>0</v>
      </c>
      <c r="AC197" s="24">
        <f t="shared" ref="AC197:AC205" si="1399">+CT197</f>
        <v>0</v>
      </c>
      <c r="AD197" s="24">
        <f t="shared" ref="AD197:AD205" si="1400">+CX197</f>
        <v>0</v>
      </c>
      <c r="AE197" s="24">
        <f t="shared" ref="AE197:AE205" si="1401">+DB197</f>
        <v>0</v>
      </c>
      <c r="AJ197" s="23">
        <f>+'QTR Raw'!D64</f>
        <v>0</v>
      </c>
      <c r="AK197" s="23">
        <f>+AJ197</f>
        <v>0</v>
      </c>
      <c r="AL197" s="23">
        <f>+'QTR Raw'!F64</f>
        <v>0</v>
      </c>
      <c r="AM197" s="23">
        <f>+AL197</f>
        <v>0</v>
      </c>
      <c r="AN197" s="23">
        <f>+'QTR Raw'!H64</f>
        <v>0</v>
      </c>
      <c r="AO197" s="23">
        <f>+AN197</f>
        <v>0</v>
      </c>
      <c r="AP197" s="23">
        <f>+'QTR Raw'!J64</f>
        <v>0</v>
      </c>
      <c r="AQ197" s="23">
        <f>+AP197</f>
        <v>0</v>
      </c>
      <c r="AR197" s="23">
        <f>+'QTR Raw'!L64</f>
        <v>0</v>
      </c>
      <c r="AS197" s="23">
        <f>+AR197</f>
        <v>0</v>
      </c>
      <c r="AT197" s="23">
        <f>+'QTR Raw'!N64</f>
        <v>0</v>
      </c>
      <c r="AU197" s="23">
        <f>+AT197</f>
        <v>0</v>
      </c>
      <c r="AV197" s="23">
        <f>+'QTR Raw'!P64</f>
        <v>0</v>
      </c>
      <c r="AW197" s="23">
        <f>+AV197</f>
        <v>0</v>
      </c>
      <c r="AX197" s="23">
        <f>+'QTR Raw'!R64</f>
        <v>5.835</v>
      </c>
      <c r="AY197" s="23">
        <f>+AX197</f>
        <v>5.835</v>
      </c>
      <c r="AZ197" s="23">
        <f>+'QTR Raw'!T64</f>
        <v>6.617</v>
      </c>
      <c r="BA197" s="23">
        <f>+AZ197</f>
        <v>6.617</v>
      </c>
      <c r="BB197" s="23">
        <f>+'QTR Raw'!V64</f>
        <v>7.25</v>
      </c>
      <c r="BC197" s="23">
        <f>+BB197</f>
        <v>7.25</v>
      </c>
      <c r="BD197" s="23">
        <f>+'QTR Raw'!X64</f>
        <v>0</v>
      </c>
      <c r="BE197" s="23">
        <f>+BD197</f>
        <v>0</v>
      </c>
      <c r="BF197" s="23">
        <f>+'QTR Raw'!Z64</f>
        <v>10.08</v>
      </c>
      <c r="BG197" s="23">
        <f>+BF197</f>
        <v>10.08</v>
      </c>
      <c r="BH197" s="23">
        <f>+'QTR Raw'!AB64</f>
        <v>0</v>
      </c>
      <c r="BI197" s="23">
        <f>+BH197</f>
        <v>0</v>
      </c>
      <c r="BJ197" s="23">
        <f>+'QTR Raw'!AD64</f>
        <v>9.7899999999999991</v>
      </c>
      <c r="BK197" s="23">
        <f>+BJ197</f>
        <v>9.7899999999999991</v>
      </c>
      <c r="BL197" s="23">
        <f>+'QTR Raw'!AF64</f>
        <v>11.27</v>
      </c>
      <c r="BM197" s="23">
        <f>+BL197</f>
        <v>11.27</v>
      </c>
      <c r="BN197" s="23">
        <f>+'QTR Raw'!AH64</f>
        <v>5.69</v>
      </c>
      <c r="BO197" s="23">
        <f>+BN197</f>
        <v>5.69</v>
      </c>
      <c r="BP197" s="23">
        <f>+'QTR Raw'!AJ64</f>
        <v>9.08</v>
      </c>
      <c r="BQ197" s="23">
        <f>+BP197</f>
        <v>9.08</v>
      </c>
      <c r="BR197" s="23">
        <f>+'QTR Raw'!AL64</f>
        <v>5.45</v>
      </c>
      <c r="BS197" s="23">
        <f>+BR197</f>
        <v>5.45</v>
      </c>
      <c r="BT197" s="23">
        <f>+'QTR Raw'!AN64</f>
        <v>17.95</v>
      </c>
      <c r="BU197" s="23">
        <f>+BT197</f>
        <v>17.95</v>
      </c>
      <c r="BV197" s="23">
        <f>+'QTR Raw'!AP64</f>
        <v>15.7</v>
      </c>
      <c r="BW197" s="23">
        <f>+BV197</f>
        <v>15.7</v>
      </c>
      <c r="BX197" s="23">
        <f>+'QTR Raw'!AR64</f>
        <v>11.69</v>
      </c>
      <c r="BY197" s="23">
        <f>+BX197</f>
        <v>11.69</v>
      </c>
      <c r="BZ197" s="23">
        <f>+'QTR Raw'!AT64</f>
        <v>16.12</v>
      </c>
      <c r="CA197" s="23">
        <f>+BZ197</f>
        <v>16.12</v>
      </c>
      <c r="CB197" s="23">
        <f>+'QTR Raw'!AV64</f>
        <v>15.34</v>
      </c>
      <c r="CC197" s="23">
        <f>+CB197</f>
        <v>15.34</v>
      </c>
      <c r="CD197" s="23">
        <f>+'QTR Raw'!AX64</f>
        <v>11.8</v>
      </c>
      <c r="CE197" s="23">
        <f>+CD197</f>
        <v>11.8</v>
      </c>
      <c r="CF197" s="23">
        <f>+'QTR Raw'!AZ64</f>
        <v>9.9600000000000009</v>
      </c>
      <c r="CG197" s="23">
        <f>+CF197</f>
        <v>9.9600000000000009</v>
      </c>
      <c r="CH197" s="23">
        <f>Z197</f>
        <v>16.920000000000002</v>
      </c>
      <c r="CJ197" s="23">
        <f>+'QTR Raw'!BD64</f>
        <v>16.87</v>
      </c>
      <c r="CL197" s="23">
        <f>+'QTR Raw'!BF64</f>
        <v>39.18</v>
      </c>
      <c r="CM197" s="24"/>
      <c r="CN197" s="24"/>
      <c r="CO197" s="24"/>
      <c r="CP197" s="24"/>
      <c r="CQ197" s="24"/>
      <c r="CR197" s="24"/>
      <c r="CS197" s="24"/>
      <c r="CT197" s="24"/>
      <c r="CU197" s="24"/>
      <c r="CV197" s="24"/>
      <c r="CW197" s="24"/>
      <c r="CX197" s="24"/>
      <c r="CY197" s="24"/>
      <c r="CZ197" s="24"/>
      <c r="DA197" s="24"/>
      <c r="DB197" s="24"/>
      <c r="DE197" s="123"/>
      <c r="DF197" s="23">
        <v>39.18</v>
      </c>
    </row>
    <row r="198" spans="1:110" s="23" customFormat="1" outlineLevel="1" x14ac:dyDescent="0.2">
      <c r="A198" s="23" t="s">
        <v>553</v>
      </c>
      <c r="P198" s="23">
        <v>1.24</v>
      </c>
      <c r="Q198" s="23">
        <v>1.68</v>
      </c>
      <c r="R198" s="23">
        <v>2.64</v>
      </c>
      <c r="S198" s="23">
        <v>3.21</v>
      </c>
      <c r="U198" s="23">
        <v>30.67</v>
      </c>
      <c r="V198" s="23">
        <v>35.799999999999997</v>
      </c>
      <c r="W198" s="23">
        <v>9.34</v>
      </c>
      <c r="X198" s="23">
        <v>6.08</v>
      </c>
      <c r="Y198" s="23">
        <v>6.16</v>
      </c>
      <c r="Z198" s="23">
        <v>13.63</v>
      </c>
      <c r="AA198" s="23">
        <v>13.63</v>
      </c>
      <c r="AB198" s="24">
        <f t="shared" si="1398"/>
        <v>0</v>
      </c>
      <c r="AC198" s="24">
        <f t="shared" si="1399"/>
        <v>0</v>
      </c>
      <c r="AD198" s="24">
        <f t="shared" si="1400"/>
        <v>0</v>
      </c>
      <c r="AE198" s="24">
        <f t="shared" si="1401"/>
        <v>0</v>
      </c>
      <c r="CM198" s="24"/>
      <c r="CN198" s="24"/>
      <c r="CO198" s="24"/>
      <c r="CP198" s="24"/>
      <c r="CQ198" s="24"/>
      <c r="CR198" s="24"/>
      <c r="CS198" s="24"/>
      <c r="CT198" s="24"/>
      <c r="CU198" s="24"/>
      <c r="CV198" s="24"/>
      <c r="CW198" s="24"/>
      <c r="CX198" s="24"/>
      <c r="CY198" s="24"/>
      <c r="CZ198" s="24"/>
      <c r="DA198" s="24"/>
      <c r="DB198" s="24"/>
      <c r="DE198" s="123"/>
      <c r="DF198" s="23">
        <v>0</v>
      </c>
    </row>
    <row r="199" spans="1:110" s="23" customFormat="1" outlineLevel="1" x14ac:dyDescent="0.2">
      <c r="A199" s="23" t="s">
        <v>554</v>
      </c>
      <c r="P199" s="23">
        <v>0.35</v>
      </c>
      <c r="Q199" s="23">
        <v>0.71</v>
      </c>
      <c r="S199" s="23">
        <v>0.55000000000000004</v>
      </c>
      <c r="T199" s="23">
        <v>0.27</v>
      </c>
      <c r="U199" s="23">
        <v>10.65</v>
      </c>
      <c r="V199" s="23">
        <v>10.28</v>
      </c>
      <c r="W199" s="23">
        <v>16.739999999999998</v>
      </c>
      <c r="X199" s="23">
        <v>15.58</v>
      </c>
      <c r="Y199" s="23">
        <v>15.5</v>
      </c>
      <c r="Z199" s="23">
        <v>13.52</v>
      </c>
      <c r="AA199" s="23">
        <v>13.52</v>
      </c>
      <c r="AB199" s="24">
        <f t="shared" si="1398"/>
        <v>0</v>
      </c>
      <c r="AC199" s="24">
        <f t="shared" si="1399"/>
        <v>0</v>
      </c>
      <c r="AD199" s="24">
        <f t="shared" si="1400"/>
        <v>0</v>
      </c>
      <c r="AE199" s="24">
        <f t="shared" si="1401"/>
        <v>0</v>
      </c>
      <c r="CM199" s="24"/>
      <c r="CN199" s="24"/>
      <c r="CO199" s="24"/>
      <c r="CP199" s="24"/>
      <c r="CQ199" s="24"/>
      <c r="CR199" s="24"/>
      <c r="CS199" s="24"/>
      <c r="CT199" s="24"/>
      <c r="CU199" s="24"/>
      <c r="CV199" s="24"/>
      <c r="CW199" s="24"/>
      <c r="CX199" s="24"/>
      <c r="CY199" s="24"/>
      <c r="CZ199" s="24"/>
      <c r="DA199" s="24"/>
      <c r="DB199" s="24"/>
      <c r="DE199" s="123"/>
      <c r="DF199" s="23">
        <v>0</v>
      </c>
    </row>
    <row r="200" spans="1:110" s="23" customFormat="1" outlineLevel="1" x14ac:dyDescent="0.2">
      <c r="A200" s="23" t="s">
        <v>555</v>
      </c>
      <c r="U200" s="23">
        <v>4.25</v>
      </c>
      <c r="V200" s="23">
        <v>3.04</v>
      </c>
      <c r="W200" s="23">
        <v>5</v>
      </c>
      <c r="X200" s="23">
        <v>7.19</v>
      </c>
      <c r="Y200" s="23">
        <v>8.94</v>
      </c>
      <c r="Z200" s="23">
        <v>7.76</v>
      </c>
      <c r="AA200" s="23">
        <v>7.76</v>
      </c>
      <c r="AB200" s="24">
        <f t="shared" si="1398"/>
        <v>0</v>
      </c>
      <c r="AC200" s="24">
        <f t="shared" si="1399"/>
        <v>0</v>
      </c>
      <c r="AD200" s="24">
        <f t="shared" si="1400"/>
        <v>0</v>
      </c>
      <c r="AE200" s="24">
        <f t="shared" si="1401"/>
        <v>0</v>
      </c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  <c r="DF200" s="23">
        <v>0</v>
      </c>
    </row>
    <row r="201" spans="1:110" s="23" customFormat="1" outlineLevel="1" x14ac:dyDescent="0.2">
      <c r="A201" s="23" t="s">
        <v>71</v>
      </c>
      <c r="B201" s="23">
        <f>'Annual Raw'!C55-Template!B168</f>
        <v>0</v>
      </c>
      <c r="C201" s="23">
        <f>'Annual Raw'!D55-Template!C168</f>
        <v>0</v>
      </c>
      <c r="D201" s="23">
        <f>'Annual Raw'!E55-Template!D168</f>
        <v>0</v>
      </c>
      <c r="E201" s="23">
        <f>'Annual Raw'!F55-Template!E168</f>
        <v>0</v>
      </c>
      <c r="F201" s="23">
        <f>'Annual Raw'!G55-Template!F168</f>
        <v>0</v>
      </c>
      <c r="G201" s="23">
        <f>'Annual Raw'!H55-Template!G168</f>
        <v>0</v>
      </c>
      <c r="H201" s="23">
        <f>'Annual Raw'!I55-Template!H168</f>
        <v>2.6960253999999999</v>
      </c>
      <c r="I201" s="23">
        <f>'Annual Raw'!J55-Template!I168</f>
        <v>2.5565066000000001</v>
      </c>
      <c r="J201" s="23">
        <f>'Annual Raw'!K55-Template!J168</f>
        <v>2.5683411</v>
      </c>
      <c r="K201" s="23">
        <f>'Annual Raw'!L55-Template!K168</f>
        <v>2.9558339999999999</v>
      </c>
      <c r="L201" s="23">
        <f>'Annual Raw'!M55-Template!L168</f>
        <v>0.72299999999999998</v>
      </c>
      <c r="M201" s="23">
        <f>'Annual Raw'!N55-Template!M168</f>
        <v>1.8939999999999999</v>
      </c>
      <c r="N201" s="23">
        <f>'Annual Raw'!O55-Template!N168</f>
        <v>2.6989999999999998</v>
      </c>
      <c r="O201" s="23">
        <f>'Annual Raw'!P55-Template!O168</f>
        <v>4.4640000000000004</v>
      </c>
      <c r="P201" s="23">
        <f>((('Annual Raw'!Q55-Template!P168)-1.24)-0.35)-0</f>
        <v>3.2309999999999994</v>
      </c>
      <c r="Q201" s="23">
        <f>((('Annual Raw'!R55-Template!Q168)-1.68)-0.71)-0</f>
        <v>8.0079999999999991</v>
      </c>
      <c r="R201" s="23">
        <f>((('Annual Raw'!S55-Template!R168)-2.64)-0)-0</f>
        <v>11.494</v>
      </c>
      <c r="S201" s="23">
        <f>((('Annual Raw'!T55-Template!S168)-3.21)-0.55)-0</f>
        <v>3.75</v>
      </c>
      <c r="T201" s="23">
        <f>((('Annual Raw'!U55-Template!T168)-0)-0.27)-0</f>
        <v>11.14</v>
      </c>
      <c r="U201" s="23">
        <f>((('Annual Raw'!V55-Template!U168)-30.67)-10.65)-4.25</f>
        <v>12.5</v>
      </c>
      <c r="V201" s="23">
        <f>((('Annual Raw'!W55-Template!V168)-35.8)-10.28)-3.04</f>
        <v>15.009999999999998</v>
      </c>
      <c r="W201" s="23">
        <f>((('Annual Raw'!X55-Template!W168)-9.34)-16.74)-5</f>
        <v>8.7800000000000011</v>
      </c>
      <c r="X201" s="23">
        <f>((('Annual Raw'!Y55-Template!X168)-6.08)-15.58)-7.19</f>
        <v>10.170000000000005</v>
      </c>
      <c r="Y201" s="23">
        <f>((('Annual Raw'!Z55-Template!Y168)-6.16)-15.5)-8.94</f>
        <v>4.9900000000000038</v>
      </c>
      <c r="Z201" s="23">
        <f>((('Annual Raw'!AA55-Template!Z168)-13.63)-13.52)-7.76</f>
        <v>7.3399999999999981</v>
      </c>
      <c r="AA201" s="23">
        <f>((('Annual Raw'!AB55-Template!AA168)-13.63)-13.52)-7.76</f>
        <v>5.7900000000000009</v>
      </c>
      <c r="AB201" s="24">
        <f t="shared" si="1398"/>
        <v>0</v>
      </c>
      <c r="AC201" s="24">
        <f t="shared" si="1399"/>
        <v>0</v>
      </c>
      <c r="AD201" s="24">
        <f t="shared" si="1400"/>
        <v>0</v>
      </c>
      <c r="AE201" s="24">
        <f t="shared" si="1401"/>
        <v>0</v>
      </c>
      <c r="AJ201" s="23">
        <f>+'QTR Raw'!D91</f>
        <v>0</v>
      </c>
      <c r="AK201" s="23">
        <f>+AJ201</f>
        <v>0</v>
      </c>
      <c r="AL201" s="23">
        <f>+'QTR Raw'!F91</f>
        <v>0</v>
      </c>
      <c r="AM201" s="23">
        <f>+AL201</f>
        <v>0</v>
      </c>
      <c r="AN201" s="23">
        <f>+'QTR Raw'!H91</f>
        <v>0</v>
      </c>
      <c r="AO201" s="23">
        <f>+AN201</f>
        <v>0</v>
      </c>
      <c r="AP201" s="23">
        <f>+'QTR Raw'!J91</f>
        <v>0</v>
      </c>
      <c r="AQ201" s="23">
        <f>+AP201</f>
        <v>0</v>
      </c>
      <c r="AR201" s="23">
        <f>+'QTR Raw'!L91</f>
        <v>0</v>
      </c>
      <c r="AS201" s="23">
        <f>+AR201</f>
        <v>0</v>
      </c>
      <c r="AT201" s="23">
        <f>+'QTR Raw'!N91</f>
        <v>0</v>
      </c>
      <c r="AU201" s="23">
        <f>+AT201</f>
        <v>0</v>
      </c>
      <c r="AV201" s="23">
        <f>+'QTR Raw'!P91</f>
        <v>0</v>
      </c>
      <c r="AW201" s="23">
        <f>+AV201</f>
        <v>0</v>
      </c>
      <c r="AX201" s="23">
        <f>+'QTR Raw'!R91</f>
        <v>10.398</v>
      </c>
      <c r="AY201" s="23">
        <f>+AX201</f>
        <v>10.398</v>
      </c>
      <c r="AZ201" s="23">
        <f>+'QTR Raw'!T91</f>
        <v>18.800999999999998</v>
      </c>
      <c r="BA201" s="23">
        <f>+AZ201</f>
        <v>18.800999999999998</v>
      </c>
      <c r="BB201" s="23">
        <f>+'QTR Raw'!V91</f>
        <v>15.332000000000001</v>
      </c>
      <c r="BC201" s="23">
        <f>+BB201</f>
        <v>15.332000000000001</v>
      </c>
      <c r="BD201" s="23">
        <f>+'QTR Raw'!X91</f>
        <v>14.933999999999999</v>
      </c>
      <c r="BE201" s="23">
        <f>+BD201</f>
        <v>14.933999999999999</v>
      </c>
      <c r="BF201" s="23">
        <f>+'QTR Raw'!Z91</f>
        <v>12.57</v>
      </c>
      <c r="BG201" s="23">
        <f>+BF201</f>
        <v>12.57</v>
      </c>
      <c r="BH201" s="23">
        <f>+'QTR Raw'!AB91</f>
        <v>21.97</v>
      </c>
      <c r="BI201" s="23">
        <f>+BH201</f>
        <v>21.97</v>
      </c>
      <c r="BJ201" s="23">
        <f>+'QTR Raw'!AD91</f>
        <v>11.61</v>
      </c>
      <c r="BK201" s="23">
        <f>+BJ201</f>
        <v>11.61</v>
      </c>
      <c r="BL201" s="23">
        <f>+'QTR Raw'!AF91</f>
        <v>46.55</v>
      </c>
      <c r="BM201" s="23">
        <f>+BL201</f>
        <v>46.55</v>
      </c>
      <c r="BN201" s="23">
        <f>+'QTR Raw'!AH91</f>
        <v>58.82</v>
      </c>
      <c r="BO201" s="23">
        <f>+BN201</f>
        <v>58.82</v>
      </c>
      <c r="BP201" s="23">
        <f>+'QTR Raw'!AJ91</f>
        <v>54.19</v>
      </c>
      <c r="BQ201" s="23">
        <f>+BP201</f>
        <v>54.19</v>
      </c>
      <c r="BR201" s="23">
        <f>+'QTR Raw'!AL91</f>
        <v>66.7</v>
      </c>
      <c r="BS201" s="23">
        <f>+BR201</f>
        <v>66.7</v>
      </c>
      <c r="BT201" s="23">
        <f>+'QTR Raw'!AN91</f>
        <v>50.44</v>
      </c>
      <c r="BU201" s="23">
        <f>+BT201</f>
        <v>50.44</v>
      </c>
      <c r="BV201" s="23">
        <f>+'QTR Raw'!AP91</f>
        <v>41.3</v>
      </c>
      <c r="BW201" s="23">
        <f>+BV201</f>
        <v>41.3</v>
      </c>
      <c r="BX201" s="23">
        <f>+'QTR Raw'!AR91</f>
        <v>39.799999999999997</v>
      </c>
      <c r="BY201" s="23">
        <f>+BX201</f>
        <v>39.799999999999997</v>
      </c>
      <c r="BZ201" s="23">
        <f>+'QTR Raw'!AT91</f>
        <v>49.07</v>
      </c>
      <c r="CA201" s="23">
        <f>+BZ201</f>
        <v>49.07</v>
      </c>
      <c r="CB201" s="23">
        <f>+'QTR Raw'!AV91</f>
        <v>41.38</v>
      </c>
      <c r="CC201" s="23">
        <f>+CB201</f>
        <v>41.38</v>
      </c>
      <c r="CD201" s="23">
        <f>+'QTR Raw'!AX91</f>
        <v>36.869999999999997</v>
      </c>
      <c r="CE201" s="23">
        <f>+CD201</f>
        <v>36.869999999999997</v>
      </c>
      <c r="CF201" s="23">
        <f>+'QTR Raw'!AZ91</f>
        <v>45</v>
      </c>
      <c r="CG201" s="23">
        <f t="shared" ref="CG201" si="1402">+CF201</f>
        <v>45</v>
      </c>
      <c r="CH201" s="23">
        <f>Z201</f>
        <v>7.3399999999999981</v>
      </c>
      <c r="CJ201" s="23">
        <f>+'QTR Raw'!BD91</f>
        <v>55.07</v>
      </c>
      <c r="CL201" s="23">
        <f>+'QTR Raw'!BF91</f>
        <v>43.08</v>
      </c>
      <c r="CM201" s="24"/>
      <c r="CN201" s="24"/>
      <c r="CO201" s="24"/>
      <c r="CP201" s="24"/>
      <c r="CQ201" s="24"/>
      <c r="CR201" s="24"/>
      <c r="CS201" s="24"/>
      <c r="CT201" s="24"/>
      <c r="CU201" s="24"/>
      <c r="CV201" s="24"/>
      <c r="CW201" s="24"/>
      <c r="CX201" s="24"/>
      <c r="CY201" s="24"/>
      <c r="CZ201" s="24"/>
      <c r="DA201" s="24"/>
      <c r="DB201" s="24"/>
      <c r="DE201" s="123"/>
      <c r="DF201" s="23">
        <v>43.08</v>
      </c>
    </row>
    <row r="202" spans="1:110" s="23" customFormat="1" outlineLevel="1" x14ac:dyDescent="0.2">
      <c r="A202" s="23" t="s">
        <v>68</v>
      </c>
      <c r="B202" s="23">
        <f>'Annual Raw'!C52</f>
        <v>0</v>
      </c>
      <c r="C202" s="23">
        <f>'Annual Raw'!D52</f>
        <v>0</v>
      </c>
      <c r="D202" s="23">
        <f>'Annual Raw'!E52</f>
        <v>0</v>
      </c>
      <c r="E202" s="23">
        <f>'Annual Raw'!F52</f>
        <v>0</v>
      </c>
      <c r="F202" s="23">
        <f>'Annual Raw'!G52</f>
        <v>0</v>
      </c>
      <c r="G202" s="23">
        <f>'Annual Raw'!H52</f>
        <v>0</v>
      </c>
      <c r="H202" s="23">
        <f>'Annual Raw'!I52</f>
        <v>0</v>
      </c>
      <c r="I202" s="23">
        <f>'Annual Raw'!J52</f>
        <v>0</v>
      </c>
      <c r="J202" s="23">
        <f>'Annual Raw'!K52</f>
        <v>0</v>
      </c>
      <c r="K202" s="23">
        <f>'Annual Raw'!L52</f>
        <v>0</v>
      </c>
      <c r="L202" s="23">
        <f>'Annual Raw'!M52</f>
        <v>0.65300000000000002</v>
      </c>
      <c r="M202" s="23">
        <f>'Annual Raw'!N52</f>
        <v>0.88500000000000001</v>
      </c>
      <c r="N202" s="23">
        <f>'Annual Raw'!O52</f>
        <v>0.97699999999999998</v>
      </c>
      <c r="O202" s="23">
        <f>'Annual Raw'!P52</f>
        <v>1.5389999999999999</v>
      </c>
      <c r="P202" s="23">
        <f>'Annual Raw'!Q52</f>
        <v>3.157</v>
      </c>
      <c r="Q202" s="23">
        <f>'Annual Raw'!R52</f>
        <v>6.8230000000000004</v>
      </c>
      <c r="R202" s="23">
        <f>'Annual Raw'!S52</f>
        <v>5.1520000000000001</v>
      </c>
      <c r="S202" s="23">
        <f>'Annual Raw'!T52</f>
        <v>5.33</v>
      </c>
      <c r="T202" s="23">
        <f>'Annual Raw'!U52</f>
        <v>6.72</v>
      </c>
      <c r="U202" s="23">
        <f>'Annual Raw'!V52</f>
        <v>8.16</v>
      </c>
      <c r="V202" s="23">
        <f>'Annual Raw'!W52</f>
        <v>13.58</v>
      </c>
      <c r="W202" s="23">
        <f>('Annual Raw'!X52)-95.9</f>
        <v>0.26999999999999602</v>
      </c>
      <c r="X202" s="23">
        <f>('Annual Raw'!Y52)-140.56</f>
        <v>3.3000000000000114</v>
      </c>
      <c r="Y202" s="23">
        <f>'Annual Raw'!Z52</f>
        <v>3.06</v>
      </c>
      <c r="Z202" s="23">
        <f>'Annual Raw'!AA52</f>
        <v>54.76</v>
      </c>
      <c r="AA202" s="23">
        <f>'Annual Raw'!AB52</f>
        <v>69.400000000000006</v>
      </c>
      <c r="AB202" s="24">
        <f t="shared" si="1398"/>
        <v>0</v>
      </c>
      <c r="AC202" s="24">
        <f t="shared" si="1399"/>
        <v>0</v>
      </c>
      <c r="AD202" s="24">
        <f t="shared" si="1400"/>
        <v>0</v>
      </c>
      <c r="AE202" s="24">
        <f t="shared" si="1401"/>
        <v>0</v>
      </c>
      <c r="AJ202" s="23">
        <f>+'QTR Raw'!D66</f>
        <v>0</v>
      </c>
      <c r="AK202" s="23">
        <f>+AJ202</f>
        <v>0</v>
      </c>
      <c r="AL202" s="23">
        <f>+'QTR Raw'!F66</f>
        <v>0</v>
      </c>
      <c r="AM202" s="23">
        <f>+AL202</f>
        <v>0</v>
      </c>
      <c r="AN202" s="23">
        <f>+'QTR Raw'!H66</f>
        <v>0</v>
      </c>
      <c r="AO202" s="23">
        <f>+AN202</f>
        <v>0</v>
      </c>
      <c r="AP202" s="23">
        <f>+'QTR Raw'!J66</f>
        <v>0</v>
      </c>
      <c r="AQ202" s="23">
        <f>+AP202</f>
        <v>0</v>
      </c>
      <c r="AR202" s="23">
        <f>+'QTR Raw'!L66</f>
        <v>0</v>
      </c>
      <c r="AS202" s="23">
        <f>+AR202</f>
        <v>0</v>
      </c>
      <c r="AT202" s="23">
        <f>+'QTR Raw'!N66</f>
        <v>0</v>
      </c>
      <c r="AU202" s="23">
        <f>+AT202</f>
        <v>0</v>
      </c>
      <c r="AV202" s="23">
        <f>+'QTR Raw'!P66</f>
        <v>0</v>
      </c>
      <c r="AW202" s="23">
        <f>+AV202</f>
        <v>0</v>
      </c>
      <c r="AX202" s="23">
        <f>+'QTR Raw'!R66</f>
        <v>6.8230000000000004</v>
      </c>
      <c r="AY202" s="23">
        <f>+AX202</f>
        <v>6.8230000000000004</v>
      </c>
      <c r="AZ202" s="23">
        <f>+'QTR Raw'!T66</f>
        <v>6.7809999999999997</v>
      </c>
      <c r="BA202" s="23">
        <f>+AZ202</f>
        <v>6.7809999999999997</v>
      </c>
      <c r="BB202" s="23">
        <f>+'QTR Raw'!V66</f>
        <v>5.1520000000000001</v>
      </c>
      <c r="BC202" s="23">
        <f>+BB202</f>
        <v>5.1520000000000001</v>
      </c>
      <c r="BD202" s="23">
        <f>+'QTR Raw'!X66</f>
        <v>3.9809999999999999</v>
      </c>
      <c r="BE202" s="23">
        <f>+BD202</f>
        <v>3.9809999999999999</v>
      </c>
      <c r="BF202" s="23">
        <f>+'QTR Raw'!Z66</f>
        <v>5.33</v>
      </c>
      <c r="BG202" s="23">
        <f>+BF202</f>
        <v>5.33</v>
      </c>
      <c r="BH202" s="23">
        <f>+'QTR Raw'!AB66</f>
        <v>4.33</v>
      </c>
      <c r="BI202" s="23">
        <f>+BH202</f>
        <v>4.33</v>
      </c>
      <c r="BJ202" s="23">
        <f>+'QTR Raw'!AD66</f>
        <v>6.72</v>
      </c>
      <c r="BK202" s="23">
        <f>+BJ202</f>
        <v>6.72</v>
      </c>
      <c r="BL202" s="23">
        <f>+'QTR Raw'!AF66</f>
        <v>7.03</v>
      </c>
      <c r="BM202" s="23">
        <f>+BL202</f>
        <v>7.03</v>
      </c>
      <c r="BN202" s="23">
        <f>+'QTR Raw'!AH66</f>
        <v>8.16</v>
      </c>
      <c r="BO202" s="23">
        <f>+BN202</f>
        <v>8.16</v>
      </c>
      <c r="BP202" s="23">
        <f>+'QTR Raw'!AJ66</f>
        <v>10.46</v>
      </c>
      <c r="BQ202" s="23">
        <f>+BP202</f>
        <v>10.46</v>
      </c>
      <c r="BR202" s="23">
        <f>+'QTR Raw'!AL66</f>
        <v>13.58</v>
      </c>
      <c r="BS202" s="23">
        <f>+BR202</f>
        <v>13.58</v>
      </c>
      <c r="BT202" s="23">
        <f>+'QTR Raw'!AN66</f>
        <v>11.22</v>
      </c>
      <c r="BU202" s="23">
        <f>+BT202</f>
        <v>11.22</v>
      </c>
      <c r="BV202" s="23">
        <f>+'QTR Raw'!AP66</f>
        <v>0.27</v>
      </c>
      <c r="BW202" s="23">
        <f>+BV202</f>
        <v>0.27</v>
      </c>
      <c r="BX202" s="23">
        <f>+'QTR Raw'!AR66</f>
        <v>0.16</v>
      </c>
      <c r="BY202" s="23">
        <f>+BX202</f>
        <v>0.16</v>
      </c>
      <c r="BZ202" s="23">
        <f>+'QTR Raw'!AT66</f>
        <v>3.3</v>
      </c>
      <c r="CA202" s="23">
        <f>+BZ202</f>
        <v>3.3</v>
      </c>
      <c r="CB202" s="23">
        <f>+'QTR Raw'!AV66</f>
        <v>5.67</v>
      </c>
      <c r="CC202" s="23">
        <f>+CB202</f>
        <v>5.67</v>
      </c>
      <c r="CD202" s="23">
        <f>+'QTR Raw'!AX66</f>
        <v>3.06</v>
      </c>
      <c r="CE202" s="23">
        <f>+CD202</f>
        <v>3.06</v>
      </c>
      <c r="CF202" s="23">
        <f>+'QTR Raw'!AZ66</f>
        <v>3.62</v>
      </c>
      <c r="CG202" s="23">
        <f>+CF202</f>
        <v>3.62</v>
      </c>
      <c r="CH202" s="23">
        <f>Z202</f>
        <v>54.76</v>
      </c>
      <c r="CJ202" s="23">
        <f>+'QTR Raw'!BD66</f>
        <v>7.16</v>
      </c>
      <c r="CL202" s="23">
        <f>+'QTR Raw'!BF66</f>
        <v>12.11</v>
      </c>
      <c r="CM202" s="24"/>
      <c r="CN202" s="24"/>
      <c r="CO202" s="24"/>
      <c r="CP202" s="24"/>
      <c r="CQ202" s="24"/>
      <c r="CR202" s="24"/>
      <c r="CS202" s="24"/>
      <c r="CT202" s="24"/>
      <c r="CU202" s="24"/>
      <c r="CV202" s="24"/>
      <c r="CW202" s="24"/>
      <c r="CX202" s="24"/>
      <c r="CY202" s="24"/>
      <c r="CZ202" s="24"/>
      <c r="DA202" s="24"/>
      <c r="DB202" s="24"/>
      <c r="DE202" s="123"/>
      <c r="DF202" s="23">
        <v>12.11</v>
      </c>
    </row>
    <row r="203" spans="1:110" s="23" customFormat="1" outlineLevel="1" x14ac:dyDescent="0.2">
      <c r="A203" s="23" t="s">
        <v>72</v>
      </c>
      <c r="B203" s="23">
        <f>'Annual Raw'!C57</f>
        <v>0</v>
      </c>
      <c r="C203" s="23">
        <f>'Annual Raw'!D57</f>
        <v>0</v>
      </c>
      <c r="D203" s="23">
        <f>'Annual Raw'!E57</f>
        <v>0</v>
      </c>
      <c r="E203" s="23">
        <f>'Annual Raw'!F57</f>
        <v>0</v>
      </c>
      <c r="F203" s="23">
        <f>'Annual Raw'!G57</f>
        <v>0</v>
      </c>
      <c r="G203" s="23">
        <f>'Annual Raw'!H57</f>
        <v>0</v>
      </c>
      <c r="H203" s="23">
        <f>'Annual Raw'!I57</f>
        <v>1.6240806000000001</v>
      </c>
      <c r="I203" s="23">
        <f>'Annual Raw'!J57</f>
        <v>29.1904921</v>
      </c>
      <c r="J203" s="23">
        <f>'Annual Raw'!K57</f>
        <v>14.4416201</v>
      </c>
      <c r="K203" s="23">
        <f>'Annual Raw'!L57</f>
        <v>23.805991800000001</v>
      </c>
      <c r="L203" s="23">
        <f>'Annual Raw'!M57</f>
        <v>0.26200000000000001</v>
      </c>
      <c r="M203" s="23">
        <f>'Annual Raw'!N57</f>
        <v>0.98499999999999999</v>
      </c>
      <c r="N203" s="23">
        <f>'Annual Raw'!O57</f>
        <v>1.0649999999999999</v>
      </c>
      <c r="O203" s="23">
        <f>'Annual Raw'!P57</f>
        <v>0.43</v>
      </c>
      <c r="P203" s="23">
        <f>'Annual Raw'!Q57</f>
        <v>1.645</v>
      </c>
      <c r="Q203" s="23">
        <f>'Annual Raw'!R57</f>
        <v>18.984000000000002</v>
      </c>
      <c r="R203" s="23">
        <f>'Annual Raw'!S57</f>
        <v>2.1880000000000002</v>
      </c>
      <c r="S203" s="23">
        <f>'Annual Raw'!T57</f>
        <v>6.2</v>
      </c>
      <c r="T203" s="23">
        <f>'Annual Raw'!U57</f>
        <v>1.67</v>
      </c>
      <c r="U203" s="23">
        <f>'Annual Raw'!V57</f>
        <v>1.76</v>
      </c>
      <c r="V203" s="23">
        <f>'Annual Raw'!W57</f>
        <v>5.96</v>
      </c>
      <c r="W203" s="23">
        <f>'Annual Raw'!X57</f>
        <v>158.87</v>
      </c>
      <c r="X203" s="23">
        <f>'Annual Raw'!Y57</f>
        <v>14.08</v>
      </c>
      <c r="Y203" s="23">
        <f>'Annual Raw'!Z57</f>
        <v>4.0999999999999996</v>
      </c>
      <c r="Z203" s="23">
        <f>'Annual Raw'!AA57</f>
        <v>3.38</v>
      </c>
      <c r="AA203" s="23">
        <f>'Annual Raw'!AB57</f>
        <v>3.84</v>
      </c>
      <c r="AB203" s="24">
        <f t="shared" si="1398"/>
        <v>0</v>
      </c>
      <c r="AC203" s="24">
        <f t="shared" si="1399"/>
        <v>0</v>
      </c>
      <c r="AD203" s="24">
        <f t="shared" si="1400"/>
        <v>0</v>
      </c>
      <c r="AE203" s="24">
        <f t="shared" si="1401"/>
        <v>0</v>
      </c>
      <c r="AJ203" s="23">
        <f>+'QTR Raw'!D92</f>
        <v>0</v>
      </c>
      <c r="AK203" s="23">
        <f>+AJ203</f>
        <v>0</v>
      </c>
      <c r="AL203" s="23">
        <f>+'QTR Raw'!F92</f>
        <v>0</v>
      </c>
      <c r="AM203" s="23">
        <f>+AL203</f>
        <v>0</v>
      </c>
      <c r="AN203" s="23">
        <f>+'QTR Raw'!H92</f>
        <v>0</v>
      </c>
      <c r="AO203" s="23">
        <f>+AN203</f>
        <v>0</v>
      </c>
      <c r="AP203" s="23">
        <f>+'QTR Raw'!J92</f>
        <v>0</v>
      </c>
      <c r="AQ203" s="23">
        <f>+AP203</f>
        <v>0</v>
      </c>
      <c r="AR203" s="23">
        <f>+'QTR Raw'!L92</f>
        <v>0</v>
      </c>
      <c r="AS203" s="23">
        <f>+AR203</f>
        <v>0</v>
      </c>
      <c r="AT203" s="23">
        <f>+'QTR Raw'!N92</f>
        <v>0</v>
      </c>
      <c r="AU203" s="23">
        <f>+AT203</f>
        <v>0</v>
      </c>
      <c r="AV203" s="23">
        <f>+'QTR Raw'!P92</f>
        <v>0</v>
      </c>
      <c r="AW203" s="23">
        <f>+AV203</f>
        <v>0</v>
      </c>
      <c r="AX203" s="23">
        <f>+'QTR Raw'!R92</f>
        <v>18.984000000000002</v>
      </c>
      <c r="AY203" s="23">
        <f>+AX203</f>
        <v>18.984000000000002</v>
      </c>
      <c r="AZ203" s="23">
        <f>+'QTR Raw'!T92</f>
        <v>5.109</v>
      </c>
      <c r="BA203" s="23">
        <f>+AZ203</f>
        <v>5.109</v>
      </c>
      <c r="BB203" s="23">
        <f>+'QTR Raw'!V92</f>
        <v>0.99</v>
      </c>
      <c r="BC203" s="23">
        <f>+BB203</f>
        <v>0.99</v>
      </c>
      <c r="BD203" s="23">
        <f>+'QTR Raw'!X92</f>
        <v>0.86</v>
      </c>
      <c r="BE203" s="23">
        <f>+BD203</f>
        <v>0.86</v>
      </c>
      <c r="BF203" s="23">
        <f>+'QTR Raw'!Z92</f>
        <v>1.1399999999999999</v>
      </c>
      <c r="BG203" s="23">
        <f>+BF203</f>
        <v>1.1399999999999999</v>
      </c>
      <c r="BH203" s="23">
        <f>+'QTR Raw'!AB92</f>
        <v>1.54</v>
      </c>
      <c r="BI203" s="23">
        <f>+BH203</f>
        <v>1.54</v>
      </c>
      <c r="BJ203" s="23">
        <f>+'QTR Raw'!AD92</f>
        <v>1.47</v>
      </c>
      <c r="BK203" s="23">
        <f>+BJ203</f>
        <v>1.47</v>
      </c>
      <c r="BL203" s="23">
        <f>+'QTR Raw'!AF92</f>
        <v>1.89</v>
      </c>
      <c r="BM203" s="23">
        <f>+BL203</f>
        <v>1.89</v>
      </c>
      <c r="BN203" s="23">
        <f>+'QTR Raw'!AH92</f>
        <v>1.01</v>
      </c>
      <c r="BO203" s="23">
        <f>+BN203</f>
        <v>1.01</v>
      </c>
      <c r="BP203" s="23">
        <f>+'QTR Raw'!AJ92</f>
        <v>0</v>
      </c>
      <c r="BQ203" s="23">
        <f>+BP203</f>
        <v>0</v>
      </c>
      <c r="BR203" s="23">
        <f>+'QTR Raw'!AL92</f>
        <v>3.39</v>
      </c>
      <c r="BS203" s="23">
        <f>+BR203</f>
        <v>3.39</v>
      </c>
      <c r="BT203" s="23">
        <f>+'QTR Raw'!AN92</f>
        <v>1.53</v>
      </c>
      <c r="BU203" s="23">
        <f>+BT203</f>
        <v>1.53</v>
      </c>
      <c r="BV203" s="23">
        <f>+'QTR Raw'!AP92</f>
        <v>6.69</v>
      </c>
      <c r="BW203" s="23">
        <f>+BV203</f>
        <v>6.69</v>
      </c>
      <c r="BX203" s="23">
        <f>+'QTR Raw'!AR92</f>
        <v>7</v>
      </c>
      <c r="BY203" s="23">
        <f>+BX203</f>
        <v>7</v>
      </c>
      <c r="BZ203" s="23">
        <f>+'QTR Raw'!AT92</f>
        <v>4.04</v>
      </c>
      <c r="CA203" s="23">
        <f>+BZ203</f>
        <v>4.04</v>
      </c>
      <c r="CB203" s="23">
        <f>+'QTR Raw'!AV92</f>
        <v>0.94</v>
      </c>
      <c r="CC203" s="23">
        <f>+CB203</f>
        <v>0.94</v>
      </c>
      <c r="CD203" s="23">
        <f>+'QTR Raw'!AX92</f>
        <v>2.81</v>
      </c>
      <c r="CE203" s="23">
        <f>+CD203</f>
        <v>2.81</v>
      </c>
      <c r="CF203" s="23">
        <f>+'QTR Raw'!AZ92</f>
        <v>4</v>
      </c>
      <c r="CG203" s="23">
        <f>+CF203</f>
        <v>4</v>
      </c>
      <c r="CH203" s="23">
        <f>Z203</f>
        <v>3.38</v>
      </c>
      <c r="CJ203" s="23">
        <f>+'QTR Raw'!BD92</f>
        <v>0.99</v>
      </c>
      <c r="CL203" s="23">
        <f>+'QTR Raw'!BF92</f>
        <v>1.46</v>
      </c>
      <c r="CM203" s="24"/>
      <c r="CN203" s="24"/>
      <c r="CO203" s="24"/>
      <c r="CP203" s="24"/>
      <c r="CQ203" s="24"/>
      <c r="CR203" s="24"/>
      <c r="CS203" s="24"/>
      <c r="CT203" s="24"/>
      <c r="CU203" s="24"/>
      <c r="CV203" s="24"/>
      <c r="CW203" s="24"/>
      <c r="CX203" s="24"/>
      <c r="CY203" s="24"/>
      <c r="CZ203" s="24"/>
      <c r="DA203" s="24"/>
      <c r="DB203" s="24"/>
      <c r="DE203" s="123"/>
      <c r="DF203" s="23">
        <v>1.46</v>
      </c>
    </row>
    <row r="204" spans="1:110" s="23" customFormat="1" outlineLevel="1" x14ac:dyDescent="0.2">
      <c r="A204" s="23" t="s">
        <v>552</v>
      </c>
      <c r="W204" s="23">
        <v>95.9</v>
      </c>
      <c r="X204" s="23">
        <v>140.56</v>
      </c>
      <c r="AB204" s="24">
        <f t="shared" si="1398"/>
        <v>0</v>
      </c>
      <c r="AC204" s="24">
        <f t="shared" si="1399"/>
        <v>0</v>
      </c>
      <c r="AD204" s="24">
        <f t="shared" si="1400"/>
        <v>0</v>
      </c>
      <c r="AE204" s="24">
        <f t="shared" si="1401"/>
        <v>0</v>
      </c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  <c r="DF204" s="23">
        <v>0</v>
      </c>
    </row>
    <row r="205" spans="1:110" s="23" customFormat="1" outlineLevel="1" x14ac:dyDescent="0.2">
      <c r="A205" s="23" t="s">
        <v>69</v>
      </c>
      <c r="B205" s="23">
        <v>0</v>
      </c>
      <c r="C205" s="23">
        <v>0</v>
      </c>
      <c r="D205" s="23">
        <v>0</v>
      </c>
      <c r="E205" s="23">
        <v>0</v>
      </c>
      <c r="F205" s="23">
        <v>0</v>
      </c>
      <c r="G205" s="23">
        <v>0</v>
      </c>
      <c r="H205" s="23">
        <v>0</v>
      </c>
      <c r="I205" s="23">
        <v>0</v>
      </c>
      <c r="J205" s="23">
        <v>0</v>
      </c>
      <c r="K205" s="23">
        <v>0</v>
      </c>
      <c r="L205" s="23">
        <v>0</v>
      </c>
      <c r="M205" s="23">
        <v>0</v>
      </c>
      <c r="N205" s="23">
        <v>0</v>
      </c>
      <c r="O205" s="23">
        <v>0</v>
      </c>
      <c r="P205" s="23">
        <v>0</v>
      </c>
      <c r="Q205" s="23">
        <v>0</v>
      </c>
      <c r="R205" s="23">
        <v>0</v>
      </c>
      <c r="S205" s="23">
        <v>0</v>
      </c>
      <c r="T205" s="23">
        <v>0</v>
      </c>
      <c r="U205" s="23">
        <v>0</v>
      </c>
      <c r="V205" s="23">
        <v>0</v>
      </c>
      <c r="W205" s="23">
        <v>0</v>
      </c>
      <c r="X205" s="23">
        <v>0</v>
      </c>
      <c r="Y205" s="23">
        <v>0</v>
      </c>
      <c r="Z205" s="23">
        <v>0</v>
      </c>
      <c r="AA205" s="23">
        <v>0</v>
      </c>
      <c r="AB205" s="24">
        <f t="shared" si="1398"/>
        <v>112.37582722281761</v>
      </c>
      <c r="AC205" s="24">
        <f t="shared" si="1399"/>
        <v>133.08312032202176</v>
      </c>
      <c r="AD205" s="24">
        <f t="shared" si="1400"/>
        <v>157.79520390661199</v>
      </c>
      <c r="AE205" s="24">
        <f t="shared" si="1401"/>
        <v>187.28660445646199</v>
      </c>
      <c r="AJ205" s="23">
        <f>+'QTR Raw'!D87</f>
        <v>0</v>
      </c>
      <c r="AK205" s="23">
        <f>+AJ205</f>
        <v>0</v>
      </c>
      <c r="AL205" s="23">
        <f>+'QTR Raw'!F87</f>
        <v>0</v>
      </c>
      <c r="AM205" s="23">
        <f>+AL205</f>
        <v>0</v>
      </c>
      <c r="AN205" s="23">
        <f>+'QTR Raw'!H87</f>
        <v>0</v>
      </c>
      <c r="AO205" s="23">
        <f>+AN205</f>
        <v>0</v>
      </c>
      <c r="AP205" s="23">
        <f>+'QTR Raw'!J87</f>
        <v>0</v>
      </c>
      <c r="AQ205" s="23">
        <f>+AP205</f>
        <v>0</v>
      </c>
      <c r="AR205" s="23">
        <f>+'QTR Raw'!L87</f>
        <v>0</v>
      </c>
      <c r="AS205" s="23">
        <f>+AR205</f>
        <v>0</v>
      </c>
      <c r="AT205" s="23">
        <f>+'QTR Raw'!N87</f>
        <v>0</v>
      </c>
      <c r="AU205" s="23">
        <f>+AT205</f>
        <v>0</v>
      </c>
      <c r="AV205" s="23">
        <f>+'QTR Raw'!P87</f>
        <v>0</v>
      </c>
      <c r="AW205" s="23">
        <f>+AV205</f>
        <v>0</v>
      </c>
      <c r="AX205" s="23">
        <f>+'QTR Raw'!R87</f>
        <v>0</v>
      </c>
      <c r="AY205" s="23">
        <f>+AX205</f>
        <v>0</v>
      </c>
      <c r="AZ205" s="23">
        <f>+'QTR Raw'!T87</f>
        <v>0</v>
      </c>
      <c r="BA205" s="23">
        <f>+AZ205</f>
        <v>0</v>
      </c>
      <c r="BB205" s="23">
        <f>+'QTR Raw'!V87</f>
        <v>0</v>
      </c>
      <c r="BC205" s="23">
        <f>+BB205</f>
        <v>0</v>
      </c>
      <c r="BD205" s="23">
        <f>+'QTR Raw'!X87</f>
        <v>0</v>
      </c>
      <c r="BE205" s="23">
        <f>+BD205</f>
        <v>0</v>
      </c>
      <c r="BF205" s="23">
        <f>+'QTR Raw'!Z87</f>
        <v>0</v>
      </c>
      <c r="BG205" s="23">
        <f>+BF205</f>
        <v>0</v>
      </c>
      <c r="BH205" s="23">
        <f>+'QTR Raw'!AB87</f>
        <v>0</v>
      </c>
      <c r="BI205" s="23">
        <f>+BH205</f>
        <v>0</v>
      </c>
      <c r="BJ205" s="23">
        <f>+'QTR Raw'!AD87</f>
        <v>0</v>
      </c>
      <c r="BK205" s="23">
        <f>+BJ205</f>
        <v>0</v>
      </c>
      <c r="BL205" s="23">
        <f>+'QTR Raw'!AF87</f>
        <v>0</v>
      </c>
      <c r="BM205" s="23">
        <f>+BL205</f>
        <v>0</v>
      </c>
      <c r="BN205" s="23">
        <f>+'QTR Raw'!AH87</f>
        <v>0</v>
      </c>
      <c r="BO205" s="23">
        <f>+BN205</f>
        <v>0</v>
      </c>
      <c r="BP205" s="23">
        <f>+'QTR Raw'!AJ87</f>
        <v>0</v>
      </c>
      <c r="BQ205" s="23">
        <f>+BP205</f>
        <v>0</v>
      </c>
      <c r="BR205" s="23">
        <f>+'QTR Raw'!AL87</f>
        <v>0</v>
      </c>
      <c r="BS205" s="23">
        <f>+BR205</f>
        <v>0</v>
      </c>
      <c r="BT205" s="23">
        <f>+'QTR Raw'!AN87</f>
        <v>0</v>
      </c>
      <c r="BU205" s="23">
        <f>+BT205</f>
        <v>0</v>
      </c>
      <c r="BV205" s="23">
        <f>+'QTR Raw'!AP87</f>
        <v>0</v>
      </c>
      <c r="BW205" s="23">
        <f>+BV205</f>
        <v>0</v>
      </c>
      <c r="BX205" s="23">
        <f>+'QTR Raw'!AR87</f>
        <v>0</v>
      </c>
      <c r="BY205" s="23">
        <f>+BX205</f>
        <v>0</v>
      </c>
      <c r="BZ205" s="23">
        <f>+'QTR Raw'!AT87</f>
        <v>0</v>
      </c>
      <c r="CA205" s="23">
        <f>+BZ205</f>
        <v>0</v>
      </c>
      <c r="CB205" s="23">
        <f>+'QTR Raw'!AV87</f>
        <v>0</v>
      </c>
      <c r="CC205" s="23">
        <f>+CB205</f>
        <v>0</v>
      </c>
      <c r="CD205" s="23">
        <f>+'QTR Raw'!AX87</f>
        <v>0</v>
      </c>
      <c r="CE205" s="23">
        <f>+CD205</f>
        <v>0</v>
      </c>
      <c r="CF205" s="23">
        <f>+'QTR Raw'!AZ87</f>
        <v>0</v>
      </c>
      <c r="CG205" s="23">
        <f>+CF205</f>
        <v>0</v>
      </c>
      <c r="CH205" s="23">
        <f>Z205</f>
        <v>0</v>
      </c>
      <c r="CI205" s="23">
        <f>CI43/90*CI235</f>
        <v>84.984355631545199</v>
      </c>
      <c r="CJ205" s="23">
        <f>+'QTR Raw'!BD87</f>
        <v>0</v>
      </c>
      <c r="CK205" s="23">
        <f t="shared" ref="CK205:DB205" si="1403">CK43/90*CK235</f>
        <v>72.322531288966886</v>
      </c>
      <c r="CL205" s="23">
        <f>+'QTR Raw'!BF87</f>
        <v>0</v>
      </c>
      <c r="CM205" s="24">
        <f t="shared" si="1403"/>
        <v>96.216270425764705</v>
      </c>
      <c r="CN205" s="24">
        <f t="shared" si="1403"/>
        <v>108.05644883366824</v>
      </c>
      <c r="CO205" s="24">
        <f t="shared" si="1403"/>
        <v>98.045654214110314</v>
      </c>
      <c r="CP205" s="24">
        <f t="shared" si="1403"/>
        <v>112.37582722281761</v>
      </c>
      <c r="CQ205" s="24">
        <f t="shared" si="1403"/>
        <v>113.7983052404188</v>
      </c>
      <c r="CR205" s="24">
        <f t="shared" si="1403"/>
        <v>127.92837415241091</v>
      </c>
      <c r="CS205" s="24">
        <f t="shared" si="1403"/>
        <v>115.98149185343046</v>
      </c>
      <c r="CT205" s="24">
        <f t="shared" si="1403"/>
        <v>133.08312032202176</v>
      </c>
      <c r="CU205" s="24">
        <f t="shared" si="1403"/>
        <v>134.78070558822708</v>
      </c>
      <c r="CV205" s="24">
        <f t="shared" si="1403"/>
        <v>151.6435298277984</v>
      </c>
      <c r="CW205" s="24">
        <f t="shared" si="1403"/>
        <v>137.38612049219512</v>
      </c>
      <c r="CX205" s="24">
        <f t="shared" si="1403"/>
        <v>157.79520390661199</v>
      </c>
      <c r="CY205" s="24">
        <f t="shared" si="1403"/>
        <v>159.82110216330142</v>
      </c>
      <c r="CZ205" s="24">
        <f t="shared" si="1403"/>
        <v>179.94519661080585</v>
      </c>
      <c r="DA205" s="24">
        <f t="shared" si="1403"/>
        <v>162.93040430969694</v>
      </c>
      <c r="DB205" s="24">
        <f t="shared" si="1403"/>
        <v>187.28660445646199</v>
      </c>
      <c r="DE205" s="123"/>
      <c r="DF205" s="23">
        <v>81.348426099847615</v>
      </c>
    </row>
    <row r="206" spans="1:110" s="23" customFormat="1" outlineLevel="1" x14ac:dyDescent="0.2">
      <c r="A206" s="23" t="s">
        <v>67</v>
      </c>
      <c r="B206" s="23">
        <f>'Annual Raw'!C51</f>
        <v>0</v>
      </c>
      <c r="C206" s="23">
        <f>'Annual Raw'!D51</f>
        <v>0</v>
      </c>
      <c r="D206" s="23">
        <f>'Annual Raw'!E51</f>
        <v>0</v>
      </c>
      <c r="E206" s="23">
        <f>'Annual Raw'!F51</f>
        <v>0</v>
      </c>
      <c r="F206" s="23">
        <f>'Annual Raw'!G51</f>
        <v>0</v>
      </c>
      <c r="G206" s="23">
        <f>'Annual Raw'!H51</f>
        <v>0</v>
      </c>
      <c r="H206" s="23">
        <f>'Annual Raw'!I51</f>
        <v>0</v>
      </c>
      <c r="I206" s="23">
        <f>'Annual Raw'!J51</f>
        <v>0</v>
      </c>
      <c r="J206" s="23">
        <f>'Annual Raw'!K51</f>
        <v>0</v>
      </c>
      <c r="K206" s="23">
        <f>'Annual Raw'!L51</f>
        <v>0</v>
      </c>
      <c r="L206" s="23">
        <f>'Annual Raw'!M51</f>
        <v>0</v>
      </c>
      <c r="M206" s="23">
        <f>'Annual Raw'!N51</f>
        <v>0</v>
      </c>
      <c r="N206" s="23">
        <f>'Annual Raw'!O51</f>
        <v>0</v>
      </c>
      <c r="O206" s="23">
        <f>'Annual Raw'!P51</f>
        <v>0</v>
      </c>
      <c r="P206" s="23">
        <f>'Annual Raw'!Q51</f>
        <v>0</v>
      </c>
      <c r="Q206" s="23">
        <f>'Annual Raw'!R51</f>
        <v>0</v>
      </c>
      <c r="R206" s="23">
        <f>'Annual Raw'!S51</f>
        <v>0</v>
      </c>
      <c r="S206" s="23">
        <f>'Annual Raw'!T51</f>
        <v>0</v>
      </c>
      <c r="T206" s="23">
        <f>'Annual Raw'!U51</f>
        <v>0</v>
      </c>
      <c r="U206" s="23">
        <f>'Annual Raw'!V51</f>
        <v>0</v>
      </c>
      <c r="V206" s="23">
        <f>'Annual Raw'!W51</f>
        <v>0</v>
      </c>
      <c r="W206" s="23">
        <f>'Annual Raw'!X51</f>
        <v>0</v>
      </c>
      <c r="X206" s="23">
        <f>'Annual Raw'!Y51</f>
        <v>0</v>
      </c>
      <c r="Y206" s="23">
        <f>'Annual Raw'!Z51</f>
        <v>0</v>
      </c>
      <c r="Z206" s="23">
        <f>'Annual Raw'!AA51</f>
        <v>0</v>
      </c>
      <c r="AA206" s="23">
        <f>'Annual Raw'!AB51</f>
        <v>0</v>
      </c>
      <c r="AB206" s="24">
        <f t="shared" ref="AB206" si="1404">+CP206</f>
        <v>0</v>
      </c>
      <c r="AC206" s="24">
        <f t="shared" ref="AC206" si="1405">+CT206</f>
        <v>0</v>
      </c>
      <c r="AD206" s="24">
        <f t="shared" ref="AD206" si="1406">+CX206</f>
        <v>0</v>
      </c>
      <c r="AE206" s="24">
        <f t="shared" ref="AE206" si="1407">+DB206</f>
        <v>0</v>
      </c>
      <c r="AJ206" s="23">
        <f>+'QTR Raw'!D65</f>
        <v>0</v>
      </c>
      <c r="AK206" s="23">
        <f t="shared" ref="AK206:CE206" si="1408">+AJ206</f>
        <v>0</v>
      </c>
      <c r="AL206" s="23">
        <f>+'QTR Raw'!F65</f>
        <v>0</v>
      </c>
      <c r="AM206" s="23">
        <f t="shared" si="1408"/>
        <v>0</v>
      </c>
      <c r="AN206" s="23">
        <f>+'QTR Raw'!H65</f>
        <v>0</v>
      </c>
      <c r="AO206" s="23">
        <f t="shared" si="1408"/>
        <v>0</v>
      </c>
      <c r="AP206" s="23">
        <f>+'QTR Raw'!J65</f>
        <v>0</v>
      </c>
      <c r="AQ206" s="23">
        <f t="shared" si="1408"/>
        <v>0</v>
      </c>
      <c r="AR206" s="23">
        <f>+'QTR Raw'!L65</f>
        <v>0</v>
      </c>
      <c r="AS206" s="23">
        <f t="shared" si="1408"/>
        <v>0</v>
      </c>
      <c r="AT206" s="23">
        <f>+'QTR Raw'!N65</f>
        <v>0</v>
      </c>
      <c r="AU206" s="23">
        <f t="shared" si="1408"/>
        <v>0</v>
      </c>
      <c r="AV206" s="23">
        <f>+'QTR Raw'!P65</f>
        <v>0</v>
      </c>
      <c r="AW206" s="23">
        <f t="shared" si="1408"/>
        <v>0</v>
      </c>
      <c r="AX206" s="23">
        <f>+'QTR Raw'!R65</f>
        <v>0</v>
      </c>
      <c r="AY206" s="23">
        <f t="shared" si="1408"/>
        <v>0</v>
      </c>
      <c r="AZ206" s="23">
        <f>+'QTR Raw'!T65</f>
        <v>0</v>
      </c>
      <c r="BA206" s="23">
        <f t="shared" si="1408"/>
        <v>0</v>
      </c>
      <c r="BB206" s="23">
        <f>+'QTR Raw'!V65</f>
        <v>0</v>
      </c>
      <c r="BC206" s="23">
        <f t="shared" si="1408"/>
        <v>0</v>
      </c>
      <c r="BD206" s="23">
        <f>+'QTR Raw'!X65</f>
        <v>0</v>
      </c>
      <c r="BE206" s="23">
        <f t="shared" si="1408"/>
        <v>0</v>
      </c>
      <c r="BF206" s="23">
        <f>+'QTR Raw'!Z65</f>
        <v>0</v>
      </c>
      <c r="BG206" s="23">
        <f t="shared" si="1408"/>
        <v>0</v>
      </c>
      <c r="BH206" s="23">
        <f>+'QTR Raw'!AB65</f>
        <v>0</v>
      </c>
      <c r="BI206" s="23">
        <f t="shared" si="1408"/>
        <v>0</v>
      </c>
      <c r="BJ206" s="23">
        <f>+'QTR Raw'!AD65</f>
        <v>0</v>
      </c>
      <c r="BK206" s="23">
        <f t="shared" si="1408"/>
        <v>0</v>
      </c>
      <c r="BL206" s="23">
        <f>+'QTR Raw'!AF65</f>
        <v>0</v>
      </c>
      <c r="BM206" s="23">
        <f t="shared" si="1408"/>
        <v>0</v>
      </c>
      <c r="BN206" s="23">
        <f>+'QTR Raw'!AH65</f>
        <v>0</v>
      </c>
      <c r="BO206" s="23">
        <f t="shared" si="1408"/>
        <v>0</v>
      </c>
      <c r="BP206" s="23">
        <f>+'QTR Raw'!AJ65</f>
        <v>0</v>
      </c>
      <c r="BQ206" s="23">
        <f t="shared" si="1408"/>
        <v>0</v>
      </c>
      <c r="BR206" s="23">
        <f>+'QTR Raw'!AL65</f>
        <v>0</v>
      </c>
      <c r="BS206" s="23">
        <f t="shared" si="1408"/>
        <v>0</v>
      </c>
      <c r="BT206" s="23">
        <f>+'QTR Raw'!AN65</f>
        <v>0</v>
      </c>
      <c r="BU206" s="23">
        <f t="shared" si="1408"/>
        <v>0</v>
      </c>
      <c r="BV206" s="23">
        <f>+'QTR Raw'!AP65</f>
        <v>0</v>
      </c>
      <c r="BW206" s="23">
        <f t="shared" si="1408"/>
        <v>0</v>
      </c>
      <c r="BX206" s="23">
        <f>+'QTR Raw'!AR65</f>
        <v>0</v>
      </c>
      <c r="BY206" s="23">
        <f t="shared" si="1408"/>
        <v>0</v>
      </c>
      <c r="BZ206" s="23">
        <f>+'QTR Raw'!AT65</f>
        <v>0</v>
      </c>
      <c r="CA206" s="23">
        <f t="shared" si="1408"/>
        <v>0</v>
      </c>
      <c r="CB206" s="23">
        <f>+'QTR Raw'!AV65</f>
        <v>0</v>
      </c>
      <c r="CC206" s="23">
        <f t="shared" si="1408"/>
        <v>0</v>
      </c>
      <c r="CD206" s="23">
        <f>+'QTR Raw'!AX65</f>
        <v>0</v>
      </c>
      <c r="CE206" s="23">
        <f t="shared" si="1408"/>
        <v>0</v>
      </c>
      <c r="CF206" s="23">
        <f>+'QTR Raw'!AZ65</f>
        <v>0</v>
      </c>
      <c r="CG206" s="23">
        <f t="shared" ref="CG206" si="1409">+CF206</f>
        <v>0</v>
      </c>
      <c r="CH206" s="23">
        <f>Z206</f>
        <v>0</v>
      </c>
      <c r="CJ206" s="23">
        <f>+'QTR Raw'!BD65</f>
        <v>0</v>
      </c>
      <c r="CL206" s="23">
        <f>+'QTR Raw'!BF65</f>
        <v>0</v>
      </c>
      <c r="CM206" s="24"/>
      <c r="CN206" s="24"/>
      <c r="CO206" s="24"/>
      <c r="CP206" s="24"/>
      <c r="CQ206" s="24"/>
      <c r="CR206" s="24"/>
      <c r="CS206" s="24"/>
      <c r="CT206" s="24"/>
      <c r="CU206" s="24"/>
      <c r="CV206" s="24"/>
      <c r="CW206" s="24"/>
      <c r="CX206" s="24"/>
      <c r="CY206" s="24"/>
      <c r="CZ206" s="24"/>
      <c r="DA206" s="24"/>
      <c r="DB206" s="24"/>
      <c r="DE206" s="123"/>
      <c r="DF206" s="23">
        <v>0</v>
      </c>
    </row>
    <row r="207" spans="1:110" s="22" customFormat="1" x14ac:dyDescent="0.2">
      <c r="A207" s="22" t="s">
        <v>73</v>
      </c>
      <c r="B207" s="22">
        <f t="shared" ref="B207:AE207" si="1410">SUM(B196:B205)</f>
        <v>0</v>
      </c>
      <c r="C207" s="22">
        <f t="shared" si="1410"/>
        <v>0</v>
      </c>
      <c r="D207" s="22">
        <f t="shared" si="1410"/>
        <v>0</v>
      </c>
      <c r="E207" s="22">
        <f t="shared" si="1410"/>
        <v>0</v>
      </c>
      <c r="F207" s="22">
        <f t="shared" si="1410"/>
        <v>0</v>
      </c>
      <c r="G207" s="22">
        <f t="shared" si="1410"/>
        <v>0</v>
      </c>
      <c r="H207" s="22">
        <f t="shared" si="1410"/>
        <v>7.5953808</v>
      </c>
      <c r="I207" s="22">
        <f t="shared" si="1410"/>
        <v>34.722666000000004</v>
      </c>
      <c r="J207" s="22">
        <f t="shared" si="1410"/>
        <v>20.958056599999999</v>
      </c>
      <c r="K207" s="22">
        <f t="shared" si="1410"/>
        <v>30.047646499999999</v>
      </c>
      <c r="L207" s="22">
        <f t="shared" si="1410"/>
        <v>8.4109999999999996</v>
      </c>
      <c r="M207" s="22">
        <f t="shared" si="1410"/>
        <v>9.6009999999999991</v>
      </c>
      <c r="N207" s="22">
        <f t="shared" si="1410"/>
        <v>11.356</v>
      </c>
      <c r="O207" s="22">
        <f t="shared" si="1410"/>
        <v>13.859</v>
      </c>
      <c r="P207" s="22">
        <f t="shared" si="1410"/>
        <v>16.835999999999999</v>
      </c>
      <c r="Q207" s="22">
        <f t="shared" si="1410"/>
        <v>44.064</v>
      </c>
      <c r="R207" s="22">
        <f t="shared" si="1410"/>
        <v>22.77</v>
      </c>
      <c r="S207" s="22">
        <f t="shared" si="1410"/>
        <v>35.710000000000008</v>
      </c>
      <c r="T207" s="22">
        <f t="shared" si="1410"/>
        <v>37.1</v>
      </c>
      <c r="U207" s="22">
        <f t="shared" si="1410"/>
        <v>95.54</v>
      </c>
      <c r="V207" s="22">
        <f t="shared" si="1410"/>
        <v>114.13</v>
      </c>
      <c r="W207" s="22">
        <f t="shared" si="1410"/>
        <v>327.13</v>
      </c>
      <c r="X207" s="22">
        <f t="shared" si="1410"/>
        <v>237.07</v>
      </c>
      <c r="Y207" s="22">
        <f t="shared" si="1410"/>
        <v>94.66</v>
      </c>
      <c r="Z207" s="22">
        <f t="shared" si="1410"/>
        <v>193.51999999999998</v>
      </c>
      <c r="AA207" s="22">
        <f t="shared" ref="AA207" si="1411">SUM(AA196:AA205)</f>
        <v>218.49</v>
      </c>
      <c r="AB207" s="21">
        <f t="shared" si="1410"/>
        <v>189.03248824291137</v>
      </c>
      <c r="AC207" s="21">
        <f t="shared" si="1410"/>
        <v>223.86516744140567</v>
      </c>
      <c r="AD207" s="21">
        <f t="shared" si="1410"/>
        <v>265.43448679688879</v>
      </c>
      <c r="AE207" s="21">
        <f t="shared" si="1410"/>
        <v>315.04331251572233</v>
      </c>
      <c r="AJ207" s="22">
        <f t="shared" ref="AJ207:BO207" si="1412">SUM(AJ196:AJ205)</f>
        <v>0</v>
      </c>
      <c r="AK207" s="22" t="e">
        <f t="shared" si="1412"/>
        <v>#DIV/0!</v>
      </c>
      <c r="AL207" s="22">
        <f t="shared" si="1412"/>
        <v>0</v>
      </c>
      <c r="AM207" s="22" t="e">
        <f t="shared" si="1412"/>
        <v>#DIV/0!</v>
      </c>
      <c r="AN207" s="22">
        <f t="shared" si="1412"/>
        <v>0</v>
      </c>
      <c r="AO207" s="22" t="e">
        <f t="shared" si="1412"/>
        <v>#DIV/0!</v>
      </c>
      <c r="AP207" s="22">
        <f t="shared" si="1412"/>
        <v>0</v>
      </c>
      <c r="AQ207" s="22" t="e">
        <f t="shared" si="1412"/>
        <v>#DIV/0!</v>
      </c>
      <c r="AR207" s="22">
        <f t="shared" si="1412"/>
        <v>0</v>
      </c>
      <c r="AS207" s="22" t="e">
        <f t="shared" si="1412"/>
        <v>#DIV/0!</v>
      </c>
      <c r="AT207" s="22">
        <f t="shared" si="1412"/>
        <v>0</v>
      </c>
      <c r="AU207" s="22" t="e">
        <f t="shared" si="1412"/>
        <v>#DIV/0!</v>
      </c>
      <c r="AV207" s="22">
        <f t="shared" si="1412"/>
        <v>0</v>
      </c>
      <c r="AW207" s="22">
        <f t="shared" si="1412"/>
        <v>0</v>
      </c>
      <c r="AX207" s="22">
        <f t="shared" si="1412"/>
        <v>44.064</v>
      </c>
      <c r="AY207" s="22">
        <f t="shared" si="1412"/>
        <v>44.178803781415724</v>
      </c>
      <c r="AZ207" s="22">
        <f t="shared" si="1412"/>
        <v>38.209000000000003</v>
      </c>
      <c r="BA207" s="22">
        <f t="shared" si="1412"/>
        <v>38.119416517377282</v>
      </c>
      <c r="BB207" s="22">
        <f t="shared" si="1412"/>
        <v>30.02</v>
      </c>
      <c r="BC207" s="22">
        <f t="shared" si="1412"/>
        <v>30.029580605170118</v>
      </c>
      <c r="BD207" s="22">
        <f t="shared" si="1412"/>
        <v>25.040999999999997</v>
      </c>
      <c r="BE207" s="22">
        <f t="shared" si="1412"/>
        <v>24.791804716252443</v>
      </c>
      <c r="BF207" s="22">
        <f t="shared" si="1412"/>
        <v>35.71</v>
      </c>
      <c r="BG207" s="22">
        <f t="shared" si="1412"/>
        <v>35.743406786674946</v>
      </c>
      <c r="BH207" s="22">
        <f t="shared" si="1412"/>
        <v>29.28</v>
      </c>
      <c r="BI207" s="22">
        <f t="shared" si="1412"/>
        <v>29.174786291875236</v>
      </c>
      <c r="BJ207" s="22">
        <f t="shared" si="1412"/>
        <v>37.099999999999994</v>
      </c>
      <c r="BK207" s="22">
        <f t="shared" si="1412"/>
        <v>37.394454020267069</v>
      </c>
      <c r="BL207" s="22">
        <f t="shared" si="1412"/>
        <v>75.31</v>
      </c>
      <c r="BM207" s="22">
        <f t="shared" si="1412"/>
        <v>74.539555230557468</v>
      </c>
      <c r="BN207" s="22">
        <f t="shared" si="1412"/>
        <v>95.54</v>
      </c>
      <c r="BO207" s="22">
        <f t="shared" si="1412"/>
        <v>85.806007492113565</v>
      </c>
      <c r="BP207" s="22">
        <f t="shared" ref="BP207:CU207" si="1413">SUM(BP196:BP205)</f>
        <v>95.06</v>
      </c>
      <c r="BQ207" s="22">
        <f t="shared" si="1413"/>
        <v>92.97501859706361</v>
      </c>
      <c r="BR207" s="22">
        <f t="shared" si="1413"/>
        <v>114.13</v>
      </c>
      <c r="BS207" s="22">
        <f t="shared" si="1413"/>
        <v>117.16342481612639</v>
      </c>
      <c r="BT207" s="22">
        <f t="shared" si="1413"/>
        <v>99.15</v>
      </c>
      <c r="BU207" s="22">
        <f t="shared" si="1413"/>
        <v>93.1391714431644</v>
      </c>
      <c r="BV207" s="22">
        <f t="shared" si="1413"/>
        <v>80.489999999999995</v>
      </c>
      <c r="BW207" s="22">
        <f t="shared" si="1413"/>
        <v>80.139294577205874</v>
      </c>
      <c r="BX207" s="22">
        <f t="shared" si="1413"/>
        <v>77.459999999999994</v>
      </c>
      <c r="BY207" s="22">
        <f t="shared" si="1413"/>
        <v>76.492811735941316</v>
      </c>
      <c r="BZ207" s="22">
        <f t="shared" si="1413"/>
        <v>96.52000000000001</v>
      </c>
      <c r="CA207" s="22">
        <f t="shared" si="1413"/>
        <v>96.345212687665594</v>
      </c>
      <c r="CB207" s="22">
        <f t="shared" si="1413"/>
        <v>81.14</v>
      </c>
      <c r="CC207" s="22">
        <f t="shared" si="1413"/>
        <v>79.544320270270262</v>
      </c>
      <c r="CD207" s="22">
        <f t="shared" si="1413"/>
        <v>94.65</v>
      </c>
      <c r="CE207" s="22">
        <f t="shared" si="1413"/>
        <v>95.34168622366289</v>
      </c>
      <c r="CF207" s="22">
        <f t="shared" si="1413"/>
        <v>108.30000000000001</v>
      </c>
      <c r="CG207" s="22">
        <f t="shared" si="1413"/>
        <v>105.35098782138024</v>
      </c>
      <c r="CH207" s="22">
        <f t="shared" si="1413"/>
        <v>158.60999999999999</v>
      </c>
      <c r="CI207" s="22">
        <f t="shared" si="1413"/>
        <v>163.58457095533231</v>
      </c>
      <c r="CJ207" s="22">
        <f t="shared" si="1413"/>
        <v>146.10000000000002</v>
      </c>
      <c r="CK207" s="22">
        <f t="shared" si="1413"/>
        <v>131.93060084053019</v>
      </c>
      <c r="CL207" s="22">
        <f t="shared" ref="CL207" si="1414">SUM(CL196:CL205)</f>
        <v>161.20000000000002</v>
      </c>
      <c r="CM207" s="21">
        <f t="shared" si="1413"/>
        <v>161.84976304532267</v>
      </c>
      <c r="CN207" s="21">
        <f t="shared" si="1413"/>
        <v>181.766665469971</v>
      </c>
      <c r="CO207" s="21">
        <f t="shared" si="1413"/>
        <v>164.92705269033272</v>
      </c>
      <c r="CP207" s="21">
        <f t="shared" si="1413"/>
        <v>189.03248824291137</v>
      </c>
      <c r="CQ207" s="21">
        <f t="shared" si="1413"/>
        <v>191.42530319060327</v>
      </c>
      <c r="CR207" s="21">
        <f t="shared" si="1413"/>
        <v>215.19413454417867</v>
      </c>
      <c r="CS207" s="21">
        <f t="shared" si="1413"/>
        <v>195.09774065295827</v>
      </c>
      <c r="CT207" s="21">
        <f t="shared" si="1413"/>
        <v>223.86516744140567</v>
      </c>
      <c r="CU207" s="21">
        <f t="shared" si="1413"/>
        <v>226.72075279998128</v>
      </c>
      <c r="CV207" s="21">
        <f t="shared" ref="CV207:DB207" si="1415">SUM(CV196:CV205)</f>
        <v>255.08647613733802</v>
      </c>
      <c r="CW207" s="21">
        <f t="shared" si="1415"/>
        <v>231.10343966755562</v>
      </c>
      <c r="CX207" s="21">
        <f t="shared" si="1415"/>
        <v>265.43448679688879</v>
      </c>
      <c r="CY207" s="21">
        <f t="shared" si="1415"/>
        <v>268.84234236381292</v>
      </c>
      <c r="CZ207" s="21">
        <f t="shared" si="1415"/>
        <v>302.69399659461448</v>
      </c>
      <c r="DA207" s="21">
        <f t="shared" si="1415"/>
        <v>274.0726408715762</v>
      </c>
      <c r="DB207" s="21">
        <f t="shared" si="1415"/>
        <v>315.04331251572233</v>
      </c>
      <c r="DE207" s="126"/>
      <c r="DF207" s="22">
        <v>148.3956180944904</v>
      </c>
    </row>
    <row r="208" spans="1:110" s="22" customFormat="1" x14ac:dyDescent="0.2">
      <c r="A208" s="22" t="s">
        <v>74</v>
      </c>
      <c r="B208" s="22">
        <f t="shared" ref="B208:AE208" si="1416">B195-B207</f>
        <v>0</v>
      </c>
      <c r="C208" s="22">
        <f t="shared" si="1416"/>
        <v>0</v>
      </c>
      <c r="D208" s="22">
        <f t="shared" si="1416"/>
        <v>0</v>
      </c>
      <c r="E208" s="22">
        <f t="shared" si="1416"/>
        <v>0</v>
      </c>
      <c r="F208" s="22">
        <f t="shared" si="1416"/>
        <v>0</v>
      </c>
      <c r="G208" s="22">
        <f t="shared" si="1416"/>
        <v>0</v>
      </c>
      <c r="H208" s="22">
        <f t="shared" si="1416"/>
        <v>29.060631399999998</v>
      </c>
      <c r="I208" s="22">
        <f t="shared" si="1416"/>
        <v>24.644693099999998</v>
      </c>
      <c r="J208" s="22">
        <f t="shared" si="1416"/>
        <v>32.348836500000004</v>
      </c>
      <c r="K208" s="22">
        <f t="shared" si="1416"/>
        <v>18.5064615</v>
      </c>
      <c r="L208" s="22">
        <f t="shared" si="1416"/>
        <v>11.97</v>
      </c>
      <c r="M208" s="22">
        <f t="shared" si="1416"/>
        <v>24.542000000000002</v>
      </c>
      <c r="N208" s="22">
        <f t="shared" si="1416"/>
        <v>4.956999999999999</v>
      </c>
      <c r="O208" s="22">
        <f t="shared" si="1416"/>
        <v>7.202</v>
      </c>
      <c r="P208" s="22">
        <f t="shared" si="1416"/>
        <v>18.96</v>
      </c>
      <c r="Q208" s="22">
        <f t="shared" si="1416"/>
        <v>-0.98299999999999699</v>
      </c>
      <c r="R208" s="22">
        <f t="shared" si="1416"/>
        <v>19.199999999999992</v>
      </c>
      <c r="S208" s="22">
        <f t="shared" si="1416"/>
        <v>7.3499999999999943</v>
      </c>
      <c r="T208" s="22">
        <f t="shared" si="1416"/>
        <v>31.809999999999995</v>
      </c>
      <c r="U208" s="22">
        <f t="shared" si="1416"/>
        <v>-1.980000000000004</v>
      </c>
      <c r="V208" s="22">
        <f t="shared" si="1416"/>
        <v>23.379999999999995</v>
      </c>
      <c r="W208" s="22">
        <f t="shared" si="1416"/>
        <v>72.740000000000009</v>
      </c>
      <c r="X208" s="22">
        <f t="shared" si="1416"/>
        <v>55.56</v>
      </c>
      <c r="Y208" s="22">
        <f t="shared" si="1416"/>
        <v>23.710000000000008</v>
      </c>
      <c r="Z208" s="22">
        <f t="shared" si="1416"/>
        <v>11.150000000000006</v>
      </c>
      <c r="AA208" s="22">
        <f t="shared" ref="AA208" si="1417">AA195-AA207</f>
        <v>4.2999999999999829</v>
      </c>
      <c r="AB208" s="21">
        <f t="shared" si="1416"/>
        <v>77.06709136057151</v>
      </c>
      <c r="AC208" s="21">
        <f t="shared" si="1416"/>
        <v>91.268106726111455</v>
      </c>
      <c r="AD208" s="21">
        <f t="shared" si="1416"/>
        <v>108.21559846334696</v>
      </c>
      <c r="AE208" s="21">
        <f t="shared" si="1416"/>
        <v>128.44073510256362</v>
      </c>
      <c r="AJ208" s="22">
        <f t="shared" ref="AJ208:BO208" si="1418">AJ195-AJ207</f>
        <v>0</v>
      </c>
      <c r="AK208" s="22" t="e">
        <f t="shared" si="1418"/>
        <v>#DIV/0!</v>
      </c>
      <c r="AL208" s="22">
        <f t="shared" si="1418"/>
        <v>0</v>
      </c>
      <c r="AM208" s="22" t="e">
        <f t="shared" si="1418"/>
        <v>#DIV/0!</v>
      </c>
      <c r="AN208" s="22">
        <f t="shared" si="1418"/>
        <v>0</v>
      </c>
      <c r="AO208" s="22" t="e">
        <f t="shared" si="1418"/>
        <v>#DIV/0!</v>
      </c>
      <c r="AP208" s="22">
        <f t="shared" si="1418"/>
        <v>0</v>
      </c>
      <c r="AQ208" s="22" t="e">
        <f t="shared" si="1418"/>
        <v>#DIV/0!</v>
      </c>
      <c r="AR208" s="22">
        <f t="shared" si="1418"/>
        <v>0</v>
      </c>
      <c r="AS208" s="22" t="e">
        <f t="shared" si="1418"/>
        <v>#DIV/0!</v>
      </c>
      <c r="AT208" s="22">
        <f t="shared" si="1418"/>
        <v>0</v>
      </c>
      <c r="AU208" s="22" t="e">
        <f t="shared" si="1418"/>
        <v>#DIV/0!</v>
      </c>
      <c r="AV208" s="22">
        <f t="shared" si="1418"/>
        <v>0</v>
      </c>
      <c r="AW208" s="22">
        <f t="shared" si="1418"/>
        <v>0</v>
      </c>
      <c r="AX208" s="22">
        <f t="shared" si="1418"/>
        <v>-0.98299999999999699</v>
      </c>
      <c r="AY208" s="22">
        <f t="shared" si="1418"/>
        <v>-6.4229421258929165E-2</v>
      </c>
      <c r="AZ208" s="22">
        <f t="shared" si="1418"/>
        <v>16.866999999999997</v>
      </c>
      <c r="BA208" s="22">
        <f t="shared" si="1418"/>
        <v>14.760943031171628</v>
      </c>
      <c r="BB208" s="22">
        <f t="shared" si="1418"/>
        <v>11.950999999999997</v>
      </c>
      <c r="BC208" s="22">
        <f t="shared" si="1418"/>
        <v>12.094982597915418</v>
      </c>
      <c r="BD208" s="22">
        <f t="shared" si="1418"/>
        <v>15.5</v>
      </c>
      <c r="BE208" s="22">
        <f t="shared" si="1418"/>
        <v>14.595117315643598</v>
      </c>
      <c r="BF208" s="22">
        <f t="shared" si="1418"/>
        <v>27.35</v>
      </c>
      <c r="BG208" s="22">
        <f t="shared" si="1418"/>
        <v>27.452907097041169</v>
      </c>
      <c r="BH208" s="22">
        <f t="shared" si="1418"/>
        <v>46.66</v>
      </c>
      <c r="BI208" s="22">
        <f t="shared" si="1418"/>
        <v>44.213050635348495</v>
      </c>
      <c r="BJ208" s="22">
        <f t="shared" si="1418"/>
        <v>31.810000000000002</v>
      </c>
      <c r="BK208" s="22">
        <f t="shared" si="1418"/>
        <v>32.701203712472768</v>
      </c>
      <c r="BL208" s="22">
        <f t="shared" si="1418"/>
        <v>30.909999999999997</v>
      </c>
      <c r="BM208" s="22">
        <f t="shared" si="1418"/>
        <v>28.137477632484504</v>
      </c>
      <c r="BN208" s="22">
        <f t="shared" si="1418"/>
        <v>22.710000000000008</v>
      </c>
      <c r="BO208" s="22">
        <f t="shared" si="1418"/>
        <v>15.888190063091486</v>
      </c>
      <c r="BP208" s="22">
        <f t="shared" ref="BP208:CU208" si="1419">BP195-BP207</f>
        <v>58.579999999999984</v>
      </c>
      <c r="BQ208" s="22">
        <f t="shared" si="1419"/>
        <v>54.306423491027743</v>
      </c>
      <c r="BR208" s="22">
        <f t="shared" si="1419"/>
        <v>45.870000000000005</v>
      </c>
      <c r="BS208" s="22">
        <f t="shared" si="1419"/>
        <v>51.089043176246264</v>
      </c>
      <c r="BT208" s="22">
        <f t="shared" si="1419"/>
        <v>101.08000000000001</v>
      </c>
      <c r="BU208" s="22">
        <f t="shared" si="1419"/>
        <v>63.332931161682097</v>
      </c>
      <c r="BV208" s="22">
        <f t="shared" si="1419"/>
        <v>106.99000000000002</v>
      </c>
      <c r="BW208" s="22">
        <f t="shared" si="1419"/>
        <v>104.84291053921567</v>
      </c>
      <c r="BX208" s="22">
        <f t="shared" si="1419"/>
        <v>108.83000000000003</v>
      </c>
      <c r="BY208" s="22">
        <f t="shared" si="1419"/>
        <v>103.8110076313255</v>
      </c>
      <c r="BZ208" s="22">
        <f t="shared" si="1419"/>
        <v>90.94</v>
      </c>
      <c r="CA208" s="22">
        <f t="shared" si="1419"/>
        <v>90.293017368266106</v>
      </c>
      <c r="CB208" s="22">
        <f t="shared" si="1419"/>
        <v>116.01</v>
      </c>
      <c r="CC208" s="22">
        <f t="shared" si="1419"/>
        <v>109.75360945945947</v>
      </c>
      <c r="CD208" s="22">
        <f t="shared" si="1419"/>
        <v>56.44</v>
      </c>
      <c r="CE208" s="22">
        <f t="shared" si="1419"/>
        <v>57.317411993517027</v>
      </c>
      <c r="CF208" s="22">
        <f t="shared" si="1419"/>
        <v>44.179999999999978</v>
      </c>
      <c r="CG208" s="22">
        <f t="shared" si="1419"/>
        <v>41.194866937302635</v>
      </c>
      <c r="CH208" s="22">
        <f t="shared" si="1419"/>
        <v>39.81</v>
      </c>
      <c r="CI208" s="22">
        <f t="shared" si="1419"/>
        <v>41.058582496259874</v>
      </c>
      <c r="CJ208" s="22">
        <f t="shared" si="1419"/>
        <v>36.149999999999977</v>
      </c>
      <c r="CK208" s="22">
        <f t="shared" si="1419"/>
        <v>32.644019304484374</v>
      </c>
      <c r="CL208" s="22">
        <f t="shared" ref="CL208" si="1420">CL195-CL207</f>
        <v>65.72</v>
      </c>
      <c r="CM208" s="21">
        <f t="shared" si="1419"/>
        <v>65.984903395400721</v>
      </c>
      <c r="CN208" s="21">
        <f t="shared" si="1419"/>
        <v>74.104871306988144</v>
      </c>
      <c r="CO208" s="21">
        <f t="shared" si="1419"/>
        <v>67.239490712212529</v>
      </c>
      <c r="CP208" s="21">
        <f t="shared" si="1419"/>
        <v>77.06709136057151</v>
      </c>
      <c r="CQ208" s="21">
        <f t="shared" si="1419"/>
        <v>78.042623608476703</v>
      </c>
      <c r="CR208" s="21">
        <f t="shared" si="1419"/>
        <v>87.732993314165071</v>
      </c>
      <c r="CS208" s="21">
        <f t="shared" si="1419"/>
        <v>79.539848112359863</v>
      </c>
      <c r="CT208" s="21">
        <f t="shared" si="1419"/>
        <v>91.268106726111455</v>
      </c>
      <c r="CU208" s="21">
        <f t="shared" si="1419"/>
        <v>92.432306910761525</v>
      </c>
      <c r="CV208" s="21">
        <f t="shared" ref="CV208:DB208" si="1421">CV195-CV207</f>
        <v>103.99679411753004</v>
      </c>
      <c r="CW208" s="21">
        <f t="shared" si="1421"/>
        <v>94.219094633695647</v>
      </c>
      <c r="CX208" s="21">
        <f t="shared" si="1421"/>
        <v>108.21559846334696</v>
      </c>
      <c r="CY208" s="21">
        <f t="shared" si="1421"/>
        <v>109.60495496370822</v>
      </c>
      <c r="CZ208" s="21">
        <f t="shared" si="1421"/>
        <v>123.40601399626576</v>
      </c>
      <c r="DA208" s="21">
        <f t="shared" si="1421"/>
        <v>111.73730743225786</v>
      </c>
      <c r="DB208" s="21">
        <f t="shared" si="1421"/>
        <v>128.44073510256362</v>
      </c>
      <c r="DE208" s="126"/>
      <c r="DF208" s="22">
        <v>36.718012280053557</v>
      </c>
    </row>
    <row r="209" spans="1:110" s="23" customFormat="1" x14ac:dyDescent="0.2">
      <c r="AB209" s="24"/>
      <c r="AC209" s="24"/>
      <c r="AD209" s="24"/>
      <c r="AE209" s="24"/>
      <c r="CM209" s="24"/>
      <c r="CN209" s="24"/>
      <c r="CO209" s="24"/>
      <c r="CP209" s="24"/>
      <c r="CQ209" s="24"/>
      <c r="CR209" s="24"/>
      <c r="CS209" s="24"/>
      <c r="CT209" s="24"/>
      <c r="CU209" s="24"/>
      <c r="CV209" s="24"/>
      <c r="CW209" s="24"/>
      <c r="CX209" s="24"/>
      <c r="CY209" s="24"/>
      <c r="CZ209" s="24"/>
      <c r="DA209" s="24"/>
      <c r="DB209" s="24"/>
      <c r="DE209" s="123"/>
    </row>
    <row r="210" spans="1:110" s="23" customFormat="1" outlineLevel="1" x14ac:dyDescent="0.2">
      <c r="A210" s="23" t="s">
        <v>75</v>
      </c>
      <c r="B210" s="23">
        <f>'Annual Raw'!C75</f>
        <v>0</v>
      </c>
      <c r="C210" s="23">
        <f>'Annual Raw'!D75</f>
        <v>0</v>
      </c>
      <c r="D210" s="23">
        <f>'Annual Raw'!E75</f>
        <v>0</v>
      </c>
      <c r="E210" s="23">
        <f>'Annual Raw'!F75</f>
        <v>0</v>
      </c>
      <c r="F210" s="23">
        <f>'Annual Raw'!G75</f>
        <v>0</v>
      </c>
      <c r="G210" s="23">
        <f>'Annual Raw'!H75</f>
        <v>0</v>
      </c>
      <c r="H210" s="23">
        <f>'Annual Raw'!I75</f>
        <v>0</v>
      </c>
      <c r="I210" s="23">
        <f>'Annual Raw'!J75</f>
        <v>0.26882499999999998</v>
      </c>
      <c r="J210" s="23">
        <f>'Annual Raw'!K75</f>
        <v>0.26882499999999998</v>
      </c>
      <c r="K210" s="23">
        <f>'Annual Raw'!L75</f>
        <v>0</v>
      </c>
      <c r="L210" s="23">
        <f>'Annual Raw'!M75</f>
        <v>0</v>
      </c>
      <c r="M210" s="23">
        <f>'Annual Raw'!N75</f>
        <v>0</v>
      </c>
      <c r="N210" s="23">
        <f>'Annual Raw'!O75</f>
        <v>59.603000000000002</v>
      </c>
      <c r="O210" s="23">
        <f>'Annual Raw'!P75</f>
        <v>101.392</v>
      </c>
      <c r="P210" s="23">
        <f>'Annual Raw'!Q75</f>
        <v>84.301000000000002</v>
      </c>
      <c r="Q210" s="23">
        <f>'Annual Raw'!R75</f>
        <v>91.631</v>
      </c>
      <c r="R210" s="23">
        <f>'Annual Raw'!S75</f>
        <v>104.15900000000001</v>
      </c>
      <c r="S210" s="23">
        <f>'Annual Raw'!T75</f>
        <v>100.1</v>
      </c>
      <c r="T210" s="23">
        <f>'Annual Raw'!U75</f>
        <v>74.64</v>
      </c>
      <c r="U210" s="23">
        <f>'Annual Raw'!V75</f>
        <v>69.03</v>
      </c>
      <c r="V210" s="23">
        <f>'Annual Raw'!W75</f>
        <v>104.49</v>
      </c>
      <c r="W210" s="23">
        <f>'Annual Raw'!X75</f>
        <v>125.21</v>
      </c>
      <c r="X210" s="23">
        <f>'Annual Raw'!Y75</f>
        <v>122.3</v>
      </c>
      <c r="Y210" s="23">
        <f>'Annual Raw'!Z75</f>
        <v>136.75</v>
      </c>
      <c r="Z210" s="23">
        <f>'Annual Raw'!AA75</f>
        <v>137.36000000000001</v>
      </c>
      <c r="AA210" s="23">
        <f>'Annual Raw'!AB75</f>
        <v>151.5</v>
      </c>
      <c r="AB210" s="24">
        <f t="shared" ref="AB210:AB211" si="1422">+CP210</f>
        <v>0</v>
      </c>
      <c r="AC210" s="24">
        <f t="shared" ref="AC210:AC211" si="1423">+CT210</f>
        <v>0</v>
      </c>
      <c r="AD210" s="24">
        <f t="shared" ref="AD210:AD211" si="1424">+CX210</f>
        <v>0</v>
      </c>
      <c r="AE210" s="24">
        <f t="shared" ref="AE210:AE211" si="1425">+DB210</f>
        <v>0</v>
      </c>
      <c r="AJ210" s="23">
        <f>+'QTR Raw'!D80</f>
        <v>0</v>
      </c>
      <c r="AL210" s="23">
        <f>+'QTR Raw'!F80</f>
        <v>0</v>
      </c>
      <c r="AN210" s="23">
        <f>+'QTR Raw'!H80</f>
        <v>0</v>
      </c>
      <c r="AP210" s="23">
        <f>+'QTR Raw'!J80</f>
        <v>0</v>
      </c>
      <c r="AR210" s="23">
        <f>+'QTR Raw'!L80</f>
        <v>0</v>
      </c>
      <c r="AT210" s="23">
        <f>+'QTR Raw'!N80</f>
        <v>0</v>
      </c>
      <c r="AV210" s="23">
        <f>+'QTR Raw'!P80</f>
        <v>0</v>
      </c>
      <c r="AX210" s="23">
        <f>+'QTR Raw'!R80</f>
        <v>91.631</v>
      </c>
      <c r="AZ210" s="23">
        <f>+'QTR Raw'!T80</f>
        <v>107.273</v>
      </c>
      <c r="BB210" s="23">
        <f>+'QTR Raw'!V80</f>
        <v>104.15900000000001</v>
      </c>
      <c r="BD210" s="23">
        <f>+'QTR Raw'!X80</f>
        <v>127.735</v>
      </c>
      <c r="BF210" s="23">
        <f>+'QTR Raw'!Z80</f>
        <v>100.1</v>
      </c>
      <c r="BH210" s="23">
        <f>+'QTR Raw'!AB80</f>
        <v>32.49</v>
      </c>
      <c r="BJ210" s="23">
        <f>+'QTR Raw'!AD80</f>
        <v>74.64</v>
      </c>
      <c r="BL210" s="23">
        <f>+'QTR Raw'!AF80</f>
        <v>17.920000000000002</v>
      </c>
      <c r="BN210" s="23">
        <f>+'QTR Raw'!AH80</f>
        <v>69.03</v>
      </c>
      <c r="BP210" s="23">
        <f>+'QTR Raw'!AJ80</f>
        <v>79.010000000000005</v>
      </c>
      <c r="BR210" s="23">
        <f>+'QTR Raw'!AL80</f>
        <v>104.49</v>
      </c>
      <c r="BT210" s="23">
        <f>+'QTR Raw'!AN80</f>
        <v>104.82</v>
      </c>
      <c r="BV210" s="23">
        <f>+'QTR Raw'!AP80</f>
        <v>125.21</v>
      </c>
      <c r="BX210" s="23">
        <f>+'QTR Raw'!AR80</f>
        <v>81.02</v>
      </c>
      <c r="BZ210" s="23">
        <f>+'QTR Raw'!AT80</f>
        <v>122.3</v>
      </c>
      <c r="CB210" s="23">
        <f>+'QTR Raw'!AV80</f>
        <v>74.58</v>
      </c>
      <c r="CD210" s="23">
        <f>+'QTR Raw'!AX80</f>
        <v>136.75</v>
      </c>
      <c r="CF210" s="23">
        <f>+'QTR Raw'!AZ80</f>
        <v>83.51</v>
      </c>
      <c r="CH210" s="23">
        <f t="shared" ref="CH210:CH211" si="1426">Z210</f>
        <v>137.36000000000001</v>
      </c>
      <c r="CJ210" s="23">
        <f>+'QTR Raw'!BD80</f>
        <v>121.61</v>
      </c>
      <c r="CL210" s="23">
        <f>+'QTR Raw'!BF80</f>
        <v>151.5</v>
      </c>
      <c r="CM210" s="24"/>
      <c r="CN210" s="24"/>
      <c r="CO210" s="24"/>
      <c r="CP210" s="24"/>
      <c r="CQ210" s="24"/>
      <c r="CR210" s="24"/>
      <c r="CS210" s="24"/>
      <c r="CT210" s="24"/>
      <c r="CU210" s="24"/>
      <c r="CV210" s="24"/>
      <c r="CW210" s="24"/>
      <c r="CX210" s="24"/>
      <c r="CY210" s="24"/>
      <c r="CZ210" s="24"/>
      <c r="DA210" s="24"/>
      <c r="DB210" s="24"/>
      <c r="DE210" s="123"/>
      <c r="DF210" s="23">
        <v>151.5</v>
      </c>
    </row>
    <row r="211" spans="1:110" s="23" customFormat="1" outlineLevel="1" x14ac:dyDescent="0.2">
      <c r="A211" s="23" t="s">
        <v>76</v>
      </c>
      <c r="B211" s="23">
        <f>'Annual Raw'!C78</f>
        <v>0</v>
      </c>
      <c r="C211" s="23">
        <f>'Annual Raw'!D78</f>
        <v>0</v>
      </c>
      <c r="D211" s="23">
        <f>'Annual Raw'!E78</f>
        <v>0</v>
      </c>
      <c r="E211" s="23">
        <f>'Annual Raw'!F78</f>
        <v>0</v>
      </c>
      <c r="F211" s="23">
        <f>'Annual Raw'!G78</f>
        <v>0</v>
      </c>
      <c r="G211" s="23">
        <f>'Annual Raw'!H78</f>
        <v>0</v>
      </c>
      <c r="H211" s="23">
        <f>'Annual Raw'!I78</f>
        <v>7.8436633999999996</v>
      </c>
      <c r="I211" s="23">
        <f>'Annual Raw'!J78</f>
        <v>11.8271768</v>
      </c>
      <c r="J211" s="23">
        <f>'Annual Raw'!K78</f>
        <v>3.6512984999999998</v>
      </c>
      <c r="K211" s="23">
        <f>'Annual Raw'!L78</f>
        <v>8.4658485999999993</v>
      </c>
      <c r="L211" s="23">
        <f>'Annual Raw'!M78</f>
        <v>40.040999999999997</v>
      </c>
      <c r="M211" s="23">
        <f>'Annual Raw'!N78</f>
        <v>59.030999999999999</v>
      </c>
      <c r="N211" s="23">
        <f>'Annual Raw'!O78</f>
        <v>17.53</v>
      </c>
      <c r="O211" s="23">
        <f>'Annual Raw'!P78</f>
        <v>11.901999999999999</v>
      </c>
      <c r="P211" s="23">
        <f>'Annual Raw'!Q78</f>
        <v>5.0750000000000002</v>
      </c>
      <c r="Q211" s="23">
        <f>'Annual Raw'!R78</f>
        <v>10.295</v>
      </c>
      <c r="R211" s="23">
        <f>'Annual Raw'!S78</f>
        <v>11.794</v>
      </c>
      <c r="S211" s="23">
        <f>'Annual Raw'!T78</f>
        <v>11.86</v>
      </c>
      <c r="T211" s="23">
        <f>'Annual Raw'!U78</f>
        <v>9.6</v>
      </c>
      <c r="U211" s="23">
        <f>'Annual Raw'!V78</f>
        <v>11.07</v>
      </c>
      <c r="V211" s="23">
        <f>'Annual Raw'!W78</f>
        <v>15.73</v>
      </c>
      <c r="W211" s="23">
        <f>'Annual Raw'!X78</f>
        <v>13.91</v>
      </c>
      <c r="X211" s="23">
        <f>'Annual Raw'!Y78</f>
        <v>28.47</v>
      </c>
      <c r="Y211" s="23">
        <f>'Annual Raw'!Z78</f>
        <v>39.89</v>
      </c>
      <c r="Z211" s="23">
        <f>'Annual Raw'!AA78</f>
        <v>54.48</v>
      </c>
      <c r="AA211" s="23">
        <f>'Annual Raw'!AB78</f>
        <v>68.16</v>
      </c>
      <c r="AB211" s="24">
        <f t="shared" si="1422"/>
        <v>404.94527273261122</v>
      </c>
      <c r="AC211" s="24">
        <f t="shared" si="1423"/>
        <v>641.53565599203455</v>
      </c>
      <c r="AD211" s="24">
        <f t="shared" si="1424"/>
        <v>936.47604404757601</v>
      </c>
      <c r="AE211" s="24">
        <f t="shared" si="1425"/>
        <v>1300.9299978186318</v>
      </c>
      <c r="AJ211" s="23">
        <f>+'QTR Raw'!D83</f>
        <v>0</v>
      </c>
      <c r="AK211" s="23" t="e">
        <f t="shared" ref="AK211:AM211" si="1427">+AK261</f>
        <v>#DIV/0!</v>
      </c>
      <c r="AL211" s="23">
        <f>+'QTR Raw'!F83</f>
        <v>0</v>
      </c>
      <c r="AM211" s="23" t="e">
        <f t="shared" si="1427"/>
        <v>#DIV/0!</v>
      </c>
      <c r="AN211" s="23">
        <f>+'QTR Raw'!H83</f>
        <v>0</v>
      </c>
      <c r="AO211" s="23" t="e">
        <f t="shared" ref="AO211" si="1428">+AO261</f>
        <v>#DIV/0!</v>
      </c>
      <c r="AP211" s="23">
        <f>+'QTR Raw'!J83</f>
        <v>0</v>
      </c>
      <c r="AQ211" s="23" t="e">
        <f t="shared" ref="AQ211" si="1429">+AQ261</f>
        <v>#DIV/0!</v>
      </c>
      <c r="AR211" s="23">
        <f>+'QTR Raw'!L83</f>
        <v>0</v>
      </c>
      <c r="AS211" s="23" t="e">
        <f t="shared" ref="AS211" si="1430">+AS261</f>
        <v>#DIV/0!</v>
      </c>
      <c r="AT211" s="23">
        <f>+'QTR Raw'!N83</f>
        <v>0</v>
      </c>
      <c r="AU211" s="23" t="e">
        <f t="shared" ref="AU211" si="1431">+AU261</f>
        <v>#DIV/0!</v>
      </c>
      <c r="AV211" s="23">
        <f>+'QTR Raw'!P83</f>
        <v>0</v>
      </c>
      <c r="AW211" s="23">
        <f t="shared" ref="AW211" si="1432">+AW261</f>
        <v>10.814000000000007</v>
      </c>
      <c r="AX211" s="23">
        <f>+'QTR Raw'!R83</f>
        <v>10.295</v>
      </c>
      <c r="AY211" s="23">
        <f t="shared" ref="AY211" si="1433">+AY261</f>
        <v>118.08522942125893</v>
      </c>
      <c r="AZ211" s="23">
        <f>+'QTR Raw'!T83</f>
        <v>10.679</v>
      </c>
      <c r="BA211" s="23">
        <f t="shared" ref="BA211" si="1434">+BA261</f>
        <v>129.23905696882838</v>
      </c>
      <c r="BB211" s="23">
        <f>+'QTR Raw'!V83</f>
        <v>11.794</v>
      </c>
      <c r="BC211" s="23">
        <f t="shared" ref="BC211" si="1435">+BC261</f>
        <v>137.81901740208457</v>
      </c>
      <c r="BD211" s="23">
        <f>+'QTR Raw'!X83</f>
        <v>8.7919999999999998</v>
      </c>
      <c r="BE211" s="23">
        <f t="shared" ref="BE211" si="1436">+BE261</f>
        <v>158.90188268435642</v>
      </c>
      <c r="BF211" s="23">
        <f>+'QTR Raw'!Z83</f>
        <v>11.86</v>
      </c>
      <c r="BG211" s="23">
        <f t="shared" ref="BG211" si="1437">+BG261</f>
        <v>135.25709290295882</v>
      </c>
      <c r="BH211" s="23">
        <f>+'QTR Raw'!AB83</f>
        <v>55.75</v>
      </c>
      <c r="BI211" s="23">
        <f t="shared" ref="BI211" si="1438">+BI261</f>
        <v>110.83694936465153</v>
      </c>
      <c r="BJ211" s="23">
        <f>+'QTR Raw'!AD83</f>
        <v>9.6</v>
      </c>
      <c r="BK211" s="23">
        <f t="shared" ref="BK211" si="1439">+BK261</f>
        <v>110.81879628752722</v>
      </c>
      <c r="BL211" s="23">
        <f>+'QTR Raw'!AF83</f>
        <v>25.88</v>
      </c>
      <c r="BM211" s="23">
        <f t="shared" ref="BM211" si="1440">+BM261</f>
        <v>74.062522367515527</v>
      </c>
      <c r="BN211" s="23">
        <f>+'QTR Raw'!AH83</f>
        <v>11.07</v>
      </c>
      <c r="BO211" s="23">
        <f t="shared" ref="BO211" si="1441">+BO261</f>
        <v>87.151809936908521</v>
      </c>
      <c r="BP211" s="23">
        <f>+'QTR Raw'!AJ83</f>
        <v>9.02</v>
      </c>
      <c r="BQ211" s="23">
        <f t="shared" ref="BQ211" si="1442">+BQ261</f>
        <v>124.6935765089722</v>
      </c>
      <c r="BR211" s="23">
        <f>+'QTR Raw'!AL83</f>
        <v>15.73</v>
      </c>
      <c r="BS211" s="23">
        <f t="shared" ref="BS211" si="1443">+BS261</f>
        <v>170.58095682375375</v>
      </c>
      <c r="BT211" s="23">
        <f>+'QTR Raw'!AN83</f>
        <v>6.46</v>
      </c>
      <c r="BU211" s="23">
        <f t="shared" ref="BU211" si="1444">+BU261</f>
        <v>170.52706883831792</v>
      </c>
      <c r="BV211" s="23">
        <f>+'QTR Raw'!AP83</f>
        <v>13.91</v>
      </c>
      <c r="BW211" s="23">
        <f t="shared" ref="BW211" si="1445">+BW261</f>
        <v>162.99708946078437</v>
      </c>
      <c r="BX211" s="23">
        <f>+'QTR Raw'!AR83</f>
        <v>23.8</v>
      </c>
      <c r="BY211" s="23">
        <f t="shared" ref="BY211" si="1446">+BY261</f>
        <v>124.55899236867452</v>
      </c>
      <c r="BZ211" s="23">
        <f>+'QTR Raw'!AT83</f>
        <v>28.47</v>
      </c>
      <c r="CA211" s="23">
        <f t="shared" ref="CA211" si="1447">+CA261</f>
        <v>168.71698263173386</v>
      </c>
      <c r="CB211" s="23">
        <f>+'QTR Raw'!AV83</f>
        <v>24.76</v>
      </c>
      <c r="CC211" s="23">
        <f t="shared" ref="CC211" si="1448">+CC261</f>
        <v>120.94639054054058</v>
      </c>
      <c r="CD211" s="23">
        <f>+'QTR Raw'!AX83</f>
        <v>39.89</v>
      </c>
      <c r="CE211" s="23">
        <f t="shared" ref="CE211" si="1449">+CE261</f>
        <v>199.93258800648294</v>
      </c>
      <c r="CF211" s="23">
        <f>+'QTR Raw'!AZ83</f>
        <v>54.05</v>
      </c>
      <c r="CG211" s="23">
        <f t="shared" ref="CG211:CI211" si="1450">+CG261</f>
        <v>159.65513306269736</v>
      </c>
      <c r="CH211" s="23">
        <f t="shared" si="1426"/>
        <v>54.48</v>
      </c>
      <c r="CI211" s="23">
        <f t="shared" si="1450"/>
        <v>240.93141750374014</v>
      </c>
      <c r="CJ211" s="23">
        <f>+'QTR Raw'!BD83</f>
        <v>70.8</v>
      </c>
      <c r="CK211" s="23">
        <f t="shared" ref="CK211:DB211" si="1451">+CK261</f>
        <v>246.55598069551561</v>
      </c>
      <c r="CL211" s="23">
        <f>+'QTR Raw'!BF83</f>
        <v>68.16</v>
      </c>
      <c r="CM211" s="24">
        <f t="shared" si="1451"/>
        <v>262.91933245942369</v>
      </c>
      <c r="CN211" s="24">
        <f t="shared" si="1451"/>
        <v>306.24719651782613</v>
      </c>
      <c r="CO211" s="24">
        <f t="shared" si="1451"/>
        <v>359.01104278813273</v>
      </c>
      <c r="CP211" s="24">
        <f t="shared" si="1451"/>
        <v>404.94527273261122</v>
      </c>
      <c r="CQ211" s="24">
        <f t="shared" si="1451"/>
        <v>460.24907429964355</v>
      </c>
      <c r="CR211" s="24">
        <f t="shared" si="1451"/>
        <v>515.87066260034669</v>
      </c>
      <c r="CS211" s="24">
        <f t="shared" si="1451"/>
        <v>583.1818613082138</v>
      </c>
      <c r="CT211" s="24">
        <f t="shared" si="1451"/>
        <v>641.53565599203455</v>
      </c>
      <c r="CU211" s="24">
        <f t="shared" si="1451"/>
        <v>711.17518504155896</v>
      </c>
      <c r="CV211" s="24">
        <f t="shared" si="1451"/>
        <v>780.91649600762207</v>
      </c>
      <c r="CW211" s="24">
        <f t="shared" si="1451"/>
        <v>864.31819840132573</v>
      </c>
      <c r="CX211" s="24">
        <f t="shared" si="1451"/>
        <v>936.47604404757601</v>
      </c>
      <c r="CY211" s="24">
        <f t="shared" si="1451"/>
        <v>1022.835107904205</v>
      </c>
      <c r="CZ211" s="24">
        <f t="shared" si="1451"/>
        <v>1109.1933662357967</v>
      </c>
      <c r="DA211" s="24">
        <f t="shared" si="1451"/>
        <v>1211.7798941364567</v>
      </c>
      <c r="DB211" s="24">
        <f t="shared" si="1451"/>
        <v>1300.9299978186318</v>
      </c>
      <c r="DE211" s="123"/>
      <c r="DF211" s="23">
        <v>286.99809267669565</v>
      </c>
    </row>
    <row r="212" spans="1:110" s="22" customFormat="1" x14ac:dyDescent="0.2">
      <c r="A212" s="22" t="s">
        <v>77</v>
      </c>
      <c r="B212" s="22">
        <f>B210+B211</f>
        <v>0</v>
      </c>
      <c r="C212" s="22">
        <f t="shared" ref="C212:V212" si="1452">C210+C211</f>
        <v>0</v>
      </c>
      <c r="D212" s="22">
        <f t="shared" si="1452"/>
        <v>0</v>
      </c>
      <c r="E212" s="22">
        <f t="shared" si="1452"/>
        <v>0</v>
      </c>
      <c r="F212" s="22">
        <f t="shared" si="1452"/>
        <v>0</v>
      </c>
      <c r="G212" s="22">
        <f t="shared" si="1452"/>
        <v>0</v>
      </c>
      <c r="H212" s="22">
        <f t="shared" si="1452"/>
        <v>7.8436633999999996</v>
      </c>
      <c r="I212" s="22">
        <f t="shared" si="1452"/>
        <v>12.0960018</v>
      </c>
      <c r="J212" s="22">
        <f t="shared" si="1452"/>
        <v>3.9201234999999999</v>
      </c>
      <c r="K212" s="22">
        <f t="shared" si="1452"/>
        <v>8.4658485999999993</v>
      </c>
      <c r="L212" s="22">
        <f t="shared" si="1452"/>
        <v>40.040999999999997</v>
      </c>
      <c r="M212" s="22">
        <f t="shared" si="1452"/>
        <v>59.030999999999999</v>
      </c>
      <c r="N212" s="22">
        <f t="shared" si="1452"/>
        <v>77.13300000000001</v>
      </c>
      <c r="O212" s="22">
        <f t="shared" si="1452"/>
        <v>113.294</v>
      </c>
      <c r="P212" s="22">
        <f t="shared" si="1452"/>
        <v>89.376000000000005</v>
      </c>
      <c r="Q212" s="22">
        <f t="shared" si="1452"/>
        <v>101.926</v>
      </c>
      <c r="R212" s="22">
        <f t="shared" si="1452"/>
        <v>115.953</v>
      </c>
      <c r="S212" s="22">
        <f t="shared" si="1452"/>
        <v>111.96</v>
      </c>
      <c r="T212" s="22">
        <f t="shared" si="1452"/>
        <v>84.24</v>
      </c>
      <c r="U212" s="22">
        <f t="shared" si="1452"/>
        <v>80.099999999999994</v>
      </c>
      <c r="V212" s="22">
        <f t="shared" si="1452"/>
        <v>120.22</v>
      </c>
      <c r="W212" s="22">
        <f t="shared" ref="W212" si="1453">W210+W211</f>
        <v>139.12</v>
      </c>
      <c r="X212" s="22">
        <f t="shared" ref="X212:Y212" si="1454">X210+X211</f>
        <v>150.76999999999998</v>
      </c>
      <c r="Y212" s="22">
        <f t="shared" si="1454"/>
        <v>176.64</v>
      </c>
      <c r="Z212" s="22">
        <f t="shared" ref="Z212:AA212" si="1455">Z210+Z211</f>
        <v>191.84</v>
      </c>
      <c r="AA212" s="22">
        <f t="shared" si="1455"/>
        <v>219.66</v>
      </c>
      <c r="AB212" s="21">
        <f t="shared" ref="AA212:AD212" si="1456">AB210+AB211</f>
        <v>404.94527273261122</v>
      </c>
      <c r="AC212" s="21">
        <f t="shared" si="1456"/>
        <v>641.53565599203455</v>
      </c>
      <c r="AD212" s="21">
        <f t="shared" si="1456"/>
        <v>936.47604404757601</v>
      </c>
      <c r="AE212" s="21">
        <f t="shared" ref="AE212" si="1457">AE210+AE211</f>
        <v>1300.9299978186318</v>
      </c>
      <c r="AJ212" s="22">
        <f t="shared" ref="AJ212" si="1458">AJ210+AJ211</f>
        <v>0</v>
      </c>
      <c r="AK212" s="22" t="e">
        <f t="shared" ref="AK212" si="1459">AK210+AK211</f>
        <v>#DIV/0!</v>
      </c>
      <c r="AL212" s="22">
        <f t="shared" ref="AL212:AM212" si="1460">AL210+AL211</f>
        <v>0</v>
      </c>
      <c r="AM212" s="22" t="e">
        <f t="shared" si="1460"/>
        <v>#DIV/0!</v>
      </c>
      <c r="AN212" s="22">
        <f t="shared" ref="AN212:AO212" si="1461">AN210+AN211</f>
        <v>0</v>
      </c>
      <c r="AO212" s="22" t="e">
        <f t="shared" si="1461"/>
        <v>#DIV/0!</v>
      </c>
      <c r="AP212" s="22">
        <f t="shared" ref="AP212:CE212" si="1462">AP210+AP211</f>
        <v>0</v>
      </c>
      <c r="AQ212" s="22" t="e">
        <f t="shared" si="1462"/>
        <v>#DIV/0!</v>
      </c>
      <c r="AR212" s="22">
        <f t="shared" si="1462"/>
        <v>0</v>
      </c>
      <c r="AS212" s="22" t="e">
        <f t="shared" si="1462"/>
        <v>#DIV/0!</v>
      </c>
      <c r="AT212" s="22">
        <f t="shared" si="1462"/>
        <v>0</v>
      </c>
      <c r="AU212" s="22" t="e">
        <f t="shared" si="1462"/>
        <v>#DIV/0!</v>
      </c>
      <c r="AV212" s="22">
        <f t="shared" si="1462"/>
        <v>0</v>
      </c>
      <c r="AW212" s="22">
        <f t="shared" si="1462"/>
        <v>10.814000000000007</v>
      </c>
      <c r="AX212" s="22">
        <f t="shared" si="1462"/>
        <v>101.926</v>
      </c>
      <c r="AY212" s="22">
        <f t="shared" si="1462"/>
        <v>118.08522942125893</v>
      </c>
      <c r="AZ212" s="22">
        <f t="shared" si="1462"/>
        <v>117.952</v>
      </c>
      <c r="BA212" s="22">
        <f t="shared" si="1462"/>
        <v>129.23905696882838</v>
      </c>
      <c r="BB212" s="22">
        <f t="shared" si="1462"/>
        <v>115.953</v>
      </c>
      <c r="BC212" s="22">
        <f t="shared" si="1462"/>
        <v>137.81901740208457</v>
      </c>
      <c r="BD212" s="22">
        <f t="shared" si="1462"/>
        <v>136.52699999999999</v>
      </c>
      <c r="BE212" s="22">
        <f t="shared" si="1462"/>
        <v>158.90188268435642</v>
      </c>
      <c r="BF212" s="22">
        <f t="shared" si="1462"/>
        <v>111.96</v>
      </c>
      <c r="BG212" s="22">
        <f t="shared" si="1462"/>
        <v>135.25709290295882</v>
      </c>
      <c r="BH212" s="22">
        <f t="shared" si="1462"/>
        <v>88.240000000000009</v>
      </c>
      <c r="BI212" s="22">
        <f t="shared" si="1462"/>
        <v>110.83694936465153</v>
      </c>
      <c r="BJ212" s="22">
        <f t="shared" si="1462"/>
        <v>84.24</v>
      </c>
      <c r="BK212" s="22">
        <f t="shared" si="1462"/>
        <v>110.81879628752722</v>
      </c>
      <c r="BL212" s="22">
        <f t="shared" si="1462"/>
        <v>43.8</v>
      </c>
      <c r="BM212" s="22">
        <f t="shared" si="1462"/>
        <v>74.062522367515527</v>
      </c>
      <c r="BN212" s="22">
        <f t="shared" si="1462"/>
        <v>80.099999999999994</v>
      </c>
      <c r="BO212" s="22">
        <f t="shared" si="1462"/>
        <v>87.151809936908521</v>
      </c>
      <c r="BP212" s="22">
        <f t="shared" si="1462"/>
        <v>88.03</v>
      </c>
      <c r="BQ212" s="22">
        <f t="shared" si="1462"/>
        <v>124.6935765089722</v>
      </c>
      <c r="BR212" s="22">
        <f t="shared" si="1462"/>
        <v>120.22</v>
      </c>
      <c r="BS212" s="22">
        <f t="shared" si="1462"/>
        <v>170.58095682375375</v>
      </c>
      <c r="BT212" s="22">
        <f t="shared" si="1462"/>
        <v>111.27999999999999</v>
      </c>
      <c r="BU212" s="22">
        <f t="shared" si="1462"/>
        <v>170.52706883831792</v>
      </c>
      <c r="BV212" s="22">
        <f t="shared" si="1462"/>
        <v>139.12</v>
      </c>
      <c r="BW212" s="22">
        <f t="shared" si="1462"/>
        <v>162.99708946078437</v>
      </c>
      <c r="BX212" s="22">
        <f t="shared" si="1462"/>
        <v>104.82</v>
      </c>
      <c r="BY212" s="22">
        <f t="shared" si="1462"/>
        <v>124.55899236867452</v>
      </c>
      <c r="BZ212" s="22">
        <f t="shared" si="1462"/>
        <v>150.76999999999998</v>
      </c>
      <c r="CA212" s="22">
        <f t="shared" si="1462"/>
        <v>168.71698263173386</v>
      </c>
      <c r="CB212" s="22">
        <f t="shared" si="1462"/>
        <v>99.34</v>
      </c>
      <c r="CC212" s="22">
        <f t="shared" si="1462"/>
        <v>120.94639054054058</v>
      </c>
      <c r="CD212" s="22">
        <f t="shared" si="1462"/>
        <v>176.64</v>
      </c>
      <c r="CE212" s="22">
        <f t="shared" si="1462"/>
        <v>199.93258800648294</v>
      </c>
      <c r="CF212" s="22">
        <f t="shared" ref="CF212:CG212" si="1463">CF210+CF211</f>
        <v>137.56</v>
      </c>
      <c r="CG212" s="22">
        <f t="shared" si="1463"/>
        <v>159.65513306269736</v>
      </c>
      <c r="CH212" s="22">
        <f t="shared" ref="CH212:CI212" si="1464">CH210+CH211</f>
        <v>191.84</v>
      </c>
      <c r="CI212" s="22">
        <f t="shared" si="1464"/>
        <v>240.93141750374014</v>
      </c>
      <c r="CJ212" s="22">
        <f t="shared" ref="CJ212:DB212" si="1465">CJ210+CJ211</f>
        <v>192.41</v>
      </c>
      <c r="CK212" s="22">
        <f t="shared" si="1465"/>
        <v>246.55598069551561</v>
      </c>
      <c r="CL212" s="22">
        <f t="shared" ref="CL212" si="1466">CL210+CL211</f>
        <v>219.66</v>
      </c>
      <c r="CM212" s="21">
        <f t="shared" si="1465"/>
        <v>262.91933245942369</v>
      </c>
      <c r="CN212" s="21">
        <f t="shared" si="1465"/>
        <v>306.24719651782613</v>
      </c>
      <c r="CO212" s="21">
        <f t="shared" si="1465"/>
        <v>359.01104278813273</v>
      </c>
      <c r="CP212" s="21">
        <f t="shared" si="1465"/>
        <v>404.94527273261122</v>
      </c>
      <c r="CQ212" s="21">
        <f t="shared" si="1465"/>
        <v>460.24907429964355</v>
      </c>
      <c r="CR212" s="21">
        <f t="shared" si="1465"/>
        <v>515.87066260034669</v>
      </c>
      <c r="CS212" s="21">
        <f t="shared" si="1465"/>
        <v>583.1818613082138</v>
      </c>
      <c r="CT212" s="21">
        <f t="shared" si="1465"/>
        <v>641.53565599203455</v>
      </c>
      <c r="CU212" s="21">
        <f t="shared" si="1465"/>
        <v>711.17518504155896</v>
      </c>
      <c r="CV212" s="21">
        <f t="shared" si="1465"/>
        <v>780.91649600762207</v>
      </c>
      <c r="CW212" s="21">
        <f t="shared" si="1465"/>
        <v>864.31819840132573</v>
      </c>
      <c r="CX212" s="21">
        <f t="shared" si="1465"/>
        <v>936.47604404757601</v>
      </c>
      <c r="CY212" s="21">
        <f t="shared" si="1465"/>
        <v>1022.835107904205</v>
      </c>
      <c r="CZ212" s="21">
        <f t="shared" si="1465"/>
        <v>1109.1933662357967</v>
      </c>
      <c r="DA212" s="21">
        <f t="shared" si="1465"/>
        <v>1211.7798941364567</v>
      </c>
      <c r="DB212" s="21">
        <f t="shared" si="1465"/>
        <v>1300.9299978186318</v>
      </c>
      <c r="DE212" s="126"/>
      <c r="DF212" s="22">
        <v>286.99809267669565</v>
      </c>
    </row>
    <row r="213" spans="1:110" s="23" customFormat="1" x14ac:dyDescent="0.2">
      <c r="AB213" s="24"/>
      <c r="AC213" s="24"/>
      <c r="AD213" s="24"/>
      <c r="AE213" s="24"/>
      <c r="CM213" s="24"/>
      <c r="CN213" s="24"/>
      <c r="CO213" s="24"/>
      <c r="CP213" s="24"/>
      <c r="CQ213" s="24"/>
      <c r="CR213" s="24"/>
      <c r="CS213" s="24"/>
      <c r="CT213" s="24"/>
      <c r="CU213" s="24"/>
      <c r="CV213" s="24"/>
      <c r="CW213" s="24"/>
      <c r="CX213" s="24"/>
      <c r="CY213" s="24"/>
      <c r="CZ213" s="24"/>
      <c r="DA213" s="24"/>
      <c r="DB213" s="24"/>
      <c r="DE213" s="123"/>
    </row>
    <row r="214" spans="1:110" s="23" customFormat="1" x14ac:dyDescent="0.2">
      <c r="A214" s="23" t="s">
        <v>78</v>
      </c>
      <c r="B214" s="23">
        <f>-'Annual Raw'!C49</f>
        <v>0</v>
      </c>
      <c r="C214" s="23">
        <f>-'Annual Raw'!D49</f>
        <v>0</v>
      </c>
      <c r="D214" s="23">
        <f>-'Annual Raw'!E49</f>
        <v>0</v>
      </c>
      <c r="E214" s="23">
        <f>-'Annual Raw'!F49</f>
        <v>0</v>
      </c>
      <c r="F214" s="23">
        <f>-'Annual Raw'!G49</f>
        <v>0</v>
      </c>
      <c r="G214" s="23">
        <f>-'Annual Raw'!H49</f>
        <v>0</v>
      </c>
      <c r="H214" s="23">
        <f>-'Annual Raw'!I49</f>
        <v>-0.32838980000000001</v>
      </c>
      <c r="I214" s="23">
        <f>-'Annual Raw'!J49</f>
        <v>-0.25113279999999999</v>
      </c>
      <c r="J214" s="23">
        <f>-'Annual Raw'!K49</f>
        <v>-0.18346270000000001</v>
      </c>
      <c r="K214" s="23">
        <f>-'Annual Raw'!L49</f>
        <v>4.9411000000000004E-3</v>
      </c>
      <c r="L214" s="23">
        <f>-'Annual Raw'!M49</f>
        <v>0.11899999999999999</v>
      </c>
      <c r="M214" s="23">
        <f>-'Annual Raw'!N49</f>
        <v>0.26900000000000002</v>
      </c>
      <c r="N214" s="23">
        <f>-'Annual Raw'!O49</f>
        <v>-7.1999999999999995E-2</v>
      </c>
      <c r="O214" s="23">
        <f>-'Annual Raw'!P49</f>
        <v>-0.60899999999999999</v>
      </c>
      <c r="P214" s="23">
        <f>-'Annual Raw'!Q49</f>
        <v>0.86899999999999999</v>
      </c>
      <c r="Q214" s="23">
        <f>-'Annual Raw'!R49</f>
        <v>2.556</v>
      </c>
      <c r="R214" s="23">
        <f>-'Annual Raw'!S49</f>
        <v>3.7879999999999998</v>
      </c>
      <c r="S214" s="23">
        <f>-'Annual Raw'!T49</f>
        <v>5.23</v>
      </c>
      <c r="T214" s="23">
        <f>-'Annual Raw'!U49</f>
        <v>5.14</v>
      </c>
      <c r="U214" s="23">
        <f>-'Annual Raw'!V49</f>
        <v>-4.16</v>
      </c>
      <c r="V214" s="23">
        <f>-'Annual Raw'!W49</f>
        <v>1.24</v>
      </c>
      <c r="W214" s="23">
        <f>-'Annual Raw'!X49</f>
        <v>5.89</v>
      </c>
      <c r="X214" s="23">
        <f>-'Annual Raw'!Y49</f>
        <v>11.29</v>
      </c>
      <c r="Y214" s="23">
        <f>-'Annual Raw'!Z49</f>
        <v>14.82</v>
      </c>
      <c r="Z214" s="23">
        <f>-'Annual Raw'!AA49</f>
        <v>8.5299999999999994</v>
      </c>
      <c r="AA214" s="23">
        <f>-'Annual Raw'!AB49</f>
        <v>15.66</v>
      </c>
      <c r="AB214" s="24">
        <f t="shared" ref="AB214:AB215" si="1467">+CP214</f>
        <v>15.66</v>
      </c>
      <c r="AC214" s="24">
        <f t="shared" ref="AC214:AC215" si="1468">+CT214</f>
        <v>15.66</v>
      </c>
      <c r="AD214" s="24">
        <f t="shared" ref="AD214:AD215" si="1469">+CX214</f>
        <v>15.66</v>
      </c>
      <c r="AE214" s="24">
        <f t="shared" ref="AE214:AE215" si="1470">+DB214</f>
        <v>15.66</v>
      </c>
      <c r="AJ214" s="23">
        <f>+'QTR Raw'!D96</f>
        <v>0</v>
      </c>
      <c r="AK214" s="23">
        <f t="shared" ref="AK214:CE214" si="1471">+AJ214</f>
        <v>0</v>
      </c>
      <c r="AL214" s="23">
        <f>+'QTR Raw'!F96</f>
        <v>0</v>
      </c>
      <c r="AM214" s="23">
        <f t="shared" si="1471"/>
        <v>0</v>
      </c>
      <c r="AN214" s="23">
        <f>+'QTR Raw'!H96</f>
        <v>0</v>
      </c>
      <c r="AO214" s="23">
        <f t="shared" si="1471"/>
        <v>0</v>
      </c>
      <c r="AP214" s="23">
        <f>+'QTR Raw'!J96</f>
        <v>0</v>
      </c>
      <c r="AQ214" s="23">
        <f t="shared" si="1471"/>
        <v>0</v>
      </c>
      <c r="AR214" s="23">
        <f>+'QTR Raw'!L96</f>
        <v>0</v>
      </c>
      <c r="AS214" s="23">
        <f t="shared" si="1471"/>
        <v>0</v>
      </c>
      <c r="AT214" s="23">
        <f>+'QTR Raw'!N96</f>
        <v>0</v>
      </c>
      <c r="AU214" s="23">
        <f t="shared" si="1471"/>
        <v>0</v>
      </c>
      <c r="AV214" s="23">
        <f>+'QTR Raw'!P96</f>
        <v>0</v>
      </c>
      <c r="AW214" s="23">
        <f t="shared" si="1471"/>
        <v>0</v>
      </c>
      <c r="AX214" s="23">
        <f>+'QTR Raw'!R96</f>
        <v>2.556</v>
      </c>
      <c r="AY214" s="23">
        <f t="shared" si="1471"/>
        <v>2.556</v>
      </c>
      <c r="AZ214" s="23">
        <f>+'QTR Raw'!T96</f>
        <v>3.1139999999999999</v>
      </c>
      <c r="BA214" s="23">
        <f t="shared" si="1471"/>
        <v>3.1139999999999999</v>
      </c>
      <c r="BB214" s="23">
        <f>+'QTR Raw'!V96</f>
        <v>3.7879999999999998</v>
      </c>
      <c r="BC214" s="23">
        <f t="shared" si="1471"/>
        <v>3.7879999999999998</v>
      </c>
      <c r="BD214" s="23">
        <f>+'QTR Raw'!X96</f>
        <v>3.5950000000000002</v>
      </c>
      <c r="BE214" s="23">
        <f t="shared" si="1471"/>
        <v>3.5950000000000002</v>
      </c>
      <c r="BF214" s="23">
        <f>+'QTR Raw'!Z96</f>
        <v>5.2309999999999999</v>
      </c>
      <c r="BG214" s="23">
        <f t="shared" si="1471"/>
        <v>5.2309999999999999</v>
      </c>
      <c r="BH214" s="23">
        <f>+'QTR Raw'!AB96</f>
        <v>4.95</v>
      </c>
      <c r="BI214" s="23">
        <f t="shared" si="1471"/>
        <v>4.95</v>
      </c>
      <c r="BJ214" s="23">
        <f>+'QTR Raw'!AD96</f>
        <v>5.14</v>
      </c>
      <c r="BK214" s="23">
        <f t="shared" si="1471"/>
        <v>5.14</v>
      </c>
      <c r="BL214" s="23">
        <f>+'QTR Raw'!AF96</f>
        <v>5.25</v>
      </c>
      <c r="BM214" s="23">
        <f t="shared" si="1471"/>
        <v>5.25</v>
      </c>
      <c r="BN214" s="23">
        <f>+'QTR Raw'!AH96</f>
        <v>-4.1500000000000004</v>
      </c>
      <c r="BO214" s="23">
        <f t="shared" si="1471"/>
        <v>-4.1500000000000004</v>
      </c>
      <c r="BP214" s="23">
        <f>+'QTR Raw'!AJ96</f>
        <v>7.29</v>
      </c>
      <c r="BQ214" s="23">
        <f t="shared" si="1471"/>
        <v>7.29</v>
      </c>
      <c r="BR214" s="23">
        <f>+'QTR Raw'!AL96</f>
        <v>1.24</v>
      </c>
      <c r="BS214" s="23">
        <f t="shared" si="1471"/>
        <v>1.24</v>
      </c>
      <c r="BT214" s="23">
        <f>+'QTR Raw'!AN96</f>
        <v>6.11</v>
      </c>
      <c r="BU214" s="23">
        <f t="shared" si="1471"/>
        <v>6.11</v>
      </c>
      <c r="BV214" s="23">
        <f>+'QTR Raw'!AP96</f>
        <v>5.89</v>
      </c>
      <c r="BW214" s="23">
        <f t="shared" si="1471"/>
        <v>5.89</v>
      </c>
      <c r="BX214" s="23">
        <f>+'QTR Raw'!AR96</f>
        <v>6.86</v>
      </c>
      <c r="BY214" s="23">
        <f t="shared" si="1471"/>
        <v>6.86</v>
      </c>
      <c r="BZ214" s="23">
        <f>+'QTR Raw'!AT96</f>
        <v>11.29</v>
      </c>
      <c r="CA214" s="23">
        <f t="shared" si="1471"/>
        <v>11.29</v>
      </c>
      <c r="CB214" s="23">
        <f>+'QTR Raw'!AV96</f>
        <v>13.3</v>
      </c>
      <c r="CC214" s="23">
        <f t="shared" si="1471"/>
        <v>13.3</v>
      </c>
      <c r="CD214" s="23">
        <f>+'QTR Raw'!AX96</f>
        <v>14.82</v>
      </c>
      <c r="CE214" s="23">
        <f t="shared" si="1471"/>
        <v>14.82</v>
      </c>
      <c r="CF214" s="23">
        <f>+'QTR Raw'!AZ96</f>
        <v>17.34</v>
      </c>
      <c r="CG214" s="23">
        <f t="shared" ref="CG214:CI215" si="1472">+CF214</f>
        <v>17.34</v>
      </c>
      <c r="CH214" s="23">
        <f t="shared" ref="CH214:CH215" si="1473">Z214</f>
        <v>8.5299999999999994</v>
      </c>
      <c r="CI214" s="23">
        <f t="shared" si="1472"/>
        <v>8.5299999999999994</v>
      </c>
      <c r="CJ214" s="23">
        <f>+'QTR Raw'!BD96</f>
        <v>12.9</v>
      </c>
      <c r="CK214" s="23">
        <f t="shared" ref="CK214:CK215" si="1474">+CJ214</f>
        <v>12.9</v>
      </c>
      <c r="CL214" s="23">
        <f>+'QTR Raw'!BF96</f>
        <v>15.66</v>
      </c>
      <c r="CM214" s="24">
        <f t="shared" ref="CM214:CM215" si="1475">+CL214</f>
        <v>15.66</v>
      </c>
      <c r="CN214" s="24">
        <f t="shared" ref="CN214:CN215" si="1476">+CM214</f>
        <v>15.66</v>
      </c>
      <c r="CO214" s="24">
        <f t="shared" ref="CO214:CO215" si="1477">+CN214</f>
        <v>15.66</v>
      </c>
      <c r="CP214" s="24">
        <f t="shared" ref="CP214:CP215" si="1478">+CO214</f>
        <v>15.66</v>
      </c>
      <c r="CQ214" s="24">
        <f t="shared" ref="CQ214:CQ215" si="1479">+CP214</f>
        <v>15.66</v>
      </c>
      <c r="CR214" s="24">
        <f t="shared" ref="CR214:CR215" si="1480">+CQ214</f>
        <v>15.66</v>
      </c>
      <c r="CS214" s="24">
        <f t="shared" ref="CS214:CS215" si="1481">+CR214</f>
        <v>15.66</v>
      </c>
      <c r="CT214" s="24">
        <f t="shared" ref="CT214:CT215" si="1482">+CS214</f>
        <v>15.66</v>
      </c>
      <c r="CU214" s="24">
        <f t="shared" ref="CU214:CU215" si="1483">+CT214</f>
        <v>15.66</v>
      </c>
      <c r="CV214" s="24">
        <f t="shared" ref="CV214:CV215" si="1484">+CU214</f>
        <v>15.66</v>
      </c>
      <c r="CW214" s="24">
        <f t="shared" ref="CW214:CW215" si="1485">+CV214</f>
        <v>15.66</v>
      </c>
      <c r="CX214" s="24">
        <f t="shared" ref="CX214:CX215" si="1486">+CW214</f>
        <v>15.66</v>
      </c>
      <c r="CY214" s="24">
        <f t="shared" ref="CY214:CY215" si="1487">+CX214</f>
        <v>15.66</v>
      </c>
      <c r="CZ214" s="24">
        <f t="shared" ref="CZ214:CZ215" si="1488">+CY214</f>
        <v>15.66</v>
      </c>
      <c r="DA214" s="24">
        <f t="shared" ref="DA214:DA215" si="1489">+CZ214</f>
        <v>15.66</v>
      </c>
      <c r="DB214" s="24">
        <f t="shared" ref="DB214:DB215" si="1490">+DA214</f>
        <v>15.66</v>
      </c>
      <c r="DE214" s="123"/>
      <c r="DF214" s="23">
        <v>12.9</v>
      </c>
    </row>
    <row r="215" spans="1:110" s="23" customFormat="1" x14ac:dyDescent="0.2">
      <c r="A215" s="23" t="s">
        <v>79</v>
      </c>
      <c r="B215" s="23">
        <f>'Annual Raw'!C83</f>
        <v>0</v>
      </c>
      <c r="C215" s="23">
        <f>'Annual Raw'!D83</f>
        <v>0</v>
      </c>
      <c r="D215" s="23">
        <f>'Annual Raw'!E83</f>
        <v>0</v>
      </c>
      <c r="E215" s="23">
        <f>'Annual Raw'!F83</f>
        <v>0</v>
      </c>
      <c r="F215" s="23">
        <f>'Annual Raw'!G83</f>
        <v>0</v>
      </c>
      <c r="G215" s="23">
        <f>'Annual Raw'!H83</f>
        <v>0</v>
      </c>
      <c r="H215" s="23">
        <f>'Annual Raw'!I83</f>
        <v>5.6676999999999998E-2</v>
      </c>
      <c r="I215" s="23">
        <f>'Annual Raw'!J83</f>
        <v>3.8488599999999998E-2</v>
      </c>
      <c r="J215" s="23">
        <f>'Annual Raw'!K83</f>
        <v>2.59402E-2</v>
      </c>
      <c r="K215" s="23">
        <f>'Annual Raw'!L83</f>
        <v>6.3417999999999999E-3</v>
      </c>
      <c r="L215" s="23">
        <f>'Annual Raw'!M83</f>
        <v>0</v>
      </c>
      <c r="M215" s="23">
        <f>'Annual Raw'!N83</f>
        <v>0</v>
      </c>
      <c r="N215" s="23">
        <f>'Annual Raw'!O83</f>
        <v>0</v>
      </c>
      <c r="O215" s="23">
        <f>'Annual Raw'!P83</f>
        <v>0</v>
      </c>
      <c r="P215" s="23">
        <f>'Annual Raw'!Q83</f>
        <v>0</v>
      </c>
      <c r="Q215" s="23">
        <f>'Annual Raw'!R83</f>
        <v>0</v>
      </c>
      <c r="R215" s="23">
        <f>'Annual Raw'!S83</f>
        <v>0</v>
      </c>
      <c r="S215" s="23">
        <f>'Annual Raw'!T83</f>
        <v>0</v>
      </c>
      <c r="T215" s="23">
        <f>'Annual Raw'!U83</f>
        <v>0</v>
      </c>
      <c r="U215" s="23">
        <f>'Annual Raw'!V83</f>
        <v>0</v>
      </c>
      <c r="V215" s="23">
        <f>'Annual Raw'!W83</f>
        <v>0</v>
      </c>
      <c r="W215" s="23">
        <f>'Annual Raw'!X83</f>
        <v>0</v>
      </c>
      <c r="X215" s="23">
        <f>'Annual Raw'!Y83</f>
        <v>0</v>
      </c>
      <c r="Y215" s="23">
        <f>'Annual Raw'!Z83</f>
        <v>0</v>
      </c>
      <c r="Z215" s="23">
        <f>'Annual Raw'!AA83</f>
        <v>0</v>
      </c>
      <c r="AA215" s="23">
        <f>'Annual Raw'!AB83</f>
        <v>0</v>
      </c>
      <c r="AB215" s="24">
        <f t="shared" si="1467"/>
        <v>0</v>
      </c>
      <c r="AC215" s="24">
        <f t="shared" si="1468"/>
        <v>0</v>
      </c>
      <c r="AD215" s="24">
        <f t="shared" si="1469"/>
        <v>0</v>
      </c>
      <c r="AE215" s="24">
        <f t="shared" si="1470"/>
        <v>0</v>
      </c>
      <c r="AJ215" s="23">
        <f>+'QTR Raw'!D95</f>
        <v>0</v>
      </c>
      <c r="AK215" s="23">
        <f t="shared" ref="AK215:CE215" si="1491">+AJ215</f>
        <v>0</v>
      </c>
      <c r="AL215" s="23">
        <f>+'QTR Raw'!F95</f>
        <v>0</v>
      </c>
      <c r="AM215" s="23">
        <f t="shared" si="1491"/>
        <v>0</v>
      </c>
      <c r="AN215" s="23">
        <f>+'QTR Raw'!H95</f>
        <v>0</v>
      </c>
      <c r="AO215" s="23">
        <f t="shared" si="1491"/>
        <v>0</v>
      </c>
      <c r="AP215" s="23">
        <f>+'QTR Raw'!J95</f>
        <v>0</v>
      </c>
      <c r="AQ215" s="23">
        <f t="shared" si="1491"/>
        <v>0</v>
      </c>
      <c r="AR215" s="23">
        <f>+'QTR Raw'!L95</f>
        <v>0</v>
      </c>
      <c r="AS215" s="23">
        <f t="shared" si="1491"/>
        <v>0</v>
      </c>
      <c r="AT215" s="23">
        <f>+'QTR Raw'!N95</f>
        <v>0</v>
      </c>
      <c r="AU215" s="23">
        <f t="shared" si="1491"/>
        <v>0</v>
      </c>
      <c r="AV215" s="23">
        <f>+'QTR Raw'!P95</f>
        <v>0</v>
      </c>
      <c r="AW215" s="23">
        <f t="shared" si="1491"/>
        <v>0</v>
      </c>
      <c r="AX215" s="23">
        <f>+'QTR Raw'!R95</f>
        <v>0</v>
      </c>
      <c r="AY215" s="23">
        <f t="shared" si="1491"/>
        <v>0</v>
      </c>
      <c r="AZ215" s="23">
        <f>+'QTR Raw'!T95</f>
        <v>0</v>
      </c>
      <c r="BA215" s="23">
        <f t="shared" si="1491"/>
        <v>0</v>
      </c>
      <c r="BB215" s="23">
        <f>+'QTR Raw'!V95</f>
        <v>0</v>
      </c>
      <c r="BC215" s="23">
        <f t="shared" si="1491"/>
        <v>0</v>
      </c>
      <c r="BD215" s="23">
        <f>+'QTR Raw'!X95</f>
        <v>0</v>
      </c>
      <c r="BE215" s="23">
        <f t="shared" si="1491"/>
        <v>0</v>
      </c>
      <c r="BF215" s="23">
        <f>+'QTR Raw'!Z95</f>
        <v>0</v>
      </c>
      <c r="BG215" s="23">
        <f t="shared" si="1491"/>
        <v>0</v>
      </c>
      <c r="BH215" s="23">
        <f>+'QTR Raw'!AB95</f>
        <v>0</v>
      </c>
      <c r="BI215" s="23">
        <f t="shared" si="1491"/>
        <v>0</v>
      </c>
      <c r="BJ215" s="23">
        <f>+'QTR Raw'!AD95</f>
        <v>0</v>
      </c>
      <c r="BK215" s="23">
        <f t="shared" si="1491"/>
        <v>0</v>
      </c>
      <c r="BL215" s="23">
        <f>+'QTR Raw'!AF95</f>
        <v>0</v>
      </c>
      <c r="BM215" s="23">
        <f t="shared" si="1491"/>
        <v>0</v>
      </c>
      <c r="BN215" s="23">
        <f>+'QTR Raw'!AH95</f>
        <v>0</v>
      </c>
      <c r="BO215" s="23">
        <f t="shared" si="1491"/>
        <v>0</v>
      </c>
      <c r="BP215" s="23">
        <f>+'QTR Raw'!AJ95</f>
        <v>0</v>
      </c>
      <c r="BQ215" s="23">
        <f t="shared" si="1491"/>
        <v>0</v>
      </c>
      <c r="BR215" s="23">
        <f>+'QTR Raw'!AL95</f>
        <v>0</v>
      </c>
      <c r="BS215" s="23">
        <f t="shared" si="1491"/>
        <v>0</v>
      </c>
      <c r="BT215" s="23">
        <f>+'QTR Raw'!AN95</f>
        <v>0</v>
      </c>
      <c r="BU215" s="23">
        <f t="shared" si="1491"/>
        <v>0</v>
      </c>
      <c r="BV215" s="23">
        <f>+'QTR Raw'!AP95</f>
        <v>0</v>
      </c>
      <c r="BW215" s="23">
        <f t="shared" si="1491"/>
        <v>0</v>
      </c>
      <c r="BX215" s="23">
        <f>+'QTR Raw'!AR95</f>
        <v>0</v>
      </c>
      <c r="BY215" s="23">
        <f t="shared" si="1491"/>
        <v>0</v>
      </c>
      <c r="BZ215" s="23">
        <f>+'QTR Raw'!AT95</f>
        <v>0</v>
      </c>
      <c r="CA215" s="23">
        <f t="shared" si="1491"/>
        <v>0</v>
      </c>
      <c r="CB215" s="23">
        <f>+'QTR Raw'!AV95</f>
        <v>0</v>
      </c>
      <c r="CC215" s="23">
        <f t="shared" si="1491"/>
        <v>0</v>
      </c>
      <c r="CD215" s="23">
        <f>+'QTR Raw'!AX95</f>
        <v>0</v>
      </c>
      <c r="CE215" s="23">
        <f t="shared" si="1491"/>
        <v>0</v>
      </c>
      <c r="CF215" s="23">
        <f>+'QTR Raw'!AZ95</f>
        <v>0</v>
      </c>
      <c r="CG215" s="23">
        <f t="shared" si="1472"/>
        <v>0</v>
      </c>
      <c r="CH215" s="23">
        <f t="shared" si="1473"/>
        <v>0</v>
      </c>
      <c r="CI215" s="23">
        <f t="shared" si="1472"/>
        <v>0</v>
      </c>
      <c r="CJ215" s="23">
        <f>+'QTR Raw'!BD95</f>
        <v>0</v>
      </c>
      <c r="CK215" s="23">
        <f t="shared" si="1474"/>
        <v>0</v>
      </c>
      <c r="CL215" s="23">
        <f>+'QTR Raw'!BF95</f>
        <v>0</v>
      </c>
      <c r="CM215" s="24">
        <f t="shared" si="1475"/>
        <v>0</v>
      </c>
      <c r="CN215" s="24">
        <f t="shared" si="1476"/>
        <v>0</v>
      </c>
      <c r="CO215" s="24">
        <f t="shared" si="1477"/>
        <v>0</v>
      </c>
      <c r="CP215" s="24">
        <f t="shared" si="1478"/>
        <v>0</v>
      </c>
      <c r="CQ215" s="24">
        <f t="shared" si="1479"/>
        <v>0</v>
      </c>
      <c r="CR215" s="24">
        <f t="shared" si="1480"/>
        <v>0</v>
      </c>
      <c r="CS215" s="24">
        <f t="shared" si="1481"/>
        <v>0</v>
      </c>
      <c r="CT215" s="24">
        <f t="shared" si="1482"/>
        <v>0</v>
      </c>
      <c r="CU215" s="24">
        <f t="shared" si="1483"/>
        <v>0</v>
      </c>
      <c r="CV215" s="24">
        <f t="shared" si="1484"/>
        <v>0</v>
      </c>
      <c r="CW215" s="24">
        <f t="shared" si="1485"/>
        <v>0</v>
      </c>
      <c r="CX215" s="24">
        <f t="shared" si="1486"/>
        <v>0</v>
      </c>
      <c r="CY215" s="24">
        <f t="shared" si="1487"/>
        <v>0</v>
      </c>
      <c r="CZ215" s="24">
        <f t="shared" si="1488"/>
        <v>0</v>
      </c>
      <c r="DA215" s="24">
        <f t="shared" si="1489"/>
        <v>0</v>
      </c>
      <c r="DB215" s="24">
        <f t="shared" si="1490"/>
        <v>0</v>
      </c>
      <c r="DE215" s="123"/>
      <c r="DF215" s="23">
        <v>0</v>
      </c>
    </row>
    <row r="216" spans="1:110" s="26" customFormat="1" x14ac:dyDescent="0.2">
      <c r="A216" s="26" t="s">
        <v>438</v>
      </c>
      <c r="B216" s="26">
        <f t="shared" ref="B216:AE216" si="1492">B214+B212+B208+B182+B180+B215</f>
        <v>0</v>
      </c>
      <c r="C216" s="26">
        <f t="shared" si="1492"/>
        <v>0</v>
      </c>
      <c r="D216" s="26">
        <f t="shared" si="1492"/>
        <v>0</v>
      </c>
      <c r="E216" s="26">
        <f t="shared" si="1492"/>
        <v>0</v>
      </c>
      <c r="F216" s="26">
        <f t="shared" si="1492"/>
        <v>0</v>
      </c>
      <c r="G216" s="26">
        <f t="shared" si="1492"/>
        <v>0</v>
      </c>
      <c r="H216" s="26">
        <f t="shared" si="1492"/>
        <v>51.927026699999992</v>
      </c>
      <c r="I216" s="26">
        <f t="shared" si="1492"/>
        <v>55.584111400000005</v>
      </c>
      <c r="J216" s="26">
        <f t="shared" si="1492"/>
        <v>57.127653700000003</v>
      </c>
      <c r="K216" s="26">
        <f t="shared" si="1492"/>
        <v>42.123831600000003</v>
      </c>
      <c r="L216" s="26">
        <f t="shared" si="1492"/>
        <v>92.532999999999987</v>
      </c>
      <c r="M216" s="26">
        <f t="shared" si="1492"/>
        <v>127.476</v>
      </c>
      <c r="N216" s="26">
        <f t="shared" si="1492"/>
        <v>185.107</v>
      </c>
      <c r="O216" s="26">
        <f t="shared" si="1492"/>
        <v>231.26300000000001</v>
      </c>
      <c r="P216" s="26">
        <f t="shared" si="1492"/>
        <v>312.38299999999998</v>
      </c>
      <c r="Q216" s="26">
        <f t="shared" si="1492"/>
        <v>365.60999999999996</v>
      </c>
      <c r="R216" s="26">
        <f t="shared" si="1492"/>
        <v>415.05800000000011</v>
      </c>
      <c r="S216" s="26">
        <f t="shared" si="1492"/>
        <v>443.28999999999996</v>
      </c>
      <c r="T216" s="26">
        <f t="shared" si="1492"/>
        <v>437.62</v>
      </c>
      <c r="U216" s="26">
        <f t="shared" si="1492"/>
        <v>369.15</v>
      </c>
      <c r="V216" s="26">
        <f t="shared" si="1492"/>
        <v>427.28</v>
      </c>
      <c r="W216" s="26">
        <f t="shared" si="1492"/>
        <v>526.56999999999994</v>
      </c>
      <c r="X216" s="26">
        <f t="shared" si="1492"/>
        <v>535.22</v>
      </c>
      <c r="Y216" s="26">
        <f t="shared" si="1492"/>
        <v>549.22</v>
      </c>
      <c r="Z216" s="26">
        <f t="shared" si="1492"/>
        <v>547.05000000000007</v>
      </c>
      <c r="AA216" s="26">
        <f t="shared" ref="AA216" si="1493">AA214+AA212+AA208+AA182+AA180+AA215</f>
        <v>585.14</v>
      </c>
      <c r="AB216" s="27">
        <f t="shared" si="1492"/>
        <v>781.33354314899088</v>
      </c>
      <c r="AC216" s="27">
        <f t="shared" si="1492"/>
        <v>1031.2732643009779</v>
      </c>
      <c r="AD216" s="27">
        <f t="shared" si="1492"/>
        <v>1342.6111418200041</v>
      </c>
      <c r="AE216" s="27">
        <f t="shared" si="1492"/>
        <v>1726.9350478902784</v>
      </c>
      <c r="AJ216" s="26">
        <f t="shared" ref="AJ216:BO216" si="1494">AJ214+AJ212+AJ208+AJ182+AJ180+AJ215</f>
        <v>0</v>
      </c>
      <c r="AK216" s="26" t="e">
        <f t="shared" si="1494"/>
        <v>#DIV/0!</v>
      </c>
      <c r="AL216" s="26">
        <f t="shared" si="1494"/>
        <v>0</v>
      </c>
      <c r="AM216" s="26" t="e">
        <f t="shared" si="1494"/>
        <v>#DIV/0!</v>
      </c>
      <c r="AN216" s="26">
        <f t="shared" si="1494"/>
        <v>0</v>
      </c>
      <c r="AO216" s="26" t="e">
        <f t="shared" si="1494"/>
        <v>#DIV/0!</v>
      </c>
      <c r="AP216" s="26">
        <f t="shared" si="1494"/>
        <v>0</v>
      </c>
      <c r="AQ216" s="26" t="e">
        <f t="shared" si="1494"/>
        <v>#DIV/0!</v>
      </c>
      <c r="AR216" s="26">
        <f t="shared" si="1494"/>
        <v>0</v>
      </c>
      <c r="AS216" s="26" t="e">
        <f t="shared" si="1494"/>
        <v>#DIV/0!</v>
      </c>
      <c r="AT216" s="26">
        <f t="shared" si="1494"/>
        <v>0</v>
      </c>
      <c r="AU216" s="26" t="e">
        <f t="shared" si="1494"/>
        <v>#DIV/0!</v>
      </c>
      <c r="AV216" s="26">
        <f t="shared" si="1494"/>
        <v>0</v>
      </c>
      <c r="AW216" s="26">
        <f t="shared" si="1494"/>
        <v>10.814000000000007</v>
      </c>
      <c r="AX216" s="26">
        <f t="shared" si="1494"/>
        <v>365.60999999999996</v>
      </c>
      <c r="AY216" s="26">
        <f t="shared" si="1494"/>
        <v>382.68799999999999</v>
      </c>
      <c r="AZ216" s="26">
        <f t="shared" si="1494"/>
        <v>403.34199999999998</v>
      </c>
      <c r="BA216" s="26">
        <f t="shared" si="1494"/>
        <v>412.52300000000002</v>
      </c>
      <c r="BB216" s="26">
        <f t="shared" si="1494"/>
        <v>407.80900000000003</v>
      </c>
      <c r="BC216" s="26">
        <f t="shared" si="1494"/>
        <v>429.81900000000002</v>
      </c>
      <c r="BD216" s="26">
        <f t="shared" si="1494"/>
        <v>435.67200000000003</v>
      </c>
      <c r="BE216" s="26">
        <f t="shared" si="1494"/>
        <v>457.14200000000005</v>
      </c>
      <c r="BF216" s="26">
        <f t="shared" si="1494"/>
        <v>443.291</v>
      </c>
      <c r="BG216" s="26">
        <f t="shared" si="1494"/>
        <v>466.69099999999997</v>
      </c>
      <c r="BH216" s="26">
        <f t="shared" si="1494"/>
        <v>461.28</v>
      </c>
      <c r="BI216" s="26">
        <f t="shared" si="1494"/>
        <v>481.43</v>
      </c>
      <c r="BJ216" s="26">
        <f t="shared" si="1494"/>
        <v>437.62</v>
      </c>
      <c r="BK216" s="26">
        <f t="shared" si="1494"/>
        <v>465.09</v>
      </c>
      <c r="BL216" s="26">
        <f t="shared" si="1494"/>
        <v>374.04</v>
      </c>
      <c r="BM216" s="26">
        <f t="shared" si="1494"/>
        <v>401.53000000000009</v>
      </c>
      <c r="BN216" s="26">
        <f t="shared" si="1494"/>
        <v>369.16</v>
      </c>
      <c r="BO216" s="26">
        <f t="shared" si="1494"/>
        <v>369.39</v>
      </c>
      <c r="BP216" s="26">
        <f t="shared" ref="BP216:CU216" si="1495">BP214+BP212+BP208+BP182+BP180+BP215</f>
        <v>424.1</v>
      </c>
      <c r="BQ216" s="26">
        <f t="shared" si="1495"/>
        <v>456.4899999999999</v>
      </c>
      <c r="BR216" s="26">
        <f t="shared" si="1495"/>
        <v>427.27</v>
      </c>
      <c r="BS216" s="26">
        <f t="shared" si="1495"/>
        <v>482.85</v>
      </c>
      <c r="BT216" s="26">
        <f t="shared" si="1495"/>
        <v>482.42</v>
      </c>
      <c r="BU216" s="26">
        <f t="shared" si="1495"/>
        <v>503.92000000000007</v>
      </c>
      <c r="BV216" s="26">
        <f t="shared" si="1495"/>
        <v>526.56999999999994</v>
      </c>
      <c r="BW216" s="26">
        <f t="shared" si="1495"/>
        <v>548.29999999999995</v>
      </c>
      <c r="BX216" s="26">
        <f t="shared" si="1495"/>
        <v>492.62</v>
      </c>
      <c r="BY216" s="26">
        <f t="shared" si="1495"/>
        <v>507.34</v>
      </c>
      <c r="BZ216" s="26">
        <f t="shared" si="1495"/>
        <v>535.22</v>
      </c>
      <c r="CA216" s="26">
        <f t="shared" si="1495"/>
        <v>552.52</v>
      </c>
      <c r="CB216" s="26">
        <f t="shared" si="1495"/>
        <v>511.55000000000007</v>
      </c>
      <c r="CC216" s="26">
        <f t="shared" si="1495"/>
        <v>526.90000000000009</v>
      </c>
      <c r="CD216" s="26">
        <f t="shared" si="1495"/>
        <v>549.23</v>
      </c>
      <c r="CE216" s="26">
        <f t="shared" si="1495"/>
        <v>573.4</v>
      </c>
      <c r="CF216" s="26">
        <f t="shared" si="1495"/>
        <v>488.78999999999996</v>
      </c>
      <c r="CG216" s="26">
        <f t="shared" si="1495"/>
        <v>507.9</v>
      </c>
      <c r="CH216" s="26">
        <f t="shared" si="1495"/>
        <v>575.71</v>
      </c>
      <c r="CI216" s="26">
        <f t="shared" si="1495"/>
        <v>614.6400000000001</v>
      </c>
      <c r="CJ216" s="26">
        <f t="shared" si="1495"/>
        <v>534.11</v>
      </c>
      <c r="CK216" s="26">
        <f t="shared" si="1495"/>
        <v>563.12</v>
      </c>
      <c r="CL216" s="26">
        <f t="shared" ref="CL216" si="1496">CL214+CL212+CL208+CL182+CL180+CL215</f>
        <v>586.02</v>
      </c>
      <c r="CM216" s="27">
        <f t="shared" si="1495"/>
        <v>629.15866529090363</v>
      </c>
      <c r="CN216" s="27">
        <f t="shared" si="1495"/>
        <v>680.26085550573998</v>
      </c>
      <c r="CO216" s="27">
        <f t="shared" si="1495"/>
        <v>725.84947329845886</v>
      </c>
      <c r="CP216" s="27">
        <f t="shared" si="1495"/>
        <v>781.33354314899088</v>
      </c>
      <c r="CQ216" s="27">
        <f t="shared" si="1495"/>
        <v>837.36388049099526</v>
      </c>
      <c r="CR216" s="27">
        <f t="shared" si="1495"/>
        <v>902.45262753165196</v>
      </c>
      <c r="CS216" s="27">
        <f t="shared" si="1495"/>
        <v>961.37058529082526</v>
      </c>
      <c r="CT216" s="27">
        <f t="shared" si="1495"/>
        <v>1031.2732643009779</v>
      </c>
      <c r="CU216" s="27">
        <f t="shared" si="1495"/>
        <v>1101.9161948400892</v>
      </c>
      <c r="CV216" s="27">
        <f t="shared" ref="CV216:DB216" si="1497">CV214+CV212+CV208+CV182+CV180+CV215</f>
        <v>1183.0778462642097</v>
      </c>
      <c r="CW216" s="27">
        <f t="shared" si="1497"/>
        <v>1256.5726299341102</v>
      </c>
      <c r="CX216" s="27">
        <f t="shared" si="1497"/>
        <v>1342.6111418200041</v>
      </c>
      <c r="CY216" s="27">
        <f t="shared" si="1497"/>
        <v>1430.2557204637792</v>
      </c>
      <c r="CZ216" s="27">
        <f t="shared" si="1497"/>
        <v>1530.3219497258472</v>
      </c>
      <c r="DA216" s="27">
        <f t="shared" si="1497"/>
        <v>1621.1563229520934</v>
      </c>
      <c r="DB216" s="27">
        <f t="shared" si="1497"/>
        <v>1726.9350478902784</v>
      </c>
      <c r="DE216" s="121"/>
      <c r="DF216" s="26">
        <v>603.98399878909595</v>
      </c>
    </row>
    <row r="217" spans="1:110" s="23" customFormat="1" x14ac:dyDescent="0.2">
      <c r="A217" s="28" t="s">
        <v>439</v>
      </c>
      <c r="B217" s="23">
        <f t="shared" ref="B217:AE217" si="1498">B216-B171</f>
        <v>0</v>
      </c>
      <c r="C217" s="23">
        <f t="shared" si="1498"/>
        <v>0</v>
      </c>
      <c r="D217" s="23">
        <f t="shared" si="1498"/>
        <v>0</v>
      </c>
      <c r="E217" s="23">
        <f t="shared" si="1498"/>
        <v>0</v>
      </c>
      <c r="F217" s="23">
        <f t="shared" si="1498"/>
        <v>0</v>
      </c>
      <c r="G217" s="23">
        <f t="shared" si="1498"/>
        <v>0</v>
      </c>
      <c r="H217" s="23">
        <f t="shared" si="1498"/>
        <v>0</v>
      </c>
      <c r="I217" s="23">
        <f t="shared" si="1498"/>
        <v>0</v>
      </c>
      <c r="J217" s="23">
        <f t="shared" si="1498"/>
        <v>0</v>
      </c>
      <c r="K217" s="23">
        <f t="shared" si="1498"/>
        <v>0</v>
      </c>
      <c r="L217" s="23">
        <f t="shared" si="1498"/>
        <v>0</v>
      </c>
      <c r="M217" s="23">
        <f t="shared" si="1498"/>
        <v>0</v>
      </c>
      <c r="N217" s="23">
        <f t="shared" si="1498"/>
        <v>0</v>
      </c>
      <c r="O217" s="23">
        <f t="shared" si="1498"/>
        <v>0</v>
      </c>
      <c r="P217" s="23">
        <f t="shared" si="1498"/>
        <v>0</v>
      </c>
      <c r="Q217" s="23">
        <f t="shared" si="1498"/>
        <v>0</v>
      </c>
      <c r="R217" s="23">
        <f t="shared" si="1498"/>
        <v>0</v>
      </c>
      <c r="S217" s="23">
        <f t="shared" si="1498"/>
        <v>0</v>
      </c>
      <c r="T217" s="23">
        <f t="shared" si="1498"/>
        <v>0</v>
      </c>
      <c r="U217" s="23">
        <f t="shared" si="1498"/>
        <v>0</v>
      </c>
      <c r="V217" s="23">
        <f t="shared" si="1498"/>
        <v>0</v>
      </c>
      <c r="W217" s="23">
        <f t="shared" si="1498"/>
        <v>0</v>
      </c>
      <c r="X217" s="23">
        <f t="shared" si="1498"/>
        <v>0</v>
      </c>
      <c r="Y217" s="23">
        <f t="shared" si="1498"/>
        <v>0</v>
      </c>
      <c r="Z217" s="23">
        <f t="shared" si="1498"/>
        <v>0</v>
      </c>
      <c r="AA217" s="23">
        <f t="shared" ref="AA217" si="1499">AA216-AA171</f>
        <v>-0.87999999999999545</v>
      </c>
      <c r="AB217" s="24">
        <f t="shared" si="1498"/>
        <v>0</v>
      </c>
      <c r="AC217" s="24">
        <f t="shared" si="1498"/>
        <v>0</v>
      </c>
      <c r="AD217" s="24">
        <f t="shared" si="1498"/>
        <v>0</v>
      </c>
      <c r="AE217" s="24">
        <f t="shared" si="1498"/>
        <v>0</v>
      </c>
      <c r="AJ217" s="23">
        <f t="shared" ref="AJ217:BO217" si="1500">AJ216-AJ171</f>
        <v>0</v>
      </c>
      <c r="AK217" s="23" t="e">
        <f t="shared" si="1500"/>
        <v>#DIV/0!</v>
      </c>
      <c r="AL217" s="23">
        <f t="shared" si="1500"/>
        <v>0</v>
      </c>
      <c r="AM217" s="23" t="e">
        <f t="shared" si="1500"/>
        <v>#DIV/0!</v>
      </c>
      <c r="AN217" s="23">
        <f t="shared" si="1500"/>
        <v>0</v>
      </c>
      <c r="AO217" s="23" t="e">
        <f t="shared" si="1500"/>
        <v>#DIV/0!</v>
      </c>
      <c r="AP217" s="23">
        <f t="shared" si="1500"/>
        <v>0</v>
      </c>
      <c r="AQ217" s="23" t="e">
        <f t="shared" si="1500"/>
        <v>#DIV/0!</v>
      </c>
      <c r="AR217" s="23">
        <f t="shared" si="1500"/>
        <v>0</v>
      </c>
      <c r="AS217" s="23" t="e">
        <f t="shared" si="1500"/>
        <v>#DIV/0!</v>
      </c>
      <c r="AT217" s="23">
        <f t="shared" si="1500"/>
        <v>0</v>
      </c>
      <c r="AU217" s="23" t="e">
        <f t="shared" si="1500"/>
        <v>#DIV/0!</v>
      </c>
      <c r="AV217" s="23">
        <f t="shared" si="1500"/>
        <v>0</v>
      </c>
      <c r="AW217" s="23">
        <f t="shared" si="1500"/>
        <v>0</v>
      </c>
      <c r="AX217" s="23">
        <f t="shared" si="1500"/>
        <v>0</v>
      </c>
      <c r="AY217" s="23">
        <f t="shared" si="1500"/>
        <v>0</v>
      </c>
      <c r="AZ217" s="23">
        <f t="shared" si="1500"/>
        <v>0</v>
      </c>
      <c r="BA217" s="23">
        <f t="shared" si="1500"/>
        <v>0</v>
      </c>
      <c r="BB217" s="23">
        <f t="shared" si="1500"/>
        <v>1.0000000000331966E-3</v>
      </c>
      <c r="BC217" s="23">
        <f t="shared" si="1500"/>
        <v>1.0000000000331966E-3</v>
      </c>
      <c r="BD217" s="23">
        <f t="shared" si="1500"/>
        <v>-9.9999999997635314E-4</v>
      </c>
      <c r="BE217" s="23">
        <f t="shared" si="1500"/>
        <v>-9.9999999997635314E-4</v>
      </c>
      <c r="BF217" s="23">
        <f t="shared" si="1500"/>
        <v>1.0000000000331966E-3</v>
      </c>
      <c r="BG217" s="23">
        <f t="shared" si="1500"/>
        <v>1.0000000000331966E-3</v>
      </c>
      <c r="BH217" s="23">
        <f t="shared" si="1500"/>
        <v>0</v>
      </c>
      <c r="BI217" s="23">
        <f t="shared" si="1500"/>
        <v>0</v>
      </c>
      <c r="BJ217" s="23">
        <f t="shared" si="1500"/>
        <v>0</v>
      </c>
      <c r="BK217" s="23">
        <f t="shared" si="1500"/>
        <v>0</v>
      </c>
      <c r="BL217" s="23">
        <f t="shared" si="1500"/>
        <v>0</v>
      </c>
      <c r="BM217" s="23">
        <f t="shared" si="1500"/>
        <v>0</v>
      </c>
      <c r="BN217" s="23">
        <f t="shared" si="1500"/>
        <v>0</v>
      </c>
      <c r="BO217" s="23">
        <f t="shared" si="1500"/>
        <v>0</v>
      </c>
      <c r="BP217" s="23">
        <f t="shared" ref="BP217:CU217" si="1501">BP216-BP171</f>
        <v>1.0000000000047748E-2</v>
      </c>
      <c r="BQ217" s="23">
        <f t="shared" si="1501"/>
        <v>9.9999999999340616E-3</v>
      </c>
      <c r="BR217" s="23">
        <f t="shared" si="1501"/>
        <v>0</v>
      </c>
      <c r="BS217" s="23">
        <f t="shared" si="1501"/>
        <v>0</v>
      </c>
      <c r="BT217" s="23">
        <f t="shared" si="1501"/>
        <v>0</v>
      </c>
      <c r="BU217" s="23">
        <f t="shared" si="1501"/>
        <v>0</v>
      </c>
      <c r="BV217" s="23">
        <f t="shared" si="1501"/>
        <v>0</v>
      </c>
      <c r="BW217" s="23">
        <f t="shared" si="1501"/>
        <v>0</v>
      </c>
      <c r="BX217" s="23">
        <f t="shared" si="1501"/>
        <v>0</v>
      </c>
      <c r="BY217" s="23">
        <f t="shared" si="1501"/>
        <v>0</v>
      </c>
      <c r="BZ217" s="23">
        <f t="shared" si="1501"/>
        <v>0</v>
      </c>
      <c r="CA217" s="23">
        <f t="shared" si="1501"/>
        <v>0</v>
      </c>
      <c r="CB217" s="23">
        <f t="shared" si="1501"/>
        <v>0</v>
      </c>
      <c r="CC217" s="23">
        <f t="shared" si="1501"/>
        <v>0</v>
      </c>
      <c r="CD217" s="23">
        <f t="shared" si="1501"/>
        <v>0</v>
      </c>
      <c r="CE217" s="23">
        <f t="shared" si="1501"/>
        <v>0</v>
      </c>
      <c r="CF217" s="23">
        <f t="shared" si="1501"/>
        <v>0</v>
      </c>
      <c r="CG217" s="23">
        <f t="shared" si="1501"/>
        <v>0</v>
      </c>
      <c r="CH217" s="23">
        <f t="shared" si="1501"/>
        <v>28.660000000000082</v>
      </c>
      <c r="CI217" s="23">
        <f t="shared" si="1501"/>
        <v>28.660000000000082</v>
      </c>
      <c r="CJ217" s="23">
        <f t="shared" si="1501"/>
        <v>0</v>
      </c>
      <c r="CK217" s="23">
        <f t="shared" si="1501"/>
        <v>0</v>
      </c>
      <c r="CL217" s="23">
        <f t="shared" ref="CL217" si="1502">CL216-CL171</f>
        <v>0</v>
      </c>
      <c r="CM217" s="24">
        <f t="shared" si="1501"/>
        <v>0</v>
      </c>
      <c r="CN217" s="24">
        <f t="shared" si="1501"/>
        <v>0</v>
      </c>
      <c r="CO217" s="24">
        <f t="shared" si="1501"/>
        <v>0</v>
      </c>
      <c r="CP217" s="24">
        <f t="shared" si="1501"/>
        <v>0</v>
      </c>
      <c r="CQ217" s="24">
        <f t="shared" si="1501"/>
        <v>0</v>
      </c>
      <c r="CR217" s="24">
        <f t="shared" si="1501"/>
        <v>0</v>
      </c>
      <c r="CS217" s="24">
        <f t="shared" si="1501"/>
        <v>0</v>
      </c>
      <c r="CT217" s="24">
        <f t="shared" si="1501"/>
        <v>0</v>
      </c>
      <c r="CU217" s="24">
        <f t="shared" si="1501"/>
        <v>0</v>
      </c>
      <c r="CV217" s="24">
        <f t="shared" ref="CV217:DB217" si="1503">CV216-CV171</f>
        <v>0</v>
      </c>
      <c r="CW217" s="24">
        <f t="shared" si="1503"/>
        <v>0</v>
      </c>
      <c r="CX217" s="24">
        <f t="shared" si="1503"/>
        <v>0</v>
      </c>
      <c r="CY217" s="24">
        <f t="shared" si="1503"/>
        <v>0</v>
      </c>
      <c r="CZ217" s="24">
        <f t="shared" si="1503"/>
        <v>0</v>
      </c>
      <c r="DA217" s="24">
        <f t="shared" si="1503"/>
        <v>0</v>
      </c>
      <c r="DB217" s="24">
        <f t="shared" si="1503"/>
        <v>0</v>
      </c>
      <c r="DE217" s="123"/>
      <c r="DF217" s="23">
        <v>0</v>
      </c>
    </row>
    <row r="218" spans="1:110" s="23" customFormat="1" x14ac:dyDescent="0.2">
      <c r="A218" s="28"/>
      <c r="AB218" s="24"/>
      <c r="AC218" s="24"/>
      <c r="AD218" s="24"/>
      <c r="AE218" s="24"/>
      <c r="CM218" s="24"/>
      <c r="CN218" s="24"/>
      <c r="CO218" s="24"/>
      <c r="CP218" s="24"/>
      <c r="CQ218" s="24"/>
      <c r="CR218" s="24"/>
      <c r="CS218" s="24"/>
      <c r="CT218" s="24"/>
      <c r="CU218" s="24"/>
      <c r="CV218" s="24"/>
      <c r="CW218" s="24"/>
      <c r="CX218" s="24"/>
      <c r="CY218" s="24"/>
      <c r="CZ218" s="24"/>
      <c r="DA218" s="24"/>
      <c r="DB218" s="24"/>
      <c r="DE218" s="123"/>
    </row>
    <row r="219" spans="1:110" s="22" customFormat="1" x14ac:dyDescent="0.2">
      <c r="A219" s="22" t="s">
        <v>80</v>
      </c>
      <c r="B219" s="22">
        <f t="shared" ref="B219:AE219" si="1504">B170-B212</f>
        <v>0</v>
      </c>
      <c r="C219" s="22">
        <f t="shared" si="1504"/>
        <v>0</v>
      </c>
      <c r="D219" s="22">
        <f t="shared" si="1504"/>
        <v>0</v>
      </c>
      <c r="E219" s="22">
        <f t="shared" si="1504"/>
        <v>0</v>
      </c>
      <c r="F219" s="22">
        <f t="shared" si="1504"/>
        <v>0</v>
      </c>
      <c r="G219" s="22">
        <f t="shared" si="1504"/>
        <v>0</v>
      </c>
      <c r="H219" s="22">
        <f t="shared" si="1504"/>
        <v>17.156336599999999</v>
      </c>
      <c r="I219" s="22">
        <f t="shared" si="1504"/>
        <v>12.9039982</v>
      </c>
      <c r="J219" s="22">
        <f t="shared" si="1504"/>
        <v>-3.9201234999999999</v>
      </c>
      <c r="K219" s="22">
        <f t="shared" si="1504"/>
        <v>-8.4658485999999993</v>
      </c>
      <c r="L219" s="22">
        <f t="shared" si="1504"/>
        <v>-15.040999999999997</v>
      </c>
      <c r="M219" s="22">
        <f t="shared" si="1504"/>
        <v>-34.030999999999999</v>
      </c>
      <c r="N219" s="22">
        <f t="shared" si="1504"/>
        <v>-52.13300000000001</v>
      </c>
      <c r="O219" s="22">
        <f t="shared" si="1504"/>
        <v>-88.293999999999997</v>
      </c>
      <c r="P219" s="22">
        <f t="shared" si="1504"/>
        <v>-89.376000000000005</v>
      </c>
      <c r="Q219" s="22">
        <f t="shared" si="1504"/>
        <v>-101.926</v>
      </c>
      <c r="R219" s="22">
        <f t="shared" si="1504"/>
        <v>-108.703</v>
      </c>
      <c r="S219" s="22">
        <f t="shared" si="1504"/>
        <v>-111.96</v>
      </c>
      <c r="T219" s="22">
        <f t="shared" si="1504"/>
        <v>-81.739999999999995</v>
      </c>
      <c r="U219" s="22">
        <f t="shared" si="1504"/>
        <v>-77.599999999999994</v>
      </c>
      <c r="V219" s="22">
        <f t="shared" si="1504"/>
        <v>-120.22</v>
      </c>
      <c r="W219" s="22">
        <f t="shared" si="1504"/>
        <v>-139.12</v>
      </c>
      <c r="X219" s="22">
        <f t="shared" si="1504"/>
        <v>-150.76999999999998</v>
      </c>
      <c r="Y219" s="22">
        <f t="shared" si="1504"/>
        <v>-155.04</v>
      </c>
      <c r="Z219" s="22">
        <f t="shared" si="1504"/>
        <v>-191.84</v>
      </c>
      <c r="AA219" s="22">
        <f t="shared" ref="AA219" si="1505">AA170-AA212</f>
        <v>-219.66</v>
      </c>
      <c r="AB219" s="21">
        <f t="shared" si="1504"/>
        <v>-404.94527273261122</v>
      </c>
      <c r="AC219" s="21">
        <f t="shared" si="1504"/>
        <v>-641.53565599203455</v>
      </c>
      <c r="AD219" s="21">
        <f t="shared" si="1504"/>
        <v>-936.47604404757601</v>
      </c>
      <c r="AE219" s="21">
        <f t="shared" si="1504"/>
        <v>-1300.9299978186318</v>
      </c>
      <c r="AJ219" s="22">
        <f t="shared" ref="AJ219:BO219" si="1506">AJ170-AJ212</f>
        <v>0</v>
      </c>
      <c r="AK219" s="22" t="e">
        <f t="shared" si="1506"/>
        <v>#DIV/0!</v>
      </c>
      <c r="AL219" s="22">
        <f t="shared" si="1506"/>
        <v>0</v>
      </c>
      <c r="AM219" s="22" t="e">
        <f t="shared" si="1506"/>
        <v>#DIV/0!</v>
      </c>
      <c r="AN219" s="22">
        <f t="shared" si="1506"/>
        <v>0</v>
      </c>
      <c r="AO219" s="22" t="e">
        <f t="shared" si="1506"/>
        <v>#DIV/0!</v>
      </c>
      <c r="AP219" s="22">
        <f t="shared" si="1506"/>
        <v>0</v>
      </c>
      <c r="AQ219" s="22" t="e">
        <f t="shared" si="1506"/>
        <v>#DIV/0!</v>
      </c>
      <c r="AR219" s="22">
        <f t="shared" si="1506"/>
        <v>0</v>
      </c>
      <c r="AS219" s="22" t="e">
        <f t="shared" si="1506"/>
        <v>#DIV/0!</v>
      </c>
      <c r="AT219" s="22">
        <f t="shared" si="1506"/>
        <v>0</v>
      </c>
      <c r="AU219" s="22" t="e">
        <f t="shared" si="1506"/>
        <v>#DIV/0!</v>
      </c>
      <c r="AV219" s="22">
        <f t="shared" si="1506"/>
        <v>0</v>
      </c>
      <c r="AW219" s="22">
        <f t="shared" si="1506"/>
        <v>-10.814000000000007</v>
      </c>
      <c r="AX219" s="22">
        <f t="shared" si="1506"/>
        <v>-101.926</v>
      </c>
      <c r="AY219" s="22">
        <f t="shared" si="1506"/>
        <v>-118.08522942125893</v>
      </c>
      <c r="AZ219" s="22">
        <f t="shared" si="1506"/>
        <v>-117.952</v>
      </c>
      <c r="BA219" s="22">
        <f t="shared" si="1506"/>
        <v>-129.23905696882838</v>
      </c>
      <c r="BB219" s="22">
        <f t="shared" si="1506"/>
        <v>-115.953</v>
      </c>
      <c r="BC219" s="22">
        <f t="shared" si="1506"/>
        <v>-137.81901740208457</v>
      </c>
      <c r="BD219" s="22">
        <f t="shared" si="1506"/>
        <v>-126.68299999999999</v>
      </c>
      <c r="BE219" s="22">
        <f t="shared" si="1506"/>
        <v>-149.05788268435643</v>
      </c>
      <c r="BF219" s="22">
        <f t="shared" si="1506"/>
        <v>-111.96</v>
      </c>
      <c r="BG219" s="22">
        <f t="shared" si="1506"/>
        <v>-135.25709290295882</v>
      </c>
      <c r="BH219" s="22">
        <f t="shared" si="1506"/>
        <v>-78.31</v>
      </c>
      <c r="BI219" s="22">
        <f t="shared" si="1506"/>
        <v>-100.90694936465152</v>
      </c>
      <c r="BJ219" s="22">
        <f t="shared" si="1506"/>
        <v>-81.739999999999995</v>
      </c>
      <c r="BK219" s="22">
        <f t="shared" si="1506"/>
        <v>-108.31879628752722</v>
      </c>
      <c r="BL219" s="22">
        <f t="shared" si="1506"/>
        <v>-41.19</v>
      </c>
      <c r="BM219" s="22">
        <f t="shared" si="1506"/>
        <v>-71.452522367515527</v>
      </c>
      <c r="BN219" s="22">
        <f t="shared" si="1506"/>
        <v>-77.599999999999994</v>
      </c>
      <c r="BO219" s="22">
        <f t="shared" si="1506"/>
        <v>-84.651809936908521</v>
      </c>
      <c r="BP219" s="22">
        <f t="shared" ref="BP219:CU219" si="1507">BP170-BP212</f>
        <v>-85.42</v>
      </c>
      <c r="BQ219" s="22">
        <f t="shared" si="1507"/>
        <v>-122.0835765089722</v>
      </c>
      <c r="BR219" s="22">
        <f t="shared" si="1507"/>
        <v>-120.22</v>
      </c>
      <c r="BS219" s="22">
        <f t="shared" si="1507"/>
        <v>-170.58095682375375</v>
      </c>
      <c r="BT219" s="22">
        <f t="shared" si="1507"/>
        <v>-111.27999999999999</v>
      </c>
      <c r="BU219" s="22">
        <f t="shared" si="1507"/>
        <v>-170.52706883831792</v>
      </c>
      <c r="BV219" s="22">
        <f t="shared" si="1507"/>
        <v>-139.12</v>
      </c>
      <c r="BW219" s="22">
        <f t="shared" si="1507"/>
        <v>-162.99708946078437</v>
      </c>
      <c r="BX219" s="22">
        <f t="shared" si="1507"/>
        <v>-104.82</v>
      </c>
      <c r="BY219" s="22">
        <f t="shared" si="1507"/>
        <v>-124.55899236867452</v>
      </c>
      <c r="BZ219" s="22">
        <f t="shared" si="1507"/>
        <v>-150.76999999999998</v>
      </c>
      <c r="CA219" s="22">
        <f t="shared" si="1507"/>
        <v>-168.71698263173386</v>
      </c>
      <c r="CB219" s="22">
        <f t="shared" si="1507"/>
        <v>-75.430000000000007</v>
      </c>
      <c r="CC219" s="22">
        <f t="shared" si="1507"/>
        <v>-97.03639054054058</v>
      </c>
      <c r="CD219" s="22">
        <f t="shared" si="1507"/>
        <v>-155.04</v>
      </c>
      <c r="CE219" s="22">
        <f t="shared" si="1507"/>
        <v>-178.33258800648295</v>
      </c>
      <c r="CF219" s="22">
        <f t="shared" si="1507"/>
        <v>-137.44</v>
      </c>
      <c r="CG219" s="22">
        <f t="shared" si="1507"/>
        <v>-159.53513306269735</v>
      </c>
      <c r="CH219" s="22">
        <f t="shared" si="1507"/>
        <v>-191.84</v>
      </c>
      <c r="CI219" s="22">
        <f t="shared" si="1507"/>
        <v>-240.93141750374014</v>
      </c>
      <c r="CJ219" s="22">
        <f t="shared" si="1507"/>
        <v>-192.41</v>
      </c>
      <c r="CK219" s="22">
        <f t="shared" si="1507"/>
        <v>-246.55598069551561</v>
      </c>
      <c r="CL219" s="22">
        <f t="shared" ref="CL219" si="1508">CL170-CL212</f>
        <v>-219.66</v>
      </c>
      <c r="CM219" s="21">
        <f t="shared" si="1507"/>
        <v>-262.91933245942369</v>
      </c>
      <c r="CN219" s="21">
        <f t="shared" si="1507"/>
        <v>-306.24719651782613</v>
      </c>
      <c r="CO219" s="21">
        <f t="shared" si="1507"/>
        <v>-359.01104278813273</v>
      </c>
      <c r="CP219" s="21">
        <f t="shared" si="1507"/>
        <v>-404.94527273261122</v>
      </c>
      <c r="CQ219" s="21">
        <f t="shared" si="1507"/>
        <v>-460.24907429964355</v>
      </c>
      <c r="CR219" s="21">
        <f t="shared" si="1507"/>
        <v>-515.87066260034669</v>
      </c>
      <c r="CS219" s="21">
        <f t="shared" si="1507"/>
        <v>-583.1818613082138</v>
      </c>
      <c r="CT219" s="21">
        <f t="shared" si="1507"/>
        <v>-641.53565599203455</v>
      </c>
      <c r="CU219" s="21">
        <f t="shared" si="1507"/>
        <v>-711.17518504155896</v>
      </c>
      <c r="CV219" s="21">
        <f t="shared" ref="CV219:DB219" si="1509">CV170-CV212</f>
        <v>-780.91649600762207</v>
      </c>
      <c r="CW219" s="21">
        <f t="shared" si="1509"/>
        <v>-864.31819840132573</v>
      </c>
      <c r="CX219" s="21">
        <f t="shared" si="1509"/>
        <v>-936.47604404757601</v>
      </c>
      <c r="CY219" s="21">
        <f t="shared" si="1509"/>
        <v>-1022.835107904205</v>
      </c>
      <c r="CZ219" s="21">
        <f t="shared" si="1509"/>
        <v>-1109.1933662357967</v>
      </c>
      <c r="DA219" s="21">
        <f t="shared" si="1509"/>
        <v>-1211.7798941364567</v>
      </c>
      <c r="DB219" s="21">
        <f t="shared" si="1509"/>
        <v>-1300.9299978186318</v>
      </c>
      <c r="DE219" s="126"/>
      <c r="DF219" s="22">
        <v>-286.99809267669565</v>
      </c>
    </row>
    <row r="220" spans="1:110" x14ac:dyDescent="0.2">
      <c r="AA220" s="2"/>
      <c r="CE220" s="111"/>
      <c r="CG220" s="111"/>
    </row>
    <row r="221" spans="1:110" s="49" customFormat="1" x14ac:dyDescent="0.2">
      <c r="A221" s="49" t="s">
        <v>81</v>
      </c>
      <c r="B221" s="49">
        <f>'Annual Raw'!C85</f>
        <v>0</v>
      </c>
      <c r="C221" s="49">
        <f>'Annual Raw'!D85</f>
        <v>0</v>
      </c>
      <c r="D221" s="49">
        <f>'Annual Raw'!E85</f>
        <v>0</v>
      </c>
      <c r="E221" s="49">
        <f>'Annual Raw'!F85</f>
        <v>0</v>
      </c>
      <c r="F221" s="49">
        <f>'Annual Raw'!G85</f>
        <v>0</v>
      </c>
      <c r="G221" s="49">
        <f>'Annual Raw'!H85</f>
        <v>0</v>
      </c>
      <c r="H221" s="49">
        <f>'Annual Raw'!I85</f>
        <v>0</v>
      </c>
      <c r="I221" s="49">
        <f>'Annual Raw'!J85</f>
        <v>0</v>
      </c>
      <c r="J221" s="49">
        <f>'Annual Raw'!K85</f>
        <v>0</v>
      </c>
      <c r="K221" s="49">
        <f>'Annual Raw'!L85</f>
        <v>1.209E-2</v>
      </c>
      <c r="L221" s="49">
        <f>'Annual Raw'!M85</f>
        <v>0</v>
      </c>
      <c r="M221" s="49">
        <f>'Annual Raw'!N85</f>
        <v>0</v>
      </c>
      <c r="N221" s="49">
        <f>'Annual Raw'!O85</f>
        <v>0</v>
      </c>
      <c r="O221" s="49">
        <f>'Annual Raw'!P85</f>
        <v>0</v>
      </c>
      <c r="P221" s="49">
        <f>'Annual Raw'!Q85</f>
        <v>35.295000000000002</v>
      </c>
      <c r="Q221" s="49">
        <f>'Annual Raw'!R85</f>
        <v>45.527000000000001</v>
      </c>
      <c r="R221" s="49">
        <f>'Annual Raw'!S85</f>
        <v>47.02</v>
      </c>
      <c r="S221" s="49">
        <f>'Annual Raw'!T85</f>
        <v>50.35</v>
      </c>
      <c r="T221" s="49">
        <f>'Annual Raw'!U85</f>
        <v>40.799999999999997</v>
      </c>
      <c r="U221" s="49">
        <f>'Annual Raw'!V85</f>
        <v>54.33</v>
      </c>
      <c r="V221" s="49">
        <f>'Annual Raw'!W85</f>
        <v>50.83</v>
      </c>
      <c r="W221" s="49">
        <f>'Annual Raw'!X85</f>
        <v>1.61</v>
      </c>
      <c r="X221" s="49">
        <f>'Annual Raw'!Y85</f>
        <v>1.61</v>
      </c>
      <c r="Y221" s="49">
        <f>'Annual Raw'!Z85</f>
        <v>0.62</v>
      </c>
      <c r="Z221" s="49">
        <f>'Annual Raw'!AA85</f>
        <v>2.2599999999999998</v>
      </c>
      <c r="AA221" s="49">
        <f>'Annual Raw'!AB85</f>
        <v>1.86</v>
      </c>
      <c r="AB221" s="50"/>
      <c r="AC221" s="50"/>
      <c r="AD221" s="50"/>
      <c r="AE221" s="50"/>
      <c r="CM221" s="50"/>
      <c r="CN221" s="50"/>
      <c r="CO221" s="50"/>
      <c r="CP221" s="50"/>
      <c r="CQ221" s="50"/>
      <c r="CR221" s="50"/>
      <c r="CS221" s="50"/>
      <c r="CT221" s="50"/>
      <c r="CU221" s="50"/>
      <c r="CV221" s="50"/>
      <c r="CW221" s="50"/>
      <c r="CX221" s="50"/>
      <c r="CY221" s="50"/>
      <c r="CZ221" s="50"/>
      <c r="DA221" s="50"/>
      <c r="DB221" s="50"/>
      <c r="DE221" s="138"/>
    </row>
    <row r="222" spans="1:110" s="29" customFormat="1" x14ac:dyDescent="0.2">
      <c r="A222" s="29" t="s">
        <v>82</v>
      </c>
      <c r="B222" s="29">
        <f>'Annual Raw'!C95</f>
        <v>0</v>
      </c>
      <c r="C222" s="29">
        <f>'Annual Raw'!D95</f>
        <v>0</v>
      </c>
      <c r="D222" s="29">
        <f>'Annual Raw'!E95</f>
        <v>0</v>
      </c>
      <c r="E222" s="29">
        <f>'Annual Raw'!F95</f>
        <v>0</v>
      </c>
      <c r="F222" s="29">
        <f>'Annual Raw'!G95</f>
        <v>0</v>
      </c>
      <c r="G222" s="29">
        <f>'Annual Raw'!H95</f>
        <v>0</v>
      </c>
      <c r="H222" s="29">
        <f>'Annual Raw'!I95</f>
        <v>0</v>
      </c>
      <c r="I222" s="29">
        <f>'Annual Raw'!J95</f>
        <v>0</v>
      </c>
      <c r="J222" s="29">
        <f>'Annual Raw'!K95</f>
        <v>0</v>
      </c>
      <c r="K222" s="29">
        <f>'Annual Raw'!L95</f>
        <v>0</v>
      </c>
      <c r="L222" s="29">
        <f>'Annual Raw'!M95</f>
        <v>0</v>
      </c>
      <c r="M222" s="29">
        <f>'Annual Raw'!N95</f>
        <v>0</v>
      </c>
      <c r="N222" s="29">
        <f>'Annual Raw'!O95</f>
        <v>0</v>
      </c>
      <c r="O222" s="29">
        <f>'Annual Raw'!P95</f>
        <v>0</v>
      </c>
      <c r="P222" s="29">
        <f>'Annual Raw'!Q95</f>
        <v>0</v>
      </c>
      <c r="Q222" s="29">
        <f>'Annual Raw'!R95</f>
        <v>0</v>
      </c>
      <c r="R222" s="29">
        <f>'Annual Raw'!S95</f>
        <v>0</v>
      </c>
      <c r="S222" s="29">
        <f>'Annual Raw'!T95</f>
        <v>0</v>
      </c>
      <c r="T222" s="29">
        <f>'Annual Raw'!U95</f>
        <v>0</v>
      </c>
      <c r="U222" s="29">
        <f>'Annual Raw'!V95</f>
        <v>0</v>
      </c>
      <c r="V222" s="29">
        <f>'Annual Raw'!W95</f>
        <v>0</v>
      </c>
      <c r="W222" s="29">
        <f>'Annual Raw'!X95</f>
        <v>0</v>
      </c>
      <c r="X222" s="29">
        <f>'Annual Raw'!Y95</f>
        <v>0</v>
      </c>
      <c r="Y222" s="29">
        <f>'Annual Raw'!Z95</f>
        <v>0</v>
      </c>
      <c r="Z222" s="29">
        <f>'Annual Raw'!AA95</f>
        <v>0</v>
      </c>
      <c r="AA222" s="29">
        <f>'Annual Raw'!AB95</f>
        <v>0</v>
      </c>
      <c r="AB222" s="30"/>
      <c r="AC222" s="30"/>
      <c r="AD222" s="30"/>
      <c r="AE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29" customFormat="1" x14ac:dyDescent="0.2">
      <c r="A223" s="29" t="s">
        <v>83</v>
      </c>
      <c r="B223" s="29">
        <f>'Annual Raw'!C93</f>
        <v>0</v>
      </c>
      <c r="C223" s="29">
        <f>'Annual Raw'!D93</f>
        <v>0</v>
      </c>
      <c r="D223" s="29">
        <f>'Annual Raw'!E93</f>
        <v>0</v>
      </c>
      <c r="E223" s="29">
        <f>'Annual Raw'!F93</f>
        <v>0</v>
      </c>
      <c r="F223" s="29">
        <f>'Annual Raw'!G93</f>
        <v>0</v>
      </c>
      <c r="G223" s="29">
        <f>'Annual Raw'!H93</f>
        <v>0</v>
      </c>
      <c r="H223" s="29">
        <f>'Annual Raw'!I93</f>
        <v>0</v>
      </c>
      <c r="I223" s="29">
        <f>'Annual Raw'!J93</f>
        <v>0</v>
      </c>
      <c r="J223" s="29">
        <f>'Annual Raw'!K93</f>
        <v>0</v>
      </c>
      <c r="K223" s="29">
        <f>'Annual Raw'!L93</f>
        <v>1.209E-2</v>
      </c>
      <c r="L223" s="29">
        <f>'Annual Raw'!M93</f>
        <v>0</v>
      </c>
      <c r="M223" s="29">
        <f>'Annual Raw'!N93</f>
        <v>0</v>
      </c>
      <c r="N223" s="29">
        <f>'Annual Raw'!O93</f>
        <v>0</v>
      </c>
      <c r="O223" s="29">
        <f>'Annual Raw'!P93</f>
        <v>0</v>
      </c>
      <c r="P223" s="29">
        <f>'Annual Raw'!Q93</f>
        <v>35.295000000000002</v>
      </c>
      <c r="Q223" s="29">
        <f>'Annual Raw'!R93</f>
        <v>45.527000000000001</v>
      </c>
      <c r="R223" s="29">
        <f>'Annual Raw'!S93</f>
        <v>47.02</v>
      </c>
      <c r="S223" s="29">
        <f>'Annual Raw'!T93</f>
        <v>50.35</v>
      </c>
      <c r="T223" s="29">
        <f>'Annual Raw'!U93</f>
        <v>40.799999999999997</v>
      </c>
      <c r="U223" s="29">
        <f>'Annual Raw'!V93</f>
        <v>54.33</v>
      </c>
      <c r="V223" s="29">
        <f>'Annual Raw'!W93</f>
        <v>50.83</v>
      </c>
      <c r="W223" s="29">
        <f>'Annual Raw'!X93</f>
        <v>1.61</v>
      </c>
      <c r="X223" s="29">
        <f>'Annual Raw'!Y93</f>
        <v>1.61</v>
      </c>
      <c r="Y223" s="29">
        <f>'Annual Raw'!Z93</f>
        <v>0.62</v>
      </c>
      <c r="Z223" s="29">
        <f>'Annual Raw'!AA93</f>
        <v>2.2599999999999998</v>
      </c>
      <c r="AA223" s="29">
        <f>'Annual Raw'!AB93</f>
        <v>1.86</v>
      </c>
      <c r="AB223" s="30"/>
      <c r="AC223" s="30"/>
      <c r="AD223" s="30"/>
      <c r="AE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29" customFormat="1" x14ac:dyDescent="0.2">
      <c r="A224" s="29" t="s">
        <v>84</v>
      </c>
      <c r="B224" s="29">
        <f t="shared" ref="B224:V224" si="1510">B221-B222-B223</f>
        <v>0</v>
      </c>
      <c r="C224" s="29">
        <f t="shared" si="1510"/>
        <v>0</v>
      </c>
      <c r="D224" s="29">
        <f t="shared" si="1510"/>
        <v>0</v>
      </c>
      <c r="E224" s="29">
        <f t="shared" si="1510"/>
        <v>0</v>
      </c>
      <c r="F224" s="29">
        <f t="shared" si="1510"/>
        <v>0</v>
      </c>
      <c r="G224" s="29">
        <f t="shared" si="1510"/>
        <v>0</v>
      </c>
      <c r="H224" s="29">
        <f t="shared" si="1510"/>
        <v>0</v>
      </c>
      <c r="I224" s="29">
        <f t="shared" si="1510"/>
        <v>0</v>
      </c>
      <c r="J224" s="29">
        <f t="shared" si="1510"/>
        <v>0</v>
      </c>
      <c r="K224" s="29">
        <f t="shared" si="1510"/>
        <v>0</v>
      </c>
      <c r="L224" s="29">
        <f t="shared" si="1510"/>
        <v>0</v>
      </c>
      <c r="M224" s="29">
        <f t="shared" si="1510"/>
        <v>0</v>
      </c>
      <c r="N224" s="29">
        <f t="shared" si="1510"/>
        <v>0</v>
      </c>
      <c r="O224" s="29">
        <f t="shared" si="1510"/>
        <v>0</v>
      </c>
      <c r="P224" s="29">
        <f t="shared" si="1510"/>
        <v>0</v>
      </c>
      <c r="Q224" s="29">
        <f t="shared" si="1510"/>
        <v>0</v>
      </c>
      <c r="R224" s="29">
        <f t="shared" si="1510"/>
        <v>0</v>
      </c>
      <c r="S224" s="29">
        <f t="shared" si="1510"/>
        <v>0</v>
      </c>
      <c r="T224" s="29">
        <f t="shared" si="1510"/>
        <v>0</v>
      </c>
      <c r="U224" s="29">
        <f t="shared" si="1510"/>
        <v>0</v>
      </c>
      <c r="V224" s="29">
        <f t="shared" si="1510"/>
        <v>0</v>
      </c>
      <c r="W224" s="29">
        <f t="shared" ref="W224" si="1511">W221-W222-W223</f>
        <v>0</v>
      </c>
      <c r="X224" s="29">
        <f t="shared" ref="X224:Y224" si="1512">X221-X222-X223</f>
        <v>0</v>
      </c>
      <c r="Y224" s="29">
        <f t="shared" si="1512"/>
        <v>0</v>
      </c>
      <c r="Z224" s="29">
        <f t="shared" ref="Z224:AA224" si="1513">Z221-Z222-Z223</f>
        <v>0</v>
      </c>
      <c r="AA224" s="29">
        <f t="shared" si="1513"/>
        <v>0</v>
      </c>
      <c r="AB224" s="30">
        <f t="shared" ref="AA224:AD224" si="1514">AB221-AB222-AB223</f>
        <v>0</v>
      </c>
      <c r="AC224" s="30">
        <f t="shared" si="1514"/>
        <v>0</v>
      </c>
      <c r="AD224" s="30">
        <f t="shared" si="1514"/>
        <v>0</v>
      </c>
      <c r="AE224" s="30">
        <f t="shared" ref="AE224" si="1515">AE221-AE222-AE223</f>
        <v>0</v>
      </c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  <c r="DF224" s="29">
        <v>0</v>
      </c>
    </row>
    <row r="225" spans="1:110" s="5" customFormat="1" x14ac:dyDescent="0.2">
      <c r="AB225" s="63"/>
      <c r="AC225" s="63"/>
      <c r="AD225" s="63"/>
      <c r="AE225" s="63"/>
      <c r="CE225" s="112"/>
      <c r="CG225" s="112"/>
      <c r="CM225" s="30"/>
      <c r="CN225" s="30"/>
      <c r="CO225" s="30"/>
      <c r="CP225" s="30"/>
      <c r="CQ225" s="30"/>
      <c r="CR225" s="30"/>
      <c r="CS225" s="30"/>
      <c r="CT225" s="30"/>
      <c r="CU225" s="30"/>
      <c r="CV225" s="30"/>
      <c r="CW225" s="30"/>
      <c r="CX225" s="30"/>
      <c r="CY225" s="30"/>
      <c r="CZ225" s="30"/>
      <c r="DA225" s="30"/>
      <c r="DB225" s="30"/>
      <c r="DE225" s="139"/>
    </row>
    <row r="226" spans="1:110" s="95" customFormat="1" x14ac:dyDescent="0.2">
      <c r="A226" s="95" t="s">
        <v>85</v>
      </c>
      <c r="B226" s="95" t="e">
        <f t="shared" ref="B226:AE226" si="1516">B221/B162</f>
        <v>#DIV/0!</v>
      </c>
      <c r="C226" s="95" t="e">
        <f t="shared" si="1516"/>
        <v>#DIV/0!</v>
      </c>
      <c r="D226" s="95" t="e">
        <f t="shared" si="1516"/>
        <v>#DIV/0!</v>
      </c>
      <c r="E226" s="95" t="e">
        <f t="shared" si="1516"/>
        <v>#DIV/0!</v>
      </c>
      <c r="F226" s="95" t="e">
        <f t="shared" si="1516"/>
        <v>#DIV/0!</v>
      </c>
      <c r="G226" s="95" t="e">
        <f t="shared" si="1516"/>
        <v>#DIV/0!</v>
      </c>
      <c r="H226" s="95">
        <f t="shared" si="1516"/>
        <v>0</v>
      </c>
      <c r="I226" s="95">
        <f t="shared" si="1516"/>
        <v>0</v>
      </c>
      <c r="J226" s="95">
        <f t="shared" si="1516"/>
        <v>0</v>
      </c>
      <c r="K226" s="95">
        <f t="shared" si="1516"/>
        <v>2.870109280372301E-4</v>
      </c>
      <c r="L226" s="95">
        <f t="shared" si="1516"/>
        <v>0</v>
      </c>
      <c r="M226" s="95">
        <f t="shared" si="1516"/>
        <v>0</v>
      </c>
      <c r="N226" s="95">
        <f t="shared" si="1516"/>
        <v>0</v>
      </c>
      <c r="O226" s="95">
        <f t="shared" si="1516"/>
        <v>0</v>
      </c>
      <c r="P226" s="95">
        <f t="shared" si="1516"/>
        <v>0.12770830619599671</v>
      </c>
      <c r="Q226" s="95">
        <f t="shared" si="1516"/>
        <v>0.12452339925056756</v>
      </c>
      <c r="R226" s="95">
        <f t="shared" si="1516"/>
        <v>0.11529935655994979</v>
      </c>
      <c r="S226" s="95">
        <f t="shared" si="1516"/>
        <v>0.113582530623294</v>
      </c>
      <c r="T226" s="95">
        <f t="shared" si="1516"/>
        <v>9.3767236624379469E-2</v>
      </c>
      <c r="U226" s="95">
        <f t="shared" si="1516"/>
        <v>0.14817946270285012</v>
      </c>
      <c r="V226" s="95">
        <f t="shared" si="1516"/>
        <v>0.1189618049054484</v>
      </c>
      <c r="W226" s="95">
        <f t="shared" si="1516"/>
        <v>3.0575232162865333E-3</v>
      </c>
      <c r="X226" s="95">
        <f t="shared" si="1516"/>
        <v>3.0132884147482694E-3</v>
      </c>
      <c r="Y226" s="95">
        <f t="shared" si="1516"/>
        <v>1.177006606424178E-3</v>
      </c>
      <c r="Z226" s="95">
        <f t="shared" si="1516"/>
        <v>4.1335162322816638E-3</v>
      </c>
      <c r="AA226" s="95">
        <f t="shared" ref="AA226" si="1517">AA221/AA162</f>
        <v>3.1767719897523488E-3</v>
      </c>
      <c r="AB226" s="87">
        <f t="shared" si="1516"/>
        <v>0</v>
      </c>
      <c r="AC226" s="87">
        <f t="shared" si="1516"/>
        <v>0</v>
      </c>
      <c r="AD226" s="87">
        <f t="shared" si="1516"/>
        <v>0</v>
      </c>
      <c r="AE226" s="87">
        <f t="shared" si="1516"/>
        <v>0</v>
      </c>
      <c r="CM226" s="96"/>
      <c r="CN226" s="96"/>
      <c r="CO226" s="96"/>
      <c r="CP226" s="96"/>
      <c r="CQ226" s="96"/>
      <c r="CR226" s="96"/>
      <c r="CS226" s="96"/>
      <c r="CT226" s="96"/>
      <c r="CU226" s="96"/>
      <c r="CV226" s="96"/>
      <c r="CW226" s="96"/>
      <c r="CX226" s="96"/>
      <c r="CY226" s="96"/>
      <c r="CZ226" s="96"/>
      <c r="DA226" s="96"/>
      <c r="DB226" s="96"/>
      <c r="DE226" s="140"/>
      <c r="DF226" s="95">
        <v>0</v>
      </c>
    </row>
    <row r="227" spans="1:110" x14ac:dyDescent="0.2">
      <c r="A227" s="152" t="s">
        <v>492</v>
      </c>
      <c r="AA227" s="2"/>
      <c r="CE227" s="111"/>
      <c r="CG227" s="111"/>
    </row>
    <row r="228" spans="1:110" s="6" customFormat="1" x14ac:dyDescent="0.2">
      <c r="AB228" s="19"/>
      <c r="AC228" s="19"/>
      <c r="AD228" s="19"/>
      <c r="AE228" s="19"/>
      <c r="CE228" s="113"/>
      <c r="CG228" s="113"/>
      <c r="CM228" s="24"/>
      <c r="CN228" s="24"/>
      <c r="CO228" s="24"/>
      <c r="CP228" s="24"/>
      <c r="CQ228" s="24"/>
      <c r="CR228" s="24"/>
      <c r="CS228" s="24"/>
      <c r="CT228" s="24"/>
      <c r="CU228" s="24"/>
      <c r="CV228" s="24"/>
      <c r="CW228" s="24"/>
      <c r="CX228" s="24"/>
      <c r="CY228" s="24"/>
      <c r="CZ228" s="24"/>
      <c r="DA228" s="24"/>
      <c r="DB228" s="24"/>
      <c r="DE228" s="123"/>
    </row>
    <row r="229" spans="1:110" s="62" customFormat="1" x14ac:dyDescent="0.2">
      <c r="A229" s="153" t="s">
        <v>493</v>
      </c>
      <c r="AB229" s="63"/>
      <c r="AC229" s="63"/>
      <c r="AD229" s="63"/>
      <c r="AE229" s="63"/>
      <c r="CE229" s="114"/>
      <c r="CG229" s="114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outlineLevel="1" x14ac:dyDescent="0.2">
      <c r="A230" s="68" t="s">
        <v>464</v>
      </c>
      <c r="B230" s="67" t="e">
        <f t="shared" ref="B230:AE230" si="1518">B186/B41*365</f>
        <v>#DIV/0!</v>
      </c>
      <c r="C230" s="67" t="e">
        <f t="shared" si="1518"/>
        <v>#DIV/0!</v>
      </c>
      <c r="D230" s="67" t="e">
        <f t="shared" si="1518"/>
        <v>#DIV/0!</v>
      </c>
      <c r="E230" s="67" t="e">
        <f t="shared" si="1518"/>
        <v>#DIV/0!</v>
      </c>
      <c r="F230" s="67" t="e">
        <f t="shared" si="1518"/>
        <v>#DIV/0!</v>
      </c>
      <c r="G230" s="67" t="e">
        <f t="shared" si="1518"/>
        <v>#DIV/0!</v>
      </c>
      <c r="H230" s="67">
        <f t="shared" si="1518"/>
        <v>24.97690620551138</v>
      </c>
      <c r="I230" s="67">
        <f t="shared" si="1518"/>
        <v>24.873155915294003</v>
      </c>
      <c r="J230" s="67">
        <f t="shared" si="1518"/>
        <v>27.535456642789182</v>
      </c>
      <c r="K230" s="67">
        <f t="shared" si="1518"/>
        <v>15.549297985681939</v>
      </c>
      <c r="L230" s="67">
        <f t="shared" si="1518"/>
        <v>18.759776536312849</v>
      </c>
      <c r="M230" s="67">
        <f t="shared" si="1518"/>
        <v>17.056043492610659</v>
      </c>
      <c r="N230" s="67">
        <f t="shared" si="1518"/>
        <v>14.258980642182019</v>
      </c>
      <c r="O230" s="67">
        <f t="shared" si="1518"/>
        <v>15.320080278440837</v>
      </c>
      <c r="P230" s="67">
        <f t="shared" si="1518"/>
        <v>14.695121284666426</v>
      </c>
      <c r="Q230" s="67">
        <f t="shared" si="1518"/>
        <v>16.233498640881457</v>
      </c>
      <c r="R230" s="67">
        <f t="shared" si="1518"/>
        <v>17.3850065870093</v>
      </c>
      <c r="S230" s="67">
        <f t="shared" si="1518"/>
        <v>17.465340143691066</v>
      </c>
      <c r="T230" s="67">
        <f t="shared" si="1518"/>
        <v>16.378843910550739</v>
      </c>
      <c r="U230" s="67">
        <f t="shared" si="1518"/>
        <v>17.331322249343714</v>
      </c>
      <c r="V230" s="67">
        <f t="shared" si="1518"/>
        <v>17.238283935142128</v>
      </c>
      <c r="W230" s="67">
        <f t="shared" si="1518"/>
        <v>15.204717589919506</v>
      </c>
      <c r="X230" s="67">
        <f t="shared" si="1518"/>
        <v>19.176239390889936</v>
      </c>
      <c r="Y230" s="67">
        <f t="shared" si="1518"/>
        <v>30.329439742603348</v>
      </c>
      <c r="Z230" s="67">
        <f t="shared" si="1518"/>
        <v>24.713901214810502</v>
      </c>
      <c r="AA230" s="67">
        <f t="shared" ref="AA230" si="1519">AA186/AA41*365</f>
        <v>21.335399980700572</v>
      </c>
      <c r="AB230" s="18">
        <f t="shared" si="1518"/>
        <v>21.402778018116724</v>
      </c>
      <c r="AC230" s="18">
        <f t="shared" si="1518"/>
        <v>21.416639889675775</v>
      </c>
      <c r="AD230" s="18">
        <f t="shared" si="1518"/>
        <v>21.428435144192701</v>
      </c>
      <c r="AE230" s="18">
        <f t="shared" si="1518"/>
        <v>21.438447853643602</v>
      </c>
      <c r="AI230" s="67" t="e">
        <f>AJ186/AI41*90</f>
        <v>#DIV/0!</v>
      </c>
      <c r="AJ230" s="67" t="e">
        <f>AJ186/AJ41*90</f>
        <v>#DIV/0!</v>
      </c>
      <c r="AK230" s="67" t="e">
        <f t="shared" ref="AK230:CE230" si="1520">+AJ230</f>
        <v>#DIV/0!</v>
      </c>
      <c r="AL230" s="67" t="e">
        <f>AL186/AL41*90</f>
        <v>#DIV/0!</v>
      </c>
      <c r="AM230" s="67" t="e">
        <f t="shared" ref="AM230:AM231" si="1521">+AL230</f>
        <v>#DIV/0!</v>
      </c>
      <c r="AN230" s="67" t="e">
        <f>AN186/AN41*90</f>
        <v>#DIV/0!</v>
      </c>
      <c r="AO230" s="67" t="e">
        <f t="shared" ref="AO230:AO231" si="1522">+AN230</f>
        <v>#DIV/0!</v>
      </c>
      <c r="AP230" s="67" t="e">
        <f>AP186/AP41*90</f>
        <v>#DIV/0!</v>
      </c>
      <c r="AQ230" s="67" t="e">
        <f t="shared" ref="AQ230:AQ231" si="1523">+AP230</f>
        <v>#DIV/0!</v>
      </c>
      <c r="AR230" s="67" t="e">
        <f>AR186/AR41*90</f>
        <v>#DIV/0!</v>
      </c>
      <c r="AS230" s="67" t="e">
        <f t="shared" ref="AS230:AS231" si="1524">+AR230</f>
        <v>#DIV/0!</v>
      </c>
      <c r="AT230" s="67" t="e">
        <f>AT186/AT41*90</f>
        <v>#DIV/0!</v>
      </c>
      <c r="AU230" s="67" t="e">
        <f t="shared" ref="AU230:AU231" si="1525">+AT230</f>
        <v>#DIV/0!</v>
      </c>
      <c r="AV230" s="67">
        <f>AV186/AV41*90</f>
        <v>0</v>
      </c>
      <c r="AW230" s="67">
        <f t="shared" ref="AW230:AW231" si="1526">+AV230</f>
        <v>0</v>
      </c>
      <c r="AX230" s="67">
        <f>AX186/AX41*90</f>
        <v>14.826377680424256</v>
      </c>
      <c r="AY230" s="67">
        <f t="shared" ref="AY230:AY231" si="1527">+AX230</f>
        <v>14.826377680424256</v>
      </c>
      <c r="AZ230" s="67">
        <f>AZ186/AZ41*90</f>
        <v>15.795029943184728</v>
      </c>
      <c r="BA230" s="67">
        <f t="shared" ref="BA230:BA231" si="1528">+AZ230</f>
        <v>15.795029943184728</v>
      </c>
      <c r="BB230" s="67">
        <f>BB186/BB41*90</f>
        <v>14.977960420588639</v>
      </c>
      <c r="BC230" s="67">
        <f t="shared" ref="BC230:BC231" si="1529">+BB230</f>
        <v>14.977960420588639</v>
      </c>
      <c r="BD230" s="67">
        <f>BD186/BD41*90</f>
        <v>17.153323640328956</v>
      </c>
      <c r="BE230" s="67">
        <f t="shared" ref="BE230:BE231" si="1530">+BD230</f>
        <v>17.153323640328956</v>
      </c>
      <c r="BF230" s="67">
        <f>BF186/BF41*90</f>
        <v>15.875232774674117</v>
      </c>
      <c r="BG230" s="67">
        <f t="shared" ref="BG230:BG231" si="1531">+BF230</f>
        <v>15.875232774674117</v>
      </c>
      <c r="BH230" s="67">
        <f>BH186/BH41*90</f>
        <v>19.01713515594917</v>
      </c>
      <c r="BI230" s="67">
        <f t="shared" ref="BI230:BI231" si="1532">+BH230</f>
        <v>19.01713515594917</v>
      </c>
      <c r="BJ230" s="67">
        <f>BJ186/BJ41*90</f>
        <v>15.410550241500141</v>
      </c>
      <c r="BK230" s="67">
        <f t="shared" ref="BK230:BK231" si="1533">+BJ230</f>
        <v>15.410550241500141</v>
      </c>
      <c r="BL230" s="67">
        <f>BL186/BL41*90</f>
        <v>17.94735030970406</v>
      </c>
      <c r="BM230" s="67">
        <f t="shared" ref="BM230:BM231" si="1534">+BL230</f>
        <v>17.94735030970406</v>
      </c>
      <c r="BN230" s="67">
        <f>BN186/BN41*90</f>
        <v>18.294558359621451</v>
      </c>
      <c r="BO230" s="67">
        <f t="shared" ref="BO230:BO231" si="1535">+BN230</f>
        <v>18.294558359621451</v>
      </c>
      <c r="BP230" s="67">
        <f>BP186/BP41*90</f>
        <v>15.850570962479608</v>
      </c>
      <c r="BQ230" s="67">
        <f t="shared" ref="BQ230:BQ231" si="1536">+BP230</f>
        <v>15.850570962479608</v>
      </c>
      <c r="BR230" s="67">
        <f>BR186/BR41*90</f>
        <v>14.317624625442658</v>
      </c>
      <c r="BS230" s="67">
        <f t="shared" ref="BS230:BS231" si="1537">+BR230</f>
        <v>14.317624625442658</v>
      </c>
      <c r="BT230" s="67">
        <f>BT186/BT41*90</f>
        <v>10.889279836558652</v>
      </c>
      <c r="BU230" s="67">
        <f t="shared" ref="BU230:BU231" si="1538">+BT230</f>
        <v>10.889279836558652</v>
      </c>
      <c r="BV230" s="67">
        <f>BV186/BV41*90</f>
        <v>16.909466911764707</v>
      </c>
      <c r="BW230" s="67">
        <f t="shared" ref="BW230:BW231" si="1539">+BV230</f>
        <v>16.909466911764707</v>
      </c>
      <c r="BX230" s="67">
        <f>BX186/BX41*90</f>
        <v>17.877306068015116</v>
      </c>
      <c r="BY230" s="67">
        <f t="shared" ref="BY230:BY231" si="1540">+BX230</f>
        <v>17.877306068015116</v>
      </c>
      <c r="BZ230" s="67">
        <f>BZ186/BZ41*90</f>
        <v>18.327200471003831</v>
      </c>
      <c r="CA230" s="67">
        <f t="shared" ref="CA230:CA231" si="1541">+BZ230</f>
        <v>18.327200471003831</v>
      </c>
      <c r="CB230" s="67">
        <f>CB186/CB41*90</f>
        <v>19.629729729729732</v>
      </c>
      <c r="CC230" s="67">
        <f t="shared" ref="CC230:CC231" si="1542">+CB230</f>
        <v>19.629729729729732</v>
      </c>
      <c r="CD230" s="67">
        <f>CD186/CD41*90</f>
        <v>27.726418152350085</v>
      </c>
      <c r="CE230" s="67">
        <f t="shared" si="1520"/>
        <v>27.726418152350085</v>
      </c>
      <c r="CF230" s="67">
        <f>CF186/CF41*90</f>
        <v>22.362990527740187</v>
      </c>
      <c r="CG230" s="67">
        <f t="shared" ref="CG230:CI231" si="1543">+CF230</f>
        <v>22.362990527740187</v>
      </c>
      <c r="CH230" s="67">
        <f>CH186/CH41*90</f>
        <v>22.379782004701859</v>
      </c>
      <c r="CI230" s="67">
        <f t="shared" si="1543"/>
        <v>22.379782004701859</v>
      </c>
      <c r="CJ230" s="67">
        <f>CJ186/CJ41*90</f>
        <v>15.761326375098138</v>
      </c>
      <c r="CK230" s="67">
        <f t="shared" ref="CK230:CK231" si="1544">+CJ230</f>
        <v>15.761326375098138</v>
      </c>
      <c r="CL230" s="67">
        <f>CL186/CL41*90</f>
        <v>19.474882786336238</v>
      </c>
      <c r="CM230" s="30">
        <f t="shared" ref="CM230:CM231" si="1545">+CL230</f>
        <v>19.474882786336238</v>
      </c>
      <c r="CN230" s="30">
        <f t="shared" ref="CN230:CN231" si="1546">+CM230</f>
        <v>19.474882786336238</v>
      </c>
      <c r="CO230" s="30">
        <f t="shared" ref="CO230:CO231" si="1547">+CN230</f>
        <v>19.474882786336238</v>
      </c>
      <c r="CP230" s="30">
        <f t="shared" ref="CP230:CP231" si="1548">+CO230</f>
        <v>19.474882786336238</v>
      </c>
      <c r="CQ230" s="30">
        <f t="shared" ref="CQ230:CQ231" si="1549">+CP230</f>
        <v>19.474882786336238</v>
      </c>
      <c r="CR230" s="30">
        <f t="shared" ref="CR230:CR231" si="1550">+CQ230</f>
        <v>19.474882786336238</v>
      </c>
      <c r="CS230" s="30">
        <f t="shared" ref="CS230:CS231" si="1551">+CR230</f>
        <v>19.474882786336238</v>
      </c>
      <c r="CT230" s="30">
        <f t="shared" ref="CT230:CT231" si="1552">+CS230</f>
        <v>19.474882786336238</v>
      </c>
      <c r="CU230" s="30">
        <f t="shared" ref="CU230:CU231" si="1553">+CT230</f>
        <v>19.474882786336238</v>
      </c>
      <c r="CV230" s="30">
        <f t="shared" ref="CV230:CV231" si="1554">+CU230</f>
        <v>19.474882786336238</v>
      </c>
      <c r="CW230" s="30">
        <f t="shared" ref="CW230:CW231" si="1555">+CV230</f>
        <v>19.474882786336238</v>
      </c>
      <c r="CX230" s="30">
        <f t="shared" ref="CX230:CX231" si="1556">+CW230</f>
        <v>19.474882786336238</v>
      </c>
      <c r="CY230" s="30">
        <f t="shared" ref="CY230:CY231" si="1557">+CX230</f>
        <v>19.474882786336238</v>
      </c>
      <c r="CZ230" s="30">
        <f t="shared" ref="CZ230:CZ231" si="1558">+CY230</f>
        <v>19.474882786336238</v>
      </c>
      <c r="DA230" s="30">
        <f t="shared" ref="DA230:DA231" si="1559">+CZ230</f>
        <v>19.474882786336238</v>
      </c>
      <c r="DB230" s="30">
        <f t="shared" ref="DB230:DB231" si="1560">+DA230</f>
        <v>19.474882786336238</v>
      </c>
      <c r="DE230" s="139"/>
      <c r="DF230" s="62">
        <v>15.761326375098138</v>
      </c>
    </row>
    <row r="231" spans="1:110" s="62" customFormat="1" outlineLevel="1" x14ac:dyDescent="0.2">
      <c r="A231" s="68" t="s">
        <v>465</v>
      </c>
      <c r="B231" s="67" t="e">
        <f t="shared" ref="B231:AE231" si="1561">B185/B41*365</f>
        <v>#DIV/0!</v>
      </c>
      <c r="C231" s="67" t="e">
        <f t="shared" si="1561"/>
        <v>#DIV/0!</v>
      </c>
      <c r="D231" s="67" t="e">
        <f t="shared" si="1561"/>
        <v>#DIV/0!</v>
      </c>
      <c r="E231" s="67" t="e">
        <f t="shared" si="1561"/>
        <v>#DIV/0!</v>
      </c>
      <c r="F231" s="67" t="e">
        <f t="shared" si="1561"/>
        <v>#DIV/0!</v>
      </c>
      <c r="G231" s="67" t="e">
        <f t="shared" si="1561"/>
        <v>#DIV/0!</v>
      </c>
      <c r="H231" s="67">
        <f t="shared" si="1561"/>
        <v>59.862181106151034</v>
      </c>
      <c r="I231" s="67">
        <f t="shared" si="1561"/>
        <v>20.229616165687805</v>
      </c>
      <c r="J231" s="67">
        <f t="shared" si="1561"/>
        <v>11.609384530659847</v>
      </c>
      <c r="K231" s="67">
        <f t="shared" si="1561"/>
        <v>11.203759426591642</v>
      </c>
      <c r="L231" s="67">
        <f t="shared" si="1561"/>
        <v>13.861234187375587</v>
      </c>
      <c r="M231" s="67">
        <f t="shared" si="1561"/>
        <v>11.487815834830759</v>
      </c>
      <c r="N231" s="67">
        <f t="shared" si="1561"/>
        <v>9.0610452774819201</v>
      </c>
      <c r="O231" s="67">
        <f t="shared" si="1561"/>
        <v>11.939684487058102</v>
      </c>
      <c r="P231" s="67">
        <f t="shared" si="1561"/>
        <v>9.7994075142928985</v>
      </c>
      <c r="Q231" s="67">
        <f t="shared" si="1561"/>
        <v>11.36814475131243</v>
      </c>
      <c r="R231" s="67">
        <f t="shared" si="1561"/>
        <v>7.5245493401492185</v>
      </c>
      <c r="S231" s="67">
        <f t="shared" si="1561"/>
        <v>9.7723955994611575</v>
      </c>
      <c r="T231" s="67">
        <f t="shared" si="1561"/>
        <v>11.015859621255366</v>
      </c>
      <c r="U231" s="67">
        <f t="shared" si="1561"/>
        <v>13.700317781973933</v>
      </c>
      <c r="V231" s="67">
        <f t="shared" si="1561"/>
        <v>32.971169786907126</v>
      </c>
      <c r="W231" s="67">
        <f t="shared" si="1561"/>
        <v>57.769249057500936</v>
      </c>
      <c r="X231" s="67">
        <f t="shared" si="1561"/>
        <v>58.984088708299325</v>
      </c>
      <c r="Y231" s="67">
        <f t="shared" si="1561"/>
        <v>27.744544309995106</v>
      </c>
      <c r="Z231" s="67">
        <f t="shared" si="1561"/>
        <v>38.764821415581579</v>
      </c>
      <c r="AA231" s="67">
        <f t="shared" ref="AA231" si="1562">AA185/AA41*365</f>
        <v>32.139583132297602</v>
      </c>
      <c r="AB231" s="18">
        <f t="shared" si="1561"/>
        <v>32.629740816724379</v>
      </c>
      <c r="AC231" s="18">
        <f t="shared" si="1561"/>
        <v>32.650874020826372</v>
      </c>
      <c r="AD231" s="18">
        <f t="shared" si="1561"/>
        <v>32.668856550824522</v>
      </c>
      <c r="AE231" s="18">
        <f t="shared" si="1561"/>
        <v>32.684121490449634</v>
      </c>
      <c r="AI231" s="67" t="e">
        <f>AJ185/AI41*90</f>
        <v>#DIV/0!</v>
      </c>
      <c r="AJ231" s="67" t="e">
        <f>AJ185/AJ41*90</f>
        <v>#DIV/0!</v>
      </c>
      <c r="AK231" s="67" t="e">
        <f>+AJ231</f>
        <v>#DIV/0!</v>
      </c>
      <c r="AL231" s="67" t="e">
        <f>AL185/AL41*90</f>
        <v>#DIV/0!</v>
      </c>
      <c r="AM231" s="67" t="e">
        <f t="shared" si="1521"/>
        <v>#DIV/0!</v>
      </c>
      <c r="AN231" s="67" t="e">
        <f>AN185/AN41*90</f>
        <v>#DIV/0!</v>
      </c>
      <c r="AO231" s="67" t="e">
        <f t="shared" si="1522"/>
        <v>#DIV/0!</v>
      </c>
      <c r="AP231" s="67" t="e">
        <f>AP185/AP41*90</f>
        <v>#DIV/0!</v>
      </c>
      <c r="AQ231" s="67" t="e">
        <f t="shared" si="1523"/>
        <v>#DIV/0!</v>
      </c>
      <c r="AR231" s="67" t="e">
        <f>AR185/AR41*90</f>
        <v>#DIV/0!</v>
      </c>
      <c r="AS231" s="67" t="e">
        <f t="shared" si="1524"/>
        <v>#DIV/0!</v>
      </c>
      <c r="AT231" s="67" t="e">
        <f>AT185/AT41*90</f>
        <v>#DIV/0!</v>
      </c>
      <c r="AU231" s="67" t="e">
        <f t="shared" si="1525"/>
        <v>#DIV/0!</v>
      </c>
      <c r="AV231" s="67">
        <f>AV185/AV41*90</f>
        <v>0</v>
      </c>
      <c r="AW231" s="67">
        <f t="shared" si="1526"/>
        <v>0</v>
      </c>
      <c r="AX231" s="67">
        <f>AX185/AX41*90</f>
        <v>10.382753055107216</v>
      </c>
      <c r="AY231" s="67">
        <f t="shared" si="1527"/>
        <v>10.382753055107216</v>
      </c>
      <c r="AZ231" s="67">
        <f>AZ185/AZ41*90</f>
        <v>9.6370988381020641</v>
      </c>
      <c r="BA231" s="67">
        <f t="shared" si="1528"/>
        <v>9.6370988381020641</v>
      </c>
      <c r="BB231" s="67">
        <f>BB185/BB41*90</f>
        <v>6.4827356627944344</v>
      </c>
      <c r="BC231" s="67">
        <f t="shared" si="1529"/>
        <v>6.4827356627944344</v>
      </c>
      <c r="BD231" s="67">
        <f>BD185/BD41*90</f>
        <v>7.7787496024353668</v>
      </c>
      <c r="BE231" s="67">
        <f t="shared" si="1530"/>
        <v>7.7787496024353668</v>
      </c>
      <c r="BF231" s="67">
        <f>BF185/BF41*90</f>
        <v>9.1620111731843572</v>
      </c>
      <c r="BG231" s="67">
        <f t="shared" si="1531"/>
        <v>9.1620111731843572</v>
      </c>
      <c r="BH231" s="67">
        <f>BH185/BH41*90</f>
        <v>11.245668078552177</v>
      </c>
      <c r="BI231" s="67">
        <f t="shared" si="1532"/>
        <v>11.245668078552177</v>
      </c>
      <c r="BJ231" s="67">
        <f>BJ185/BJ41*90</f>
        <v>10.364617861539918</v>
      </c>
      <c r="BK231" s="67">
        <f t="shared" si="1533"/>
        <v>10.364617861539918</v>
      </c>
      <c r="BL231" s="67">
        <f>BL185/BL41*90</f>
        <v>12.566242257398487</v>
      </c>
      <c r="BM231" s="67">
        <f t="shared" si="1534"/>
        <v>12.566242257398487</v>
      </c>
      <c r="BN231" s="67">
        <f>BN185/BN41*90</f>
        <v>14.692429022082017</v>
      </c>
      <c r="BO231" s="67">
        <f t="shared" si="1535"/>
        <v>14.692429022082017</v>
      </c>
      <c r="BP231" s="67">
        <f>BP185/BP41*90</f>
        <v>22.351712887438826</v>
      </c>
      <c r="BQ231" s="67">
        <f t="shared" si="1536"/>
        <v>22.351712887438826</v>
      </c>
      <c r="BR231" s="67">
        <f>BR185/BR41*90</f>
        <v>27.384908744211387</v>
      </c>
      <c r="BS231" s="67">
        <f t="shared" si="1537"/>
        <v>27.384908744211387</v>
      </c>
      <c r="BT231" s="67">
        <f>BT185/BT41*90</f>
        <v>56.075705124567278</v>
      </c>
      <c r="BU231" s="67">
        <f t="shared" si="1538"/>
        <v>56.075705124567278</v>
      </c>
      <c r="BV231" s="67">
        <f>BV185/BV41*90</f>
        <v>64.246323529411768</v>
      </c>
      <c r="BW231" s="67">
        <f t="shared" si="1539"/>
        <v>64.246323529411768</v>
      </c>
      <c r="BX231" s="67">
        <f>BX185/BX41*90</f>
        <v>59.753278506334745</v>
      </c>
      <c r="BY231" s="67">
        <f t="shared" si="1540"/>
        <v>59.753278506334745</v>
      </c>
      <c r="BZ231" s="67">
        <f>BZ185/BZ41*90</f>
        <v>56.379158080659408</v>
      </c>
      <c r="CA231" s="67">
        <f t="shared" si="1541"/>
        <v>56.379158080659408</v>
      </c>
      <c r="CB231" s="67">
        <f>CB185/CB41*90</f>
        <v>33.664864864864867</v>
      </c>
      <c r="CC231" s="67">
        <f t="shared" si="1542"/>
        <v>33.664864864864867</v>
      </c>
      <c r="CD231" s="67">
        <f>CD185/CD41*90</f>
        <v>25.363371150729336</v>
      </c>
      <c r="CE231" s="114">
        <f t="shared" ref="CE231" si="1563">+CD231</f>
        <v>25.363371150729336</v>
      </c>
      <c r="CF231" s="67">
        <f>CF185/CF41*90</f>
        <v>24.321718538565626</v>
      </c>
      <c r="CG231" s="67">
        <f t="shared" si="1543"/>
        <v>24.321718538565626</v>
      </c>
      <c r="CH231" s="67">
        <f>CH185/CH41*90</f>
        <v>35.103654627057061</v>
      </c>
      <c r="CI231" s="67">
        <f t="shared" si="1543"/>
        <v>35.103654627057061</v>
      </c>
      <c r="CJ231" s="67">
        <f>CJ185/CJ41*90</f>
        <v>31.377176372788984</v>
      </c>
      <c r="CK231" s="67">
        <f t="shared" si="1544"/>
        <v>31.377176372788984</v>
      </c>
      <c r="CL231" s="67">
        <f>CL185/CL41*90</f>
        <v>29.690555927662427</v>
      </c>
      <c r="CM231" s="30">
        <f t="shared" si="1545"/>
        <v>29.690555927662427</v>
      </c>
      <c r="CN231" s="30">
        <f t="shared" si="1546"/>
        <v>29.690555927662427</v>
      </c>
      <c r="CO231" s="30">
        <f t="shared" si="1547"/>
        <v>29.690555927662427</v>
      </c>
      <c r="CP231" s="30">
        <f t="shared" si="1548"/>
        <v>29.690555927662427</v>
      </c>
      <c r="CQ231" s="30">
        <f t="shared" si="1549"/>
        <v>29.690555927662427</v>
      </c>
      <c r="CR231" s="30">
        <f t="shared" si="1550"/>
        <v>29.690555927662427</v>
      </c>
      <c r="CS231" s="30">
        <f t="shared" si="1551"/>
        <v>29.690555927662427</v>
      </c>
      <c r="CT231" s="30">
        <f t="shared" si="1552"/>
        <v>29.690555927662427</v>
      </c>
      <c r="CU231" s="30">
        <f t="shared" si="1553"/>
        <v>29.690555927662427</v>
      </c>
      <c r="CV231" s="30">
        <f t="shared" si="1554"/>
        <v>29.690555927662427</v>
      </c>
      <c r="CW231" s="30">
        <f t="shared" si="1555"/>
        <v>29.690555927662427</v>
      </c>
      <c r="CX231" s="30">
        <f t="shared" si="1556"/>
        <v>29.690555927662427</v>
      </c>
      <c r="CY231" s="30">
        <f t="shared" si="1557"/>
        <v>29.690555927662427</v>
      </c>
      <c r="CZ231" s="30">
        <f t="shared" si="1558"/>
        <v>29.690555927662427</v>
      </c>
      <c r="DA231" s="30">
        <f t="shared" si="1559"/>
        <v>29.690555927662427</v>
      </c>
      <c r="DB231" s="30">
        <f t="shared" si="1560"/>
        <v>29.690555927662427</v>
      </c>
      <c r="DE231" s="139"/>
      <c r="DF231" s="62">
        <v>31.377176372788984</v>
      </c>
    </row>
    <row r="232" spans="1:110" s="62" customFormat="1" outlineLevel="1" x14ac:dyDescent="0.2">
      <c r="A232" s="68" t="s">
        <v>466</v>
      </c>
      <c r="B232" s="67" t="e">
        <f>B233-B231-B230</f>
        <v>#DIV/0!</v>
      </c>
      <c r="C232" s="67" t="e">
        <f t="shared" ref="C232:U232" si="1564">C233-C231-C230</f>
        <v>#DIV/0!</v>
      </c>
      <c r="D232" s="67" t="e">
        <f t="shared" si="1564"/>
        <v>#DIV/0!</v>
      </c>
      <c r="E232" s="67" t="e">
        <f t="shared" si="1564"/>
        <v>#DIV/0!</v>
      </c>
      <c r="F232" s="67" t="e">
        <f t="shared" si="1564"/>
        <v>#DIV/0!</v>
      </c>
      <c r="G232" s="67" t="e">
        <f t="shared" si="1564"/>
        <v>#DIV/0!</v>
      </c>
      <c r="H232" s="67">
        <f t="shared" si="1564"/>
        <v>311.53705635357795</v>
      </c>
      <c r="I232" s="67">
        <f t="shared" si="1564"/>
        <v>442.82282245260882</v>
      </c>
      <c r="J232" s="67">
        <f t="shared" si="1564"/>
        <v>390.57497525424793</v>
      </c>
      <c r="K232" s="67">
        <f t="shared" si="1564"/>
        <v>277.00604917582979</v>
      </c>
      <c r="L232" s="67">
        <f t="shared" si="1564"/>
        <v>62.916971681756898</v>
      </c>
      <c r="M232" s="67">
        <f t="shared" si="1564"/>
        <v>85.708542667497895</v>
      </c>
      <c r="N232" s="67">
        <f t="shared" si="1564"/>
        <v>21.028258392236019</v>
      </c>
      <c r="O232" s="67">
        <f t="shared" si="1564"/>
        <v>23.996186107295738</v>
      </c>
      <c r="P232" s="67">
        <f t="shared" si="1564"/>
        <v>46.918254462772879</v>
      </c>
      <c r="Q232" s="67">
        <f t="shared" si="1564"/>
        <v>37.654991388790911</v>
      </c>
      <c r="R232" s="67">
        <f t="shared" si="1564"/>
        <v>25.417987627592488</v>
      </c>
      <c r="S232" s="67">
        <f t="shared" si="1564"/>
        <v>16.871211270767851</v>
      </c>
      <c r="T232" s="67">
        <f t="shared" si="1564"/>
        <v>35.031520687002057</v>
      </c>
      <c r="U232" s="67">
        <f t="shared" si="1564"/>
        <v>47.606503016625979</v>
      </c>
      <c r="V232" s="67">
        <f>V233-V231-V230</f>
        <v>51.26470826088714</v>
      </c>
      <c r="W232" s="67">
        <f t="shared" ref="W232" si="1565">W233-W231-W230</f>
        <v>174.88214516183811</v>
      </c>
      <c r="X232" s="67">
        <f t="shared" ref="X232:Y232" si="1566">X233-X231-X230</f>
        <v>124.64209087284256</v>
      </c>
      <c r="Y232" s="67">
        <f t="shared" si="1566"/>
        <v>17.475169616003349</v>
      </c>
      <c r="Z232" s="67">
        <f t="shared" ref="Z232:AA232" si="1567">Z233-Z231-Z230</f>
        <v>45.206154069978894</v>
      </c>
      <c r="AA232" s="67">
        <f t="shared" si="1567"/>
        <v>44.612382997201564</v>
      </c>
      <c r="AB232" s="18">
        <f t="shared" ref="AA232:AD232" si="1568">AB233-AB231-AB230</f>
        <v>46.18866126980285</v>
      </c>
      <c r="AC232" s="18">
        <f t="shared" si="1568"/>
        <v>46.218576138305636</v>
      </c>
      <c r="AD232" s="18">
        <f t="shared" si="1568"/>
        <v>46.244031105647409</v>
      </c>
      <c r="AE232" s="18">
        <f t="shared" ref="AE232" si="1569">AE233-AE231-AE230</f>
        <v>46.265639218614261</v>
      </c>
      <c r="AI232" s="67" t="e">
        <f t="shared" ref="AI232:AK232" si="1570">AI233-AI231-AI230</f>
        <v>#DIV/0!</v>
      </c>
      <c r="AJ232" s="67" t="e">
        <f t="shared" ref="AJ232:AM232" si="1571">AJ233-AJ231-AJ230</f>
        <v>#DIV/0!</v>
      </c>
      <c r="AK232" s="67" t="e">
        <f t="shared" si="1570"/>
        <v>#DIV/0!</v>
      </c>
      <c r="AL232" s="67" t="e">
        <f t="shared" si="1571"/>
        <v>#DIV/0!</v>
      </c>
      <c r="AM232" s="67" t="e">
        <f t="shared" si="1571"/>
        <v>#DIV/0!</v>
      </c>
      <c r="AN232" s="67" t="e">
        <f t="shared" ref="AN232:AY232" si="1572">AN233-AN231-AN230</f>
        <v>#DIV/0!</v>
      </c>
      <c r="AO232" s="67" t="e">
        <f t="shared" si="1572"/>
        <v>#DIV/0!</v>
      </c>
      <c r="AP232" s="67" t="e">
        <f t="shared" si="1572"/>
        <v>#DIV/0!</v>
      </c>
      <c r="AQ232" s="67" t="e">
        <f t="shared" si="1572"/>
        <v>#DIV/0!</v>
      </c>
      <c r="AR232" s="67" t="e">
        <f t="shared" si="1572"/>
        <v>#DIV/0!</v>
      </c>
      <c r="AS232" s="67" t="e">
        <f t="shared" si="1572"/>
        <v>#DIV/0!</v>
      </c>
      <c r="AT232" s="67" t="e">
        <f t="shared" si="1572"/>
        <v>#DIV/0!</v>
      </c>
      <c r="AU232" s="67" t="e">
        <f t="shared" si="1572"/>
        <v>#DIV/0!</v>
      </c>
      <c r="AV232" s="67">
        <f t="shared" si="1572"/>
        <v>0</v>
      </c>
      <c r="AW232" s="67">
        <f t="shared" si="1572"/>
        <v>0</v>
      </c>
      <c r="AX232" s="67">
        <f t="shared" si="1572"/>
        <v>34.391053723772188</v>
      </c>
      <c r="AY232" s="67">
        <f t="shared" si="1572"/>
        <v>32.545057822387086</v>
      </c>
      <c r="AZ232" s="67">
        <f t="shared" ref="AZ232:BC232" si="1573">AZ233-AZ231-AZ230</f>
        <v>37.99674975687158</v>
      </c>
      <c r="BA232" s="67">
        <f t="shared" si="1573"/>
        <v>42.191736053880476</v>
      </c>
      <c r="BB232" s="67">
        <f t="shared" si="1573"/>
        <v>21.899765829468755</v>
      </c>
      <c r="BC232" s="67">
        <f t="shared" si="1573"/>
        <v>21.739061075660892</v>
      </c>
      <c r="BD232" s="67">
        <f t="shared" ref="BD232:CE232" si="1574">BD233-BD231-BD230</f>
        <v>16.513358171657046</v>
      </c>
      <c r="BE232" s="67">
        <f t="shared" si="1574"/>
        <v>17.33361154167163</v>
      </c>
      <c r="BF232" s="67">
        <f t="shared" si="1574"/>
        <v>33.677839851024217</v>
      </c>
      <c r="BG232" s="67">
        <f t="shared" si="1574"/>
        <v>33.507977354606282</v>
      </c>
      <c r="BH232" s="67">
        <f t="shared" si="1574"/>
        <v>35.530419715055842</v>
      </c>
      <c r="BI232" s="67">
        <f t="shared" si="1574"/>
        <v>38.331083186208332</v>
      </c>
      <c r="BJ232" s="67">
        <f t="shared" si="1574"/>
        <v>32.960507623828015</v>
      </c>
      <c r="BK232" s="67">
        <f t="shared" si="1574"/>
        <v>31.716941583887724</v>
      </c>
      <c r="BL232" s="67">
        <f t="shared" si="1574"/>
        <v>51.728320715760489</v>
      </c>
      <c r="BM232" s="67">
        <f t="shared" si="1574"/>
        <v>56.838075432460514</v>
      </c>
      <c r="BN232" s="67">
        <f t="shared" si="1574"/>
        <v>71.927247634069431</v>
      </c>
      <c r="BO232" s="67">
        <f t="shared" si="1574"/>
        <v>129.6658965701084</v>
      </c>
      <c r="BP232" s="67">
        <f t="shared" si="1574"/>
        <v>52.026753670473084</v>
      </c>
      <c r="BQ232" s="67">
        <f t="shared" si="1574"/>
        <v>57.663267520069425</v>
      </c>
      <c r="BR232" s="67">
        <f t="shared" si="1574"/>
        <v>56.363388722418946</v>
      </c>
      <c r="BS232" s="67">
        <f t="shared" si="1574"/>
        <v>50.266626176738541</v>
      </c>
      <c r="BT232" s="67">
        <f t="shared" si="1574"/>
        <v>35.303331252482842</v>
      </c>
      <c r="BU232" s="67">
        <f t="shared" si="1574"/>
        <v>52.988074957410568</v>
      </c>
      <c r="BV232" s="67">
        <f t="shared" si="1574"/>
        <v>48.08134191176471</v>
      </c>
      <c r="BW232" s="67">
        <f t="shared" si="1574"/>
        <v>49.123562094060546</v>
      </c>
      <c r="BX232" s="67">
        <f t="shared" si="1574"/>
        <v>46.59035341186933</v>
      </c>
      <c r="BY232" s="67">
        <f t="shared" si="1574"/>
        <v>49.115832226821851</v>
      </c>
      <c r="BZ232" s="67">
        <f t="shared" si="1574"/>
        <v>49.457609655578452</v>
      </c>
      <c r="CA232" s="67">
        <f t="shared" si="1574"/>
        <v>49.82059455852918</v>
      </c>
      <c r="CB232" s="67">
        <f t="shared" si="1574"/>
        <v>66.593918918918916</v>
      </c>
      <c r="CC232" s="67">
        <f t="shared" si="1574"/>
        <v>73.147543416951166</v>
      </c>
      <c r="CD232" s="67">
        <f t="shared" si="1574"/>
        <v>35.066450567260937</v>
      </c>
      <c r="CE232" s="114">
        <f t="shared" si="1574"/>
        <v>34.471990312918244</v>
      </c>
      <c r="CF232" s="67">
        <f t="shared" ref="CF232:CG232" si="1575">CF233-CF231-CF230</f>
        <v>30.690121786197565</v>
      </c>
      <c r="CG232" s="67">
        <f t="shared" si="1575"/>
        <v>32.806171648987458</v>
      </c>
      <c r="CH232" s="67">
        <f t="shared" ref="CH232" si="1576">CH233-CH231-CH230</f>
        <v>37.931181876469324</v>
      </c>
      <c r="CI232" s="67">
        <f>CH232</f>
        <v>37.931181876469324</v>
      </c>
      <c r="CJ232" s="67">
        <f t="shared" ref="CJ232:CL232" si="1577">CJ233-CJ231-CJ230</f>
        <v>28.61312520205054</v>
      </c>
      <c r="CK232" s="67">
        <f t="shared" ref="CK232:DB232" si="1578">CJ232</f>
        <v>28.61312520205054</v>
      </c>
      <c r="CL232" s="67">
        <f t="shared" si="1577"/>
        <v>42.028131279303409</v>
      </c>
      <c r="CM232" s="30">
        <f t="shared" si="1578"/>
        <v>42.028131279303409</v>
      </c>
      <c r="CN232" s="30">
        <f t="shared" si="1578"/>
        <v>42.028131279303409</v>
      </c>
      <c r="CO232" s="30">
        <f t="shared" si="1578"/>
        <v>42.028131279303409</v>
      </c>
      <c r="CP232" s="30">
        <f t="shared" si="1578"/>
        <v>42.028131279303409</v>
      </c>
      <c r="CQ232" s="30">
        <f t="shared" si="1578"/>
        <v>42.028131279303409</v>
      </c>
      <c r="CR232" s="30">
        <f t="shared" si="1578"/>
        <v>42.028131279303409</v>
      </c>
      <c r="CS232" s="30">
        <f t="shared" si="1578"/>
        <v>42.028131279303409</v>
      </c>
      <c r="CT232" s="30">
        <f t="shared" si="1578"/>
        <v>42.028131279303409</v>
      </c>
      <c r="CU232" s="30">
        <f t="shared" si="1578"/>
        <v>42.028131279303409</v>
      </c>
      <c r="CV232" s="30">
        <f t="shared" si="1578"/>
        <v>42.028131279303409</v>
      </c>
      <c r="CW232" s="30">
        <f t="shared" si="1578"/>
        <v>42.028131279303409</v>
      </c>
      <c r="CX232" s="30">
        <f t="shared" si="1578"/>
        <v>42.028131279303409</v>
      </c>
      <c r="CY232" s="30">
        <f t="shared" si="1578"/>
        <v>42.028131279303409</v>
      </c>
      <c r="CZ232" s="30">
        <f t="shared" si="1578"/>
        <v>42.028131279303409</v>
      </c>
      <c r="DA232" s="30">
        <f t="shared" si="1578"/>
        <v>42.028131279303409</v>
      </c>
      <c r="DB232" s="30">
        <f t="shared" si="1578"/>
        <v>42.028131279303409</v>
      </c>
      <c r="DE232" s="139"/>
      <c r="DF232" s="62">
        <v>28.61312520205054</v>
      </c>
    </row>
    <row r="233" spans="1:110" s="7" customFormat="1" outlineLevel="1" x14ac:dyDescent="0.2">
      <c r="A233" s="69" t="s">
        <v>467</v>
      </c>
      <c r="B233" s="70" t="e">
        <f t="shared" ref="B233:AE233" si="1579">B195/B41*365</f>
        <v>#DIV/0!</v>
      </c>
      <c r="C233" s="70" t="e">
        <f t="shared" si="1579"/>
        <v>#DIV/0!</v>
      </c>
      <c r="D233" s="70" t="e">
        <f t="shared" si="1579"/>
        <v>#DIV/0!</v>
      </c>
      <c r="E233" s="70" t="e">
        <f t="shared" si="1579"/>
        <v>#DIV/0!</v>
      </c>
      <c r="F233" s="70" t="e">
        <f t="shared" si="1579"/>
        <v>#DIV/0!</v>
      </c>
      <c r="G233" s="70" t="e">
        <f t="shared" si="1579"/>
        <v>#DIV/0!</v>
      </c>
      <c r="H233" s="70">
        <f t="shared" si="1579"/>
        <v>396.37614366524036</v>
      </c>
      <c r="I233" s="70">
        <f t="shared" si="1579"/>
        <v>487.92559453359058</v>
      </c>
      <c r="J233" s="70">
        <f t="shared" si="1579"/>
        <v>429.71981642769697</v>
      </c>
      <c r="K233" s="70">
        <f t="shared" si="1579"/>
        <v>303.75910658810341</v>
      </c>
      <c r="L233" s="70">
        <f t="shared" si="1579"/>
        <v>95.537982405445334</v>
      </c>
      <c r="M233" s="70">
        <f t="shared" si="1579"/>
        <v>114.25240199493931</v>
      </c>
      <c r="N233" s="70">
        <f t="shared" si="1579"/>
        <v>44.348284311899953</v>
      </c>
      <c r="O233" s="70">
        <f t="shared" si="1579"/>
        <v>51.255950872794678</v>
      </c>
      <c r="P233" s="70">
        <f t="shared" si="1579"/>
        <v>71.412783261732201</v>
      </c>
      <c r="Q233" s="70">
        <f t="shared" si="1579"/>
        <v>65.256634780984797</v>
      </c>
      <c r="R233" s="70">
        <f t="shared" si="1579"/>
        <v>50.32754355475101</v>
      </c>
      <c r="S233" s="70">
        <f t="shared" si="1579"/>
        <v>44.108947013920073</v>
      </c>
      <c r="T233" s="70">
        <f t="shared" si="1579"/>
        <v>62.426224218808166</v>
      </c>
      <c r="U233" s="70">
        <f t="shared" si="1579"/>
        <v>78.638143047943629</v>
      </c>
      <c r="V233" s="70">
        <f t="shared" si="1579"/>
        <v>101.47416198293639</v>
      </c>
      <c r="W233" s="70">
        <f t="shared" si="1579"/>
        <v>247.85611180925855</v>
      </c>
      <c r="X233" s="70">
        <f t="shared" si="1579"/>
        <v>202.80241897203183</v>
      </c>
      <c r="Y233" s="70">
        <f t="shared" si="1579"/>
        <v>75.549153668601804</v>
      </c>
      <c r="Z233" s="70">
        <f t="shared" si="1579"/>
        <v>108.68487670037098</v>
      </c>
      <c r="AA233" s="70">
        <f t="shared" ref="AA233" si="1580">AA195/AA41*365</f>
        <v>98.087366110199739</v>
      </c>
      <c r="AB233" s="71">
        <f t="shared" si="1579"/>
        <v>100.22118010464395</v>
      </c>
      <c r="AC233" s="71">
        <f t="shared" si="1579"/>
        <v>100.28609004880778</v>
      </c>
      <c r="AD233" s="71">
        <f t="shared" si="1579"/>
        <v>100.34132280066463</v>
      </c>
      <c r="AE233" s="71">
        <f t="shared" si="1579"/>
        <v>100.3882085627075</v>
      </c>
      <c r="AI233" s="70" t="e">
        <f t="shared" ref="AI233:CD233" si="1581">AI195/AI41*90</f>
        <v>#DIV/0!</v>
      </c>
      <c r="AJ233" s="70" t="e">
        <f t="shared" si="1581"/>
        <v>#DIV/0!</v>
      </c>
      <c r="AK233" s="70" t="e">
        <f t="shared" si="1581"/>
        <v>#DIV/0!</v>
      </c>
      <c r="AL233" s="70" t="e">
        <f t="shared" si="1581"/>
        <v>#DIV/0!</v>
      </c>
      <c r="AM233" s="70" t="e">
        <f t="shared" si="1581"/>
        <v>#DIV/0!</v>
      </c>
      <c r="AN233" s="70" t="e">
        <f t="shared" si="1581"/>
        <v>#DIV/0!</v>
      </c>
      <c r="AO233" s="70" t="e">
        <f t="shared" si="1581"/>
        <v>#DIV/0!</v>
      </c>
      <c r="AP233" s="70" t="e">
        <f t="shared" si="1581"/>
        <v>#DIV/0!</v>
      </c>
      <c r="AQ233" s="70" t="e">
        <f t="shared" si="1581"/>
        <v>#DIV/0!</v>
      </c>
      <c r="AR233" s="70" t="e">
        <f t="shared" si="1581"/>
        <v>#DIV/0!</v>
      </c>
      <c r="AS233" s="70" t="e">
        <f t="shared" si="1581"/>
        <v>#DIV/0!</v>
      </c>
      <c r="AT233" s="70" t="e">
        <f t="shared" si="1581"/>
        <v>#DIV/0!</v>
      </c>
      <c r="AU233" s="70" t="e">
        <f t="shared" si="1581"/>
        <v>#DIV/0!</v>
      </c>
      <c r="AV233" s="70">
        <f t="shared" si="1581"/>
        <v>0</v>
      </c>
      <c r="AW233" s="70">
        <f t="shared" si="1581"/>
        <v>0</v>
      </c>
      <c r="AX233" s="70">
        <f t="shared" si="1581"/>
        <v>59.600184459303662</v>
      </c>
      <c r="AY233" s="70">
        <f t="shared" si="1581"/>
        <v>57.75418855791856</v>
      </c>
      <c r="AZ233" s="70">
        <f t="shared" si="1581"/>
        <v>63.428878538158372</v>
      </c>
      <c r="BA233" s="70">
        <f t="shared" si="1581"/>
        <v>67.623864835167268</v>
      </c>
      <c r="BB233" s="70">
        <f t="shared" si="1581"/>
        <v>43.360461912851825</v>
      </c>
      <c r="BC233" s="70">
        <f t="shared" si="1581"/>
        <v>43.199757159043962</v>
      </c>
      <c r="BD233" s="70">
        <f t="shared" si="1581"/>
        <v>41.445431414421371</v>
      </c>
      <c r="BE233" s="70">
        <f t="shared" si="1581"/>
        <v>42.265684784435955</v>
      </c>
      <c r="BF233" s="70">
        <f t="shared" si="1581"/>
        <v>58.715083798882688</v>
      </c>
      <c r="BG233" s="70">
        <f t="shared" si="1581"/>
        <v>58.545221302464753</v>
      </c>
      <c r="BH233" s="70">
        <f t="shared" si="1581"/>
        <v>65.79322294955719</v>
      </c>
      <c r="BI233" s="70">
        <f t="shared" si="1581"/>
        <v>68.59388642070968</v>
      </c>
      <c r="BJ233" s="70">
        <f t="shared" si="1581"/>
        <v>58.735675726868074</v>
      </c>
      <c r="BK233" s="70">
        <f t="shared" si="1581"/>
        <v>57.492109686927783</v>
      </c>
      <c r="BL233" s="70">
        <f t="shared" si="1581"/>
        <v>82.241913282863038</v>
      </c>
      <c r="BM233" s="70">
        <f t="shared" si="1581"/>
        <v>87.351667999563062</v>
      </c>
      <c r="BN233" s="70">
        <f t="shared" si="1581"/>
        <v>104.91423501577289</v>
      </c>
      <c r="BO233" s="70">
        <f t="shared" si="1581"/>
        <v>162.65288395181187</v>
      </c>
      <c r="BP233" s="70">
        <f t="shared" si="1581"/>
        <v>90.229037520391515</v>
      </c>
      <c r="BQ233" s="70">
        <f t="shared" si="1581"/>
        <v>95.865551369987855</v>
      </c>
      <c r="BR233" s="70">
        <f t="shared" si="1581"/>
        <v>98.065922092072995</v>
      </c>
      <c r="BS233" s="70">
        <f t="shared" si="1581"/>
        <v>91.969159546392589</v>
      </c>
      <c r="BT233" s="70">
        <f t="shared" si="1581"/>
        <v>102.26831621360877</v>
      </c>
      <c r="BU233" s="70">
        <f t="shared" si="1581"/>
        <v>119.9530599185365</v>
      </c>
      <c r="BV233" s="70">
        <f t="shared" si="1581"/>
        <v>129.23713235294119</v>
      </c>
      <c r="BW233" s="70">
        <f t="shared" si="1581"/>
        <v>130.27935253523702</v>
      </c>
      <c r="BX233" s="70">
        <f t="shared" si="1581"/>
        <v>124.22093798621918</v>
      </c>
      <c r="BY233" s="70">
        <f t="shared" si="1581"/>
        <v>126.7464168011717</v>
      </c>
      <c r="BZ233" s="70">
        <f t="shared" si="1581"/>
        <v>124.16396820724169</v>
      </c>
      <c r="CA233" s="70">
        <f t="shared" si="1581"/>
        <v>124.52695311019242</v>
      </c>
      <c r="CB233" s="70">
        <f t="shared" si="1581"/>
        <v>119.88851351351352</v>
      </c>
      <c r="CC233" s="70">
        <f t="shared" si="1581"/>
        <v>126.44213801154577</v>
      </c>
      <c r="CD233" s="70">
        <f t="shared" si="1581"/>
        <v>88.156239870340357</v>
      </c>
      <c r="CE233" s="115">
        <f>CE195/CE43*90</f>
        <v>87.561779615997665</v>
      </c>
      <c r="CF233" s="70">
        <f>CF195/CF41*90</f>
        <v>77.374830852503379</v>
      </c>
      <c r="CG233" s="70">
        <f>CG195/CG43*90</f>
        <v>79.490880715293272</v>
      </c>
      <c r="CH233" s="70">
        <f>CH195/CH41*90</f>
        <v>95.414618508228244</v>
      </c>
      <c r="CI233" s="70">
        <f>CI230+CI231+CI232</f>
        <v>95.414618508228244</v>
      </c>
      <c r="CJ233" s="70">
        <f>CJ195/CJ41*90</f>
        <v>75.751627949937657</v>
      </c>
      <c r="CK233" s="70">
        <f t="shared" ref="CK233:DB233" si="1582">CK230+CK231+CK232</f>
        <v>75.751627949937671</v>
      </c>
      <c r="CL233" s="70">
        <f>CL195/CL41*90</f>
        <v>91.193569993302077</v>
      </c>
      <c r="CM233" s="50">
        <f t="shared" si="1582"/>
        <v>91.193569993302077</v>
      </c>
      <c r="CN233" s="50">
        <f t="shared" si="1582"/>
        <v>91.193569993302077</v>
      </c>
      <c r="CO233" s="50">
        <f t="shared" si="1582"/>
        <v>91.193569993302077</v>
      </c>
      <c r="CP233" s="50">
        <f t="shared" si="1582"/>
        <v>91.193569993302077</v>
      </c>
      <c r="CQ233" s="50">
        <f t="shared" si="1582"/>
        <v>91.193569993302077</v>
      </c>
      <c r="CR233" s="50">
        <f t="shared" si="1582"/>
        <v>91.193569993302077</v>
      </c>
      <c r="CS233" s="50">
        <f t="shared" si="1582"/>
        <v>91.193569993302077</v>
      </c>
      <c r="CT233" s="50">
        <f t="shared" si="1582"/>
        <v>91.193569993302077</v>
      </c>
      <c r="CU233" s="50">
        <f t="shared" si="1582"/>
        <v>91.193569993302077</v>
      </c>
      <c r="CV233" s="50">
        <f t="shared" si="1582"/>
        <v>91.193569993302077</v>
      </c>
      <c r="CW233" s="50">
        <f t="shared" si="1582"/>
        <v>91.193569993302077</v>
      </c>
      <c r="CX233" s="50">
        <f t="shared" si="1582"/>
        <v>91.193569993302077</v>
      </c>
      <c r="CY233" s="50">
        <f t="shared" si="1582"/>
        <v>91.193569993302077</v>
      </c>
      <c r="CZ233" s="50">
        <f t="shared" si="1582"/>
        <v>91.193569993302077</v>
      </c>
      <c r="DA233" s="50">
        <f t="shared" si="1582"/>
        <v>91.193569993302077</v>
      </c>
      <c r="DB233" s="50">
        <f t="shared" si="1582"/>
        <v>91.193569993302077</v>
      </c>
      <c r="DE233" s="138"/>
      <c r="DF233" s="7">
        <v>75.751627949937671</v>
      </c>
    </row>
    <row r="234" spans="1:110" s="62" customFormat="1" outlineLevel="1" x14ac:dyDescent="0.2">
      <c r="A234" s="68" t="s">
        <v>468</v>
      </c>
      <c r="B234" s="67" t="e">
        <f t="shared" ref="B234:AE234" si="1583">B196/B41*365</f>
        <v>#DIV/0!</v>
      </c>
      <c r="C234" s="67" t="e">
        <f t="shared" si="1583"/>
        <v>#DIV/0!</v>
      </c>
      <c r="D234" s="67" t="e">
        <f t="shared" si="1583"/>
        <v>#DIV/0!</v>
      </c>
      <c r="E234" s="67" t="e">
        <f t="shared" si="1583"/>
        <v>#DIV/0!</v>
      </c>
      <c r="F234" s="67" t="e">
        <f t="shared" si="1583"/>
        <v>#DIV/0!</v>
      </c>
      <c r="G234" s="67" t="e">
        <f t="shared" si="1583"/>
        <v>#DIV/0!</v>
      </c>
      <c r="H234" s="67">
        <f t="shared" si="1583"/>
        <v>35.416858429241287</v>
      </c>
      <c r="I234" s="67">
        <f t="shared" si="1583"/>
        <v>24.456271232160372</v>
      </c>
      <c r="J234" s="67">
        <f t="shared" si="1583"/>
        <v>31.826556226872555</v>
      </c>
      <c r="K234" s="67">
        <f t="shared" si="1583"/>
        <v>20.556406066417626</v>
      </c>
      <c r="L234" s="67">
        <f t="shared" si="1583"/>
        <v>16.589417581711942</v>
      </c>
      <c r="M234" s="67">
        <f t="shared" si="1583"/>
        <v>1.8605376068062638</v>
      </c>
      <c r="N234" s="67">
        <f t="shared" si="1583"/>
        <v>0.5600286010084834</v>
      </c>
      <c r="O234" s="67">
        <f t="shared" si="1583"/>
        <v>3.6846070757044362</v>
      </c>
      <c r="P234" s="67">
        <f t="shared" si="1583"/>
        <v>1.6658194776943342</v>
      </c>
      <c r="Q234" s="67">
        <f t="shared" si="1583"/>
        <v>3.0658394372626727</v>
      </c>
      <c r="R234" s="67">
        <f t="shared" si="1583"/>
        <v>1.554074254156715</v>
      </c>
      <c r="S234" s="67">
        <f t="shared" si="1583"/>
        <v>6.7505332285585995</v>
      </c>
      <c r="T234" s="67">
        <f t="shared" si="1583"/>
        <v>6.8033804075351805</v>
      </c>
      <c r="U234" s="67">
        <f t="shared" si="1583"/>
        <v>18.373555013125777</v>
      </c>
      <c r="V234" s="67">
        <f t="shared" si="1583"/>
        <v>18.455885326108934</v>
      </c>
      <c r="W234" s="67">
        <f t="shared" si="1583"/>
        <v>10.245983765241315</v>
      </c>
      <c r="X234" s="67">
        <f t="shared" si="1583"/>
        <v>16.625875785596293</v>
      </c>
      <c r="Y234" s="67">
        <f t="shared" si="1583"/>
        <v>25.600038469609007</v>
      </c>
      <c r="Z234" s="67">
        <f t="shared" si="1583"/>
        <v>40.469411507965368</v>
      </c>
      <c r="AA234" s="67">
        <f t="shared" ref="AA234" si="1584">AA196/AA41*365</f>
        <v>28.780336292579371</v>
      </c>
      <c r="AB234" s="18">
        <f t="shared" si="1583"/>
        <v>28.871225733476894</v>
      </c>
      <c r="AC234" s="18">
        <f t="shared" si="1583"/>
        <v>28.889924671648895</v>
      </c>
      <c r="AD234" s="18">
        <f t="shared" si="1583"/>
        <v>28.90583585175148</v>
      </c>
      <c r="AE234" s="18">
        <f t="shared" si="1583"/>
        <v>28.919342471990969</v>
      </c>
      <c r="AI234" s="67" t="e">
        <f>AJ196/AI41*90</f>
        <v>#DIV/0!</v>
      </c>
      <c r="AJ234" s="67" t="e">
        <f>AJ196/AJ41*90</f>
        <v>#DIV/0!</v>
      </c>
      <c r="AK234" s="67" t="e">
        <f t="shared" ref="AK234:CE234" si="1585">+AJ234</f>
        <v>#DIV/0!</v>
      </c>
      <c r="AL234" s="67" t="e">
        <f>AL196/AL41*90</f>
        <v>#DIV/0!</v>
      </c>
      <c r="AM234" s="67" t="e">
        <f t="shared" ref="AM234" si="1586">+AL234</f>
        <v>#DIV/0!</v>
      </c>
      <c r="AN234" s="67" t="e">
        <f>AN196/AN41*90</f>
        <v>#DIV/0!</v>
      </c>
      <c r="AO234" s="67" t="e">
        <f t="shared" ref="AO234" si="1587">+AN234</f>
        <v>#DIV/0!</v>
      </c>
      <c r="AP234" s="67" t="e">
        <f>AP196/AP41*90</f>
        <v>#DIV/0!</v>
      </c>
      <c r="AQ234" s="67" t="e">
        <f t="shared" ref="AQ234" si="1588">+AP234</f>
        <v>#DIV/0!</v>
      </c>
      <c r="AR234" s="67" t="e">
        <f>AR196/AR41*90</f>
        <v>#DIV/0!</v>
      </c>
      <c r="AS234" s="67" t="e">
        <f t="shared" ref="AS234" si="1589">+AR234</f>
        <v>#DIV/0!</v>
      </c>
      <c r="AT234" s="67" t="e">
        <f>AT196/AT41*90</f>
        <v>#DIV/0!</v>
      </c>
      <c r="AU234" s="67" t="e">
        <f t="shared" ref="AU234" si="1590">+AT234</f>
        <v>#DIV/0!</v>
      </c>
      <c r="AV234" s="67">
        <f>AV196/AV41*90</f>
        <v>0</v>
      </c>
      <c r="AW234" s="67">
        <f t="shared" ref="AW234" si="1591">+AV234</f>
        <v>0</v>
      </c>
      <c r="AX234" s="67">
        <f>AX196/AX41*90</f>
        <v>2.8000922296518329</v>
      </c>
      <c r="AY234" s="67">
        <f t="shared" ref="AY234" si="1592">+AX234</f>
        <v>2.8000922296518329</v>
      </c>
      <c r="AZ234" s="67">
        <f>AZ196/AZ41*90</f>
        <v>1.037646516865435</v>
      </c>
      <c r="BA234" s="67">
        <f t="shared" ref="BA234" si="1593">+AZ234</f>
        <v>1.037646516865435</v>
      </c>
      <c r="BB234" s="67">
        <f>BB196/BB41*90</f>
        <v>1.3389044492400937</v>
      </c>
      <c r="BC234" s="67">
        <f t="shared" ref="BC234" si="1594">+BB234</f>
        <v>1.3389044492400937</v>
      </c>
      <c r="BD234" s="67">
        <f>BD196/BD41*90</f>
        <v>5.3834794856649557</v>
      </c>
      <c r="BE234" s="67">
        <f t="shared" ref="BE234" si="1595">+BD234</f>
        <v>5.3834794856649557</v>
      </c>
      <c r="BF234" s="67">
        <f>BF196/BF41*90</f>
        <v>6.1359404096834265</v>
      </c>
      <c r="BG234" s="67">
        <f t="shared" ref="BG234" si="1596">+BF234</f>
        <v>6.1359404096834265</v>
      </c>
      <c r="BH234" s="67">
        <f>BH196/BH41*90</f>
        <v>1.2475933769734309</v>
      </c>
      <c r="BI234" s="67">
        <f t="shared" ref="BI234" si="1597">+BH234</f>
        <v>1.2475933769734309</v>
      </c>
      <c r="BJ234" s="67">
        <f>BJ196/BJ41*90</f>
        <v>6.4011743536319727</v>
      </c>
      <c r="BK234" s="67">
        <f t="shared" ref="BK234" si="1598">+BJ234</f>
        <v>6.4011743536319727</v>
      </c>
      <c r="BL234" s="67">
        <f>BL196/BL41*90</f>
        <v>6.6354094975911906</v>
      </c>
      <c r="BM234" s="67">
        <f t="shared" ref="BM234" si="1599">+BL234</f>
        <v>6.6354094975911906</v>
      </c>
      <c r="BN234" s="67">
        <f>BN196/BN41*90</f>
        <v>19.394716088328074</v>
      </c>
      <c r="BO234" s="67">
        <f t="shared" ref="BO234" si="1600">+BN234</f>
        <v>19.394716088328074</v>
      </c>
      <c r="BP234" s="67">
        <f>BP196/BP41*90</f>
        <v>12.52659053833605</v>
      </c>
      <c r="BQ234" s="67">
        <f t="shared" ref="BQ234" si="1601">+BP234</f>
        <v>12.52659053833605</v>
      </c>
      <c r="BR234" s="67">
        <f>BR196/BR41*90</f>
        <v>15.328929447017163</v>
      </c>
      <c r="BS234" s="67">
        <f t="shared" ref="BS234" si="1602">+BR234</f>
        <v>15.328929447017163</v>
      </c>
      <c r="BT234" s="67">
        <f>BT196/BT41*90</f>
        <v>9.1986833891379618</v>
      </c>
      <c r="BU234" s="67">
        <f t="shared" ref="BU234" si="1603">+BT234</f>
        <v>9.1986833891379618</v>
      </c>
      <c r="BV234" s="67">
        <f>BV196/BV41*90</f>
        <v>11.394761029411766</v>
      </c>
      <c r="BW234" s="67">
        <f t="shared" ref="BW234" si="1604">+BV234</f>
        <v>11.394761029411766</v>
      </c>
      <c r="BX234" s="67">
        <f>BX196/BX41*90</f>
        <v>12.54278728606357</v>
      </c>
      <c r="BY234" s="67">
        <f t="shared" ref="BY234" si="1605">+BX234</f>
        <v>12.54278728606357</v>
      </c>
      <c r="BZ234" s="67">
        <f>BZ196/BZ41*90</f>
        <v>15.889755666764792</v>
      </c>
      <c r="CA234" s="67">
        <f t="shared" ref="CA234" si="1606">+BZ234</f>
        <v>15.889755666764792</v>
      </c>
      <c r="CB234" s="67">
        <f>CB196/CB41*90</f>
        <v>10.830405405405404</v>
      </c>
      <c r="CC234" s="67">
        <f t="shared" ref="CC234" si="1607">+CB234</f>
        <v>10.830405405405404</v>
      </c>
      <c r="CD234" s="67">
        <f>CD196/CD41*90</f>
        <v>23.402917341977307</v>
      </c>
      <c r="CE234" s="114">
        <f t="shared" si="1585"/>
        <v>23.402917341977307</v>
      </c>
      <c r="CF234" s="67">
        <f>CF196/CF41*90</f>
        <v>23.200270635994585</v>
      </c>
      <c r="CG234" s="67">
        <f t="shared" ref="CG234:CI234" si="1608">+CF234</f>
        <v>23.200270635994585</v>
      </c>
      <c r="CH234" s="67">
        <f>CH196/CH41*90</f>
        <v>36.64725368668519</v>
      </c>
      <c r="CI234" s="67">
        <f t="shared" si="1608"/>
        <v>36.64725368668519</v>
      </c>
      <c r="CJ234" s="67">
        <f>CJ196/CJ41*90</f>
        <v>27.436844779014461</v>
      </c>
      <c r="CK234" s="67">
        <f t="shared" ref="CK234" si="1609">+CJ234</f>
        <v>27.436844779014461</v>
      </c>
      <c r="CL234" s="67">
        <f>CL196/CL41*90</f>
        <v>26.270596115204292</v>
      </c>
      <c r="CM234" s="30">
        <f t="shared" ref="CM234" si="1610">+CL234</f>
        <v>26.270596115204292</v>
      </c>
      <c r="CN234" s="30">
        <f t="shared" ref="CN234" si="1611">+CM234</f>
        <v>26.270596115204292</v>
      </c>
      <c r="CO234" s="30">
        <f t="shared" ref="CO234" si="1612">+CN234</f>
        <v>26.270596115204292</v>
      </c>
      <c r="CP234" s="30">
        <f t="shared" ref="CP234" si="1613">+CO234</f>
        <v>26.270596115204292</v>
      </c>
      <c r="CQ234" s="30">
        <f t="shared" ref="CQ234" si="1614">+CP234</f>
        <v>26.270596115204292</v>
      </c>
      <c r="CR234" s="30">
        <f t="shared" ref="CR234" si="1615">+CQ234</f>
        <v>26.270596115204292</v>
      </c>
      <c r="CS234" s="30">
        <f t="shared" ref="CS234" si="1616">+CR234</f>
        <v>26.270596115204292</v>
      </c>
      <c r="CT234" s="30">
        <f t="shared" ref="CT234" si="1617">+CS234</f>
        <v>26.270596115204292</v>
      </c>
      <c r="CU234" s="30">
        <f t="shared" ref="CU234" si="1618">+CT234</f>
        <v>26.270596115204292</v>
      </c>
      <c r="CV234" s="30">
        <f t="shared" ref="CV234" si="1619">+CU234</f>
        <v>26.270596115204292</v>
      </c>
      <c r="CW234" s="30">
        <f t="shared" ref="CW234" si="1620">+CV234</f>
        <v>26.270596115204292</v>
      </c>
      <c r="CX234" s="30">
        <f t="shared" ref="CX234" si="1621">+CW234</f>
        <v>26.270596115204292</v>
      </c>
      <c r="CY234" s="30">
        <f t="shared" ref="CY234" si="1622">+CX234</f>
        <v>26.270596115204292</v>
      </c>
      <c r="CZ234" s="30">
        <f t="shared" ref="CZ234" si="1623">+CY234</f>
        <v>26.270596115204292</v>
      </c>
      <c r="DA234" s="30">
        <f t="shared" ref="DA234" si="1624">+CZ234</f>
        <v>26.270596115204292</v>
      </c>
      <c r="DB234" s="30">
        <f t="shared" ref="DB234" si="1625">+DA234</f>
        <v>26.270596115204292</v>
      </c>
      <c r="DE234" s="139"/>
      <c r="DF234" s="62">
        <v>27.436844779014461</v>
      </c>
    </row>
    <row r="235" spans="1:110" s="62" customFormat="1" outlineLevel="1" x14ac:dyDescent="0.2">
      <c r="A235" s="68" t="s">
        <v>466</v>
      </c>
      <c r="B235" s="67" t="e">
        <f>B236-B234</f>
        <v>#DIV/0!</v>
      </c>
      <c r="C235" s="67" t="e">
        <f t="shared" ref="C235:V235" si="1626">C236-C234</f>
        <v>#DIV/0!</v>
      </c>
      <c r="D235" s="67" t="e">
        <f t="shared" si="1626"/>
        <v>#DIV/0!</v>
      </c>
      <c r="E235" s="67" t="e">
        <f t="shared" si="1626"/>
        <v>#DIV/0!</v>
      </c>
      <c r="F235" s="67" t="e">
        <f t="shared" si="1626"/>
        <v>#DIV/0!</v>
      </c>
      <c r="G235" s="67" t="e">
        <f t="shared" si="1626"/>
        <v>#DIV/0!</v>
      </c>
      <c r="H235" s="67">
        <f t="shared" si="1626"/>
        <v>46.71503673563997</v>
      </c>
      <c r="I235" s="67">
        <f t="shared" si="1626"/>
        <v>260.92070542101357</v>
      </c>
      <c r="J235" s="67">
        <f t="shared" si="1626"/>
        <v>137.12142987951117</v>
      </c>
      <c r="K235" s="67">
        <f t="shared" si="1626"/>
        <v>167.4245214364654</v>
      </c>
      <c r="L235" s="67">
        <f t="shared" si="1626"/>
        <v>22.837988826815639</v>
      </c>
      <c r="M235" s="67">
        <f t="shared" si="1626"/>
        <v>30.267199017199015</v>
      </c>
      <c r="N235" s="67">
        <f t="shared" si="1626"/>
        <v>30.312227675944619</v>
      </c>
      <c r="O235" s="67">
        <f t="shared" si="1626"/>
        <v>30.043906439611142</v>
      </c>
      <c r="P235" s="67">
        <f t="shared" si="1626"/>
        <v>31.921889176750945</v>
      </c>
      <c r="Q235" s="67">
        <f t="shared" si="1626"/>
        <v>63.679787521009267</v>
      </c>
      <c r="R235" s="67">
        <f t="shared" si="1626"/>
        <v>25.750147016791125</v>
      </c>
      <c r="S235" s="67">
        <f t="shared" si="1626"/>
        <v>29.829366861248328</v>
      </c>
      <c r="T235" s="67">
        <f t="shared" si="1626"/>
        <v>26.805862351393614</v>
      </c>
      <c r="U235" s="67">
        <f t="shared" si="1626"/>
        <v>61.928798415695667</v>
      </c>
      <c r="V235" s="67">
        <f t="shared" si="1626"/>
        <v>65.765233916946329</v>
      </c>
      <c r="W235" s="67">
        <f t="shared" ref="W235" si="1627">W236-W234</f>
        <v>192.52284074313081</v>
      </c>
      <c r="X235" s="67">
        <f t="shared" ref="X235:Y235" si="1628">X236-X234</f>
        <v>147.67159701520876</v>
      </c>
      <c r="Y235" s="67">
        <f t="shared" si="1628"/>
        <v>34.816307616982584</v>
      </c>
      <c r="Z235" s="67">
        <f t="shared" ref="Z235:AA235" si="1629">Z236-Z234</f>
        <v>62.294536989888691</v>
      </c>
      <c r="AA235" s="67">
        <f t="shared" si="1629"/>
        <v>67.413876290649426</v>
      </c>
      <c r="AB235" s="18">
        <f t="shared" ref="AA235:AD235" si="1630">AB236-AB234</f>
        <v>42.324148111352159</v>
      </c>
      <c r="AC235" s="18">
        <f t="shared" si="1630"/>
        <v>42.351560062476864</v>
      </c>
      <c r="AD235" s="18">
        <f t="shared" si="1630"/>
        <v>42.374885263474752</v>
      </c>
      <c r="AE235" s="18">
        <f t="shared" ref="AE235" si="1631">AE236-AE234</f>
        <v>42.394685468730216</v>
      </c>
      <c r="AI235" s="67" t="e">
        <f t="shared" ref="AI235:AK235" si="1632">AI236-AI234</f>
        <v>#DIV/0!</v>
      </c>
      <c r="AJ235" s="67" t="e">
        <f t="shared" ref="AJ235:AM235" si="1633">AJ236-AJ234</f>
        <v>#DIV/0!</v>
      </c>
      <c r="AK235" s="67" t="e">
        <f t="shared" si="1632"/>
        <v>#DIV/0!</v>
      </c>
      <c r="AL235" s="67" t="e">
        <f t="shared" si="1633"/>
        <v>#DIV/0!</v>
      </c>
      <c r="AM235" s="67" t="e">
        <f t="shared" si="1633"/>
        <v>#DIV/0!</v>
      </c>
      <c r="AN235" s="67" t="e">
        <f t="shared" ref="AN235:AY235" si="1634">AN236-AN234</f>
        <v>#DIV/0!</v>
      </c>
      <c r="AO235" s="67" t="e">
        <f t="shared" si="1634"/>
        <v>#DIV/0!</v>
      </c>
      <c r="AP235" s="67" t="e">
        <f t="shared" si="1634"/>
        <v>#DIV/0!</v>
      </c>
      <c r="AQ235" s="67" t="e">
        <f t="shared" si="1634"/>
        <v>#DIV/0!</v>
      </c>
      <c r="AR235" s="67" t="e">
        <f t="shared" si="1634"/>
        <v>#DIV/0!</v>
      </c>
      <c r="AS235" s="67" t="e">
        <f t="shared" si="1634"/>
        <v>#DIV/0!</v>
      </c>
      <c r="AT235" s="67" t="e">
        <f t="shared" si="1634"/>
        <v>#DIV/0!</v>
      </c>
      <c r="AU235" s="67" t="e">
        <f t="shared" si="1634"/>
        <v>#DIV/0!</v>
      </c>
      <c r="AV235" s="67">
        <f t="shared" si="1634"/>
        <v>0</v>
      </c>
      <c r="AW235" s="67">
        <f t="shared" si="1634"/>
        <v>0</v>
      </c>
      <c r="AX235" s="67">
        <f t="shared" si="1634"/>
        <v>58.160018445930362</v>
      </c>
      <c r="AY235" s="67">
        <f t="shared" si="1634"/>
        <v>55.038184595243287</v>
      </c>
      <c r="AZ235" s="67">
        <f t="shared" ref="AZ235:BC235" si="1635">AZ236-AZ234</f>
        <v>42.966166760505708</v>
      </c>
      <c r="BA235" s="67">
        <f t="shared" si="1635"/>
        <v>47.709795674784729</v>
      </c>
      <c r="BB235" s="67">
        <f t="shared" si="1635"/>
        <v>29.674916203682443</v>
      </c>
      <c r="BC235" s="67">
        <f t="shared" si="1635"/>
        <v>29.457155879671831</v>
      </c>
      <c r="BD235" s="67">
        <f t="shared" ref="BD235:CE235" si="1636">BD236-BD234</f>
        <v>20.216161570266706</v>
      </c>
      <c r="BE235" s="67">
        <f t="shared" si="1636"/>
        <v>21.220341003934656</v>
      </c>
      <c r="BF235" s="67">
        <f t="shared" si="1636"/>
        <v>27.113594040968344</v>
      </c>
      <c r="BG235" s="67">
        <f t="shared" si="1636"/>
        <v>26.976839938239834</v>
      </c>
      <c r="BH235" s="67">
        <f t="shared" si="1636"/>
        <v>24.120138621486333</v>
      </c>
      <c r="BI235" s="67">
        <f t="shared" si="1636"/>
        <v>26.021393706511574</v>
      </c>
      <c r="BJ235" s="67">
        <f t="shared" si="1636"/>
        <v>25.221138365375506</v>
      </c>
      <c r="BK235" s="67">
        <f t="shared" si="1636"/>
        <v>24.269570764604026</v>
      </c>
      <c r="BL235" s="67">
        <f t="shared" si="1636"/>
        <v>51.674122505161741</v>
      </c>
      <c r="BM235" s="67">
        <f t="shared" si="1636"/>
        <v>56.77852348993288</v>
      </c>
      <c r="BN235" s="67">
        <f t="shared" si="1636"/>
        <v>65.370662460567843</v>
      </c>
      <c r="BO235" s="67">
        <f t="shared" si="1636"/>
        <v>117.84609916474145</v>
      </c>
      <c r="BP235" s="67">
        <f t="shared" si="1636"/>
        <v>43.299836867862972</v>
      </c>
      <c r="BQ235" s="67">
        <f t="shared" si="1636"/>
        <v>47.990887394228672</v>
      </c>
      <c r="BR235" s="67">
        <f t="shared" si="1636"/>
        <v>54.62271860528466</v>
      </c>
      <c r="BS235" s="67">
        <f t="shared" si="1636"/>
        <v>48.714242332219854</v>
      </c>
      <c r="BT235" s="67">
        <f t="shared" si="1636"/>
        <v>41.44259690142443</v>
      </c>
      <c r="BU235" s="67">
        <f t="shared" si="1636"/>
        <v>62.202725724020432</v>
      </c>
      <c r="BV235" s="67">
        <f t="shared" si="1636"/>
        <v>44.090073529411761</v>
      </c>
      <c r="BW235" s="67">
        <f t="shared" si="1636"/>
        <v>45.045778229908436</v>
      </c>
      <c r="BX235" s="67">
        <f t="shared" si="1636"/>
        <v>39.108690820182261</v>
      </c>
      <c r="BY235" s="67">
        <f t="shared" si="1636"/>
        <v>41.228618292587669</v>
      </c>
      <c r="BZ235" s="67">
        <f t="shared" si="1636"/>
        <v>48.040182513982934</v>
      </c>
      <c r="CA235" s="67">
        <f t="shared" si="1636"/>
        <v>48.392764474757222</v>
      </c>
      <c r="CB235" s="67">
        <f t="shared" si="1636"/>
        <v>38.51148648648649</v>
      </c>
      <c r="CC235" s="67">
        <f t="shared" si="1636"/>
        <v>42.301469496808664</v>
      </c>
      <c r="CD235" s="67">
        <f t="shared" si="1636"/>
        <v>31.822366288492709</v>
      </c>
      <c r="CE235" s="114">
        <f t="shared" si="1636"/>
        <v>31.2829010260659</v>
      </c>
      <c r="CF235" s="67">
        <f t="shared" ref="CF235:CG235" si="1637">CF236-CF234</f>
        <v>31.755751014884979</v>
      </c>
      <c r="CG235" s="67">
        <f t="shared" si="1637"/>
        <v>33.945274831243978</v>
      </c>
      <c r="CH235" s="67">
        <f t="shared" ref="CH235" si="1638">CH236-CH234</f>
        <v>39.623851250267151</v>
      </c>
      <c r="CI235" s="67">
        <f>CH235</f>
        <v>39.623851250267151</v>
      </c>
      <c r="CJ235" s="67">
        <f t="shared" ref="CJ235:CL235" si="1639">CJ236-CJ234</f>
        <v>33.289151618713348</v>
      </c>
      <c r="CK235" s="67">
        <f t="shared" ref="CK235:DB235" si="1640">CJ235</f>
        <v>33.289151618713348</v>
      </c>
      <c r="CL235" s="67">
        <f t="shared" si="1639"/>
        <v>38.511721366376428</v>
      </c>
      <c r="CM235" s="30">
        <f t="shared" si="1640"/>
        <v>38.511721366376428</v>
      </c>
      <c r="CN235" s="30">
        <f t="shared" si="1640"/>
        <v>38.511721366376428</v>
      </c>
      <c r="CO235" s="30">
        <f t="shared" si="1640"/>
        <v>38.511721366376428</v>
      </c>
      <c r="CP235" s="30">
        <f t="shared" si="1640"/>
        <v>38.511721366376428</v>
      </c>
      <c r="CQ235" s="30">
        <f t="shared" si="1640"/>
        <v>38.511721366376428</v>
      </c>
      <c r="CR235" s="30">
        <f t="shared" si="1640"/>
        <v>38.511721366376428</v>
      </c>
      <c r="CS235" s="30">
        <f t="shared" si="1640"/>
        <v>38.511721366376428</v>
      </c>
      <c r="CT235" s="30">
        <f t="shared" si="1640"/>
        <v>38.511721366376428</v>
      </c>
      <c r="CU235" s="30">
        <f t="shared" si="1640"/>
        <v>38.511721366376428</v>
      </c>
      <c r="CV235" s="30">
        <f t="shared" si="1640"/>
        <v>38.511721366376428</v>
      </c>
      <c r="CW235" s="30">
        <f t="shared" si="1640"/>
        <v>38.511721366376428</v>
      </c>
      <c r="CX235" s="30">
        <f t="shared" si="1640"/>
        <v>38.511721366376428</v>
      </c>
      <c r="CY235" s="30">
        <f t="shared" si="1640"/>
        <v>38.511721366376428</v>
      </c>
      <c r="CZ235" s="30">
        <f t="shared" si="1640"/>
        <v>38.511721366376428</v>
      </c>
      <c r="DA235" s="30">
        <f t="shared" si="1640"/>
        <v>38.511721366376428</v>
      </c>
      <c r="DB235" s="30">
        <f t="shared" si="1640"/>
        <v>38.511721366376428</v>
      </c>
      <c r="DE235" s="139"/>
      <c r="DF235" s="62">
        <v>33.289151618713348</v>
      </c>
    </row>
    <row r="236" spans="1:110" s="7" customFormat="1" outlineLevel="1" x14ac:dyDescent="0.2">
      <c r="A236" s="69" t="s">
        <v>469</v>
      </c>
      <c r="B236" s="70" t="e">
        <f t="shared" ref="B236:AE236" si="1641">B207/B41*365</f>
        <v>#DIV/0!</v>
      </c>
      <c r="C236" s="70" t="e">
        <f t="shared" si="1641"/>
        <v>#DIV/0!</v>
      </c>
      <c r="D236" s="70" t="e">
        <f t="shared" si="1641"/>
        <v>#DIV/0!</v>
      </c>
      <c r="E236" s="70" t="e">
        <f t="shared" si="1641"/>
        <v>#DIV/0!</v>
      </c>
      <c r="F236" s="70" t="e">
        <f t="shared" si="1641"/>
        <v>#DIV/0!</v>
      </c>
      <c r="G236" s="70" t="e">
        <f t="shared" si="1641"/>
        <v>#DIV/0!</v>
      </c>
      <c r="H236" s="70">
        <f t="shared" si="1641"/>
        <v>82.131895164881257</v>
      </c>
      <c r="I236" s="70">
        <f t="shared" si="1641"/>
        <v>285.37697665317393</v>
      </c>
      <c r="J236" s="70">
        <f t="shared" si="1641"/>
        <v>168.94798610638372</v>
      </c>
      <c r="K236" s="70">
        <f t="shared" si="1641"/>
        <v>187.98092750288302</v>
      </c>
      <c r="L236" s="70">
        <f t="shared" si="1641"/>
        <v>39.427406408527581</v>
      </c>
      <c r="M236" s="70">
        <f t="shared" si="1641"/>
        <v>32.12773662400528</v>
      </c>
      <c r="N236" s="70">
        <f t="shared" si="1641"/>
        <v>30.872256276953102</v>
      </c>
      <c r="O236" s="70">
        <f t="shared" si="1641"/>
        <v>33.728513515315576</v>
      </c>
      <c r="P236" s="70">
        <f t="shared" si="1641"/>
        <v>33.587708654445279</v>
      </c>
      <c r="Q236" s="70">
        <f t="shared" si="1641"/>
        <v>66.745626958271941</v>
      </c>
      <c r="R236" s="70">
        <f t="shared" si="1641"/>
        <v>27.304221270947838</v>
      </c>
      <c r="S236" s="70">
        <f t="shared" si="1641"/>
        <v>36.579900089806927</v>
      </c>
      <c r="T236" s="70">
        <f t="shared" si="1641"/>
        <v>33.609242758928794</v>
      </c>
      <c r="U236" s="70">
        <f t="shared" si="1641"/>
        <v>80.302353428821448</v>
      </c>
      <c r="V236" s="70">
        <f t="shared" si="1641"/>
        <v>84.22111924305527</v>
      </c>
      <c r="W236" s="70">
        <f t="shared" si="1641"/>
        <v>202.76882450837212</v>
      </c>
      <c r="X236" s="70">
        <f t="shared" si="1641"/>
        <v>164.29747280080505</v>
      </c>
      <c r="Y236" s="70">
        <f t="shared" si="1641"/>
        <v>60.416346086591595</v>
      </c>
      <c r="Z236" s="70">
        <f t="shared" si="1641"/>
        <v>102.76394849785406</v>
      </c>
      <c r="AA236" s="70">
        <f t="shared" ref="AA236" si="1642">AA207/AA41*365</f>
        <v>96.19421258322879</v>
      </c>
      <c r="AB236" s="71">
        <f t="shared" si="1641"/>
        <v>71.195373844829049</v>
      </c>
      <c r="AC236" s="71">
        <f t="shared" si="1641"/>
        <v>71.241484734125763</v>
      </c>
      <c r="AD236" s="71">
        <f t="shared" si="1641"/>
        <v>71.280721115226228</v>
      </c>
      <c r="AE236" s="71">
        <f t="shared" si="1641"/>
        <v>71.314027940721189</v>
      </c>
      <c r="AI236" s="70" t="e">
        <f t="shared" ref="AI236:CD236" si="1643">AI207/AI41*90</f>
        <v>#DIV/0!</v>
      </c>
      <c r="AJ236" s="70" t="e">
        <f t="shared" si="1643"/>
        <v>#DIV/0!</v>
      </c>
      <c r="AK236" s="70" t="e">
        <f t="shared" si="1643"/>
        <v>#DIV/0!</v>
      </c>
      <c r="AL236" s="70" t="e">
        <f t="shared" si="1643"/>
        <v>#DIV/0!</v>
      </c>
      <c r="AM236" s="70" t="e">
        <f t="shared" si="1643"/>
        <v>#DIV/0!</v>
      </c>
      <c r="AN236" s="70" t="e">
        <f t="shared" si="1643"/>
        <v>#DIV/0!</v>
      </c>
      <c r="AO236" s="70" t="e">
        <f t="shared" si="1643"/>
        <v>#DIV/0!</v>
      </c>
      <c r="AP236" s="70" t="e">
        <f t="shared" si="1643"/>
        <v>#DIV/0!</v>
      </c>
      <c r="AQ236" s="70" t="e">
        <f t="shared" si="1643"/>
        <v>#DIV/0!</v>
      </c>
      <c r="AR236" s="70" t="e">
        <f t="shared" si="1643"/>
        <v>#DIV/0!</v>
      </c>
      <c r="AS236" s="70" t="e">
        <f t="shared" si="1643"/>
        <v>#DIV/0!</v>
      </c>
      <c r="AT236" s="70" t="e">
        <f t="shared" si="1643"/>
        <v>#DIV/0!</v>
      </c>
      <c r="AU236" s="70" t="e">
        <f t="shared" si="1643"/>
        <v>#DIV/0!</v>
      </c>
      <c r="AV236" s="70">
        <f t="shared" si="1643"/>
        <v>0</v>
      </c>
      <c r="AW236" s="70">
        <f t="shared" si="1643"/>
        <v>0</v>
      </c>
      <c r="AX236" s="70">
        <f t="shared" si="1643"/>
        <v>60.960110675582193</v>
      </c>
      <c r="AY236" s="70">
        <f t="shared" si="1643"/>
        <v>57.838276824895118</v>
      </c>
      <c r="AZ236" s="70">
        <f t="shared" si="1643"/>
        <v>44.003813277371144</v>
      </c>
      <c r="BA236" s="70">
        <f t="shared" si="1643"/>
        <v>48.747442191650165</v>
      </c>
      <c r="BB236" s="70">
        <f t="shared" si="1643"/>
        <v>31.013820652922536</v>
      </c>
      <c r="BC236" s="70">
        <f t="shared" si="1643"/>
        <v>30.796060328911924</v>
      </c>
      <c r="BD236" s="70">
        <f t="shared" si="1643"/>
        <v>25.599641055931663</v>
      </c>
      <c r="BE236" s="70">
        <f t="shared" si="1643"/>
        <v>26.603820489599613</v>
      </c>
      <c r="BF236" s="70">
        <f t="shared" si="1643"/>
        <v>33.249534450651772</v>
      </c>
      <c r="BG236" s="70">
        <f t="shared" si="1643"/>
        <v>33.112780347923263</v>
      </c>
      <c r="BH236" s="70">
        <f t="shared" si="1643"/>
        <v>25.367731998459764</v>
      </c>
      <c r="BI236" s="70">
        <f t="shared" si="1643"/>
        <v>27.268987083485005</v>
      </c>
      <c r="BJ236" s="70">
        <f t="shared" si="1643"/>
        <v>31.622312719007478</v>
      </c>
      <c r="BK236" s="70">
        <f t="shared" si="1643"/>
        <v>30.670745118235999</v>
      </c>
      <c r="BL236" s="70">
        <f t="shared" si="1643"/>
        <v>58.309532002752931</v>
      </c>
      <c r="BM236" s="70">
        <f t="shared" si="1643"/>
        <v>63.41393298752407</v>
      </c>
      <c r="BN236" s="70">
        <f t="shared" si="1643"/>
        <v>84.76537854889591</v>
      </c>
      <c r="BO236" s="70">
        <f t="shared" si="1643"/>
        <v>137.24081525306951</v>
      </c>
      <c r="BP236" s="70">
        <f t="shared" si="1643"/>
        <v>55.826427406199024</v>
      </c>
      <c r="BQ236" s="70">
        <f t="shared" si="1643"/>
        <v>60.517477932564724</v>
      </c>
      <c r="BR236" s="70">
        <f t="shared" si="1643"/>
        <v>69.95164805230182</v>
      </c>
      <c r="BS236" s="70">
        <f t="shared" si="1643"/>
        <v>64.043171779237014</v>
      </c>
      <c r="BT236" s="70">
        <f t="shared" si="1643"/>
        <v>50.641280290562392</v>
      </c>
      <c r="BU236" s="70">
        <f t="shared" si="1643"/>
        <v>71.401409113158394</v>
      </c>
      <c r="BV236" s="70">
        <f t="shared" si="1643"/>
        <v>55.484834558823529</v>
      </c>
      <c r="BW236" s="70">
        <f t="shared" si="1643"/>
        <v>56.440539259320204</v>
      </c>
      <c r="BX236" s="70">
        <f t="shared" si="1643"/>
        <v>51.651478106245833</v>
      </c>
      <c r="BY236" s="70">
        <f t="shared" si="1643"/>
        <v>53.77140557865124</v>
      </c>
      <c r="BZ236" s="70">
        <f t="shared" si="1643"/>
        <v>63.929938180747726</v>
      </c>
      <c r="CA236" s="70">
        <f t="shared" si="1643"/>
        <v>64.282520141522014</v>
      </c>
      <c r="CB236" s="70">
        <f t="shared" si="1643"/>
        <v>49.341891891891891</v>
      </c>
      <c r="CC236" s="70">
        <f t="shared" si="1643"/>
        <v>53.131874902214065</v>
      </c>
      <c r="CD236" s="70">
        <f t="shared" si="1643"/>
        <v>55.225283630470017</v>
      </c>
      <c r="CE236" s="115">
        <f>CE207/CE43*90</f>
        <v>54.685818368043208</v>
      </c>
      <c r="CF236" s="70">
        <f>CF207/CF41*90</f>
        <v>54.956021650879563</v>
      </c>
      <c r="CG236" s="70">
        <f>CG207/CG43*90</f>
        <v>57.145545467238563</v>
      </c>
      <c r="CH236" s="70">
        <f>CH207/CH41*90</f>
        <v>76.271104936952341</v>
      </c>
      <c r="CI236" s="70">
        <f>CI234+CI235</f>
        <v>76.271104936952341</v>
      </c>
      <c r="CJ236" s="70">
        <f>CJ207/CJ41*90</f>
        <v>60.725996397727805</v>
      </c>
      <c r="CK236" s="70">
        <f t="shared" ref="CK236:DB236" si="1644">CK234+CK235</f>
        <v>60.725996397727812</v>
      </c>
      <c r="CL236" s="70">
        <f>CL207/CL41*90</f>
        <v>64.782317481580719</v>
      </c>
      <c r="CM236" s="50">
        <f t="shared" si="1644"/>
        <v>64.782317481580719</v>
      </c>
      <c r="CN236" s="50">
        <f t="shared" si="1644"/>
        <v>64.782317481580719</v>
      </c>
      <c r="CO236" s="50">
        <f t="shared" si="1644"/>
        <v>64.782317481580719</v>
      </c>
      <c r="CP236" s="50">
        <f t="shared" si="1644"/>
        <v>64.782317481580719</v>
      </c>
      <c r="CQ236" s="50">
        <f t="shared" si="1644"/>
        <v>64.782317481580719</v>
      </c>
      <c r="CR236" s="50">
        <f t="shared" si="1644"/>
        <v>64.782317481580719</v>
      </c>
      <c r="CS236" s="50">
        <f t="shared" si="1644"/>
        <v>64.782317481580719</v>
      </c>
      <c r="CT236" s="50">
        <f t="shared" si="1644"/>
        <v>64.782317481580719</v>
      </c>
      <c r="CU236" s="50">
        <f t="shared" si="1644"/>
        <v>64.782317481580719</v>
      </c>
      <c r="CV236" s="50">
        <f t="shared" si="1644"/>
        <v>64.782317481580719</v>
      </c>
      <c r="CW236" s="50">
        <f t="shared" si="1644"/>
        <v>64.782317481580719</v>
      </c>
      <c r="CX236" s="50">
        <f t="shared" si="1644"/>
        <v>64.782317481580719</v>
      </c>
      <c r="CY236" s="50">
        <f t="shared" si="1644"/>
        <v>64.782317481580719</v>
      </c>
      <c r="CZ236" s="50">
        <f t="shared" si="1644"/>
        <v>64.782317481580719</v>
      </c>
      <c r="DA236" s="50">
        <f t="shared" si="1644"/>
        <v>64.782317481580719</v>
      </c>
      <c r="DB236" s="50">
        <f t="shared" si="1644"/>
        <v>64.782317481580719</v>
      </c>
      <c r="DE236" s="138"/>
      <c r="DF236" s="7">
        <v>60.725996397727812</v>
      </c>
    </row>
    <row r="237" spans="1:110" s="7" customFormat="1" x14ac:dyDescent="0.2">
      <c r="A237" s="69" t="s">
        <v>470</v>
      </c>
      <c r="B237" s="70" t="e">
        <f>B233-B236</f>
        <v>#DIV/0!</v>
      </c>
      <c r="C237" s="70" t="e">
        <f t="shared" ref="C237:V237" si="1645">C233-C236</f>
        <v>#DIV/0!</v>
      </c>
      <c r="D237" s="70" t="e">
        <f t="shared" si="1645"/>
        <v>#DIV/0!</v>
      </c>
      <c r="E237" s="70" t="e">
        <f t="shared" si="1645"/>
        <v>#DIV/0!</v>
      </c>
      <c r="F237" s="70" t="e">
        <f t="shared" si="1645"/>
        <v>#DIV/0!</v>
      </c>
      <c r="G237" s="70" t="e">
        <f t="shared" si="1645"/>
        <v>#DIV/0!</v>
      </c>
      <c r="H237" s="70">
        <f t="shared" si="1645"/>
        <v>314.24424850035911</v>
      </c>
      <c r="I237" s="70">
        <f t="shared" si="1645"/>
        <v>202.54861788041666</v>
      </c>
      <c r="J237" s="70">
        <f t="shared" si="1645"/>
        <v>260.77183032131325</v>
      </c>
      <c r="K237" s="70">
        <f t="shared" si="1645"/>
        <v>115.77817908522039</v>
      </c>
      <c r="L237" s="70">
        <f t="shared" si="1645"/>
        <v>56.110575996917753</v>
      </c>
      <c r="M237" s="70">
        <f t="shared" si="1645"/>
        <v>82.124665370934025</v>
      </c>
      <c r="N237" s="70">
        <f t="shared" si="1645"/>
        <v>13.47602803494685</v>
      </c>
      <c r="O237" s="70">
        <f t="shared" si="1645"/>
        <v>17.527437357479101</v>
      </c>
      <c r="P237" s="70">
        <f t="shared" si="1645"/>
        <v>37.825074607286922</v>
      </c>
      <c r="Q237" s="70">
        <f t="shared" si="1645"/>
        <v>-1.4889921772871446</v>
      </c>
      <c r="R237" s="70">
        <f t="shared" si="1645"/>
        <v>23.023322283803171</v>
      </c>
      <c r="S237" s="70">
        <f t="shared" si="1645"/>
        <v>7.5290469241131461</v>
      </c>
      <c r="T237" s="70">
        <f t="shared" si="1645"/>
        <v>28.816981459879372</v>
      </c>
      <c r="U237" s="70">
        <f t="shared" si="1645"/>
        <v>-1.6642103808778188</v>
      </c>
      <c r="V237" s="70">
        <f t="shared" si="1645"/>
        <v>17.253042739881124</v>
      </c>
      <c r="W237" s="70">
        <f t="shared" ref="W237" si="1646">W233-W236</f>
        <v>45.08728730088643</v>
      </c>
      <c r="X237" s="70">
        <f t="shared" ref="X237:Y237" si="1647">X233-X236</f>
        <v>38.504946171226777</v>
      </c>
      <c r="Y237" s="70">
        <f t="shared" si="1647"/>
        <v>15.132807582010209</v>
      </c>
      <c r="Z237" s="70">
        <f t="shared" ref="Z237:AA237" si="1648">Z233-Z236</f>
        <v>5.9209282025169188</v>
      </c>
      <c r="AA237" s="70">
        <f t="shared" si="1648"/>
        <v>1.8931535269709485</v>
      </c>
      <c r="AB237" s="71">
        <f t="shared" ref="AA237:AD237" si="1649">AB233-AB236</f>
        <v>29.0258062598149</v>
      </c>
      <c r="AC237" s="71">
        <f t="shared" si="1649"/>
        <v>29.044605314682016</v>
      </c>
      <c r="AD237" s="71">
        <f t="shared" si="1649"/>
        <v>29.060601685438399</v>
      </c>
      <c r="AE237" s="71">
        <f t="shared" ref="AE237" si="1650">AE233-AE236</f>
        <v>29.074180621986315</v>
      </c>
      <c r="AI237" s="70" t="e">
        <f t="shared" ref="AI237:AK237" si="1651">AI233-AI236</f>
        <v>#DIV/0!</v>
      </c>
      <c r="AJ237" s="70" t="e">
        <f t="shared" ref="AJ237:AM237" si="1652">AJ233-AJ236</f>
        <v>#DIV/0!</v>
      </c>
      <c r="AK237" s="70" t="e">
        <f t="shared" si="1651"/>
        <v>#DIV/0!</v>
      </c>
      <c r="AL237" s="70" t="e">
        <f t="shared" si="1652"/>
        <v>#DIV/0!</v>
      </c>
      <c r="AM237" s="70" t="e">
        <f t="shared" si="1652"/>
        <v>#DIV/0!</v>
      </c>
      <c r="AN237" s="70" t="e">
        <f t="shared" ref="AN237:AY237" si="1653">AN233-AN236</f>
        <v>#DIV/0!</v>
      </c>
      <c r="AO237" s="70" t="e">
        <f t="shared" si="1653"/>
        <v>#DIV/0!</v>
      </c>
      <c r="AP237" s="70" t="e">
        <f t="shared" si="1653"/>
        <v>#DIV/0!</v>
      </c>
      <c r="AQ237" s="70" t="e">
        <f t="shared" si="1653"/>
        <v>#DIV/0!</v>
      </c>
      <c r="AR237" s="70" t="e">
        <f t="shared" si="1653"/>
        <v>#DIV/0!</v>
      </c>
      <c r="AS237" s="70" t="e">
        <f t="shared" si="1653"/>
        <v>#DIV/0!</v>
      </c>
      <c r="AT237" s="70" t="e">
        <f t="shared" si="1653"/>
        <v>#DIV/0!</v>
      </c>
      <c r="AU237" s="70" t="e">
        <f t="shared" si="1653"/>
        <v>#DIV/0!</v>
      </c>
      <c r="AV237" s="70">
        <f t="shared" si="1653"/>
        <v>0</v>
      </c>
      <c r="AW237" s="70">
        <f t="shared" si="1653"/>
        <v>0</v>
      </c>
      <c r="AX237" s="70">
        <f t="shared" si="1653"/>
        <v>-1.3599262162785308</v>
      </c>
      <c r="AY237" s="70">
        <f t="shared" si="1653"/>
        <v>-8.4088266976557691E-2</v>
      </c>
      <c r="AZ237" s="70">
        <f t="shared" ref="AZ237:BC237" si="1654">AZ233-AZ236</f>
        <v>19.425065260787228</v>
      </c>
      <c r="BA237" s="70">
        <f t="shared" si="1654"/>
        <v>18.876422643517103</v>
      </c>
      <c r="BB237" s="70">
        <f t="shared" si="1654"/>
        <v>12.346641259929289</v>
      </c>
      <c r="BC237" s="70">
        <f t="shared" si="1654"/>
        <v>12.403696830132038</v>
      </c>
      <c r="BD237" s="70">
        <f t="shared" ref="BD237:CE237" si="1655">BD233-BD236</f>
        <v>15.845790358489708</v>
      </c>
      <c r="BE237" s="70">
        <f t="shared" si="1655"/>
        <v>15.661864294836342</v>
      </c>
      <c r="BF237" s="70">
        <f t="shared" si="1655"/>
        <v>25.465549348230915</v>
      </c>
      <c r="BG237" s="70">
        <f t="shared" si="1655"/>
        <v>25.432440954541491</v>
      </c>
      <c r="BH237" s="70">
        <f t="shared" si="1655"/>
        <v>40.42549095109743</v>
      </c>
      <c r="BI237" s="70">
        <f t="shared" si="1655"/>
        <v>41.324899337224679</v>
      </c>
      <c r="BJ237" s="70">
        <f t="shared" si="1655"/>
        <v>27.113363007860595</v>
      </c>
      <c r="BK237" s="70">
        <f t="shared" si="1655"/>
        <v>26.821364568691784</v>
      </c>
      <c r="BL237" s="70">
        <f t="shared" si="1655"/>
        <v>23.932381280110107</v>
      </c>
      <c r="BM237" s="70">
        <f t="shared" si="1655"/>
        <v>23.937735012038992</v>
      </c>
      <c r="BN237" s="70">
        <f t="shared" si="1655"/>
        <v>20.148856466876978</v>
      </c>
      <c r="BO237" s="70">
        <f t="shared" si="1655"/>
        <v>25.41206869874236</v>
      </c>
      <c r="BP237" s="70">
        <f t="shared" si="1655"/>
        <v>34.402610114192491</v>
      </c>
      <c r="BQ237" s="70">
        <f t="shared" si="1655"/>
        <v>35.348073437423132</v>
      </c>
      <c r="BR237" s="70">
        <f t="shared" si="1655"/>
        <v>28.114274039771175</v>
      </c>
      <c r="BS237" s="70">
        <f t="shared" si="1655"/>
        <v>27.925987767155576</v>
      </c>
      <c r="BT237" s="70">
        <f t="shared" si="1655"/>
        <v>51.627035923046378</v>
      </c>
      <c r="BU237" s="70">
        <f t="shared" si="1655"/>
        <v>48.551650805378102</v>
      </c>
      <c r="BV237" s="70">
        <f t="shared" si="1655"/>
        <v>73.752297794117652</v>
      </c>
      <c r="BW237" s="70">
        <f t="shared" si="1655"/>
        <v>73.83881327591682</v>
      </c>
      <c r="BX237" s="70">
        <f t="shared" si="1655"/>
        <v>72.569459879973351</v>
      </c>
      <c r="BY237" s="70">
        <f t="shared" si="1655"/>
        <v>72.975011222520465</v>
      </c>
      <c r="BZ237" s="70">
        <f t="shared" si="1655"/>
        <v>60.234030026493969</v>
      </c>
      <c r="CA237" s="70">
        <f t="shared" si="1655"/>
        <v>60.244432968670409</v>
      </c>
      <c r="CB237" s="70">
        <f t="shared" si="1655"/>
        <v>70.546621621621625</v>
      </c>
      <c r="CC237" s="70">
        <f t="shared" si="1655"/>
        <v>73.3102631093317</v>
      </c>
      <c r="CD237" s="70">
        <f t="shared" si="1655"/>
        <v>32.930956239870341</v>
      </c>
      <c r="CE237" s="115">
        <f t="shared" si="1655"/>
        <v>32.875961247954457</v>
      </c>
      <c r="CF237" s="70">
        <f t="shared" ref="CF237:CG237" si="1656">CF233-CF236</f>
        <v>22.418809201623816</v>
      </c>
      <c r="CG237" s="70">
        <f t="shared" si="1656"/>
        <v>22.34533524805471</v>
      </c>
      <c r="CH237" s="70">
        <f t="shared" ref="CH237:CI237" si="1657">CH233-CH236</f>
        <v>19.143513571275903</v>
      </c>
      <c r="CI237" s="70">
        <f t="shared" si="1657"/>
        <v>19.143513571275903</v>
      </c>
      <c r="CJ237" s="70">
        <f t="shared" ref="CJ237:DB237" si="1658">CJ233-CJ236</f>
        <v>15.025631552209852</v>
      </c>
      <c r="CK237" s="70">
        <f t="shared" si="1658"/>
        <v>15.025631552209859</v>
      </c>
      <c r="CL237" s="70">
        <f t="shared" ref="CL237" si="1659">CL233-CL236</f>
        <v>26.411252511721358</v>
      </c>
      <c r="CM237" s="50">
        <f t="shared" si="1658"/>
        <v>26.411252511721358</v>
      </c>
      <c r="CN237" s="50">
        <f t="shared" si="1658"/>
        <v>26.411252511721358</v>
      </c>
      <c r="CO237" s="50">
        <f t="shared" si="1658"/>
        <v>26.411252511721358</v>
      </c>
      <c r="CP237" s="50">
        <f t="shared" si="1658"/>
        <v>26.411252511721358</v>
      </c>
      <c r="CQ237" s="50">
        <f t="shared" si="1658"/>
        <v>26.411252511721358</v>
      </c>
      <c r="CR237" s="50">
        <f t="shared" si="1658"/>
        <v>26.411252511721358</v>
      </c>
      <c r="CS237" s="50">
        <f t="shared" si="1658"/>
        <v>26.411252511721358</v>
      </c>
      <c r="CT237" s="50">
        <f t="shared" si="1658"/>
        <v>26.411252511721358</v>
      </c>
      <c r="CU237" s="50">
        <f t="shared" si="1658"/>
        <v>26.411252511721358</v>
      </c>
      <c r="CV237" s="50">
        <f t="shared" si="1658"/>
        <v>26.411252511721358</v>
      </c>
      <c r="CW237" s="50">
        <f t="shared" si="1658"/>
        <v>26.411252511721358</v>
      </c>
      <c r="CX237" s="50">
        <f t="shared" si="1658"/>
        <v>26.411252511721358</v>
      </c>
      <c r="CY237" s="50">
        <f t="shared" si="1658"/>
        <v>26.411252511721358</v>
      </c>
      <c r="CZ237" s="50">
        <f t="shared" si="1658"/>
        <v>26.411252511721358</v>
      </c>
      <c r="DA237" s="50">
        <f t="shared" si="1658"/>
        <v>26.411252511721358</v>
      </c>
      <c r="DB237" s="50">
        <f t="shared" si="1658"/>
        <v>26.411252511721358</v>
      </c>
      <c r="DE237" s="138"/>
      <c r="DF237" s="7">
        <v>15.025631552209859</v>
      </c>
    </row>
    <row r="238" spans="1:110" s="7" customFormat="1" x14ac:dyDescent="0.2">
      <c r="A238" s="69" t="s">
        <v>86</v>
      </c>
      <c r="AB238" s="77"/>
      <c r="AC238" s="77"/>
      <c r="AD238" s="77"/>
      <c r="AE238" s="77"/>
      <c r="CE238" s="115"/>
      <c r="CG238" s="115"/>
      <c r="CM238" s="50"/>
      <c r="CN238" s="50"/>
      <c r="CO238" s="50"/>
      <c r="CP238" s="50"/>
      <c r="CQ238" s="50"/>
      <c r="CR238" s="50"/>
      <c r="CS238" s="50"/>
      <c r="CT238" s="50"/>
      <c r="CU238" s="50"/>
      <c r="CV238" s="50"/>
      <c r="CW238" s="50"/>
      <c r="CX238" s="50"/>
      <c r="CY238" s="50"/>
      <c r="CZ238" s="50"/>
      <c r="DA238" s="50"/>
      <c r="DB238" s="50"/>
      <c r="DE238" s="138"/>
    </row>
    <row r="239" spans="1:110" s="86" customFormat="1" x14ac:dyDescent="0.2">
      <c r="A239" s="86" t="s">
        <v>440</v>
      </c>
      <c r="C239" s="86" t="e">
        <f t="shared" ref="C239:AE239" si="1660">C43/B43-1</f>
        <v>#DIV/0!</v>
      </c>
      <c r="D239" s="86" t="e">
        <f t="shared" si="1660"/>
        <v>#DIV/0!</v>
      </c>
      <c r="E239" s="86" t="e">
        <f t="shared" si="1660"/>
        <v>#DIV/0!</v>
      </c>
      <c r="F239" s="86" t="e">
        <f t="shared" si="1660"/>
        <v>#DIV/0!</v>
      </c>
      <c r="G239" s="86" t="e">
        <f t="shared" si="1660"/>
        <v>#DIV/0!</v>
      </c>
      <c r="H239" s="86" t="e">
        <f t="shared" si="1660"/>
        <v>#DIV/0!</v>
      </c>
      <c r="I239" s="86">
        <f t="shared" si="1660"/>
        <v>0.31569862833346773</v>
      </c>
      <c r="J239" s="86">
        <f t="shared" si="1660"/>
        <v>1.9539037812748239E-2</v>
      </c>
      <c r="K239" s="86">
        <f t="shared" si="1660"/>
        <v>0.28854231045952261</v>
      </c>
      <c r="L239" s="86">
        <f t="shared" si="1660"/>
        <v>0.33460500831178752</v>
      </c>
      <c r="M239" s="86">
        <f t="shared" si="1660"/>
        <v>0.40083477814165547</v>
      </c>
      <c r="N239" s="86">
        <f t="shared" si="1660"/>
        <v>0.23089405552092113</v>
      </c>
      <c r="O239" s="86">
        <f t="shared" si="1660"/>
        <v>0.1170630339413532</v>
      </c>
      <c r="P239" s="86">
        <f t="shared" si="1660"/>
        <v>0.21989891850804777</v>
      </c>
      <c r="Q239" s="86">
        <f t="shared" si="1660"/>
        <v>0.31705090785863432</v>
      </c>
      <c r="R239" s="86">
        <f t="shared" si="1660"/>
        <v>0.26320004979976352</v>
      </c>
      <c r="S239" s="86">
        <f t="shared" si="1660"/>
        <v>0.17061503940707068</v>
      </c>
      <c r="T239" s="86">
        <f t="shared" si="1660"/>
        <v>0.13075325550067363</v>
      </c>
      <c r="U239" s="86">
        <f t="shared" si="1660"/>
        <v>7.7808939961778067E-2</v>
      </c>
      <c r="V239" s="86">
        <f t="shared" si="1660"/>
        <v>0.13899507207663619</v>
      </c>
      <c r="W239" s="86">
        <f t="shared" si="1660"/>
        <v>0.1905301039181595</v>
      </c>
      <c r="X239" s="86">
        <f t="shared" si="1660"/>
        <v>-0.10561084128655374</v>
      </c>
      <c r="Y239" s="86">
        <f t="shared" si="1660"/>
        <v>8.5841228852981954E-2</v>
      </c>
      <c r="Z239" s="86">
        <f t="shared" si="1660"/>
        <v>0.2019129887388964</v>
      </c>
      <c r="AA239" s="86">
        <f t="shared" si="1660"/>
        <v>0.20613952135011271</v>
      </c>
      <c r="AB239" s="87">
        <f t="shared" si="1660"/>
        <v>0.16896647327028869</v>
      </c>
      <c r="AC239" s="87">
        <f t="shared" si="1660"/>
        <v>0.18350170015432488</v>
      </c>
      <c r="AD239" s="87">
        <f t="shared" si="1660"/>
        <v>0.18503642955106514</v>
      </c>
      <c r="AE239" s="87">
        <f t="shared" si="1660"/>
        <v>0.18634235161014967</v>
      </c>
      <c r="AN239" s="86" t="e">
        <f t="shared" ref="AN239:BS239" si="1661">+(AN43+AM43)/(AJ43+AI43)-1</f>
        <v>#DIV/0!</v>
      </c>
      <c r="AO239" s="86" t="e">
        <f t="shared" si="1661"/>
        <v>#DIV/0!</v>
      </c>
      <c r="AP239" s="86" t="e">
        <f t="shared" si="1661"/>
        <v>#DIV/0!</v>
      </c>
      <c r="AQ239" s="86" t="e">
        <f t="shared" si="1661"/>
        <v>#DIV/0!</v>
      </c>
      <c r="AR239" s="86" t="e">
        <f t="shared" si="1661"/>
        <v>#DIV/0!</v>
      </c>
      <c r="AS239" s="86" t="e">
        <f t="shared" si="1661"/>
        <v>#DIV/0!</v>
      </c>
      <c r="AT239" s="86" t="e">
        <f t="shared" si="1661"/>
        <v>#DIV/0!</v>
      </c>
      <c r="AU239" s="86" t="e">
        <f t="shared" si="1661"/>
        <v>#DIV/0!</v>
      </c>
      <c r="AV239" s="86" t="e">
        <f t="shared" si="1661"/>
        <v>#DIV/0!</v>
      </c>
      <c r="AW239" s="86" t="e">
        <f t="shared" si="1661"/>
        <v>#DIV/0!</v>
      </c>
      <c r="AX239" s="86" t="e">
        <f t="shared" si="1661"/>
        <v>#DIV/0!</v>
      </c>
      <c r="AY239" s="86">
        <f t="shared" si="1661"/>
        <v>1.3475743486270728</v>
      </c>
      <c r="AZ239" s="86">
        <f t="shared" si="1661"/>
        <v>0.23170384034881786</v>
      </c>
      <c r="BA239" s="86">
        <f t="shared" si="1661"/>
        <v>0.24898879050093781</v>
      </c>
      <c r="BB239" s="86">
        <f t="shared" si="1661"/>
        <v>0.29404224900786313</v>
      </c>
      <c r="BC239" s="86">
        <f t="shared" si="1661"/>
        <v>0.30699551569506722</v>
      </c>
      <c r="BD239" s="86">
        <f t="shared" si="1661"/>
        <v>0.1967622691346762</v>
      </c>
      <c r="BE239" s="86">
        <f t="shared" si="1661"/>
        <v>0.157413516825337</v>
      </c>
      <c r="BF239" s="86">
        <f t="shared" si="1661"/>
        <v>0.14626588949420305</v>
      </c>
      <c r="BG239" s="86">
        <f t="shared" si="1661"/>
        <v>0.10827100345387586</v>
      </c>
      <c r="BH239" s="86">
        <f t="shared" si="1661"/>
        <v>0.14354137750574525</v>
      </c>
      <c r="BI239" s="86">
        <f t="shared" si="1661"/>
        <v>0.16441543634311784</v>
      </c>
      <c r="BJ239" s="86">
        <f t="shared" si="1661"/>
        <v>0.11826289259402856</v>
      </c>
      <c r="BK239" s="86">
        <f t="shared" si="1661"/>
        <v>0.11098498529487633</v>
      </c>
      <c r="BL239" s="86">
        <f t="shared" si="1661"/>
        <v>0.12406108541013783</v>
      </c>
      <c r="BM239" s="86">
        <f t="shared" si="1661"/>
        <v>0.10920717390218315</v>
      </c>
      <c r="BN239" s="86">
        <f t="shared" si="1661"/>
        <v>2.650089161878344E-2</v>
      </c>
      <c r="BO239" s="86">
        <f t="shared" si="1661"/>
        <v>-0.26755526657997397</v>
      </c>
      <c r="BP239" s="86">
        <f t="shared" si="1661"/>
        <v>-7.2797273974421373E-2</v>
      </c>
      <c r="BQ239" s="86">
        <f t="shared" si="1661"/>
        <v>0.31297572400126095</v>
      </c>
      <c r="BR239" s="86">
        <f t="shared" si="1661"/>
        <v>0.37581431259952702</v>
      </c>
      <c r="BS239" s="86">
        <f t="shared" si="1661"/>
        <v>0.97508084458816802</v>
      </c>
      <c r="BT239" s="86">
        <f t="shared" ref="BT239:CL239" si="1662">+(BT43+BS43)/(BP43+BO43)-1</f>
        <v>0.62686139747995417</v>
      </c>
      <c r="BU239" s="86">
        <f t="shared" si="1662"/>
        <v>7.1693194291988505E-3</v>
      </c>
      <c r="BV239" s="86">
        <f t="shared" si="1662"/>
        <v>-0.13030058573883763</v>
      </c>
      <c r="BW239" s="86">
        <f t="shared" si="1662"/>
        <v>-0.17059937718706852</v>
      </c>
      <c r="BX239" s="86">
        <f t="shared" si="1662"/>
        <v>-0.22912632752449691</v>
      </c>
      <c r="BY239" s="86">
        <f t="shared" si="1662"/>
        <v>-0.10425394230441742</v>
      </c>
      <c r="BZ239" s="86">
        <f t="shared" si="1662"/>
        <v>6.4324891111469329E-2</v>
      </c>
      <c r="CA239" s="86">
        <f t="shared" si="1662"/>
        <v>4.8074317785949061E-2</v>
      </c>
      <c r="CB239" s="86">
        <f t="shared" si="1662"/>
        <v>7.6609834069112592E-2</v>
      </c>
      <c r="CC239" s="86">
        <f t="shared" si="1662"/>
        <v>7.5057034220532337E-2</v>
      </c>
      <c r="CD239" s="86">
        <f t="shared" si="1662"/>
        <v>9.5032397408207459E-2</v>
      </c>
      <c r="CE239" s="86">
        <f t="shared" si="1662"/>
        <v>0.14916718986593791</v>
      </c>
      <c r="CF239" s="86">
        <f t="shared" si="1662"/>
        <v>0.18162536675032692</v>
      </c>
      <c r="CG239" s="86">
        <f t="shared" si="1662"/>
        <v>0.21411897856688111</v>
      </c>
      <c r="CH239" s="86">
        <f t="shared" si="1662"/>
        <v>0.22177237966711649</v>
      </c>
      <c r="CI239" s="86">
        <f t="shared" si="1662"/>
        <v>0.22184728114153507</v>
      </c>
      <c r="CJ239" s="86">
        <f t="shared" si="1662"/>
        <v>0.22523708379453744</v>
      </c>
      <c r="CL239" s="86">
        <f t="shared" si="1662"/>
        <v>0.18805936331709527</v>
      </c>
      <c r="CM239" s="87"/>
      <c r="CN239" s="87"/>
      <c r="CO239" s="87"/>
      <c r="CP239" s="87"/>
      <c r="CQ239" s="87"/>
      <c r="CR239" s="87"/>
      <c r="CS239" s="87"/>
      <c r="CT239" s="87"/>
      <c r="CU239" s="87"/>
      <c r="CV239" s="87"/>
      <c r="CW239" s="87"/>
      <c r="CX239" s="87"/>
      <c r="CY239" s="87"/>
      <c r="CZ239" s="87"/>
      <c r="DA239" s="87"/>
      <c r="DB239" s="87"/>
      <c r="DE239" s="141"/>
      <c r="DF239" s="86">
        <v>0.20613952135011271</v>
      </c>
    </row>
    <row r="240" spans="1:110" s="86" customFormat="1" x14ac:dyDescent="0.2">
      <c r="A240" s="86" t="s">
        <v>441</v>
      </c>
      <c r="C240" s="86" t="e">
        <f t="shared" ref="C240" si="1663">C237/B237-1</f>
        <v>#DIV/0!</v>
      </c>
      <c r="D240" s="86" t="e">
        <f t="shared" ref="D240" si="1664">D237/C237-1</f>
        <v>#DIV/0!</v>
      </c>
      <c r="E240" s="86" t="e">
        <f>E237/D237-1</f>
        <v>#DIV/0!</v>
      </c>
      <c r="F240" s="86" t="e">
        <f t="shared" ref="F240" si="1665">F237/E237-1</f>
        <v>#DIV/0!</v>
      </c>
      <c r="G240" s="86" t="e">
        <f t="shared" ref="G240" si="1666">G237/F237-1</f>
        <v>#DIV/0!</v>
      </c>
      <c r="H240" s="86" t="e">
        <f t="shared" ref="H240" si="1667">H237/G237-1</f>
        <v>#DIV/0!</v>
      </c>
      <c r="I240" s="86">
        <f t="shared" ref="I240" si="1668">I237/H237-1</f>
        <v>-0.35544208415262313</v>
      </c>
      <c r="J240" s="86">
        <f t="shared" ref="J240" si="1669">J237/I237-1</f>
        <v>0.28745302263810646</v>
      </c>
      <c r="K240" s="86">
        <f>K237/J237-1</f>
        <v>-0.55601730853151254</v>
      </c>
      <c r="L240" s="86">
        <f t="shared" ref="L240" si="1670">L237/K237-1</f>
        <v>-0.5153613881280974</v>
      </c>
      <c r="M240" s="86">
        <f t="shared" ref="M240" si="1671">M237/L237-1</f>
        <v>0.46362185580567328</v>
      </c>
      <c r="N240" s="86">
        <f t="shared" ref="N240" si="1672">N237/M237-1</f>
        <v>-0.83590766581416898</v>
      </c>
      <c r="O240" s="86">
        <f t="shared" ref="O240" si="1673">O237/N237-1</f>
        <v>0.30063823791594158</v>
      </c>
      <c r="P240" s="86">
        <f t="shared" ref="P240" si="1674">P237/O237-1</f>
        <v>1.1580493392062619</v>
      </c>
      <c r="Q240" s="86">
        <f t="shared" ref="Q240" si="1675">Q237/P237-1</f>
        <v>-1.0393652145500407</v>
      </c>
      <c r="R240" s="86">
        <f t="shared" ref="R240" si="1676">R237/Q237-1</f>
        <v>-16.462352747715773</v>
      </c>
      <c r="S240" s="86">
        <f t="shared" ref="S240" si="1677">S237/R237-1</f>
        <v>-0.67298173429080621</v>
      </c>
      <c r="T240" s="86">
        <f t="shared" ref="T240" si="1678">T237/S237-1</f>
        <v>2.8274408102820732</v>
      </c>
      <c r="U240" s="86">
        <f t="shared" ref="U240" si="1679">U237/T237-1</f>
        <v>-1.0577510306967726</v>
      </c>
      <c r="V240" s="86">
        <f t="shared" ref="V240" si="1680">V237/U237-1</f>
        <v>-11.367104386634511</v>
      </c>
      <c r="W240" s="86">
        <f t="shared" ref="W240:AA240" si="1681">W237/V237-1</f>
        <v>1.6132948246088383</v>
      </c>
      <c r="X240" s="86">
        <f t="shared" si="1681"/>
        <v>-0.14599106585705457</v>
      </c>
      <c r="Y240" s="86">
        <f t="shared" si="1681"/>
        <v>-0.60699055350664644</v>
      </c>
      <c r="Z240" s="86">
        <f t="shared" si="1681"/>
        <v>-0.60873564469585384</v>
      </c>
      <c r="AA240" s="86">
        <f t="shared" si="1681"/>
        <v>-0.68026068511248106</v>
      </c>
      <c r="AB240" s="87">
        <f t="shared" ref="AB240" si="1682">AB237/AA237-1</f>
        <v>14.33198752573241</v>
      </c>
      <c r="AC240" s="87">
        <f t="shared" ref="AC240" si="1683">AC237/AB237-1</f>
        <v>6.4766693124185259E-4</v>
      </c>
      <c r="AD240" s="87">
        <f t="shared" ref="AD240" si="1684">AD237/AC237-1</f>
        <v>5.5075187226938382E-4</v>
      </c>
      <c r="AE240" s="87">
        <f t="shared" ref="AE240" si="1685">AE237/AD237-1</f>
        <v>4.6726274613639873E-4</v>
      </c>
      <c r="AN240" s="86" t="e">
        <f t="shared" ref="AN240:CI240" si="1686">+AN237/AJ237-1</f>
        <v>#DIV/0!</v>
      </c>
      <c r="AO240" s="86" t="e">
        <f t="shared" si="1686"/>
        <v>#DIV/0!</v>
      </c>
      <c r="AP240" s="86" t="e">
        <f t="shared" si="1686"/>
        <v>#DIV/0!</v>
      </c>
      <c r="AQ240" s="86" t="e">
        <f t="shared" si="1686"/>
        <v>#DIV/0!</v>
      </c>
      <c r="AR240" s="86" t="e">
        <f t="shared" si="1686"/>
        <v>#DIV/0!</v>
      </c>
      <c r="AS240" s="86" t="e">
        <f t="shared" si="1686"/>
        <v>#DIV/0!</v>
      </c>
      <c r="AT240" s="86" t="e">
        <f t="shared" si="1686"/>
        <v>#DIV/0!</v>
      </c>
      <c r="AU240" s="86" t="e">
        <f t="shared" si="1686"/>
        <v>#DIV/0!</v>
      </c>
      <c r="AV240" s="86" t="e">
        <f t="shared" si="1686"/>
        <v>#DIV/0!</v>
      </c>
      <c r="AW240" s="86" t="e">
        <f t="shared" si="1686"/>
        <v>#DIV/0!</v>
      </c>
      <c r="AX240" s="86" t="e">
        <f t="shared" si="1686"/>
        <v>#DIV/0!</v>
      </c>
      <c r="AY240" s="86" t="e">
        <f t="shared" si="1686"/>
        <v>#DIV/0!</v>
      </c>
      <c r="AZ240" s="86" t="e">
        <f t="shared" si="1686"/>
        <v>#DIV/0!</v>
      </c>
      <c r="BA240" s="86" t="e">
        <f t="shared" si="1686"/>
        <v>#DIV/0!</v>
      </c>
      <c r="BB240" s="86">
        <f t="shared" si="1686"/>
        <v>-10.078905246577389</v>
      </c>
      <c r="BC240" s="86">
        <f t="shared" si="1686"/>
        <v>-148.50805642825256</v>
      </c>
      <c r="BD240" s="86">
        <f t="shared" si="1686"/>
        <v>-0.18426063718421015</v>
      </c>
      <c r="BE240" s="86">
        <f t="shared" si="1686"/>
        <v>-0.17029489164276401</v>
      </c>
      <c r="BF240" s="86">
        <f t="shared" si="1686"/>
        <v>1.0625487379210337</v>
      </c>
      <c r="BG240" s="86">
        <f t="shared" si="1686"/>
        <v>1.0503920164155418</v>
      </c>
      <c r="BH240" s="86">
        <f t="shared" si="1686"/>
        <v>1.5511817357496871</v>
      </c>
      <c r="BI240" s="86">
        <f t="shared" si="1686"/>
        <v>1.6385683440539927</v>
      </c>
      <c r="BJ240" s="86">
        <f t="shared" si="1686"/>
        <v>6.470756381873044E-2</v>
      </c>
      <c r="BK240" s="86">
        <f t="shared" si="1686"/>
        <v>5.4612281087485393E-2</v>
      </c>
      <c r="BL240" s="86">
        <f t="shared" si="1686"/>
        <v>-0.40798786317620672</v>
      </c>
      <c r="BM240" s="86">
        <f t="shared" si="1686"/>
        <v>-0.42074305331758333</v>
      </c>
      <c r="BN240" s="86">
        <f t="shared" si="1686"/>
        <v>-0.25686620058767684</v>
      </c>
      <c r="BO240" s="86">
        <f t="shared" si="1686"/>
        <v>-5.2543779655210954E-2</v>
      </c>
      <c r="BP240" s="86">
        <f t="shared" si="1686"/>
        <v>0.43749214553856608</v>
      </c>
      <c r="BQ240" s="86">
        <f t="shared" si="1686"/>
        <v>0.47666742152695507</v>
      </c>
      <c r="BR240" s="86">
        <f t="shared" si="1686"/>
        <v>0.3953285183200681</v>
      </c>
      <c r="BS240" s="86">
        <f t="shared" si="1686"/>
        <v>9.8926187325222736E-2</v>
      </c>
      <c r="BT240" s="86">
        <f t="shared" si="1686"/>
        <v>0.50067206388355112</v>
      </c>
      <c r="BU240" s="86">
        <f t="shared" si="1686"/>
        <v>0.37353032524755081</v>
      </c>
      <c r="BV240" s="86">
        <f t="shared" si="1686"/>
        <v>1.6233043645297673</v>
      </c>
      <c r="BW240" s="86">
        <f t="shared" si="1686"/>
        <v>1.6440895803428095</v>
      </c>
      <c r="BX240" s="86">
        <f t="shared" si="1686"/>
        <v>0.40564838911424395</v>
      </c>
      <c r="BY240" s="86">
        <f t="shared" si="1686"/>
        <v>0.50303872292715046</v>
      </c>
      <c r="BZ240" s="86">
        <f t="shared" si="1686"/>
        <v>-0.18329283523288242</v>
      </c>
      <c r="CA240" s="86">
        <f t="shared" si="1686"/>
        <v>-0.18410886773664248</v>
      </c>
      <c r="CB240" s="86">
        <f t="shared" si="1686"/>
        <v>-2.7874511698135929E-2</v>
      </c>
      <c r="CC240" s="86">
        <f t="shared" si="1686"/>
        <v>4.5940642035526835E-3</v>
      </c>
      <c r="CD240" s="86">
        <f t="shared" si="1686"/>
        <v>-0.4532831984613076</v>
      </c>
      <c r="CE240" s="86">
        <f t="shared" si="1686"/>
        <v>-0.45429046921146532</v>
      </c>
      <c r="CF240" s="86">
        <f t="shared" si="1686"/>
        <v>-0.68221285886845728</v>
      </c>
      <c r="CG240" s="86">
        <f t="shared" si="1686"/>
        <v>-0.69519499316582922</v>
      </c>
      <c r="CH240" s="86">
        <f t="shared" si="1686"/>
        <v>-0.41867726427881957</v>
      </c>
      <c r="CI240" s="86">
        <f t="shared" si="1686"/>
        <v>-0.41770482612224724</v>
      </c>
      <c r="CJ240" s="86">
        <f>+CJ237/CF237-1</f>
        <v>-0.32977566216489629</v>
      </c>
      <c r="CL240" s="86">
        <f>+CL237/CH237-1</f>
        <v>0.37964498593144436</v>
      </c>
      <c r="CM240" s="87"/>
      <c r="CN240" s="87"/>
      <c r="CO240" s="87"/>
      <c r="CP240" s="87"/>
      <c r="CQ240" s="87"/>
      <c r="CR240" s="87"/>
      <c r="CS240" s="87"/>
      <c r="CT240" s="87"/>
      <c r="CU240" s="87"/>
      <c r="CV240" s="87"/>
      <c r="CW240" s="87"/>
      <c r="CX240" s="87"/>
      <c r="CY240" s="87"/>
      <c r="CZ240" s="87"/>
      <c r="DA240" s="87"/>
      <c r="DB240" s="87"/>
      <c r="DE240" s="141"/>
      <c r="DF240" s="86">
        <v>3.8868064591646068</v>
      </c>
    </row>
    <row r="241" spans="1:110" s="103" customFormat="1" x14ac:dyDescent="0.2">
      <c r="A241" s="147" t="s">
        <v>87</v>
      </c>
      <c r="C241" s="103" t="e">
        <f>IF(C240&gt;C239,"RF",0)</f>
        <v>#DIV/0!</v>
      </c>
      <c r="D241" s="103" t="e">
        <f>IF(D240&gt;D239,"RF",0)</f>
        <v>#DIV/0!</v>
      </c>
      <c r="E241" s="103" t="e">
        <f t="shared" ref="E241:U241" si="1687">IF(E240&gt;E239,"RF",0)</f>
        <v>#DIV/0!</v>
      </c>
      <c r="F241" s="103" t="e">
        <f t="shared" si="1687"/>
        <v>#DIV/0!</v>
      </c>
      <c r="G241" s="103" t="e">
        <f t="shared" si="1687"/>
        <v>#DIV/0!</v>
      </c>
      <c r="H241" s="103" t="e">
        <f t="shared" si="1687"/>
        <v>#DIV/0!</v>
      </c>
      <c r="I241" s="103">
        <f t="shared" si="1687"/>
        <v>0</v>
      </c>
      <c r="J241" s="103" t="str">
        <f t="shared" si="1687"/>
        <v>RF</v>
      </c>
      <c r="K241" s="103">
        <f t="shared" si="1687"/>
        <v>0</v>
      </c>
      <c r="L241" s="103">
        <f t="shared" si="1687"/>
        <v>0</v>
      </c>
      <c r="M241" s="103" t="str">
        <f t="shared" si="1687"/>
        <v>RF</v>
      </c>
      <c r="N241" s="103">
        <f t="shared" si="1687"/>
        <v>0</v>
      </c>
      <c r="O241" s="103" t="str">
        <f t="shared" si="1687"/>
        <v>RF</v>
      </c>
      <c r="P241" s="103" t="str">
        <f t="shared" si="1687"/>
        <v>RF</v>
      </c>
      <c r="Q241" s="103">
        <f t="shared" si="1687"/>
        <v>0</v>
      </c>
      <c r="R241" s="103">
        <f t="shared" si="1687"/>
        <v>0</v>
      </c>
      <c r="S241" s="103">
        <f t="shared" si="1687"/>
        <v>0</v>
      </c>
      <c r="T241" s="103" t="str">
        <f t="shared" si="1687"/>
        <v>RF</v>
      </c>
      <c r="U241" s="103">
        <f t="shared" si="1687"/>
        <v>0</v>
      </c>
      <c r="V241" s="103">
        <f>IF(V240&gt;V239,"RF",0)</f>
        <v>0</v>
      </c>
      <c r="W241" s="103" t="str">
        <f t="shared" ref="W241" si="1688">IF(W240&gt;W239,"RF",0)</f>
        <v>RF</v>
      </c>
      <c r="X241" s="103">
        <f t="shared" ref="X241:Y241" si="1689">IF(X240&gt;X239,"RF",0)</f>
        <v>0</v>
      </c>
      <c r="Y241" s="103">
        <f t="shared" si="1689"/>
        <v>0</v>
      </c>
      <c r="Z241" s="103">
        <f t="shared" ref="Z241:AA241" si="1690">IF(Z240&gt;Z239,"RF",0)</f>
        <v>0</v>
      </c>
      <c r="AA241" s="103">
        <f t="shared" si="1690"/>
        <v>0</v>
      </c>
      <c r="AB241" s="73" t="str">
        <f t="shared" ref="AA241:AD241" si="1691">IF(AB240&gt;AB239,"RF",0)</f>
        <v>RF</v>
      </c>
      <c r="AC241" s="73">
        <f t="shared" si="1691"/>
        <v>0</v>
      </c>
      <c r="AD241" s="73">
        <f t="shared" si="1691"/>
        <v>0</v>
      </c>
      <c r="AE241" s="73">
        <f t="shared" ref="AE241" si="1692">IF(AE240&gt;AE239,"RF",0)</f>
        <v>0</v>
      </c>
      <c r="CM241" s="73"/>
      <c r="CN241" s="73"/>
      <c r="CO241" s="73"/>
      <c r="CP241" s="73"/>
      <c r="CQ241" s="73"/>
      <c r="CR241" s="73"/>
      <c r="CS241" s="73"/>
      <c r="CT241" s="73"/>
      <c r="CU241" s="73"/>
      <c r="CV241" s="73"/>
      <c r="CW241" s="73"/>
      <c r="CX241" s="73"/>
      <c r="CY241" s="73"/>
      <c r="CZ241" s="73"/>
      <c r="DA241" s="73"/>
      <c r="DB241" s="73"/>
      <c r="DE241" s="142"/>
      <c r="DF241" s="103" t="s">
        <v>565</v>
      </c>
    </row>
    <row r="242" spans="1:110" x14ac:dyDescent="0.2">
      <c r="A242" s="153" t="s">
        <v>494</v>
      </c>
      <c r="AA242" s="2"/>
    </row>
    <row r="243" spans="1:110" x14ac:dyDescent="0.2">
      <c r="A243" s="152" t="s">
        <v>495</v>
      </c>
      <c r="AA243" s="2"/>
    </row>
    <row r="244" spans="1:110" s="23" customFormat="1" x14ac:dyDescent="0.2">
      <c r="A244" s="23" t="s">
        <v>22</v>
      </c>
      <c r="C244" s="23">
        <f t="shared" ref="C244:AE244" si="1693">C90</f>
        <v>0</v>
      </c>
      <c r="D244" s="23">
        <f t="shared" si="1693"/>
        <v>0</v>
      </c>
      <c r="E244" s="23">
        <f t="shared" si="1693"/>
        <v>0</v>
      </c>
      <c r="F244" s="23">
        <f t="shared" si="1693"/>
        <v>0</v>
      </c>
      <c r="G244" s="23">
        <f t="shared" si="1693"/>
        <v>0</v>
      </c>
      <c r="H244" s="23">
        <f t="shared" si="1693"/>
        <v>2.3112966999999958</v>
      </c>
      <c r="I244" s="23">
        <f t="shared" si="1693"/>
        <v>21.903158799999993</v>
      </c>
      <c r="J244" s="23">
        <f t="shared" si="1693"/>
        <v>7.6633442000000018</v>
      </c>
      <c r="K244" s="23">
        <f t="shared" si="1693"/>
        <v>23.135967299999994</v>
      </c>
      <c r="L244" s="23">
        <f t="shared" si="1693"/>
        <v>24.824999999999989</v>
      </c>
      <c r="M244" s="23">
        <f t="shared" si="1693"/>
        <v>34.942999999999984</v>
      </c>
      <c r="N244" s="23">
        <f t="shared" si="1693"/>
        <v>56.818999999999996</v>
      </c>
      <c r="O244" s="23">
        <f t="shared" si="1693"/>
        <v>46.15600000000002</v>
      </c>
      <c r="P244" s="23">
        <f t="shared" si="1693"/>
        <v>45.216999999999999</v>
      </c>
      <c r="Q244" s="23">
        <f t="shared" si="1693"/>
        <v>51.800000000000011</v>
      </c>
      <c r="R244" s="23">
        <f t="shared" si="1693"/>
        <v>42.879000000000019</v>
      </c>
      <c r="S244" s="23">
        <f t="shared" si="1693"/>
        <v>93.449999999999974</v>
      </c>
      <c r="T244" s="23">
        <f t="shared" si="1693"/>
        <v>85.249999999999972</v>
      </c>
      <c r="U244" s="23">
        <f t="shared" si="1693"/>
        <v>88.519999999999982</v>
      </c>
      <c r="V244" s="23">
        <f t="shared" si="1693"/>
        <v>111.76</v>
      </c>
      <c r="W244" s="23">
        <f t="shared" si="1693"/>
        <v>176.05999999999997</v>
      </c>
      <c r="X244" s="23">
        <f t="shared" si="1693"/>
        <v>66.019999999999939</v>
      </c>
      <c r="Y244" s="23">
        <f t="shared" si="1693"/>
        <v>71.049999999999955</v>
      </c>
      <c r="Z244" s="23">
        <f t="shared" si="1693"/>
        <v>90.740000000000123</v>
      </c>
      <c r="AA244" s="23">
        <f t="shared" ref="AA244" si="1694">AA90</f>
        <v>163.41999999999996</v>
      </c>
      <c r="AB244" s="24">
        <f t="shared" si="1693"/>
        <v>195.31354314899113</v>
      </c>
      <c r="AC244" s="24">
        <f t="shared" si="1693"/>
        <v>249.93972115198713</v>
      </c>
      <c r="AD244" s="24">
        <f t="shared" si="1693"/>
        <v>311.33787751902622</v>
      </c>
      <c r="AE244" s="24">
        <f t="shared" si="1693"/>
        <v>384.32390607027395</v>
      </c>
      <c r="AI244" s="23">
        <f t="shared" ref="AI244:BN244" si="1695">AI90</f>
        <v>0</v>
      </c>
      <c r="AJ244" s="23">
        <f t="shared" si="1695"/>
        <v>0</v>
      </c>
      <c r="AK244" s="23">
        <f t="shared" si="1695"/>
        <v>0</v>
      </c>
      <c r="AL244" s="23">
        <f t="shared" si="1695"/>
        <v>0</v>
      </c>
      <c r="AM244" s="23">
        <f t="shared" si="1695"/>
        <v>0</v>
      </c>
      <c r="AN244" s="23">
        <f t="shared" si="1695"/>
        <v>0</v>
      </c>
      <c r="AO244" s="23">
        <f t="shared" si="1695"/>
        <v>0</v>
      </c>
      <c r="AP244" s="23">
        <f t="shared" si="1695"/>
        <v>0</v>
      </c>
      <c r="AQ244" s="23">
        <f t="shared" si="1695"/>
        <v>0</v>
      </c>
      <c r="AR244" s="23">
        <f t="shared" si="1695"/>
        <v>0</v>
      </c>
      <c r="AS244" s="23">
        <f t="shared" si="1695"/>
        <v>0</v>
      </c>
      <c r="AT244" s="23">
        <f t="shared" si="1695"/>
        <v>0</v>
      </c>
      <c r="AU244" s="23">
        <f t="shared" si="1695"/>
        <v>11.763999999999996</v>
      </c>
      <c r="AV244" s="23">
        <f t="shared" si="1695"/>
        <v>16.567</v>
      </c>
      <c r="AW244" s="23">
        <f t="shared" si="1695"/>
        <v>10.814000000000007</v>
      </c>
      <c r="AX244" s="23">
        <f t="shared" si="1695"/>
        <v>13.935999999999996</v>
      </c>
      <c r="AY244" s="23">
        <f t="shared" si="1695"/>
        <v>17.077999999999999</v>
      </c>
      <c r="AZ244" s="23">
        <f t="shared" si="1695"/>
        <v>1.1709999999999994</v>
      </c>
      <c r="BA244" s="23">
        <f t="shared" si="1695"/>
        <v>9.1810000000000045</v>
      </c>
      <c r="BB244" s="23">
        <f t="shared" si="1695"/>
        <v>15.403</v>
      </c>
      <c r="BC244" s="23">
        <f t="shared" si="1695"/>
        <v>22.01</v>
      </c>
      <c r="BD244" s="23">
        <f t="shared" si="1695"/>
        <v>24.656000000000002</v>
      </c>
      <c r="BE244" s="23">
        <f t="shared" si="1695"/>
        <v>21.47000000000001</v>
      </c>
      <c r="BF244" s="23">
        <f t="shared" si="1695"/>
        <v>25.130000000000003</v>
      </c>
      <c r="BG244" s="23">
        <f t="shared" si="1695"/>
        <v>23.400000000000002</v>
      </c>
      <c r="BH244" s="23">
        <f t="shared" si="1695"/>
        <v>25.26</v>
      </c>
      <c r="BI244" s="23">
        <f t="shared" si="1695"/>
        <v>20.150000000000006</v>
      </c>
      <c r="BJ244" s="23">
        <f t="shared" si="1695"/>
        <v>16.329999999999998</v>
      </c>
      <c r="BK244" s="23">
        <f t="shared" si="1695"/>
        <v>27.470000000000006</v>
      </c>
      <c r="BL244" s="23">
        <f t="shared" si="1695"/>
        <v>35.050000000000011</v>
      </c>
      <c r="BM244" s="23">
        <f t="shared" si="1695"/>
        <v>27.490000000000009</v>
      </c>
      <c r="BN244" s="23">
        <f t="shared" si="1695"/>
        <v>-1.6000000000000032</v>
      </c>
      <c r="BO244" s="23">
        <f t="shared" ref="BO244:CT244" si="1696">BO90</f>
        <v>0.23000000000000109</v>
      </c>
      <c r="BP244" s="23">
        <f t="shared" si="1696"/>
        <v>43.050000000000004</v>
      </c>
      <c r="BQ244" s="23">
        <f t="shared" si="1696"/>
        <v>32.390000000000015</v>
      </c>
      <c r="BR244" s="23">
        <f t="shared" si="1696"/>
        <v>37.750000000000007</v>
      </c>
      <c r="BS244" s="23">
        <f t="shared" si="1696"/>
        <v>55.579999999999991</v>
      </c>
      <c r="BT244" s="23">
        <f t="shared" si="1696"/>
        <v>77.72999999999999</v>
      </c>
      <c r="BU244" s="23">
        <f t="shared" si="1696"/>
        <v>21.500000000000011</v>
      </c>
      <c r="BV244" s="23">
        <f t="shared" si="1696"/>
        <v>21.239999999999984</v>
      </c>
      <c r="BW244" s="23">
        <f t="shared" si="1696"/>
        <v>21.730000000000025</v>
      </c>
      <c r="BX244" s="23">
        <f t="shared" si="1696"/>
        <v>15.430000000000009</v>
      </c>
      <c r="BY244" s="23">
        <f t="shared" si="1696"/>
        <v>14.720000000000004</v>
      </c>
      <c r="BZ244" s="23">
        <f t="shared" si="1696"/>
        <v>12.600000000000009</v>
      </c>
      <c r="CA244" s="23">
        <f t="shared" si="1696"/>
        <v>17.300000000000011</v>
      </c>
      <c r="CB244" s="23">
        <f t="shared" si="1696"/>
        <v>20.34</v>
      </c>
      <c r="CC244" s="23">
        <f t="shared" si="1696"/>
        <v>15.350000000000033</v>
      </c>
      <c r="CD244" s="23">
        <f t="shared" si="1696"/>
        <v>17.780000000000005</v>
      </c>
      <c r="CE244" s="23">
        <f t="shared" si="1696"/>
        <v>24.169999999999984</v>
      </c>
      <c r="CF244" s="23">
        <f t="shared" si="1696"/>
        <v>26.670000000000009</v>
      </c>
      <c r="CG244" s="23">
        <f t="shared" si="1696"/>
        <v>19.110000000000007</v>
      </c>
      <c r="CH244" s="23">
        <f t="shared" si="1696"/>
        <v>21.699999999999964</v>
      </c>
      <c r="CI244" s="23">
        <f t="shared" si="1696"/>
        <v>38.930000000000014</v>
      </c>
      <c r="CJ244" s="23">
        <f t="shared" si="1696"/>
        <v>47.989999999999988</v>
      </c>
      <c r="CK244" s="23">
        <f t="shared" si="1696"/>
        <v>29.010000000000023</v>
      </c>
      <c r="CL244" s="23">
        <f t="shared" ref="CL244" si="1697">CL90</f>
        <v>47.109999999999943</v>
      </c>
      <c r="CM244" s="24">
        <f t="shared" si="1696"/>
        <v>43.138665290903546</v>
      </c>
      <c r="CN244" s="24">
        <f t="shared" si="1696"/>
        <v>51.102190214836526</v>
      </c>
      <c r="CO244" s="24">
        <f t="shared" si="1696"/>
        <v>45.588617792718914</v>
      </c>
      <c r="CP244" s="24">
        <f t="shared" si="1696"/>
        <v>55.484069850532116</v>
      </c>
      <c r="CQ244" s="24">
        <f t="shared" si="1696"/>
        <v>56.030337342004337</v>
      </c>
      <c r="CR244" s="24">
        <f t="shared" si="1696"/>
        <v>65.088747040656799</v>
      </c>
      <c r="CS244" s="24">
        <f t="shared" si="1696"/>
        <v>58.917957759173362</v>
      </c>
      <c r="CT244" s="24">
        <f t="shared" si="1696"/>
        <v>69.902679010152596</v>
      </c>
      <c r="CU244" s="24">
        <f t="shared" ref="CU244:DB244" si="1698">CU90</f>
        <v>70.642930539111561</v>
      </c>
      <c r="CV244" s="24">
        <f t="shared" si="1698"/>
        <v>81.161651424120109</v>
      </c>
      <c r="CW244" s="24">
        <f t="shared" si="1698"/>
        <v>73.494783669900386</v>
      </c>
      <c r="CX244" s="24">
        <f t="shared" si="1698"/>
        <v>86.03851188589411</v>
      </c>
      <c r="CY244" s="24">
        <f t="shared" si="1698"/>
        <v>87.644578643774949</v>
      </c>
      <c r="CZ244" s="24">
        <f t="shared" si="1698"/>
        <v>100.06622926206769</v>
      </c>
      <c r="DA244" s="24">
        <f t="shared" si="1698"/>
        <v>90.834373226246313</v>
      </c>
      <c r="DB244" s="24">
        <f t="shared" si="1698"/>
        <v>105.77872493818501</v>
      </c>
      <c r="DE244" s="123"/>
      <c r="DF244" s="23">
        <v>40.863998789095859</v>
      </c>
    </row>
    <row r="245" spans="1:110" s="23" customFormat="1" x14ac:dyDescent="0.2">
      <c r="A245" s="23" t="s">
        <v>88</v>
      </c>
      <c r="C245" s="23">
        <f t="shared" ref="C245:AE245" si="1699">C74</f>
        <v>0</v>
      </c>
      <c r="D245" s="23">
        <f t="shared" si="1699"/>
        <v>0</v>
      </c>
      <c r="E245" s="23">
        <f t="shared" si="1699"/>
        <v>0</v>
      </c>
      <c r="F245" s="23">
        <f t="shared" si="1699"/>
        <v>0</v>
      </c>
      <c r="G245" s="23">
        <f t="shared" si="1699"/>
        <v>0</v>
      </c>
      <c r="H245" s="23">
        <f t="shared" si="1699"/>
        <v>0.94966980000000001</v>
      </c>
      <c r="I245" s="23">
        <f t="shared" si="1699"/>
        <v>1.2822612</v>
      </c>
      <c r="J245" s="23">
        <f t="shared" si="1699"/>
        <v>1.3697505000000001</v>
      </c>
      <c r="K245" s="23">
        <f t="shared" si="1699"/>
        <v>1.4215859</v>
      </c>
      <c r="L245" s="23">
        <f t="shared" si="1699"/>
        <v>1.3089999999999999</v>
      </c>
      <c r="M245" s="23">
        <f t="shared" si="1699"/>
        <v>2.0910000000000002</v>
      </c>
      <c r="N245" s="23">
        <f t="shared" si="1699"/>
        <v>3.3149999999999999</v>
      </c>
      <c r="O245" s="23">
        <f t="shared" si="1699"/>
        <v>6.3620000000000001</v>
      </c>
      <c r="P245" s="23">
        <f t="shared" si="1699"/>
        <v>12.865</v>
      </c>
      <c r="Q245" s="23">
        <f t="shared" si="1699"/>
        <v>18.236999999999998</v>
      </c>
      <c r="R245" s="23">
        <f t="shared" si="1699"/>
        <v>18.050999999999998</v>
      </c>
      <c r="S245" s="23">
        <f t="shared" si="1699"/>
        <v>20.100000000000001</v>
      </c>
      <c r="T245" s="23">
        <f t="shared" si="1699"/>
        <v>26.17</v>
      </c>
      <c r="U245" s="23">
        <f t="shared" si="1699"/>
        <v>31.91</v>
      </c>
      <c r="V245" s="23">
        <f t="shared" si="1699"/>
        <v>30.28</v>
      </c>
      <c r="W245" s="23">
        <f t="shared" si="1699"/>
        <v>33.869999999999997</v>
      </c>
      <c r="X245" s="23">
        <f t="shared" si="1699"/>
        <v>38.71</v>
      </c>
      <c r="Y245" s="23">
        <f t="shared" si="1699"/>
        <v>47.01</v>
      </c>
      <c r="Z245" s="23">
        <f t="shared" si="1699"/>
        <v>55.26</v>
      </c>
      <c r="AA245" s="23">
        <f t="shared" ref="AA245" si="1700">AA74</f>
        <v>58.58</v>
      </c>
      <c r="AB245" s="24">
        <f t="shared" si="1699"/>
        <v>61.318820944191835</v>
      </c>
      <c r="AC245" s="24">
        <f t="shared" si="1699"/>
        <v>60.85167747297632</v>
      </c>
      <c r="AD245" s="24">
        <f t="shared" si="1699"/>
        <v>60.550002273750529</v>
      </c>
      <c r="AE245" s="24">
        <f t="shared" si="1699"/>
        <v>60.35518433999858</v>
      </c>
      <c r="AI245" s="23">
        <f t="shared" ref="AI245:BN245" si="1701">AI74</f>
        <v>0</v>
      </c>
      <c r="AJ245" s="23">
        <f t="shared" si="1701"/>
        <v>0</v>
      </c>
      <c r="AK245" s="23">
        <f t="shared" si="1701"/>
        <v>0</v>
      </c>
      <c r="AL245" s="23">
        <f t="shared" si="1701"/>
        <v>0</v>
      </c>
      <c r="AM245" s="23">
        <f t="shared" si="1701"/>
        <v>0</v>
      </c>
      <c r="AN245" s="23">
        <f t="shared" si="1701"/>
        <v>0</v>
      </c>
      <c r="AO245" s="23">
        <f t="shared" si="1701"/>
        <v>0</v>
      </c>
      <c r="AP245" s="23">
        <f t="shared" si="1701"/>
        <v>0</v>
      </c>
      <c r="AQ245" s="23">
        <f t="shared" si="1701"/>
        <v>0</v>
      </c>
      <c r="AR245" s="23">
        <f t="shared" si="1701"/>
        <v>0</v>
      </c>
      <c r="AS245" s="23">
        <f t="shared" si="1701"/>
        <v>0</v>
      </c>
      <c r="AT245" s="23">
        <f t="shared" si="1701"/>
        <v>0</v>
      </c>
      <c r="AU245" s="23">
        <f t="shared" si="1701"/>
        <v>4.5540000000000003</v>
      </c>
      <c r="AV245" s="23">
        <f t="shared" si="1701"/>
        <v>4.0179999999999998</v>
      </c>
      <c r="AW245" s="23">
        <f t="shared" si="1701"/>
        <v>4.6379999999999999</v>
      </c>
      <c r="AX245" s="23">
        <f t="shared" si="1701"/>
        <v>5.0270000000000001</v>
      </c>
      <c r="AY245" s="23">
        <f t="shared" si="1701"/>
        <v>4.1319999999999997</v>
      </c>
      <c r="AZ245" s="23">
        <f t="shared" si="1701"/>
        <v>4.3250000000000002</v>
      </c>
      <c r="BA245" s="23">
        <f t="shared" si="1701"/>
        <v>4.6639999999999997</v>
      </c>
      <c r="BB245" s="23">
        <f t="shared" si="1701"/>
        <v>4.93</v>
      </c>
      <c r="BC245" s="23">
        <f t="shared" si="1701"/>
        <v>4.42</v>
      </c>
      <c r="BD245" s="23">
        <f t="shared" si="1701"/>
        <v>4.9400000000000004</v>
      </c>
      <c r="BE245" s="23">
        <f t="shared" si="1701"/>
        <v>5.14</v>
      </c>
      <c r="BF245" s="23">
        <f t="shared" si="1701"/>
        <v>5.6</v>
      </c>
      <c r="BG245" s="23">
        <f t="shared" si="1701"/>
        <v>5.68</v>
      </c>
      <c r="BH245" s="23">
        <f t="shared" si="1701"/>
        <v>6.61</v>
      </c>
      <c r="BI245" s="23">
        <f t="shared" si="1701"/>
        <v>6.89</v>
      </c>
      <c r="BJ245" s="23">
        <f t="shared" si="1701"/>
        <v>6.99</v>
      </c>
      <c r="BK245" s="23">
        <f t="shared" si="1701"/>
        <v>7.35</v>
      </c>
      <c r="BL245" s="23">
        <f t="shared" si="1701"/>
        <v>8.23</v>
      </c>
      <c r="BM245" s="23">
        <f t="shared" si="1701"/>
        <v>7.84</v>
      </c>
      <c r="BN245" s="23">
        <f t="shared" si="1701"/>
        <v>8.49</v>
      </c>
      <c r="BO245" s="23">
        <f t="shared" ref="BO245:CT245" si="1702">BO74</f>
        <v>6.97</v>
      </c>
      <c r="BP245" s="23">
        <f t="shared" si="1702"/>
        <v>7.64</v>
      </c>
      <c r="BQ245" s="23">
        <f t="shared" si="1702"/>
        <v>7.84</v>
      </c>
      <c r="BR245" s="23">
        <f t="shared" si="1702"/>
        <v>7.81</v>
      </c>
      <c r="BS245" s="23">
        <f t="shared" si="1702"/>
        <v>7.29</v>
      </c>
      <c r="BT245" s="23">
        <f t="shared" si="1702"/>
        <v>8.16</v>
      </c>
      <c r="BU245" s="23">
        <f t="shared" si="1702"/>
        <v>8.8000000000000007</v>
      </c>
      <c r="BV245" s="23">
        <f t="shared" si="1702"/>
        <v>9.67</v>
      </c>
      <c r="BW245" s="23">
        <f t="shared" si="1702"/>
        <v>8.61</v>
      </c>
      <c r="BX245" s="23">
        <f t="shared" si="1702"/>
        <v>9.15</v>
      </c>
      <c r="BY245" s="23">
        <f t="shared" si="1702"/>
        <v>10.15</v>
      </c>
      <c r="BZ245" s="23">
        <f t="shared" si="1702"/>
        <v>10.8</v>
      </c>
      <c r="CA245" s="23">
        <f t="shared" si="1702"/>
        <v>9.83</v>
      </c>
      <c r="CB245" s="23">
        <f t="shared" si="1702"/>
        <v>10.65</v>
      </c>
      <c r="CC245" s="23">
        <f t="shared" si="1702"/>
        <v>13.47</v>
      </c>
      <c r="CD245" s="23">
        <f t="shared" si="1702"/>
        <v>13.06</v>
      </c>
      <c r="CE245" s="23">
        <f t="shared" si="1702"/>
        <v>11.36</v>
      </c>
      <c r="CF245" s="23">
        <f t="shared" si="1702"/>
        <v>13.07</v>
      </c>
      <c r="CG245" s="23">
        <f t="shared" si="1702"/>
        <v>17.059999999999999</v>
      </c>
      <c r="CH245" s="23">
        <f t="shared" si="1702"/>
        <v>13.77</v>
      </c>
      <c r="CI245" s="23">
        <f t="shared" si="1702"/>
        <v>11.41</v>
      </c>
      <c r="CJ245" s="23">
        <f t="shared" si="1702"/>
        <v>11.51</v>
      </c>
      <c r="CK245" s="23">
        <f t="shared" si="1702"/>
        <v>21.63</v>
      </c>
      <c r="CL245" s="23">
        <f t="shared" ref="CL245" si="1703">CL74</f>
        <v>14.03</v>
      </c>
      <c r="CM245" s="24">
        <f t="shared" si="1702"/>
        <v>15.38557056392087</v>
      </c>
      <c r="CN245" s="24">
        <f t="shared" si="1702"/>
        <v>15.345641755153453</v>
      </c>
      <c r="CO245" s="24">
        <f t="shared" si="1702"/>
        <v>15.309847882812127</v>
      </c>
      <c r="CP245" s="24">
        <f t="shared" si="1702"/>
        <v>15.277760742305382</v>
      </c>
      <c r="CQ245" s="24">
        <f t="shared" si="1702"/>
        <v>15.248996472933186</v>
      </c>
      <c r="CR245" s="24">
        <f t="shared" si="1702"/>
        <v>15.223210965734689</v>
      </c>
      <c r="CS245" s="24">
        <f t="shared" si="1702"/>
        <v>15.200095746888678</v>
      </c>
      <c r="CT245" s="24">
        <f t="shared" si="1702"/>
        <v>15.179374287419767</v>
      </c>
      <c r="CU245" s="24">
        <f t="shared" ref="CU245:DB245" si="1704">CU74</f>
        <v>15.160798695062967</v>
      </c>
      <c r="CV245" s="24">
        <f t="shared" si="1704"/>
        <v>15.144146748711229</v>
      </c>
      <c r="CW245" s="24">
        <f t="shared" si="1704"/>
        <v>15.12921923996884</v>
      </c>
      <c r="CX245" s="24">
        <f t="shared" si="1704"/>
        <v>15.115837590007496</v>
      </c>
      <c r="CY245" s="24">
        <f t="shared" si="1704"/>
        <v>15.10384171321531</v>
      </c>
      <c r="CZ245" s="24">
        <f t="shared" si="1704"/>
        <v>15.093088102081481</v>
      </c>
      <c r="DA245" s="24">
        <f t="shared" si="1704"/>
        <v>15.083448110405939</v>
      </c>
      <c r="DB245" s="24">
        <f t="shared" si="1704"/>
        <v>15.074806414295848</v>
      </c>
      <c r="DE245" s="123"/>
      <c r="DF245" s="23">
        <v>18.652106167653237</v>
      </c>
    </row>
    <row r="246" spans="1:110" s="22" customFormat="1" x14ac:dyDescent="0.2">
      <c r="A246" s="22" t="s">
        <v>89</v>
      </c>
      <c r="C246" s="22">
        <f t="shared" ref="C246:W246" si="1705">C244+C245</f>
        <v>0</v>
      </c>
      <c r="D246" s="22">
        <f t="shared" si="1705"/>
        <v>0</v>
      </c>
      <c r="E246" s="22">
        <f t="shared" si="1705"/>
        <v>0</v>
      </c>
      <c r="F246" s="22">
        <f t="shared" si="1705"/>
        <v>0</v>
      </c>
      <c r="G246" s="22">
        <f t="shared" si="1705"/>
        <v>0</v>
      </c>
      <c r="H246" s="22">
        <f t="shared" si="1705"/>
        <v>3.2609664999999959</v>
      </c>
      <c r="I246" s="22">
        <f t="shared" si="1705"/>
        <v>23.185419999999993</v>
      </c>
      <c r="J246" s="22">
        <f t="shared" si="1705"/>
        <v>9.0330947000000013</v>
      </c>
      <c r="K246" s="22">
        <f t="shared" si="1705"/>
        <v>24.557553199999994</v>
      </c>
      <c r="L246" s="22">
        <f t="shared" si="1705"/>
        <v>26.13399999999999</v>
      </c>
      <c r="M246" s="22">
        <f t="shared" si="1705"/>
        <v>37.033999999999985</v>
      </c>
      <c r="N246" s="22">
        <f t="shared" si="1705"/>
        <v>60.133999999999993</v>
      </c>
      <c r="O246" s="22">
        <f t="shared" si="1705"/>
        <v>52.518000000000022</v>
      </c>
      <c r="P246" s="22">
        <f t="shared" si="1705"/>
        <v>58.082000000000001</v>
      </c>
      <c r="Q246" s="22">
        <f t="shared" si="1705"/>
        <v>70.037000000000006</v>
      </c>
      <c r="R246" s="22">
        <f t="shared" si="1705"/>
        <v>60.930000000000021</v>
      </c>
      <c r="S246" s="22">
        <f t="shared" si="1705"/>
        <v>113.54999999999998</v>
      </c>
      <c r="T246" s="22">
        <f t="shared" si="1705"/>
        <v>111.41999999999997</v>
      </c>
      <c r="U246" s="22">
        <f t="shared" si="1705"/>
        <v>120.42999999999998</v>
      </c>
      <c r="V246" s="22">
        <f t="shared" si="1705"/>
        <v>142.04000000000002</v>
      </c>
      <c r="W246" s="22">
        <f t="shared" si="1705"/>
        <v>209.92999999999998</v>
      </c>
      <c r="X246" s="22">
        <f t="shared" ref="X246:Y246" si="1706">X244+X245</f>
        <v>104.72999999999993</v>
      </c>
      <c r="Y246" s="22">
        <f t="shared" si="1706"/>
        <v>118.05999999999995</v>
      </c>
      <c r="Z246" s="22">
        <f t="shared" ref="Z246:AA246" si="1707">Z244+Z245</f>
        <v>146.00000000000011</v>
      </c>
      <c r="AA246" s="22">
        <f t="shared" si="1707"/>
        <v>221.99999999999994</v>
      </c>
      <c r="AB246" s="21">
        <f t="shared" ref="AA246:AD246" si="1708">AB244+AB245</f>
        <v>256.63236409318296</v>
      </c>
      <c r="AC246" s="21">
        <f t="shared" si="1708"/>
        <v>310.79139862496345</v>
      </c>
      <c r="AD246" s="21">
        <f t="shared" si="1708"/>
        <v>371.88787979277674</v>
      </c>
      <c r="AE246" s="21">
        <f t="shared" ref="AE246" si="1709">AE244+AE245</f>
        <v>444.67909041027252</v>
      </c>
      <c r="AI246" s="22">
        <f t="shared" ref="AI246" si="1710">AI244+AI245</f>
        <v>0</v>
      </c>
      <c r="AJ246" s="22">
        <f t="shared" ref="AJ246:AL246" si="1711">AJ244+AJ245</f>
        <v>0</v>
      </c>
      <c r="AK246" s="22">
        <f t="shared" si="1711"/>
        <v>0</v>
      </c>
      <c r="AL246" s="22">
        <f t="shared" si="1711"/>
        <v>0</v>
      </c>
      <c r="AM246" s="22">
        <f t="shared" ref="AM246" si="1712">AM244+AM245</f>
        <v>0</v>
      </c>
      <c r="AN246" s="22">
        <f t="shared" ref="AN246:CD246" si="1713">AN244+AN245</f>
        <v>0</v>
      </c>
      <c r="AO246" s="22">
        <f t="shared" si="1713"/>
        <v>0</v>
      </c>
      <c r="AP246" s="22">
        <f t="shared" si="1713"/>
        <v>0</v>
      </c>
      <c r="AQ246" s="22">
        <f t="shared" si="1713"/>
        <v>0</v>
      </c>
      <c r="AR246" s="22">
        <f t="shared" si="1713"/>
        <v>0</v>
      </c>
      <c r="AS246" s="22">
        <f t="shared" si="1713"/>
        <v>0</v>
      </c>
      <c r="AT246" s="22">
        <f t="shared" si="1713"/>
        <v>0</v>
      </c>
      <c r="AU246" s="22">
        <f t="shared" si="1713"/>
        <v>16.317999999999998</v>
      </c>
      <c r="AV246" s="22">
        <f t="shared" si="1713"/>
        <v>20.585000000000001</v>
      </c>
      <c r="AW246" s="22">
        <f t="shared" si="1713"/>
        <v>15.452000000000007</v>
      </c>
      <c r="AX246" s="22">
        <f t="shared" si="1713"/>
        <v>18.962999999999997</v>
      </c>
      <c r="AY246" s="22">
        <f t="shared" si="1713"/>
        <v>21.21</v>
      </c>
      <c r="AZ246" s="22">
        <f t="shared" si="1713"/>
        <v>5.4959999999999996</v>
      </c>
      <c r="BA246" s="22">
        <f t="shared" si="1713"/>
        <v>13.845000000000004</v>
      </c>
      <c r="BB246" s="22">
        <f t="shared" si="1713"/>
        <v>20.332999999999998</v>
      </c>
      <c r="BC246" s="22">
        <f t="shared" si="1713"/>
        <v>26.43</v>
      </c>
      <c r="BD246" s="22">
        <f t="shared" si="1713"/>
        <v>29.596000000000004</v>
      </c>
      <c r="BE246" s="22">
        <f t="shared" si="1713"/>
        <v>26.61000000000001</v>
      </c>
      <c r="BF246" s="22">
        <f t="shared" si="1713"/>
        <v>30.730000000000004</v>
      </c>
      <c r="BG246" s="22">
        <f t="shared" si="1713"/>
        <v>29.080000000000002</v>
      </c>
      <c r="BH246" s="22">
        <f t="shared" si="1713"/>
        <v>31.87</v>
      </c>
      <c r="BI246" s="22">
        <f t="shared" si="1713"/>
        <v>27.040000000000006</v>
      </c>
      <c r="BJ246" s="22">
        <f t="shared" si="1713"/>
        <v>23.32</v>
      </c>
      <c r="BK246" s="22">
        <f t="shared" si="1713"/>
        <v>34.820000000000007</v>
      </c>
      <c r="BL246" s="22">
        <f t="shared" si="1713"/>
        <v>43.280000000000015</v>
      </c>
      <c r="BM246" s="22">
        <f t="shared" si="1713"/>
        <v>35.330000000000013</v>
      </c>
      <c r="BN246" s="22">
        <f t="shared" si="1713"/>
        <v>6.889999999999997</v>
      </c>
      <c r="BO246" s="22">
        <f t="shared" si="1713"/>
        <v>7.2000000000000011</v>
      </c>
      <c r="BP246" s="22">
        <f t="shared" si="1713"/>
        <v>50.690000000000005</v>
      </c>
      <c r="BQ246" s="22">
        <f t="shared" si="1713"/>
        <v>40.230000000000018</v>
      </c>
      <c r="BR246" s="22">
        <f t="shared" si="1713"/>
        <v>45.560000000000009</v>
      </c>
      <c r="BS246" s="22">
        <f t="shared" si="1713"/>
        <v>62.86999999999999</v>
      </c>
      <c r="BT246" s="22">
        <f t="shared" si="1713"/>
        <v>85.889999999999986</v>
      </c>
      <c r="BU246" s="22">
        <f t="shared" si="1713"/>
        <v>30.300000000000011</v>
      </c>
      <c r="BV246" s="22">
        <f t="shared" si="1713"/>
        <v>30.909999999999982</v>
      </c>
      <c r="BW246" s="22">
        <f t="shared" si="1713"/>
        <v>30.340000000000025</v>
      </c>
      <c r="BX246" s="22">
        <f t="shared" si="1713"/>
        <v>24.580000000000009</v>
      </c>
      <c r="BY246" s="22">
        <f t="shared" si="1713"/>
        <v>24.870000000000005</v>
      </c>
      <c r="BZ246" s="22">
        <f t="shared" si="1713"/>
        <v>23.400000000000009</v>
      </c>
      <c r="CA246" s="22">
        <f t="shared" si="1713"/>
        <v>27.13000000000001</v>
      </c>
      <c r="CB246" s="22">
        <f t="shared" si="1713"/>
        <v>30.990000000000002</v>
      </c>
      <c r="CC246" s="22">
        <f t="shared" si="1713"/>
        <v>28.820000000000036</v>
      </c>
      <c r="CD246" s="22">
        <f t="shared" si="1713"/>
        <v>30.840000000000003</v>
      </c>
      <c r="CE246" s="22">
        <f t="shared" ref="CE246:CF246" si="1714">CE244+CE245</f>
        <v>35.529999999999987</v>
      </c>
      <c r="CF246" s="22">
        <f t="shared" si="1714"/>
        <v>39.740000000000009</v>
      </c>
      <c r="CG246" s="22">
        <f t="shared" ref="CG246:CH246" si="1715">CG244+CG245</f>
        <v>36.17</v>
      </c>
      <c r="CH246" s="22">
        <f t="shared" si="1715"/>
        <v>35.469999999999963</v>
      </c>
      <c r="CI246" s="22">
        <f t="shared" ref="CI246:CJ246" si="1716">CI244+CI245</f>
        <v>50.340000000000018</v>
      </c>
      <c r="CJ246" s="22">
        <f t="shared" si="1716"/>
        <v>59.499999999999986</v>
      </c>
      <c r="CK246" s="22">
        <f t="shared" ref="CK246:DB246" si="1717">CK244+CK245</f>
        <v>50.640000000000022</v>
      </c>
      <c r="CL246" s="22">
        <f t="shared" si="1717"/>
        <v>61.139999999999944</v>
      </c>
      <c r="CM246" s="21">
        <f t="shared" si="1717"/>
        <v>58.524235854824418</v>
      </c>
      <c r="CN246" s="21">
        <f t="shared" si="1717"/>
        <v>66.447831969989977</v>
      </c>
      <c r="CO246" s="21">
        <f t="shared" si="1717"/>
        <v>60.898465675531043</v>
      </c>
      <c r="CP246" s="21">
        <f t="shared" si="1717"/>
        <v>70.761830592837498</v>
      </c>
      <c r="CQ246" s="21">
        <f t="shared" si="1717"/>
        <v>71.27933381493753</v>
      </c>
      <c r="CR246" s="21">
        <f t="shared" si="1717"/>
        <v>80.311958006391492</v>
      </c>
      <c r="CS246" s="21">
        <f t="shared" si="1717"/>
        <v>74.11805350606204</v>
      </c>
      <c r="CT246" s="21">
        <f t="shared" si="1717"/>
        <v>85.082053297572358</v>
      </c>
      <c r="CU246" s="21">
        <f t="shared" si="1717"/>
        <v>85.803729234174526</v>
      </c>
      <c r="CV246" s="21">
        <f t="shared" si="1717"/>
        <v>96.305798172831345</v>
      </c>
      <c r="CW246" s="21">
        <f t="shared" si="1717"/>
        <v>88.624002909869233</v>
      </c>
      <c r="CX246" s="21">
        <f t="shared" si="1717"/>
        <v>101.15434947590161</v>
      </c>
      <c r="CY246" s="21">
        <f t="shared" si="1717"/>
        <v>102.74842035699027</v>
      </c>
      <c r="CZ246" s="21">
        <f t="shared" si="1717"/>
        <v>115.15931736414917</v>
      </c>
      <c r="DA246" s="21">
        <f t="shared" si="1717"/>
        <v>105.91782133665225</v>
      </c>
      <c r="DB246" s="21">
        <f t="shared" si="1717"/>
        <v>120.85353135248086</v>
      </c>
      <c r="DE246" s="126"/>
      <c r="DF246" s="22">
        <v>59.516104956749096</v>
      </c>
    </row>
    <row r="247" spans="1:110" s="23" customFormat="1" x14ac:dyDescent="0.2">
      <c r="A247" s="23" t="s">
        <v>65</v>
      </c>
      <c r="C247" s="23">
        <f t="shared" ref="C247:AE247" si="1718">B195-C195+B214+B215-C214-C215</f>
        <v>0</v>
      </c>
      <c r="D247" s="23">
        <f t="shared" si="1718"/>
        <v>0</v>
      </c>
      <c r="E247" s="23">
        <f t="shared" si="1718"/>
        <v>0</v>
      </c>
      <c r="F247" s="23">
        <f t="shared" si="1718"/>
        <v>0</v>
      </c>
      <c r="G247" s="23">
        <f t="shared" si="1718"/>
        <v>0</v>
      </c>
      <c r="H247" s="23">
        <f t="shared" si="1718"/>
        <v>-36.384299400000003</v>
      </c>
      <c r="I247" s="23">
        <f t="shared" si="1718"/>
        <v>-22.770415500000002</v>
      </c>
      <c r="J247" s="23">
        <f t="shared" si="1718"/>
        <v>6.0053442999999982</v>
      </c>
      <c r="K247" s="23">
        <f t="shared" si="1718"/>
        <v>4.583979700000004</v>
      </c>
      <c r="L247" s="23">
        <f t="shared" si="1718"/>
        <v>28.065390900000001</v>
      </c>
      <c r="M247" s="23">
        <f t="shared" si="1718"/>
        <v>-13.912000000000001</v>
      </c>
      <c r="N247" s="23">
        <f t="shared" si="1718"/>
        <v>18.170999999999999</v>
      </c>
      <c r="O247" s="23">
        <f t="shared" si="1718"/>
        <v>-4.2110000000000012</v>
      </c>
      <c r="P247" s="23">
        <f t="shared" si="1718"/>
        <v>-16.213000000000001</v>
      </c>
      <c r="Q247" s="23">
        <f t="shared" si="1718"/>
        <v>-8.9720000000000049</v>
      </c>
      <c r="R247" s="23">
        <f t="shared" si="1718"/>
        <v>-0.12099999999998845</v>
      </c>
      <c r="S247" s="23">
        <f t="shared" si="1718"/>
        <v>-2.5320000000000111</v>
      </c>
      <c r="T247" s="23">
        <f t="shared" si="1718"/>
        <v>-25.759999999999994</v>
      </c>
      <c r="U247" s="23">
        <f t="shared" si="1718"/>
        <v>-15.350000000000005</v>
      </c>
      <c r="V247" s="23">
        <f t="shared" si="1718"/>
        <v>-49.349999999999987</v>
      </c>
      <c r="W247" s="23">
        <f t="shared" si="1718"/>
        <v>-267.01</v>
      </c>
      <c r="X247" s="23">
        <f t="shared" si="1718"/>
        <v>101.84</v>
      </c>
      <c r="Y247" s="23">
        <f t="shared" si="1718"/>
        <v>170.73</v>
      </c>
      <c r="Z247" s="23">
        <f t="shared" si="1718"/>
        <v>-80.009999999999991</v>
      </c>
      <c r="AA247" s="23">
        <f t="shared" si="1718"/>
        <v>-25.250000000000007</v>
      </c>
      <c r="AB247" s="24">
        <f t="shared" si="1718"/>
        <v>-43.309579603482888</v>
      </c>
      <c r="AC247" s="24">
        <f t="shared" si="1718"/>
        <v>-49.033694564034249</v>
      </c>
      <c r="AD247" s="24">
        <f t="shared" si="1718"/>
        <v>-58.516811092718626</v>
      </c>
      <c r="AE247" s="24">
        <f t="shared" si="1718"/>
        <v>-69.833962358050201</v>
      </c>
      <c r="AI247" s="23">
        <f>AH195-AI195+AH214+AH215-AI214-AJ215</f>
        <v>0</v>
      </c>
      <c r="AJ247" s="23">
        <f>AI195-AJ195+AI214+AI215-AJ214-AK215</f>
        <v>0</v>
      </c>
      <c r="AK247" s="23" t="e">
        <f>AJ195-AK195+AJ214+AJ215-AK214-AL215</f>
        <v>#DIV/0!</v>
      </c>
      <c r="AL247" s="23" t="e">
        <f>AK195-AL195+AK214+AK215-AL214-AM215</f>
        <v>#DIV/0!</v>
      </c>
      <c r="AM247" s="23" t="e">
        <f t="shared" ref="AM247:BR247" si="1719">AL195-AM195+AL214+AL215-AM214-AM215</f>
        <v>#DIV/0!</v>
      </c>
      <c r="AN247" s="23" t="e">
        <f t="shared" si="1719"/>
        <v>#DIV/0!</v>
      </c>
      <c r="AO247" s="23" t="e">
        <f t="shared" si="1719"/>
        <v>#DIV/0!</v>
      </c>
      <c r="AP247" s="23" t="e">
        <f t="shared" si="1719"/>
        <v>#DIV/0!</v>
      </c>
      <c r="AQ247" s="23" t="e">
        <f t="shared" si="1719"/>
        <v>#DIV/0!</v>
      </c>
      <c r="AR247" s="23" t="e">
        <f t="shared" si="1719"/>
        <v>#DIV/0!</v>
      </c>
      <c r="AS247" s="23" t="e">
        <f t="shared" si="1719"/>
        <v>#DIV/0!</v>
      </c>
      <c r="AT247" s="23" t="e">
        <f t="shared" si="1719"/>
        <v>#DIV/0!</v>
      </c>
      <c r="AU247" s="23" t="e">
        <f t="shared" si="1719"/>
        <v>#DIV/0!</v>
      </c>
      <c r="AV247" s="23" t="e">
        <f t="shared" si="1719"/>
        <v>#DIV/0!</v>
      </c>
      <c r="AW247" s="23">
        <f t="shared" si="1719"/>
        <v>0</v>
      </c>
      <c r="AX247" s="23">
        <f t="shared" si="1719"/>
        <v>-45.637</v>
      </c>
      <c r="AY247" s="23">
        <f t="shared" si="1719"/>
        <v>-1.0335743601567913</v>
      </c>
      <c r="AZ247" s="23">
        <f t="shared" si="1719"/>
        <v>-11.519425639843206</v>
      </c>
      <c r="BA247" s="23">
        <f t="shared" si="1719"/>
        <v>2.1956404514510908</v>
      </c>
      <c r="BB247" s="23">
        <f t="shared" si="1719"/>
        <v>10.235359548548914</v>
      </c>
      <c r="BC247" s="23">
        <f t="shared" si="1719"/>
        <v>-0.15356320308553961</v>
      </c>
      <c r="BD247" s="23">
        <f t="shared" si="1719"/>
        <v>1.7765632030855394</v>
      </c>
      <c r="BE247" s="23">
        <f t="shared" si="1719"/>
        <v>1.1540779681039557</v>
      </c>
      <c r="BF247" s="23">
        <f t="shared" si="1719"/>
        <v>-25.309077968103963</v>
      </c>
      <c r="BG247" s="23">
        <f t="shared" si="1719"/>
        <v>-0.13631388371611308</v>
      </c>
      <c r="BH247" s="23">
        <f t="shared" si="1719"/>
        <v>-12.462686116283884</v>
      </c>
      <c r="BI247" s="23">
        <f t="shared" si="1719"/>
        <v>2.552163072776267</v>
      </c>
      <c r="BJ247" s="23">
        <f t="shared" si="1719"/>
        <v>4.2878369272237338</v>
      </c>
      <c r="BK247" s="23">
        <f t="shared" si="1719"/>
        <v>-1.1856577327398412</v>
      </c>
      <c r="BL247" s="23">
        <f t="shared" si="1719"/>
        <v>-36.23434226726016</v>
      </c>
      <c r="BM247" s="23">
        <f t="shared" si="1719"/>
        <v>3.5429671369580262</v>
      </c>
      <c r="BN247" s="23">
        <f t="shared" si="1719"/>
        <v>-6.1729671369580412</v>
      </c>
      <c r="BO247" s="23">
        <f t="shared" si="1719"/>
        <v>16.555802444794963</v>
      </c>
      <c r="BP247" s="23">
        <f t="shared" si="1719"/>
        <v>-63.385802444794933</v>
      </c>
      <c r="BQ247" s="23">
        <f t="shared" si="1719"/>
        <v>6.3585579119086324</v>
      </c>
      <c r="BR247" s="23">
        <f t="shared" si="1719"/>
        <v>-6.6685579119086471</v>
      </c>
      <c r="BS247" s="23">
        <f t="shared" ref="BS247:DB247" si="1720">BR195-BS195+BR214+BR215-BS214-BS215</f>
        <v>-8.252467992372658</v>
      </c>
      <c r="BT247" s="23">
        <f t="shared" si="1720"/>
        <v>-36.847532007627365</v>
      </c>
      <c r="BU247" s="23">
        <f t="shared" si="1720"/>
        <v>43.75789739515352</v>
      </c>
      <c r="BV247" s="23">
        <f t="shared" si="1720"/>
        <v>-30.787897395153522</v>
      </c>
      <c r="BW247" s="23">
        <f t="shared" si="1720"/>
        <v>2.4977948835784796</v>
      </c>
      <c r="BX247" s="23">
        <f t="shared" si="1720"/>
        <v>-2.2777948835784816</v>
      </c>
      <c r="BY247" s="23">
        <f t="shared" si="1720"/>
        <v>5.9861806327332081</v>
      </c>
      <c r="BZ247" s="23">
        <f t="shared" si="1720"/>
        <v>-11.586180632733196</v>
      </c>
      <c r="CA247" s="23">
        <f t="shared" si="1720"/>
        <v>0.82176994406830772</v>
      </c>
      <c r="CB247" s="23">
        <f t="shared" si="1720"/>
        <v>-12.521769944068307</v>
      </c>
      <c r="CC247" s="23">
        <f t="shared" si="1720"/>
        <v>7.8520702702702749</v>
      </c>
      <c r="CD247" s="23">
        <f t="shared" si="1720"/>
        <v>36.687929729729724</v>
      </c>
      <c r="CE247" s="23">
        <f t="shared" si="1720"/>
        <v>-1.5690982171799135</v>
      </c>
      <c r="CF247" s="23">
        <f t="shared" si="1720"/>
        <v>-2.3409017828200724</v>
      </c>
      <c r="CG247" s="23">
        <f t="shared" si="1720"/>
        <v>5.9341452413171112</v>
      </c>
      <c r="CH247" s="23">
        <f t="shared" si="1720"/>
        <v>-43.064145241317107</v>
      </c>
      <c r="CI247" s="23">
        <f t="shared" si="1720"/>
        <v>-6.2231534515921965</v>
      </c>
      <c r="CJ247" s="23">
        <f t="shared" si="1720"/>
        <v>18.023153451592187</v>
      </c>
      <c r="CK247" s="23">
        <f t="shared" si="1720"/>
        <v>17.675379854985437</v>
      </c>
      <c r="CL247" s="23">
        <f t="shared" si="1720"/>
        <v>-65.105379854985458</v>
      </c>
      <c r="CM247" s="24">
        <f t="shared" si="1720"/>
        <v>-0.91466644072337999</v>
      </c>
      <c r="CN247" s="24">
        <f t="shared" si="1720"/>
        <v>-28.036870336235751</v>
      </c>
      <c r="CO247" s="24">
        <f t="shared" si="1720"/>
        <v>23.704993374413899</v>
      </c>
      <c r="CP247" s="24">
        <f t="shared" si="1720"/>
        <v>-33.933036200937636</v>
      </c>
      <c r="CQ247" s="24">
        <f t="shared" si="1720"/>
        <v>-3.3683471955970958</v>
      </c>
      <c r="CR247" s="24">
        <f t="shared" si="1720"/>
        <v>-33.459201059263762</v>
      </c>
      <c r="CS247" s="24">
        <f t="shared" si="1720"/>
        <v>28.289539093025606</v>
      </c>
      <c r="CT247" s="24">
        <f t="shared" si="1720"/>
        <v>-40.495685402199001</v>
      </c>
      <c r="CU247" s="24">
        <f t="shared" si="1720"/>
        <v>-4.0197855432256802</v>
      </c>
      <c r="CV247" s="24">
        <f t="shared" si="1720"/>
        <v>-39.930210544125259</v>
      </c>
      <c r="CW247" s="24">
        <f t="shared" si="1720"/>
        <v>33.760735953616802</v>
      </c>
      <c r="CX247" s="24">
        <f t="shared" si="1720"/>
        <v>-48.327550958984489</v>
      </c>
      <c r="CY247" s="24">
        <f t="shared" si="1720"/>
        <v>-4.7972120672853862</v>
      </c>
      <c r="CZ247" s="24">
        <f t="shared" si="1720"/>
        <v>-47.65271326335909</v>
      </c>
      <c r="DA247" s="24">
        <f t="shared" si="1720"/>
        <v>40.290062287046169</v>
      </c>
      <c r="DB247" s="24">
        <f t="shared" si="1720"/>
        <v>-57.674099314451894</v>
      </c>
      <c r="DE247" s="123"/>
      <c r="DF247" s="23">
        <v>-20.539010229529396</v>
      </c>
    </row>
    <row r="248" spans="1:110" s="23" customFormat="1" x14ac:dyDescent="0.2">
      <c r="A248" s="23" t="s">
        <v>73</v>
      </c>
      <c r="C248" s="23">
        <f t="shared" ref="C248:AA248" si="1721">B207-C207</f>
        <v>0</v>
      </c>
      <c r="D248" s="23">
        <f t="shared" si="1721"/>
        <v>0</v>
      </c>
      <c r="E248" s="23">
        <f>D207-E207</f>
        <v>0</v>
      </c>
      <c r="F248" s="23">
        <f t="shared" si="1721"/>
        <v>0</v>
      </c>
      <c r="G248" s="23">
        <f t="shared" si="1721"/>
        <v>0</v>
      </c>
      <c r="H248" s="23">
        <f t="shared" si="1721"/>
        <v>-7.5953808</v>
      </c>
      <c r="I248" s="23">
        <f t="shared" si="1721"/>
        <v>-27.127285200000003</v>
      </c>
      <c r="J248" s="23">
        <f>I207-J207</f>
        <v>13.764609400000005</v>
      </c>
      <c r="K248" s="23">
        <f>J207-K207</f>
        <v>-9.0895899</v>
      </c>
      <c r="L248" s="23">
        <f t="shared" si="1721"/>
        <v>21.636646499999998</v>
      </c>
      <c r="M248" s="23">
        <f t="shared" si="1721"/>
        <v>-1.1899999999999995</v>
      </c>
      <c r="N248" s="23">
        <f t="shared" si="1721"/>
        <v>-1.7550000000000008</v>
      </c>
      <c r="O248" s="23">
        <f t="shared" si="1721"/>
        <v>-2.5030000000000001</v>
      </c>
      <c r="P248" s="23">
        <f t="shared" si="1721"/>
        <v>-2.9769999999999985</v>
      </c>
      <c r="Q248" s="23">
        <f t="shared" si="1721"/>
        <v>-27.228000000000002</v>
      </c>
      <c r="R248" s="23">
        <f t="shared" si="1721"/>
        <v>21.294</v>
      </c>
      <c r="S248" s="23">
        <f t="shared" si="1721"/>
        <v>-12.940000000000008</v>
      </c>
      <c r="T248" s="23">
        <f t="shared" si="1721"/>
        <v>-1.3899999999999935</v>
      </c>
      <c r="U248" s="23">
        <f t="shared" si="1721"/>
        <v>-58.440000000000005</v>
      </c>
      <c r="V248" s="23">
        <f t="shared" si="1721"/>
        <v>-18.589999999999989</v>
      </c>
      <c r="W248" s="23">
        <f t="shared" si="1721"/>
        <v>-213</v>
      </c>
      <c r="X248" s="23">
        <f t="shared" si="1721"/>
        <v>90.06</v>
      </c>
      <c r="Y248" s="23">
        <f t="shared" si="1721"/>
        <v>142.41</v>
      </c>
      <c r="Z248" s="23">
        <f t="shared" si="1721"/>
        <v>-98.859999999999985</v>
      </c>
      <c r="AA248" s="23">
        <f t="shared" si="1721"/>
        <v>-24.970000000000027</v>
      </c>
      <c r="AB248" s="24">
        <f t="shared" ref="AB248" si="1722">AA207-AB207</f>
        <v>29.457511757088639</v>
      </c>
      <c r="AC248" s="24">
        <f t="shared" ref="AC248" si="1723">AB207-AC207</f>
        <v>-34.832679198494304</v>
      </c>
      <c r="AD248" s="24">
        <f t="shared" ref="AD248" si="1724">AC207-AD207</f>
        <v>-41.569319355483117</v>
      </c>
      <c r="AE248" s="24">
        <f t="shared" ref="AE248" si="1725">AD207-AE207</f>
        <v>-49.608825718833543</v>
      </c>
      <c r="AI248" s="23">
        <f t="shared" ref="AI248" si="1726">AH207-AI207</f>
        <v>0</v>
      </c>
      <c r="AJ248" s="23">
        <f t="shared" ref="AJ248" si="1727">AI207-AJ207</f>
        <v>0</v>
      </c>
      <c r="AK248" s="23" t="e">
        <f t="shared" ref="AK248" si="1728">AJ207-AK207</f>
        <v>#DIV/0!</v>
      </c>
      <c r="AL248" s="23" t="e">
        <f t="shared" ref="AL248" si="1729">AK207-AL207</f>
        <v>#DIV/0!</v>
      </c>
      <c r="AM248" s="23" t="e">
        <f t="shared" ref="AM248" si="1730">AL207-AM207</f>
        <v>#DIV/0!</v>
      </c>
      <c r="AN248" s="23" t="e">
        <f t="shared" ref="AN248" si="1731">AM207-AN207</f>
        <v>#DIV/0!</v>
      </c>
      <c r="AO248" s="23" t="e">
        <f t="shared" ref="AO248" si="1732">AN207-AO207</f>
        <v>#DIV/0!</v>
      </c>
      <c r="AP248" s="23" t="e">
        <f t="shared" ref="AP248" si="1733">AO207-AP207</f>
        <v>#DIV/0!</v>
      </c>
      <c r="AQ248" s="23" t="e">
        <f t="shared" ref="AQ248" si="1734">AP207-AQ207</f>
        <v>#DIV/0!</v>
      </c>
      <c r="AR248" s="23" t="e">
        <f t="shared" ref="AR248" si="1735">AQ207-AR207</f>
        <v>#DIV/0!</v>
      </c>
      <c r="AS248" s="23" t="e">
        <f t="shared" ref="AS248" si="1736">AR207-AS207</f>
        <v>#DIV/0!</v>
      </c>
      <c r="AT248" s="23" t="e">
        <f t="shared" ref="AT248" si="1737">AS207-AT207</f>
        <v>#DIV/0!</v>
      </c>
      <c r="AU248" s="23" t="e">
        <f t="shared" ref="AU248" si="1738">AT207-AU207</f>
        <v>#DIV/0!</v>
      </c>
      <c r="AV248" s="23" t="e">
        <f t="shared" ref="AV248" si="1739">AU207-AV207</f>
        <v>#DIV/0!</v>
      </c>
      <c r="AW248" s="23">
        <f t="shared" ref="AW248" si="1740">AV207-AW207</f>
        <v>0</v>
      </c>
      <c r="AX248" s="23">
        <f t="shared" ref="AX248" si="1741">AW207-AX207</f>
        <v>-44.064</v>
      </c>
      <c r="AY248" s="23">
        <f t="shared" ref="AY248" si="1742">AX207-AY207</f>
        <v>-0.11480378141572345</v>
      </c>
      <c r="AZ248" s="23">
        <f t="shared" ref="AZ248" si="1743">AY207-AZ207</f>
        <v>5.9698037814157203</v>
      </c>
      <c r="BA248" s="23">
        <f t="shared" ref="BA248" si="1744">AZ207-BA207</f>
        <v>8.9583482622721533E-2</v>
      </c>
      <c r="BB248" s="23">
        <f t="shared" ref="BB248" si="1745">BA207-BB207</f>
        <v>8.0994165173772821</v>
      </c>
      <c r="BC248" s="23">
        <f t="shared" ref="BC248" si="1746">BB207-BC207</f>
        <v>-9.5806051701181616E-3</v>
      </c>
      <c r="BD248" s="23">
        <f t="shared" ref="BD248" si="1747">BC207-BD207</f>
        <v>4.9885806051701209</v>
      </c>
      <c r="BE248" s="23">
        <f t="shared" ref="BE248" si="1748">BD207-BE207</f>
        <v>0.24919528374755373</v>
      </c>
      <c r="BF248" s="23">
        <f t="shared" ref="BF248" si="1749">BE207-BF207</f>
        <v>-10.918195283747558</v>
      </c>
      <c r="BG248" s="23">
        <f t="shared" ref="BG248" si="1750">BF207-BG207</f>
        <v>-3.340678667494501E-2</v>
      </c>
      <c r="BH248" s="23">
        <f t="shared" ref="BH248" si="1751">BG207-BH207</f>
        <v>6.4634067866749447</v>
      </c>
      <c r="BI248" s="23">
        <f t="shared" ref="BI248" si="1752">BH207-BI207</f>
        <v>0.10521370812476505</v>
      </c>
      <c r="BJ248" s="23">
        <f t="shared" ref="BJ248" si="1753">BI207-BJ207</f>
        <v>-7.9252137081247582</v>
      </c>
      <c r="BK248" s="23">
        <f t="shared" ref="BK248" si="1754">BJ207-BK207</f>
        <v>-0.29445402026707512</v>
      </c>
      <c r="BL248" s="23">
        <f t="shared" ref="BL248" si="1755">BK207-BL207</f>
        <v>-37.915545979732933</v>
      </c>
      <c r="BM248" s="23">
        <f t="shared" ref="BM248" si="1756">BL207-BM207</f>
        <v>0.77044476944253404</v>
      </c>
      <c r="BN248" s="23">
        <f t="shared" ref="BN248" si="1757">BM207-BN207</f>
        <v>-21.000444769442538</v>
      </c>
      <c r="BO248" s="23">
        <f t="shared" ref="BO248" si="1758">BN207-BO207</f>
        <v>9.7339925078864411</v>
      </c>
      <c r="BP248" s="23">
        <f t="shared" ref="BP248" si="1759">BO207-BP207</f>
        <v>-9.2539925078864371</v>
      </c>
      <c r="BQ248" s="23">
        <f t="shared" ref="BQ248" si="1760">BP207-BQ207</f>
        <v>2.0849814029363927</v>
      </c>
      <c r="BR248" s="23">
        <f t="shared" ref="BR248" si="1761">BQ207-BR207</f>
        <v>-21.154981402936386</v>
      </c>
      <c r="BS248" s="23">
        <f t="shared" ref="BS248" si="1762">BR207-BS207</f>
        <v>-3.0334248161263986</v>
      </c>
      <c r="BT248" s="23">
        <f t="shared" ref="BT248" si="1763">BS207-BT207</f>
        <v>18.013424816126388</v>
      </c>
      <c r="BU248" s="23">
        <f t="shared" ref="BU248" si="1764">BT207-BU207</f>
        <v>6.0108285568356052</v>
      </c>
      <c r="BV248" s="23">
        <f t="shared" ref="BV248" si="1765">BU207-BV207</f>
        <v>12.649171443164406</v>
      </c>
      <c r="BW248" s="23">
        <f t="shared" ref="BW248" si="1766">BV207-BW207</f>
        <v>0.35070542279412109</v>
      </c>
      <c r="BX248" s="23">
        <f t="shared" ref="BX248" si="1767">BW207-BX207</f>
        <v>2.67929457720588</v>
      </c>
      <c r="BY248" s="23">
        <f t="shared" ref="BY248" si="1768">BX207-BY207</f>
        <v>0.96718826405867731</v>
      </c>
      <c r="BZ248" s="23">
        <f t="shared" ref="BZ248" si="1769">BY207-BZ207</f>
        <v>-20.027188264058694</v>
      </c>
      <c r="CA248" s="23">
        <f t="shared" ref="CA248" si="1770">BZ207-CA207</f>
        <v>0.17478731233441636</v>
      </c>
      <c r="CB248" s="23">
        <f t="shared" ref="CB248" si="1771">CA207-CB207</f>
        <v>15.205212687665593</v>
      </c>
      <c r="CC248" s="23">
        <f t="shared" ref="CC248" si="1772">CB207-CC207</f>
        <v>1.5956797297297385</v>
      </c>
      <c r="CD248" s="23">
        <f t="shared" ref="CD248" si="1773">CC207-CD207</f>
        <v>-15.105679729729744</v>
      </c>
      <c r="CE248" s="23">
        <f t="shared" ref="CE248" si="1774">CD207-CE207</f>
        <v>-0.69168622366288446</v>
      </c>
      <c r="CF248" s="23">
        <f t="shared" ref="CF248" si="1775">CE207-CF207</f>
        <v>-12.958313776337121</v>
      </c>
      <c r="CG248" s="23">
        <f t="shared" ref="CG248" si="1776">CF207-CG207</f>
        <v>2.9490121786197676</v>
      </c>
      <c r="CH248" s="23">
        <f t="shared" ref="CH248:CL248" si="1777">CG207-CH207</f>
        <v>-53.259012178619741</v>
      </c>
      <c r="CI248" s="23">
        <f t="shared" si="1777"/>
        <v>-4.9745709553323252</v>
      </c>
      <c r="CJ248" s="23">
        <f t="shared" si="1777"/>
        <v>17.484570955332288</v>
      </c>
      <c r="CK248" s="23">
        <f t="shared" ref="CK248" si="1778">CJ207-CK207</f>
        <v>14.169399159469833</v>
      </c>
      <c r="CL248" s="23">
        <f t="shared" si="1777"/>
        <v>-29.269399159469828</v>
      </c>
      <c r="CM248" s="24">
        <f t="shared" ref="CM248" si="1779">CL207-CM207</f>
        <v>-0.64976304532265772</v>
      </c>
      <c r="CN248" s="24">
        <f t="shared" ref="CN248" si="1780">CM207-CN207</f>
        <v>-19.916902424648327</v>
      </c>
      <c r="CO248" s="24">
        <f t="shared" ref="CO248" si="1781">CN207-CO207</f>
        <v>16.839612779638287</v>
      </c>
      <c r="CP248" s="24">
        <f t="shared" ref="CP248" si="1782">CO207-CP207</f>
        <v>-24.105435552578655</v>
      </c>
      <c r="CQ248" s="24">
        <f t="shared" ref="CQ248" si="1783">CP207-CQ207</f>
        <v>-2.3928149476919032</v>
      </c>
      <c r="CR248" s="24">
        <f t="shared" ref="CR248" si="1784">CQ207-CR207</f>
        <v>-23.768831353575393</v>
      </c>
      <c r="CS248" s="24">
        <f t="shared" ref="CS248" si="1785">CR207-CS207</f>
        <v>20.096393891220401</v>
      </c>
      <c r="CT248" s="24">
        <f t="shared" ref="CT248" si="1786">CS207-CT207</f>
        <v>-28.767426788447409</v>
      </c>
      <c r="CU248" s="24">
        <f t="shared" ref="CU248" si="1787">CT207-CU207</f>
        <v>-2.8555853585756097</v>
      </c>
      <c r="CV248" s="24">
        <f t="shared" ref="CV248" si="1788">CU207-CV207</f>
        <v>-28.365723337356741</v>
      </c>
      <c r="CW248" s="24">
        <f t="shared" ref="CW248" si="1789">CV207-CW207</f>
        <v>23.983036469782405</v>
      </c>
      <c r="CX248" s="24">
        <f t="shared" ref="CX248" si="1790">CW207-CX207</f>
        <v>-34.331047129333172</v>
      </c>
      <c r="CY248" s="24">
        <f t="shared" ref="CY248" si="1791">CX207-CY207</f>
        <v>-3.4078555669241268</v>
      </c>
      <c r="CZ248" s="24">
        <f t="shared" ref="CZ248" si="1792">CY207-CZ207</f>
        <v>-33.851654230801557</v>
      </c>
      <c r="DA248" s="24">
        <f t="shared" ref="DA248" si="1793">CZ207-DA207</f>
        <v>28.621355723038278</v>
      </c>
      <c r="DB248" s="24">
        <f t="shared" ref="DB248" si="1794">DA207-DB207</f>
        <v>-40.970671644146137</v>
      </c>
      <c r="DE248" s="123"/>
      <c r="DF248" s="23">
        <v>-16.465017253960212</v>
      </c>
    </row>
    <row r="249" spans="1:110" s="22" customFormat="1" x14ac:dyDescent="0.2">
      <c r="A249" s="22" t="s">
        <v>90</v>
      </c>
      <c r="C249" s="22">
        <f t="shared" ref="C249:W249" si="1795">C247-C248</f>
        <v>0</v>
      </c>
      <c r="D249" s="22">
        <f t="shared" si="1795"/>
        <v>0</v>
      </c>
      <c r="E249" s="22">
        <f t="shared" si="1795"/>
        <v>0</v>
      </c>
      <c r="F249" s="22">
        <f t="shared" si="1795"/>
        <v>0</v>
      </c>
      <c r="G249" s="22">
        <f t="shared" si="1795"/>
        <v>0</v>
      </c>
      <c r="H249" s="22">
        <f t="shared" si="1795"/>
        <v>-28.788918600000002</v>
      </c>
      <c r="I249" s="22">
        <f t="shared" si="1795"/>
        <v>4.3568697000000007</v>
      </c>
      <c r="J249" s="22">
        <f>J247-J248</f>
        <v>-7.7592651000000066</v>
      </c>
      <c r="K249" s="22">
        <f t="shared" si="1795"/>
        <v>13.673569600000004</v>
      </c>
      <c r="L249" s="22">
        <f t="shared" si="1795"/>
        <v>6.4287444000000029</v>
      </c>
      <c r="M249" s="22">
        <f t="shared" si="1795"/>
        <v>-12.722000000000001</v>
      </c>
      <c r="N249" s="22">
        <f t="shared" si="1795"/>
        <v>19.926000000000002</v>
      </c>
      <c r="O249" s="22">
        <f t="shared" si="1795"/>
        <v>-1.7080000000000011</v>
      </c>
      <c r="P249" s="22">
        <f t="shared" si="1795"/>
        <v>-13.236000000000002</v>
      </c>
      <c r="Q249" s="22">
        <f t="shared" si="1795"/>
        <v>18.255999999999997</v>
      </c>
      <c r="R249" s="22">
        <f t="shared" si="1795"/>
        <v>-21.414999999999988</v>
      </c>
      <c r="S249" s="22">
        <f t="shared" si="1795"/>
        <v>10.407999999999998</v>
      </c>
      <c r="T249" s="22">
        <f t="shared" si="1795"/>
        <v>-24.37</v>
      </c>
      <c r="U249" s="22">
        <f t="shared" si="1795"/>
        <v>43.09</v>
      </c>
      <c r="V249" s="22">
        <f t="shared" si="1795"/>
        <v>-30.759999999999998</v>
      </c>
      <c r="W249" s="22">
        <f t="shared" si="1795"/>
        <v>-54.009999999999991</v>
      </c>
      <c r="X249" s="22">
        <f t="shared" ref="X249:Y249" si="1796">X247-X248</f>
        <v>11.780000000000001</v>
      </c>
      <c r="Y249" s="22">
        <f t="shared" si="1796"/>
        <v>28.319999999999993</v>
      </c>
      <c r="Z249" s="22">
        <f t="shared" ref="Z249:AA249" si="1797">Z247-Z248</f>
        <v>18.849999999999994</v>
      </c>
      <c r="AA249" s="22">
        <f t="shared" si="1797"/>
        <v>-0.27999999999997982</v>
      </c>
      <c r="AB249" s="21">
        <f t="shared" ref="AA249:AD249" si="1798">AB247-AB248</f>
        <v>-72.767091360571527</v>
      </c>
      <c r="AC249" s="21">
        <f t="shared" si="1798"/>
        <v>-14.201015365539945</v>
      </c>
      <c r="AD249" s="21">
        <f t="shared" si="1798"/>
        <v>-16.947491737235509</v>
      </c>
      <c r="AE249" s="21">
        <f t="shared" ref="AE249" si="1799">AE247-AE248</f>
        <v>-20.225136639216657</v>
      </c>
      <c r="AI249" s="22">
        <f t="shared" ref="AI249" si="1800">AI247-AI248</f>
        <v>0</v>
      </c>
      <c r="AJ249" s="22">
        <f t="shared" ref="AJ249:AL249" si="1801">AJ247-AJ248</f>
        <v>0</v>
      </c>
      <c r="AK249" s="22" t="e">
        <f t="shared" si="1801"/>
        <v>#DIV/0!</v>
      </c>
      <c r="AL249" s="22" t="e">
        <f t="shared" si="1801"/>
        <v>#DIV/0!</v>
      </c>
      <c r="AM249" s="22" t="e">
        <f t="shared" ref="AM249" si="1802">AM247-AM248</f>
        <v>#DIV/0!</v>
      </c>
      <c r="AN249" s="22" t="e">
        <f t="shared" ref="AN249:CD249" si="1803">AN247-AN248</f>
        <v>#DIV/0!</v>
      </c>
      <c r="AO249" s="22" t="e">
        <f t="shared" si="1803"/>
        <v>#DIV/0!</v>
      </c>
      <c r="AP249" s="22" t="e">
        <f t="shared" si="1803"/>
        <v>#DIV/0!</v>
      </c>
      <c r="AQ249" s="22" t="e">
        <f t="shared" si="1803"/>
        <v>#DIV/0!</v>
      </c>
      <c r="AR249" s="22" t="e">
        <f t="shared" si="1803"/>
        <v>#DIV/0!</v>
      </c>
      <c r="AS249" s="22" t="e">
        <f t="shared" si="1803"/>
        <v>#DIV/0!</v>
      </c>
      <c r="AT249" s="22" t="e">
        <f t="shared" si="1803"/>
        <v>#DIV/0!</v>
      </c>
      <c r="AU249" s="22" t="e">
        <f t="shared" si="1803"/>
        <v>#DIV/0!</v>
      </c>
      <c r="AV249" s="22" t="e">
        <f t="shared" si="1803"/>
        <v>#DIV/0!</v>
      </c>
      <c r="AW249" s="22">
        <f t="shared" si="1803"/>
        <v>0</v>
      </c>
      <c r="AX249" s="22">
        <f t="shared" si="1803"/>
        <v>-1.5730000000000004</v>
      </c>
      <c r="AY249" s="22">
        <f t="shared" si="1803"/>
        <v>-0.91877057874106782</v>
      </c>
      <c r="AZ249" s="22">
        <f t="shared" si="1803"/>
        <v>-17.489229421258926</v>
      </c>
      <c r="BA249" s="22">
        <f t="shared" si="1803"/>
        <v>2.1060569688283692</v>
      </c>
      <c r="BB249" s="22">
        <f t="shared" si="1803"/>
        <v>2.1359430311716316</v>
      </c>
      <c r="BC249" s="22">
        <f t="shared" si="1803"/>
        <v>-0.14398259791542145</v>
      </c>
      <c r="BD249" s="22">
        <f t="shared" si="1803"/>
        <v>-3.2120174020845815</v>
      </c>
      <c r="BE249" s="22">
        <f t="shared" si="1803"/>
        <v>0.90488268435640196</v>
      </c>
      <c r="BF249" s="22">
        <f t="shared" si="1803"/>
        <v>-14.390882684356406</v>
      </c>
      <c r="BG249" s="22">
        <f t="shared" si="1803"/>
        <v>-0.10290709704116807</v>
      </c>
      <c r="BH249" s="22">
        <f t="shared" si="1803"/>
        <v>-18.926092902958828</v>
      </c>
      <c r="BI249" s="22">
        <f t="shared" si="1803"/>
        <v>2.4469493646515019</v>
      </c>
      <c r="BJ249" s="22">
        <f t="shared" si="1803"/>
        <v>12.213050635348491</v>
      </c>
      <c r="BK249" s="22">
        <f t="shared" si="1803"/>
        <v>-0.89120371247276609</v>
      </c>
      <c r="BL249" s="22">
        <f t="shared" si="1803"/>
        <v>1.6812037124727723</v>
      </c>
      <c r="BM249" s="22">
        <f t="shared" si="1803"/>
        <v>2.7725223675154922</v>
      </c>
      <c r="BN249" s="22">
        <f t="shared" si="1803"/>
        <v>14.827477632484497</v>
      </c>
      <c r="BO249" s="22">
        <f t="shared" si="1803"/>
        <v>6.8218099369085223</v>
      </c>
      <c r="BP249" s="22">
        <f t="shared" si="1803"/>
        <v>-54.131809936908496</v>
      </c>
      <c r="BQ249" s="22">
        <f t="shared" si="1803"/>
        <v>4.2735765089722397</v>
      </c>
      <c r="BR249" s="22">
        <f t="shared" si="1803"/>
        <v>14.48642349102774</v>
      </c>
      <c r="BS249" s="22">
        <f t="shared" si="1803"/>
        <v>-5.2190431762462595</v>
      </c>
      <c r="BT249" s="22">
        <f t="shared" si="1803"/>
        <v>-54.860956823753753</v>
      </c>
      <c r="BU249" s="22">
        <f t="shared" si="1803"/>
        <v>37.747068838317915</v>
      </c>
      <c r="BV249" s="22">
        <f t="shared" si="1803"/>
        <v>-43.437068838317927</v>
      </c>
      <c r="BW249" s="22">
        <f t="shared" si="1803"/>
        <v>2.1470894607843585</v>
      </c>
      <c r="BX249" s="22">
        <f t="shared" si="1803"/>
        <v>-4.9570894607843616</v>
      </c>
      <c r="BY249" s="22">
        <f t="shared" si="1803"/>
        <v>5.0189923686745308</v>
      </c>
      <c r="BZ249" s="22">
        <f t="shared" si="1803"/>
        <v>8.4410076313254976</v>
      </c>
      <c r="CA249" s="22">
        <f t="shared" si="1803"/>
        <v>0.64698263173389137</v>
      </c>
      <c r="CB249" s="22">
        <f t="shared" si="1803"/>
        <v>-27.7269826317339</v>
      </c>
      <c r="CC249" s="22">
        <f t="shared" si="1803"/>
        <v>6.2563905405405364</v>
      </c>
      <c r="CD249" s="22">
        <f t="shared" si="1803"/>
        <v>51.793609459459468</v>
      </c>
      <c r="CE249" s="22">
        <f t="shared" ref="CE249:CF249" si="1804">CE247-CE248</f>
        <v>-0.87741199351702903</v>
      </c>
      <c r="CF249" s="22">
        <f t="shared" si="1804"/>
        <v>10.617411993517049</v>
      </c>
      <c r="CG249" s="22">
        <f t="shared" ref="CG249:CH249" si="1805">CG247-CG248</f>
        <v>2.9851330626973436</v>
      </c>
      <c r="CH249" s="22">
        <f t="shared" si="1805"/>
        <v>10.194866937302635</v>
      </c>
      <c r="CI249" s="22">
        <f t="shared" ref="CI249:CJ249" si="1806">CI247-CI248</f>
        <v>-1.2485824962598713</v>
      </c>
      <c r="CJ249" s="22">
        <f t="shared" si="1806"/>
        <v>0.53858249625989885</v>
      </c>
      <c r="CK249" s="22">
        <f t="shared" ref="CK249:DB249" si="1807">CK247-CK248</f>
        <v>3.5059806955156034</v>
      </c>
      <c r="CL249" s="22">
        <f t="shared" si="1807"/>
        <v>-35.83598069551563</v>
      </c>
      <c r="CM249" s="21">
        <f t="shared" si="1807"/>
        <v>-0.26490339540072227</v>
      </c>
      <c r="CN249" s="21">
        <f t="shared" si="1807"/>
        <v>-8.1199679115874233</v>
      </c>
      <c r="CO249" s="21">
        <f t="shared" si="1807"/>
        <v>6.8653805947756119</v>
      </c>
      <c r="CP249" s="21">
        <f t="shared" si="1807"/>
        <v>-9.8276006483589811</v>
      </c>
      <c r="CQ249" s="21">
        <f t="shared" si="1807"/>
        <v>-0.97553224790519266</v>
      </c>
      <c r="CR249" s="21">
        <f t="shared" si="1807"/>
        <v>-9.6903697056883686</v>
      </c>
      <c r="CS249" s="21">
        <f t="shared" si="1807"/>
        <v>8.1931452018052049</v>
      </c>
      <c r="CT249" s="21">
        <f t="shared" si="1807"/>
        <v>-11.728258613751592</v>
      </c>
      <c r="CU249" s="21">
        <f t="shared" si="1807"/>
        <v>-1.1642001846500705</v>
      </c>
      <c r="CV249" s="21">
        <f t="shared" si="1807"/>
        <v>-11.564487206768518</v>
      </c>
      <c r="CW249" s="21">
        <f t="shared" si="1807"/>
        <v>9.7776994838343967</v>
      </c>
      <c r="CX249" s="21">
        <f t="shared" si="1807"/>
        <v>-13.996503829651317</v>
      </c>
      <c r="CY249" s="21">
        <f t="shared" si="1807"/>
        <v>-1.3893565003612594</v>
      </c>
      <c r="CZ249" s="21">
        <f t="shared" si="1807"/>
        <v>-13.801059032557532</v>
      </c>
      <c r="DA249" s="21">
        <f t="shared" si="1807"/>
        <v>11.668706564007891</v>
      </c>
      <c r="DB249" s="21">
        <f t="shared" si="1807"/>
        <v>-16.703427670305757</v>
      </c>
      <c r="DE249" s="126"/>
      <c r="DF249" s="22">
        <v>-4.0739929755691833</v>
      </c>
    </row>
    <row r="250" spans="1:110" s="22" customFormat="1" x14ac:dyDescent="0.2">
      <c r="A250" s="22" t="s">
        <v>91</v>
      </c>
      <c r="C250" s="22">
        <f t="shared" ref="C250:W250" si="1808">C246+C249</f>
        <v>0</v>
      </c>
      <c r="D250" s="22">
        <f>D246+D249</f>
        <v>0</v>
      </c>
      <c r="E250" s="22">
        <f t="shared" si="1808"/>
        <v>0</v>
      </c>
      <c r="F250" s="22">
        <f t="shared" si="1808"/>
        <v>0</v>
      </c>
      <c r="G250" s="22">
        <f t="shared" si="1808"/>
        <v>0</v>
      </c>
      <c r="H250" s="22">
        <f t="shared" si="1808"/>
        <v>-25.527952100000007</v>
      </c>
      <c r="I250" s="22">
        <f t="shared" si="1808"/>
        <v>27.542289699999994</v>
      </c>
      <c r="J250" s="22">
        <f>J246+J249</f>
        <v>1.2738295999999947</v>
      </c>
      <c r="K250" s="22">
        <f t="shared" si="1808"/>
        <v>38.231122799999994</v>
      </c>
      <c r="L250" s="22">
        <f t="shared" si="1808"/>
        <v>32.562744399999993</v>
      </c>
      <c r="M250" s="22">
        <f t="shared" si="1808"/>
        <v>24.311999999999983</v>
      </c>
      <c r="N250" s="22">
        <f t="shared" si="1808"/>
        <v>80.06</v>
      </c>
      <c r="O250" s="22">
        <f t="shared" si="1808"/>
        <v>50.810000000000024</v>
      </c>
      <c r="P250" s="22">
        <f t="shared" si="1808"/>
        <v>44.845999999999997</v>
      </c>
      <c r="Q250" s="22">
        <f t="shared" si="1808"/>
        <v>88.293000000000006</v>
      </c>
      <c r="R250" s="22">
        <f t="shared" si="1808"/>
        <v>39.515000000000029</v>
      </c>
      <c r="S250" s="22">
        <f t="shared" si="1808"/>
        <v>123.95799999999998</v>
      </c>
      <c r="T250" s="22">
        <f t="shared" si="1808"/>
        <v>87.049999999999969</v>
      </c>
      <c r="U250" s="22">
        <f t="shared" si="1808"/>
        <v>163.51999999999998</v>
      </c>
      <c r="V250" s="22">
        <f t="shared" si="1808"/>
        <v>111.28000000000003</v>
      </c>
      <c r="W250" s="22">
        <f t="shared" si="1808"/>
        <v>155.91999999999999</v>
      </c>
      <c r="X250" s="22">
        <f t="shared" ref="X250:Y250" si="1809">X246+X249</f>
        <v>116.50999999999993</v>
      </c>
      <c r="Y250" s="22">
        <f t="shared" si="1809"/>
        <v>146.37999999999994</v>
      </c>
      <c r="Z250" s="22">
        <f t="shared" ref="Z250:AA250" si="1810">Z246+Z249</f>
        <v>164.85000000000011</v>
      </c>
      <c r="AA250" s="22">
        <f t="shared" si="1810"/>
        <v>221.71999999999997</v>
      </c>
      <c r="AB250" s="21">
        <f t="shared" ref="AA250:AD250" si="1811">AB246+AB249</f>
        <v>183.86527273261143</v>
      </c>
      <c r="AC250" s="21">
        <f t="shared" si="1811"/>
        <v>296.5903832594235</v>
      </c>
      <c r="AD250" s="21">
        <f t="shared" si="1811"/>
        <v>354.94038805554123</v>
      </c>
      <c r="AE250" s="21">
        <f t="shared" ref="AE250" si="1812">AE246+AE249</f>
        <v>424.45395377105586</v>
      </c>
      <c r="AI250" s="22">
        <f t="shared" ref="AI250" si="1813">AI246+AI249</f>
        <v>0</v>
      </c>
      <c r="AJ250" s="22">
        <f t="shared" ref="AJ250:AL250" si="1814">AJ246+AJ249</f>
        <v>0</v>
      </c>
      <c r="AK250" s="22" t="e">
        <f t="shared" si="1814"/>
        <v>#DIV/0!</v>
      </c>
      <c r="AL250" s="22" t="e">
        <f t="shared" si="1814"/>
        <v>#DIV/0!</v>
      </c>
      <c r="AM250" s="22" t="e">
        <f t="shared" ref="AM250" si="1815">AM246+AM249</f>
        <v>#DIV/0!</v>
      </c>
      <c r="AN250" s="22" t="e">
        <f t="shared" ref="AN250:CD250" si="1816">AN246+AN249</f>
        <v>#DIV/0!</v>
      </c>
      <c r="AO250" s="22" t="e">
        <f t="shared" si="1816"/>
        <v>#DIV/0!</v>
      </c>
      <c r="AP250" s="22" t="e">
        <f t="shared" si="1816"/>
        <v>#DIV/0!</v>
      </c>
      <c r="AQ250" s="22" t="e">
        <f t="shared" si="1816"/>
        <v>#DIV/0!</v>
      </c>
      <c r="AR250" s="22" t="e">
        <f t="shared" si="1816"/>
        <v>#DIV/0!</v>
      </c>
      <c r="AS250" s="22" t="e">
        <f t="shared" si="1816"/>
        <v>#DIV/0!</v>
      </c>
      <c r="AT250" s="22" t="e">
        <f t="shared" si="1816"/>
        <v>#DIV/0!</v>
      </c>
      <c r="AU250" s="22" t="e">
        <f t="shared" si="1816"/>
        <v>#DIV/0!</v>
      </c>
      <c r="AV250" s="22" t="e">
        <f t="shared" si="1816"/>
        <v>#DIV/0!</v>
      </c>
      <c r="AW250" s="22">
        <f t="shared" si="1816"/>
        <v>15.452000000000007</v>
      </c>
      <c r="AX250" s="22">
        <f t="shared" si="1816"/>
        <v>17.389999999999997</v>
      </c>
      <c r="AY250" s="22">
        <f t="shared" si="1816"/>
        <v>20.291229421258933</v>
      </c>
      <c r="AZ250" s="22">
        <f t="shared" si="1816"/>
        <v>-11.993229421258928</v>
      </c>
      <c r="BA250" s="22">
        <f t="shared" si="1816"/>
        <v>15.951056968828373</v>
      </c>
      <c r="BB250" s="22">
        <f t="shared" si="1816"/>
        <v>22.46894303117163</v>
      </c>
      <c r="BC250" s="22">
        <f t="shared" si="1816"/>
        <v>26.286017402084578</v>
      </c>
      <c r="BD250" s="22">
        <f t="shared" si="1816"/>
        <v>26.383982597915423</v>
      </c>
      <c r="BE250" s="22">
        <f t="shared" si="1816"/>
        <v>27.514882684356412</v>
      </c>
      <c r="BF250" s="22">
        <f t="shared" si="1816"/>
        <v>16.339117315643598</v>
      </c>
      <c r="BG250" s="22">
        <f t="shared" si="1816"/>
        <v>28.977092902958834</v>
      </c>
      <c r="BH250" s="22">
        <f t="shared" si="1816"/>
        <v>12.943907097041173</v>
      </c>
      <c r="BI250" s="22">
        <f t="shared" si="1816"/>
        <v>29.486949364651508</v>
      </c>
      <c r="BJ250" s="22">
        <f t="shared" si="1816"/>
        <v>35.533050635348488</v>
      </c>
      <c r="BK250" s="22">
        <f t="shared" si="1816"/>
        <v>33.928796287527241</v>
      </c>
      <c r="BL250" s="22">
        <f t="shared" si="1816"/>
        <v>44.961203712472788</v>
      </c>
      <c r="BM250" s="22">
        <f t="shared" si="1816"/>
        <v>38.102522367515505</v>
      </c>
      <c r="BN250" s="22">
        <f t="shared" si="1816"/>
        <v>21.717477632484496</v>
      </c>
      <c r="BO250" s="22">
        <f t="shared" si="1816"/>
        <v>14.021809936908523</v>
      </c>
      <c r="BP250" s="22">
        <f t="shared" si="1816"/>
        <v>-3.4418099369084914</v>
      </c>
      <c r="BQ250" s="22">
        <f t="shared" si="1816"/>
        <v>44.503576508972259</v>
      </c>
      <c r="BR250" s="22">
        <f t="shared" si="1816"/>
        <v>60.046423491027753</v>
      </c>
      <c r="BS250" s="22">
        <f t="shared" si="1816"/>
        <v>57.650956823753731</v>
      </c>
      <c r="BT250" s="22">
        <f t="shared" si="1816"/>
        <v>31.029043176246233</v>
      </c>
      <c r="BU250" s="22">
        <f t="shared" si="1816"/>
        <v>68.047068838317927</v>
      </c>
      <c r="BV250" s="22">
        <f t="shared" si="1816"/>
        <v>-12.527068838317945</v>
      </c>
      <c r="BW250" s="22">
        <f t="shared" si="1816"/>
        <v>32.487089460784382</v>
      </c>
      <c r="BX250" s="22">
        <f t="shared" si="1816"/>
        <v>19.622910539215646</v>
      </c>
      <c r="BY250" s="22">
        <f t="shared" si="1816"/>
        <v>29.888992368674536</v>
      </c>
      <c r="BZ250" s="22">
        <f t="shared" si="1816"/>
        <v>31.841007631325507</v>
      </c>
      <c r="CA250" s="22">
        <f t="shared" si="1816"/>
        <v>27.776982631733901</v>
      </c>
      <c r="CB250" s="22">
        <f t="shared" si="1816"/>
        <v>3.2630173682661017</v>
      </c>
      <c r="CC250" s="22">
        <f t="shared" si="1816"/>
        <v>35.076390540540572</v>
      </c>
      <c r="CD250" s="22">
        <f t="shared" si="1816"/>
        <v>82.633609459459478</v>
      </c>
      <c r="CE250" s="22">
        <f t="shared" ref="CE250:CF250" si="1817">CE246+CE249</f>
        <v>34.652588006482958</v>
      </c>
      <c r="CF250" s="22">
        <f t="shared" si="1817"/>
        <v>50.357411993517061</v>
      </c>
      <c r="CG250" s="22">
        <f t="shared" ref="CG250:CH250" si="1818">CG246+CG249</f>
        <v>39.155133062697345</v>
      </c>
      <c r="CH250" s="22">
        <f t="shared" si="1818"/>
        <v>45.664866937302598</v>
      </c>
      <c r="CI250" s="22">
        <f t="shared" ref="CI250:CJ250" si="1819">CI246+CI249</f>
        <v>49.091417503740146</v>
      </c>
      <c r="CJ250" s="22">
        <f t="shared" si="1819"/>
        <v>60.038582496259885</v>
      </c>
      <c r="CK250" s="22">
        <f t="shared" ref="CK250:DB250" si="1820">CK246+CK249</f>
        <v>54.145980695515625</v>
      </c>
      <c r="CL250" s="22">
        <f t="shared" si="1820"/>
        <v>25.304019304484314</v>
      </c>
      <c r="CM250" s="21">
        <f t="shared" si="1820"/>
        <v>58.259332459423696</v>
      </c>
      <c r="CN250" s="21">
        <f t="shared" si="1820"/>
        <v>58.327864058402554</v>
      </c>
      <c r="CO250" s="21">
        <f t="shared" si="1820"/>
        <v>67.763846270306658</v>
      </c>
      <c r="CP250" s="21">
        <f t="shared" si="1820"/>
        <v>60.934229944478517</v>
      </c>
      <c r="CQ250" s="21">
        <f t="shared" si="1820"/>
        <v>70.303801567032338</v>
      </c>
      <c r="CR250" s="21">
        <f t="shared" si="1820"/>
        <v>70.621588300703124</v>
      </c>
      <c r="CS250" s="21">
        <f t="shared" si="1820"/>
        <v>82.311198707867248</v>
      </c>
      <c r="CT250" s="21">
        <f t="shared" si="1820"/>
        <v>73.353794683820766</v>
      </c>
      <c r="CU250" s="21">
        <f t="shared" si="1820"/>
        <v>84.639529049524455</v>
      </c>
      <c r="CV250" s="21">
        <f t="shared" si="1820"/>
        <v>84.741310966062827</v>
      </c>
      <c r="CW250" s="21">
        <f t="shared" si="1820"/>
        <v>98.40170239370363</v>
      </c>
      <c r="CX250" s="21">
        <f t="shared" si="1820"/>
        <v>87.157845646250294</v>
      </c>
      <c r="CY250" s="21">
        <f t="shared" si="1820"/>
        <v>101.35906385662901</v>
      </c>
      <c r="CZ250" s="21">
        <f t="shared" si="1820"/>
        <v>101.35825833159164</v>
      </c>
      <c r="DA250" s="21">
        <f t="shared" si="1820"/>
        <v>117.58652790066014</v>
      </c>
      <c r="DB250" s="21">
        <f t="shared" si="1820"/>
        <v>104.1501036821751</v>
      </c>
      <c r="DE250" s="126"/>
      <c r="DF250" s="22">
        <v>55.442111981179913</v>
      </c>
    </row>
    <row r="251" spans="1:110" s="23" customFormat="1" x14ac:dyDescent="0.2">
      <c r="AB251" s="24"/>
      <c r="AC251" s="24"/>
      <c r="AD251" s="24"/>
      <c r="AE251" s="24"/>
      <c r="CM251" s="24"/>
      <c r="CN251" s="24"/>
      <c r="CO251" s="24"/>
      <c r="CP251" s="24"/>
      <c r="CQ251" s="24"/>
      <c r="CR251" s="24"/>
      <c r="CS251" s="24"/>
      <c r="CT251" s="24"/>
      <c r="CU251" s="24"/>
      <c r="CV251" s="24"/>
      <c r="CW251" s="24"/>
      <c r="CX251" s="24"/>
      <c r="CY251" s="24"/>
      <c r="CZ251" s="24"/>
      <c r="DA251" s="24"/>
      <c r="DB251" s="24"/>
      <c r="DE251" s="123"/>
    </row>
    <row r="252" spans="1:110" s="22" customFormat="1" x14ac:dyDescent="0.2">
      <c r="A252" s="22" t="s">
        <v>92</v>
      </c>
      <c r="C252" s="22">
        <f t="shared" ref="C252:W252" si="1821">C253+C254</f>
        <v>0</v>
      </c>
      <c r="D252" s="22">
        <f>D253+D254</f>
        <v>0</v>
      </c>
      <c r="E252" s="22">
        <f t="shared" si="1821"/>
        <v>0</v>
      </c>
      <c r="F252" s="22">
        <f t="shared" si="1821"/>
        <v>0</v>
      </c>
      <c r="G252" s="22">
        <f t="shared" si="1821"/>
        <v>0</v>
      </c>
      <c r="H252" s="22">
        <f t="shared" si="1821"/>
        <v>-16.244114499999998</v>
      </c>
      <c r="I252" s="22">
        <f t="shared" si="1821"/>
        <v>-5.0438772000000007</v>
      </c>
      <c r="J252" s="22">
        <f t="shared" si="1821"/>
        <v>-3.3299059999999976</v>
      </c>
      <c r="K252" s="22">
        <f t="shared" si="1821"/>
        <v>4.4543916999999968</v>
      </c>
      <c r="L252" s="22">
        <f t="shared" si="1821"/>
        <v>-26.5717614</v>
      </c>
      <c r="M252" s="22">
        <f t="shared" si="1821"/>
        <v>-5.3220000000000027</v>
      </c>
      <c r="N252" s="22">
        <f t="shared" si="1821"/>
        <v>-62.769999999999996</v>
      </c>
      <c r="O252" s="22">
        <f t="shared" si="1821"/>
        <v>-14.648999999999987</v>
      </c>
      <c r="P252" s="22">
        <f t="shared" si="1821"/>
        <v>-104.66699999999999</v>
      </c>
      <c r="Q252" s="22">
        <f t="shared" si="1821"/>
        <v>-77.169999999999987</v>
      </c>
      <c r="R252" s="22">
        <f t="shared" si="1821"/>
        <v>-32.05700000000008</v>
      </c>
      <c r="S252" s="22">
        <f t="shared" si="1821"/>
        <v>-62.732999999999947</v>
      </c>
      <c r="T252" s="22">
        <f t="shared" si="1821"/>
        <v>-23.849999999999998</v>
      </c>
      <c r="U252" s="22">
        <f t="shared" si="1821"/>
        <v>-10.670000000000027</v>
      </c>
      <c r="V252" s="22">
        <f t="shared" si="1821"/>
        <v>-17.529999999999994</v>
      </c>
      <c r="W252" s="22">
        <f t="shared" si="1821"/>
        <v>-60.250000000000007</v>
      </c>
      <c r="X252" s="22">
        <f t="shared" ref="X252:Y252" si="1822">X253+X254</f>
        <v>-47.490000000000087</v>
      </c>
      <c r="Y252" s="22">
        <f t="shared" si="1822"/>
        <v>-63.459999999999994</v>
      </c>
      <c r="Z252" s="22">
        <f t="shared" ref="Z252:AA252" si="1823">Z253+Z254</f>
        <v>-56.739999999999995</v>
      </c>
      <c r="AA252" s="22">
        <f t="shared" si="1823"/>
        <v>-68.569999999999908</v>
      </c>
      <c r="AB252" s="21">
        <f t="shared" ref="AA252:AD252" si="1824">AB253+AB254</f>
        <v>0.54000000000002046</v>
      </c>
      <c r="AC252" s="21">
        <f t="shared" si="1824"/>
        <v>-60.000000000000028</v>
      </c>
      <c r="AD252" s="21">
        <f t="shared" si="1824"/>
        <v>-59.999999999999943</v>
      </c>
      <c r="AE252" s="21">
        <f t="shared" ref="AE252" si="1825">AE253+AE254</f>
        <v>-60.000000000000057</v>
      </c>
      <c r="AI252" s="22">
        <f t="shared" ref="AI252" si="1826">AI253+AI254</f>
        <v>0</v>
      </c>
      <c r="AJ252" s="22">
        <f t="shared" ref="AJ252:AL252" si="1827">AJ253+AJ254</f>
        <v>0</v>
      </c>
      <c r="AK252" s="22">
        <f t="shared" si="1827"/>
        <v>0</v>
      </c>
      <c r="AL252" s="22">
        <f t="shared" si="1827"/>
        <v>0</v>
      </c>
      <c r="AM252" s="22">
        <f t="shared" ref="AM252" si="1828">AM253+AM254</f>
        <v>0</v>
      </c>
      <c r="AN252" s="22">
        <f t="shared" ref="AN252:CD252" si="1829">AN253+AN254</f>
        <v>0</v>
      </c>
      <c r="AO252" s="22">
        <f t="shared" si="1829"/>
        <v>0</v>
      </c>
      <c r="AP252" s="22">
        <f t="shared" si="1829"/>
        <v>0</v>
      </c>
      <c r="AQ252" s="22">
        <f t="shared" si="1829"/>
        <v>0</v>
      </c>
      <c r="AR252" s="22">
        <f t="shared" si="1829"/>
        <v>0</v>
      </c>
      <c r="AS252" s="22">
        <f t="shared" si="1829"/>
        <v>0</v>
      </c>
      <c r="AT252" s="22">
        <f t="shared" si="1829"/>
        <v>0</v>
      </c>
      <c r="AU252" s="22">
        <f t="shared" si="1829"/>
        <v>-4.5540000000000003</v>
      </c>
      <c r="AV252" s="22">
        <f t="shared" si="1829"/>
        <v>-4.0179999999999998</v>
      </c>
      <c r="AW252" s="22">
        <f t="shared" si="1829"/>
        <v>-4.6379999999999999</v>
      </c>
      <c r="AX252" s="22">
        <f t="shared" si="1829"/>
        <v>-267.13799999999998</v>
      </c>
      <c r="AY252" s="22">
        <f t="shared" si="1829"/>
        <v>-4.132000000000005</v>
      </c>
      <c r="AZ252" s="22">
        <f t="shared" si="1829"/>
        <v>-7.6229999999999993</v>
      </c>
      <c r="BA252" s="22">
        <f t="shared" si="1829"/>
        <v>-4.6639999999999873</v>
      </c>
      <c r="BB252" s="22">
        <f t="shared" si="1829"/>
        <v>-15.638000000000034</v>
      </c>
      <c r="BC252" s="22">
        <f t="shared" si="1829"/>
        <v>-4.4200000000000159</v>
      </c>
      <c r="BD252" s="22">
        <f t="shared" si="1829"/>
        <v>-8.8730000000000153</v>
      </c>
      <c r="BE252" s="22">
        <f t="shared" si="1829"/>
        <v>-5.1399999999999864</v>
      </c>
      <c r="BF252" s="22">
        <f t="shared" si="1829"/>
        <v>-24.299999999999986</v>
      </c>
      <c r="BG252" s="22">
        <f t="shared" si="1829"/>
        <v>-5.6800000000000068</v>
      </c>
      <c r="BH252" s="22">
        <f t="shared" si="1829"/>
        <v>-29.289999999999996</v>
      </c>
      <c r="BI252" s="22">
        <f t="shared" si="1829"/>
        <v>-6.8899999999999864</v>
      </c>
      <c r="BJ252" s="22">
        <f t="shared" si="1829"/>
        <v>-1.9900000000000091</v>
      </c>
      <c r="BK252" s="22">
        <f t="shared" si="1829"/>
        <v>-7.3500000000000227</v>
      </c>
      <c r="BL252" s="22">
        <f t="shared" si="1829"/>
        <v>14.119999999999937</v>
      </c>
      <c r="BM252" s="22">
        <f t="shared" si="1829"/>
        <v>-7.839999999999975</v>
      </c>
      <c r="BN252" s="22">
        <f t="shared" si="1829"/>
        <v>15.090000000000003</v>
      </c>
      <c r="BO252" s="22">
        <f t="shared" si="1829"/>
        <v>-6.9699999999999989</v>
      </c>
      <c r="BP252" s="22">
        <f t="shared" si="1829"/>
        <v>-7.339999999999975</v>
      </c>
      <c r="BQ252" s="22">
        <f t="shared" si="1829"/>
        <v>-7.8400000000000034</v>
      </c>
      <c r="BR252" s="22">
        <f t="shared" si="1829"/>
        <v>2.4499999999999957</v>
      </c>
      <c r="BS252" s="22">
        <f t="shared" si="1829"/>
        <v>-7.289999999999992</v>
      </c>
      <c r="BT252" s="22">
        <f t="shared" si="1829"/>
        <v>-12.170000000000005</v>
      </c>
      <c r="BU252" s="22">
        <f t="shared" si="1829"/>
        <v>-8.8000000000000114</v>
      </c>
      <c r="BV252" s="22">
        <f t="shared" si="1829"/>
        <v>-20.289999999999953</v>
      </c>
      <c r="BW252" s="22">
        <f t="shared" si="1829"/>
        <v>-8.6100000000000136</v>
      </c>
      <c r="BX252" s="22">
        <f t="shared" si="1829"/>
        <v>-6.6900000000000119</v>
      </c>
      <c r="BY252" s="22">
        <f t="shared" si="1829"/>
        <v>-10.150000000000006</v>
      </c>
      <c r="BZ252" s="22">
        <f t="shared" si="1829"/>
        <v>-20.910000000000032</v>
      </c>
      <c r="CA252" s="22">
        <f t="shared" si="1829"/>
        <v>-9.8300000000000125</v>
      </c>
      <c r="CB252" s="22">
        <f t="shared" si="1829"/>
        <v>-11.330000000000048</v>
      </c>
      <c r="CC252" s="22">
        <f t="shared" si="1829"/>
        <v>-13.469999999999999</v>
      </c>
      <c r="CD252" s="22">
        <f t="shared" si="1829"/>
        <v>-31.489999999999991</v>
      </c>
      <c r="CE252" s="22">
        <f t="shared" ref="CE252:CF252" si="1830">CE253+CE254</f>
        <v>-11.360000000000014</v>
      </c>
      <c r="CF252" s="22">
        <f t="shared" si="1830"/>
        <v>-1.4499999999999638</v>
      </c>
      <c r="CG252" s="22">
        <f t="shared" ref="CG252:CH252" si="1831">CG253+CG254</f>
        <v>-17.060000000000002</v>
      </c>
      <c r="CH252" s="22">
        <f t="shared" si="1831"/>
        <v>-59.590000000000074</v>
      </c>
      <c r="CI252" s="22">
        <f t="shared" ref="CI252:CJ252" si="1832">CI253+CI254</f>
        <v>0</v>
      </c>
      <c r="CJ252" s="22">
        <f t="shared" si="1832"/>
        <v>19.960000000000051</v>
      </c>
      <c r="CK252" s="22">
        <f t="shared" ref="CK252:DB252" si="1833">CK253+CK254</f>
        <v>0</v>
      </c>
      <c r="CL252" s="22">
        <f t="shared" si="1833"/>
        <v>-27.989999999999966</v>
      </c>
      <c r="CM252" s="21">
        <f t="shared" si="1833"/>
        <v>-15.000000000000028</v>
      </c>
      <c r="CN252" s="21">
        <f t="shared" si="1833"/>
        <v>-15</v>
      </c>
      <c r="CO252" s="21">
        <f t="shared" si="1833"/>
        <v>-15.000000000000028</v>
      </c>
      <c r="CP252" s="21">
        <f t="shared" si="1833"/>
        <v>-14.999999999999972</v>
      </c>
      <c r="CQ252" s="21">
        <f t="shared" si="1833"/>
        <v>-15</v>
      </c>
      <c r="CR252" s="21">
        <f t="shared" si="1833"/>
        <v>-15.000000000000028</v>
      </c>
      <c r="CS252" s="21">
        <f t="shared" si="1833"/>
        <v>-15</v>
      </c>
      <c r="CT252" s="21">
        <f t="shared" si="1833"/>
        <v>-15</v>
      </c>
      <c r="CU252" s="21">
        <f t="shared" si="1833"/>
        <v>-15</v>
      </c>
      <c r="CV252" s="21">
        <f t="shared" si="1833"/>
        <v>-14.999999999999972</v>
      </c>
      <c r="CW252" s="21">
        <f t="shared" si="1833"/>
        <v>-15</v>
      </c>
      <c r="CX252" s="21">
        <f t="shared" si="1833"/>
        <v>-14.999999999999972</v>
      </c>
      <c r="CY252" s="21">
        <f t="shared" si="1833"/>
        <v>-14.999999999999972</v>
      </c>
      <c r="CZ252" s="21">
        <f t="shared" si="1833"/>
        <v>-15.000000000000057</v>
      </c>
      <c r="DA252" s="21">
        <f t="shared" si="1833"/>
        <v>-15</v>
      </c>
      <c r="DB252" s="21">
        <f t="shared" si="1833"/>
        <v>-15</v>
      </c>
      <c r="DE252" s="126"/>
      <c r="DF252" s="22">
        <v>-15</v>
      </c>
    </row>
    <row r="253" spans="1:110" s="23" customFormat="1" x14ac:dyDescent="0.2">
      <c r="A253" s="23" t="s">
        <v>93</v>
      </c>
      <c r="C253" s="23">
        <f t="shared" ref="C253:AE253" si="1834">B182-C182</f>
        <v>0</v>
      </c>
      <c r="D253" s="23">
        <f t="shared" si="1834"/>
        <v>0</v>
      </c>
      <c r="E253" s="23">
        <f t="shared" si="1834"/>
        <v>0</v>
      </c>
      <c r="F253" s="23">
        <f t="shared" si="1834"/>
        <v>0</v>
      </c>
      <c r="G253" s="23">
        <f t="shared" si="1834"/>
        <v>0</v>
      </c>
      <c r="H253" s="23">
        <f t="shared" si="1834"/>
        <v>-1.4070499999999999</v>
      </c>
      <c r="I253" s="23">
        <f t="shared" si="1834"/>
        <v>-9.5000000000000639E-4</v>
      </c>
      <c r="J253" s="23">
        <f t="shared" si="1834"/>
        <v>0</v>
      </c>
      <c r="K253" s="23">
        <f t="shared" si="1834"/>
        <v>1.4079999999999999</v>
      </c>
      <c r="L253" s="23">
        <f t="shared" si="1834"/>
        <v>-24</v>
      </c>
      <c r="M253" s="23">
        <f t="shared" si="1834"/>
        <v>0</v>
      </c>
      <c r="N253" s="23">
        <f t="shared" si="1834"/>
        <v>6.3850000000000016</v>
      </c>
      <c r="O253" s="23">
        <f t="shared" si="1834"/>
        <v>0</v>
      </c>
      <c r="P253" s="23">
        <f t="shared" si="1834"/>
        <v>15.999999999999998</v>
      </c>
      <c r="Q253" s="23">
        <f t="shared" si="1834"/>
        <v>0</v>
      </c>
      <c r="R253" s="23">
        <f t="shared" si="1834"/>
        <v>1.615</v>
      </c>
      <c r="S253" s="23">
        <f t="shared" si="1834"/>
        <v>-20</v>
      </c>
      <c r="T253" s="23">
        <f t="shared" si="1834"/>
        <v>-0.66000000000000014</v>
      </c>
      <c r="U253" s="23">
        <f t="shared" si="1834"/>
        <v>-0.51000000000000156</v>
      </c>
      <c r="V253" s="23">
        <f t="shared" si="1834"/>
        <v>7.0000000000000284E-2</v>
      </c>
      <c r="W253" s="23">
        <f t="shared" si="1834"/>
        <v>0.17999999999999972</v>
      </c>
      <c r="X253" s="23">
        <f t="shared" si="1834"/>
        <v>-1.1799999999999997</v>
      </c>
      <c r="Y253" s="23">
        <f t="shared" si="1834"/>
        <v>-3.5199999999999996</v>
      </c>
      <c r="Z253" s="23">
        <f t="shared" si="1834"/>
        <v>1.4499999999999993</v>
      </c>
      <c r="AA253" s="23">
        <f t="shared" si="1834"/>
        <v>-0.96999999999999886</v>
      </c>
      <c r="AB253" s="24">
        <f t="shared" si="1834"/>
        <v>0</v>
      </c>
      <c r="AC253" s="24">
        <f t="shared" si="1834"/>
        <v>0</v>
      </c>
      <c r="AD253" s="24">
        <f t="shared" si="1834"/>
        <v>0</v>
      </c>
      <c r="AE253" s="24">
        <f t="shared" si="1834"/>
        <v>0</v>
      </c>
      <c r="AI253" s="23">
        <f t="shared" ref="AI253:BN253" si="1835">AH182-AI182</f>
        <v>0</v>
      </c>
      <c r="AJ253" s="23">
        <f t="shared" si="1835"/>
        <v>0</v>
      </c>
      <c r="AK253" s="23">
        <f t="shared" si="1835"/>
        <v>0</v>
      </c>
      <c r="AL253" s="23">
        <f t="shared" si="1835"/>
        <v>0</v>
      </c>
      <c r="AM253" s="23">
        <f t="shared" si="1835"/>
        <v>0</v>
      </c>
      <c r="AN253" s="23">
        <f t="shared" si="1835"/>
        <v>0</v>
      </c>
      <c r="AO253" s="23">
        <f t="shared" si="1835"/>
        <v>0</v>
      </c>
      <c r="AP253" s="23">
        <f t="shared" si="1835"/>
        <v>0</v>
      </c>
      <c r="AQ253" s="23">
        <f t="shared" si="1835"/>
        <v>0</v>
      </c>
      <c r="AR253" s="23">
        <f t="shared" si="1835"/>
        <v>0</v>
      </c>
      <c r="AS253" s="23">
        <f t="shared" si="1835"/>
        <v>0</v>
      </c>
      <c r="AT253" s="23">
        <f t="shared" si="1835"/>
        <v>0</v>
      </c>
      <c r="AU253" s="23">
        <f t="shared" si="1835"/>
        <v>0</v>
      </c>
      <c r="AV253" s="23">
        <f t="shared" si="1835"/>
        <v>0</v>
      </c>
      <c r="AW253" s="23">
        <f t="shared" si="1835"/>
        <v>0</v>
      </c>
      <c r="AX253" s="23">
        <f t="shared" si="1835"/>
        <v>-1.615</v>
      </c>
      <c r="AY253" s="23">
        <f t="shared" si="1835"/>
        <v>0</v>
      </c>
      <c r="AZ253" s="23">
        <f t="shared" si="1835"/>
        <v>1.615</v>
      </c>
      <c r="BA253" s="23">
        <f t="shared" si="1835"/>
        <v>0</v>
      </c>
      <c r="BB253" s="23">
        <f t="shared" si="1835"/>
        <v>0</v>
      </c>
      <c r="BC253" s="23">
        <f t="shared" si="1835"/>
        <v>0</v>
      </c>
      <c r="BD253" s="23">
        <f t="shared" si="1835"/>
        <v>-1.7390000000000001</v>
      </c>
      <c r="BE253" s="23">
        <f t="shared" si="1835"/>
        <v>0</v>
      </c>
      <c r="BF253" s="23">
        <f t="shared" si="1835"/>
        <v>1.7390000000000001</v>
      </c>
      <c r="BG253" s="23">
        <f t="shared" si="1835"/>
        <v>0</v>
      </c>
      <c r="BH253" s="23">
        <f t="shared" si="1835"/>
        <v>-20.41</v>
      </c>
      <c r="BI253" s="23">
        <f t="shared" si="1835"/>
        <v>0</v>
      </c>
      <c r="BJ253" s="23">
        <f t="shared" si="1835"/>
        <v>-0.25</v>
      </c>
      <c r="BK253" s="23">
        <f t="shared" si="1835"/>
        <v>0</v>
      </c>
      <c r="BL253" s="23">
        <f t="shared" si="1835"/>
        <v>-0.44999999999999929</v>
      </c>
      <c r="BM253" s="23">
        <f t="shared" si="1835"/>
        <v>0</v>
      </c>
      <c r="BN253" s="23">
        <f t="shared" si="1835"/>
        <v>-6.0000000000002274E-2</v>
      </c>
      <c r="BO253" s="23">
        <f t="shared" ref="BO253:CT253" si="1836">BN182-BO182</f>
        <v>0</v>
      </c>
      <c r="BP253" s="23">
        <f t="shared" si="1836"/>
        <v>0.31000000000000227</v>
      </c>
      <c r="BQ253" s="23">
        <f t="shared" si="1836"/>
        <v>0</v>
      </c>
      <c r="BR253" s="23">
        <f t="shared" si="1836"/>
        <v>-0.24000000000000199</v>
      </c>
      <c r="BS253" s="23">
        <f t="shared" si="1836"/>
        <v>0</v>
      </c>
      <c r="BT253" s="23">
        <f t="shared" si="1836"/>
        <v>0.48000000000000043</v>
      </c>
      <c r="BU253" s="23">
        <f t="shared" si="1836"/>
        <v>0</v>
      </c>
      <c r="BV253" s="23">
        <f t="shared" si="1836"/>
        <v>-0.30000000000000071</v>
      </c>
      <c r="BW253" s="23">
        <f t="shared" si="1836"/>
        <v>0</v>
      </c>
      <c r="BX253" s="23">
        <f t="shared" si="1836"/>
        <v>-0.35999999999999943</v>
      </c>
      <c r="BY253" s="23">
        <f t="shared" si="1836"/>
        <v>0</v>
      </c>
      <c r="BZ253" s="23">
        <f t="shared" si="1836"/>
        <v>-0.82000000000000028</v>
      </c>
      <c r="CA253" s="23">
        <f t="shared" si="1836"/>
        <v>0</v>
      </c>
      <c r="CB253" s="23">
        <f t="shared" si="1836"/>
        <v>-0.47999999999999687</v>
      </c>
      <c r="CC253" s="23">
        <f t="shared" si="1836"/>
        <v>0</v>
      </c>
      <c r="CD253" s="23">
        <f t="shared" si="1836"/>
        <v>-3.0400000000000027</v>
      </c>
      <c r="CE253" s="23">
        <f t="shared" si="1836"/>
        <v>0</v>
      </c>
      <c r="CF253" s="23">
        <f t="shared" si="1836"/>
        <v>0.65000000000000213</v>
      </c>
      <c r="CG253" s="23">
        <f t="shared" si="1836"/>
        <v>0</v>
      </c>
      <c r="CH253" s="23">
        <f t="shared" si="1836"/>
        <v>0.79999999999999716</v>
      </c>
      <c r="CI253" s="23">
        <f t="shared" si="1836"/>
        <v>0</v>
      </c>
      <c r="CJ253" s="23">
        <f t="shared" si="1836"/>
        <v>-0.10999999999999943</v>
      </c>
      <c r="CK253" s="23">
        <f t="shared" si="1836"/>
        <v>0</v>
      </c>
      <c r="CL253" s="23">
        <f t="shared" si="1836"/>
        <v>-0.85999999999999943</v>
      </c>
      <c r="CM253" s="24">
        <f t="shared" si="1836"/>
        <v>0</v>
      </c>
      <c r="CN253" s="24">
        <f t="shared" si="1836"/>
        <v>0</v>
      </c>
      <c r="CO253" s="24">
        <f t="shared" si="1836"/>
        <v>0</v>
      </c>
      <c r="CP253" s="24">
        <f t="shared" si="1836"/>
        <v>0</v>
      </c>
      <c r="CQ253" s="24">
        <f t="shared" si="1836"/>
        <v>0</v>
      </c>
      <c r="CR253" s="24">
        <f t="shared" si="1836"/>
        <v>0</v>
      </c>
      <c r="CS253" s="24">
        <f t="shared" si="1836"/>
        <v>0</v>
      </c>
      <c r="CT253" s="24">
        <f t="shared" si="1836"/>
        <v>0</v>
      </c>
      <c r="CU253" s="24">
        <f t="shared" ref="CU253:DB253" si="1837">CT182-CU182</f>
        <v>0</v>
      </c>
      <c r="CV253" s="24">
        <f t="shared" si="1837"/>
        <v>0</v>
      </c>
      <c r="CW253" s="24">
        <f t="shared" si="1837"/>
        <v>0</v>
      </c>
      <c r="CX253" s="24">
        <f t="shared" si="1837"/>
        <v>0</v>
      </c>
      <c r="CY253" s="24">
        <f t="shared" si="1837"/>
        <v>0</v>
      </c>
      <c r="CZ253" s="24">
        <f t="shared" si="1837"/>
        <v>0</v>
      </c>
      <c r="DA253" s="24">
        <f t="shared" si="1837"/>
        <v>0</v>
      </c>
      <c r="DB253" s="24">
        <f t="shared" si="1837"/>
        <v>0</v>
      </c>
      <c r="DE253" s="123"/>
      <c r="DF253" s="23">
        <v>0</v>
      </c>
    </row>
    <row r="254" spans="1:110" s="23" customFormat="1" x14ac:dyDescent="0.2">
      <c r="A254" s="23" t="s">
        <v>94</v>
      </c>
      <c r="C254" s="23">
        <f t="shared" ref="C254:AE254" si="1838">B180-C74-C180</f>
        <v>0</v>
      </c>
      <c r="D254" s="23">
        <f t="shared" si="1838"/>
        <v>0</v>
      </c>
      <c r="E254" s="23">
        <f t="shared" si="1838"/>
        <v>0</v>
      </c>
      <c r="F254" s="23">
        <f t="shared" si="1838"/>
        <v>0</v>
      </c>
      <c r="G254" s="23">
        <f t="shared" si="1838"/>
        <v>0</v>
      </c>
      <c r="H254" s="23">
        <f t="shared" si="1838"/>
        <v>-14.837064499999999</v>
      </c>
      <c r="I254" s="23">
        <f t="shared" si="1838"/>
        <v>-5.0429272000000012</v>
      </c>
      <c r="J254" s="23">
        <f t="shared" si="1838"/>
        <v>-3.3299059999999976</v>
      </c>
      <c r="K254" s="23">
        <f t="shared" si="1838"/>
        <v>3.0463916999999974</v>
      </c>
      <c r="L254" s="23">
        <f t="shared" si="1838"/>
        <v>-2.571761399999998</v>
      </c>
      <c r="M254" s="23">
        <f t="shared" si="1838"/>
        <v>-5.3220000000000027</v>
      </c>
      <c r="N254" s="23">
        <f t="shared" si="1838"/>
        <v>-69.155000000000001</v>
      </c>
      <c r="O254" s="23">
        <f t="shared" si="1838"/>
        <v>-14.648999999999987</v>
      </c>
      <c r="P254" s="23">
        <f t="shared" si="1838"/>
        <v>-120.66699999999999</v>
      </c>
      <c r="Q254" s="23">
        <f t="shared" si="1838"/>
        <v>-77.169999999999987</v>
      </c>
      <c r="R254" s="23">
        <f t="shared" si="1838"/>
        <v>-33.672000000000082</v>
      </c>
      <c r="S254" s="23">
        <f t="shared" si="1838"/>
        <v>-42.732999999999947</v>
      </c>
      <c r="T254" s="23">
        <f t="shared" si="1838"/>
        <v>-23.189999999999998</v>
      </c>
      <c r="U254" s="23">
        <f t="shared" si="1838"/>
        <v>-10.160000000000025</v>
      </c>
      <c r="V254" s="23">
        <f t="shared" si="1838"/>
        <v>-17.599999999999994</v>
      </c>
      <c r="W254" s="23">
        <f t="shared" si="1838"/>
        <v>-60.430000000000007</v>
      </c>
      <c r="X254" s="23">
        <f t="shared" si="1838"/>
        <v>-46.310000000000088</v>
      </c>
      <c r="Y254" s="23">
        <f t="shared" si="1838"/>
        <v>-59.94</v>
      </c>
      <c r="Z254" s="23">
        <f t="shared" si="1838"/>
        <v>-58.19</v>
      </c>
      <c r="AA254" s="23">
        <f t="shared" si="1838"/>
        <v>-67.599999999999909</v>
      </c>
      <c r="AB254" s="24">
        <f t="shared" si="1838"/>
        <v>0.54000000000002046</v>
      </c>
      <c r="AC254" s="24">
        <f t="shared" si="1838"/>
        <v>-60.000000000000028</v>
      </c>
      <c r="AD254" s="24">
        <f t="shared" si="1838"/>
        <v>-59.999999999999943</v>
      </c>
      <c r="AE254" s="24">
        <f t="shared" si="1838"/>
        <v>-60.000000000000057</v>
      </c>
      <c r="AI254" s="23">
        <f t="shared" ref="AI254:BN254" si="1839">AH180-AI74-AI180</f>
        <v>0</v>
      </c>
      <c r="AJ254" s="23">
        <f t="shared" si="1839"/>
        <v>0</v>
      </c>
      <c r="AK254" s="23">
        <f t="shared" si="1839"/>
        <v>0</v>
      </c>
      <c r="AL254" s="23">
        <f t="shared" si="1839"/>
        <v>0</v>
      </c>
      <c r="AM254" s="23">
        <f t="shared" si="1839"/>
        <v>0</v>
      </c>
      <c r="AN254" s="23">
        <f t="shared" si="1839"/>
        <v>0</v>
      </c>
      <c r="AO254" s="23">
        <f t="shared" si="1839"/>
        <v>0</v>
      </c>
      <c r="AP254" s="23">
        <f t="shared" si="1839"/>
        <v>0</v>
      </c>
      <c r="AQ254" s="23">
        <f t="shared" si="1839"/>
        <v>0</v>
      </c>
      <c r="AR254" s="23">
        <f t="shared" si="1839"/>
        <v>0</v>
      </c>
      <c r="AS254" s="23">
        <f t="shared" si="1839"/>
        <v>0</v>
      </c>
      <c r="AT254" s="23">
        <f t="shared" si="1839"/>
        <v>0</v>
      </c>
      <c r="AU254" s="23">
        <f t="shared" si="1839"/>
        <v>-4.5540000000000003</v>
      </c>
      <c r="AV254" s="23">
        <f t="shared" si="1839"/>
        <v>-4.0179999999999998</v>
      </c>
      <c r="AW254" s="23">
        <f t="shared" si="1839"/>
        <v>-4.6379999999999999</v>
      </c>
      <c r="AX254" s="23">
        <f t="shared" si="1839"/>
        <v>-265.52299999999997</v>
      </c>
      <c r="AY254" s="23">
        <f t="shared" si="1839"/>
        <v>-4.132000000000005</v>
      </c>
      <c r="AZ254" s="23">
        <f t="shared" si="1839"/>
        <v>-9.2379999999999995</v>
      </c>
      <c r="BA254" s="23">
        <f t="shared" si="1839"/>
        <v>-4.6639999999999873</v>
      </c>
      <c r="BB254" s="23">
        <f t="shared" si="1839"/>
        <v>-15.638000000000034</v>
      </c>
      <c r="BC254" s="23">
        <f t="shared" si="1839"/>
        <v>-4.4200000000000159</v>
      </c>
      <c r="BD254" s="23">
        <f t="shared" si="1839"/>
        <v>-7.1340000000000146</v>
      </c>
      <c r="BE254" s="23">
        <f t="shared" si="1839"/>
        <v>-5.1399999999999864</v>
      </c>
      <c r="BF254" s="23">
        <f t="shared" si="1839"/>
        <v>-26.038999999999987</v>
      </c>
      <c r="BG254" s="23">
        <f t="shared" si="1839"/>
        <v>-5.6800000000000068</v>
      </c>
      <c r="BH254" s="23">
        <f t="shared" si="1839"/>
        <v>-8.8799999999999955</v>
      </c>
      <c r="BI254" s="23">
        <f t="shared" si="1839"/>
        <v>-6.8899999999999864</v>
      </c>
      <c r="BJ254" s="23">
        <f t="shared" si="1839"/>
        <v>-1.7400000000000091</v>
      </c>
      <c r="BK254" s="23">
        <f t="shared" si="1839"/>
        <v>-7.3500000000000227</v>
      </c>
      <c r="BL254" s="23">
        <f t="shared" si="1839"/>
        <v>14.569999999999936</v>
      </c>
      <c r="BM254" s="23">
        <f t="shared" si="1839"/>
        <v>-7.839999999999975</v>
      </c>
      <c r="BN254" s="23">
        <f t="shared" si="1839"/>
        <v>15.150000000000006</v>
      </c>
      <c r="BO254" s="23">
        <f t="shared" ref="BO254:CT254" si="1840">BN180-BO74-BO180</f>
        <v>-6.9699999999999989</v>
      </c>
      <c r="BP254" s="23">
        <f t="shared" si="1840"/>
        <v>-7.6499999999999773</v>
      </c>
      <c r="BQ254" s="23">
        <f t="shared" si="1840"/>
        <v>-7.8400000000000034</v>
      </c>
      <c r="BR254" s="23">
        <f t="shared" si="1840"/>
        <v>2.6899999999999977</v>
      </c>
      <c r="BS254" s="23">
        <f t="shared" si="1840"/>
        <v>-7.289999999999992</v>
      </c>
      <c r="BT254" s="23">
        <f t="shared" si="1840"/>
        <v>-12.650000000000006</v>
      </c>
      <c r="BU254" s="23">
        <f t="shared" si="1840"/>
        <v>-8.8000000000000114</v>
      </c>
      <c r="BV254" s="23">
        <f t="shared" si="1840"/>
        <v>-19.989999999999952</v>
      </c>
      <c r="BW254" s="23">
        <f t="shared" si="1840"/>
        <v>-8.6100000000000136</v>
      </c>
      <c r="BX254" s="23">
        <f t="shared" si="1840"/>
        <v>-6.3300000000000125</v>
      </c>
      <c r="BY254" s="23">
        <f t="shared" si="1840"/>
        <v>-10.150000000000006</v>
      </c>
      <c r="BZ254" s="23">
        <f t="shared" si="1840"/>
        <v>-20.090000000000032</v>
      </c>
      <c r="CA254" s="23">
        <f t="shared" si="1840"/>
        <v>-9.8300000000000125</v>
      </c>
      <c r="CB254" s="23">
        <f t="shared" si="1840"/>
        <v>-10.850000000000051</v>
      </c>
      <c r="CC254" s="23">
        <f t="shared" si="1840"/>
        <v>-13.469999999999999</v>
      </c>
      <c r="CD254" s="23">
        <f t="shared" si="1840"/>
        <v>-28.449999999999989</v>
      </c>
      <c r="CE254" s="23">
        <f t="shared" si="1840"/>
        <v>-11.360000000000014</v>
      </c>
      <c r="CF254" s="23">
        <f t="shared" si="1840"/>
        <v>-2.0999999999999659</v>
      </c>
      <c r="CG254" s="23">
        <f t="shared" si="1840"/>
        <v>-17.060000000000002</v>
      </c>
      <c r="CH254" s="23">
        <f t="shared" si="1840"/>
        <v>-60.390000000000072</v>
      </c>
      <c r="CI254" s="23">
        <f t="shared" si="1840"/>
        <v>0</v>
      </c>
      <c r="CJ254" s="23">
        <f t="shared" si="1840"/>
        <v>20.07000000000005</v>
      </c>
      <c r="CK254" s="23">
        <f t="shared" si="1840"/>
        <v>0</v>
      </c>
      <c r="CL254" s="23">
        <f t="shared" si="1840"/>
        <v>-27.129999999999967</v>
      </c>
      <c r="CM254" s="24">
        <f t="shared" si="1840"/>
        <v>-15.000000000000028</v>
      </c>
      <c r="CN254" s="24">
        <f t="shared" si="1840"/>
        <v>-15</v>
      </c>
      <c r="CO254" s="24">
        <f t="shared" si="1840"/>
        <v>-15.000000000000028</v>
      </c>
      <c r="CP254" s="24">
        <f t="shared" si="1840"/>
        <v>-14.999999999999972</v>
      </c>
      <c r="CQ254" s="24">
        <f t="shared" si="1840"/>
        <v>-15</v>
      </c>
      <c r="CR254" s="24">
        <f t="shared" si="1840"/>
        <v>-15.000000000000028</v>
      </c>
      <c r="CS254" s="24">
        <f t="shared" si="1840"/>
        <v>-15</v>
      </c>
      <c r="CT254" s="24">
        <f t="shared" si="1840"/>
        <v>-15</v>
      </c>
      <c r="CU254" s="24">
        <f t="shared" ref="CU254:DB254" si="1841">CT180-CU74-CU180</f>
        <v>-15</v>
      </c>
      <c r="CV254" s="24">
        <f t="shared" si="1841"/>
        <v>-14.999999999999972</v>
      </c>
      <c r="CW254" s="24">
        <f t="shared" si="1841"/>
        <v>-15</v>
      </c>
      <c r="CX254" s="24">
        <f t="shared" si="1841"/>
        <v>-14.999999999999972</v>
      </c>
      <c r="CY254" s="24">
        <f t="shared" si="1841"/>
        <v>-14.999999999999972</v>
      </c>
      <c r="CZ254" s="24">
        <f t="shared" si="1841"/>
        <v>-15.000000000000057</v>
      </c>
      <c r="DA254" s="24">
        <f t="shared" si="1841"/>
        <v>-15</v>
      </c>
      <c r="DB254" s="24">
        <f t="shared" si="1841"/>
        <v>-15</v>
      </c>
      <c r="DE254" s="123"/>
      <c r="DF254" s="23">
        <v>-15</v>
      </c>
    </row>
    <row r="255" spans="1:110" s="23" customFormat="1" x14ac:dyDescent="0.2">
      <c r="AB255" s="24"/>
      <c r="AC255" s="24"/>
      <c r="AD255" s="24"/>
      <c r="AE255" s="24"/>
      <c r="CM255" s="24"/>
      <c r="CN255" s="24"/>
      <c r="CO255" s="24"/>
      <c r="CP255" s="24"/>
      <c r="CQ255" s="24"/>
      <c r="CR255" s="24"/>
      <c r="CS255" s="24"/>
      <c r="CT255" s="24"/>
      <c r="CU255" s="24"/>
      <c r="CV255" s="24"/>
      <c r="CW255" s="24"/>
      <c r="CX255" s="24"/>
      <c r="CY255" s="24"/>
      <c r="CZ255" s="24"/>
      <c r="DA255" s="24"/>
      <c r="DB255" s="24"/>
      <c r="DE255" s="123"/>
    </row>
    <row r="256" spans="1:110" s="22" customFormat="1" x14ac:dyDescent="0.2">
      <c r="A256" s="22" t="s">
        <v>95</v>
      </c>
      <c r="C256" s="22">
        <f t="shared" ref="C256:W256" si="1842">C257+C258</f>
        <v>0</v>
      </c>
      <c r="D256" s="22">
        <f t="shared" si="1842"/>
        <v>0</v>
      </c>
      <c r="E256" s="22">
        <f t="shared" si="1842"/>
        <v>0</v>
      </c>
      <c r="F256" s="22">
        <f t="shared" si="1842"/>
        <v>0</v>
      </c>
      <c r="G256" s="22">
        <f t="shared" si="1842"/>
        <v>0</v>
      </c>
      <c r="H256" s="22">
        <f t="shared" si="1842"/>
        <v>49.615729999999999</v>
      </c>
      <c r="I256" s="22">
        <f t="shared" si="1842"/>
        <v>-18.246074099999991</v>
      </c>
      <c r="J256" s="22">
        <f t="shared" si="1842"/>
        <v>-6.1198019000000023</v>
      </c>
      <c r="K256" s="22">
        <f t="shared" si="1842"/>
        <v>-38.139789399999998</v>
      </c>
      <c r="L256" s="22">
        <f t="shared" si="1842"/>
        <v>25.58416840000001</v>
      </c>
      <c r="M256" s="22">
        <f t="shared" si="1842"/>
        <v>1.4210854715202004E-14</v>
      </c>
      <c r="N256" s="22">
        <f t="shared" si="1842"/>
        <v>0.81200000000001182</v>
      </c>
      <c r="O256" s="22">
        <f t="shared" si="1842"/>
        <v>-2.8421709430404007E-14</v>
      </c>
      <c r="P256" s="22">
        <f t="shared" si="1842"/>
        <v>35.903000000000027</v>
      </c>
      <c r="Q256" s="22">
        <f t="shared" si="1842"/>
        <v>1.4269999999999285</v>
      </c>
      <c r="R256" s="22">
        <f t="shared" si="1842"/>
        <v>6.5690000000000168</v>
      </c>
      <c r="S256" s="22">
        <f t="shared" si="1842"/>
        <v>-65.217999999999961</v>
      </c>
      <c r="T256" s="22">
        <f t="shared" si="1842"/>
        <v>-90.920000000000016</v>
      </c>
      <c r="U256" s="22">
        <f t="shared" si="1842"/>
        <v>-156.99</v>
      </c>
      <c r="V256" s="22">
        <f t="shared" si="1842"/>
        <v>-53.629999999999939</v>
      </c>
      <c r="W256" s="22">
        <f t="shared" si="1842"/>
        <v>-76.769999999999925</v>
      </c>
      <c r="X256" s="22">
        <f t="shared" ref="X256:Y256" si="1843">X257+X258</f>
        <v>-57.370000000000019</v>
      </c>
      <c r="Y256" s="22">
        <f t="shared" si="1843"/>
        <v>-57.049999999999919</v>
      </c>
      <c r="Z256" s="22">
        <f t="shared" ref="Z256:AA256" si="1844">Z257+Z258</f>
        <v>-92.91000000000011</v>
      </c>
      <c r="AA256" s="22">
        <f t="shared" si="1844"/>
        <v>-124.44999999999996</v>
      </c>
      <c r="AB256" s="21">
        <f t="shared" ref="AA256:AD256" si="1845">AB257+AB258</f>
        <v>-1.1368683772161603E-13</v>
      </c>
      <c r="AC256" s="21">
        <f t="shared" si="1845"/>
        <v>0</v>
      </c>
      <c r="AD256" s="21">
        <f t="shared" si="1845"/>
        <v>2.2737367544323206E-13</v>
      </c>
      <c r="AE256" s="21">
        <f t="shared" ref="AE256" si="1846">AE257+AE258</f>
        <v>0</v>
      </c>
      <c r="AI256" s="22">
        <f t="shared" ref="AI256" si="1847">AI257+AI258</f>
        <v>0</v>
      </c>
      <c r="AJ256" s="22">
        <f t="shared" ref="AJ256:AL256" si="1848">AJ257+AJ258</f>
        <v>0</v>
      </c>
      <c r="AK256" s="22">
        <f t="shared" si="1848"/>
        <v>0</v>
      </c>
      <c r="AL256" s="22">
        <f t="shared" si="1848"/>
        <v>0</v>
      </c>
      <c r="AM256" s="22">
        <f t="shared" ref="AM256" si="1849">AM257+AM258</f>
        <v>0</v>
      </c>
      <c r="AN256" s="22">
        <f t="shared" ref="AN256:CD256" si="1850">AN257+AN258</f>
        <v>0</v>
      </c>
      <c r="AO256" s="22">
        <f t="shared" si="1850"/>
        <v>0</v>
      </c>
      <c r="AP256" s="22">
        <f t="shared" si="1850"/>
        <v>0</v>
      </c>
      <c r="AQ256" s="22">
        <f t="shared" si="1850"/>
        <v>0</v>
      </c>
      <c r="AR256" s="22">
        <f t="shared" si="1850"/>
        <v>0</v>
      </c>
      <c r="AS256" s="22">
        <f t="shared" si="1850"/>
        <v>0</v>
      </c>
      <c r="AT256" s="22">
        <f t="shared" si="1850"/>
        <v>0</v>
      </c>
      <c r="AU256" s="22">
        <f t="shared" si="1850"/>
        <v>0</v>
      </c>
      <c r="AV256" s="22">
        <f t="shared" si="1850"/>
        <v>-28.330999999999996</v>
      </c>
      <c r="AW256" s="22">
        <f t="shared" si="1850"/>
        <v>0</v>
      </c>
      <c r="AX256" s="22">
        <f t="shared" si="1850"/>
        <v>340.86</v>
      </c>
      <c r="AY256" s="22">
        <f t="shared" si="1850"/>
        <v>0</v>
      </c>
      <c r="AZ256" s="22">
        <f t="shared" si="1850"/>
        <v>19.483000000000004</v>
      </c>
      <c r="BA256" s="22">
        <f t="shared" si="1850"/>
        <v>0</v>
      </c>
      <c r="BB256" s="22">
        <f t="shared" si="1850"/>
        <v>-20.117999999999995</v>
      </c>
      <c r="BC256" s="22">
        <f t="shared" si="1850"/>
        <v>0</v>
      </c>
      <c r="BD256" s="22">
        <f t="shared" si="1850"/>
        <v>-18.800999999999981</v>
      </c>
      <c r="BE256" s="22">
        <f t="shared" si="1850"/>
        <v>0</v>
      </c>
      <c r="BF256" s="22">
        <f t="shared" si="1850"/>
        <v>-38.983000000000068</v>
      </c>
      <c r="BG256" s="22">
        <f t="shared" si="1850"/>
        <v>0</v>
      </c>
      <c r="BH256" s="22">
        <f t="shared" si="1850"/>
        <v>-30.669999999999909</v>
      </c>
      <c r="BI256" s="22">
        <f t="shared" si="1850"/>
        <v>0</v>
      </c>
      <c r="BJ256" s="22">
        <f t="shared" si="1850"/>
        <v>-60.139999999999979</v>
      </c>
      <c r="BK256" s="22">
        <f t="shared" si="1850"/>
        <v>0</v>
      </c>
      <c r="BL256" s="22">
        <f t="shared" si="1850"/>
        <v>-126.10000000000004</v>
      </c>
      <c r="BM256" s="22">
        <f t="shared" si="1850"/>
        <v>0</v>
      </c>
      <c r="BN256" s="22">
        <f t="shared" si="1850"/>
        <v>-30.770000000000024</v>
      </c>
      <c r="BO256" s="22">
        <f t="shared" si="1850"/>
        <v>0</v>
      </c>
      <c r="BP256" s="22">
        <f t="shared" si="1850"/>
        <v>11.649999999999963</v>
      </c>
      <c r="BQ256" s="22">
        <f t="shared" si="1850"/>
        <v>-5.6843418860808015E-14</v>
      </c>
      <c r="BR256" s="22">
        <f t="shared" si="1850"/>
        <v>-66.959999999999965</v>
      </c>
      <c r="BS256" s="22">
        <f t="shared" si="1850"/>
        <v>0</v>
      </c>
      <c r="BT256" s="22">
        <f t="shared" si="1850"/>
        <v>-78.160000000000025</v>
      </c>
      <c r="BU256" s="22">
        <f t="shared" si="1850"/>
        <v>0</v>
      </c>
      <c r="BV256" s="22">
        <f t="shared" si="1850"/>
        <v>1.4100000000000819</v>
      </c>
      <c r="BW256" s="22">
        <f t="shared" si="1850"/>
        <v>0</v>
      </c>
      <c r="BX256" s="22">
        <f t="shared" si="1850"/>
        <v>-71.11000000000007</v>
      </c>
      <c r="BY256" s="22">
        <f t="shared" si="1850"/>
        <v>0</v>
      </c>
      <c r="BZ256" s="22">
        <f t="shared" si="1850"/>
        <v>15.2799999999999</v>
      </c>
      <c r="CA256" s="22">
        <f t="shared" si="1850"/>
        <v>0</v>
      </c>
      <c r="CB256" s="22">
        <f t="shared" si="1850"/>
        <v>-61.31</v>
      </c>
      <c r="CC256" s="22">
        <f t="shared" si="1850"/>
        <v>0</v>
      </c>
      <c r="CD256" s="22">
        <f t="shared" si="1850"/>
        <v>4.5499999999999305</v>
      </c>
      <c r="CE256" s="22">
        <f t="shared" ref="CE256:CF256" si="1851">CE257+CE258</f>
        <v>0</v>
      </c>
      <c r="CF256" s="22">
        <f t="shared" si="1851"/>
        <v>-111.27999999999999</v>
      </c>
      <c r="CG256" s="22">
        <f t="shared" ref="CG256:CH256" si="1852">CG257+CG258</f>
        <v>0</v>
      </c>
      <c r="CH256" s="22">
        <f t="shared" si="1852"/>
        <v>17.450000000000085</v>
      </c>
      <c r="CI256" s="22">
        <f t="shared" ref="CI256:CJ256" si="1853">CI257+CI258</f>
        <v>0</v>
      </c>
      <c r="CJ256" s="22">
        <f t="shared" si="1853"/>
        <v>-99.860000000000028</v>
      </c>
      <c r="CK256" s="22">
        <f t="shared" ref="CK256:DB256" si="1854">CK257+CK258</f>
        <v>0</v>
      </c>
      <c r="CL256" s="22">
        <f t="shared" si="1854"/>
        <v>-24.209999999999926</v>
      </c>
      <c r="CM256" s="21">
        <f t="shared" si="1854"/>
        <v>0</v>
      </c>
      <c r="CN256" s="21">
        <f t="shared" si="1854"/>
        <v>-1.1368683772161603E-13</v>
      </c>
      <c r="CO256" s="21">
        <f t="shared" si="1854"/>
        <v>0</v>
      </c>
      <c r="CP256" s="21">
        <f t="shared" si="1854"/>
        <v>0</v>
      </c>
      <c r="CQ256" s="21">
        <f t="shared" si="1854"/>
        <v>0</v>
      </c>
      <c r="CR256" s="21">
        <f t="shared" si="1854"/>
        <v>0</v>
      </c>
      <c r="CS256" s="21">
        <f t="shared" si="1854"/>
        <v>-1.1368683772161603E-13</v>
      </c>
      <c r="CT256" s="21">
        <f t="shared" si="1854"/>
        <v>0</v>
      </c>
      <c r="CU256" s="21">
        <f t="shared" si="1854"/>
        <v>0</v>
      </c>
      <c r="CV256" s="21">
        <f t="shared" si="1854"/>
        <v>2.2737367544323206E-13</v>
      </c>
      <c r="CW256" s="21">
        <f t="shared" si="1854"/>
        <v>0</v>
      </c>
      <c r="CX256" s="21">
        <f t="shared" si="1854"/>
        <v>0</v>
      </c>
      <c r="CY256" s="21">
        <f t="shared" si="1854"/>
        <v>0</v>
      </c>
      <c r="CZ256" s="21">
        <f t="shared" si="1854"/>
        <v>0</v>
      </c>
      <c r="DA256" s="21">
        <f t="shared" si="1854"/>
        <v>0</v>
      </c>
      <c r="DB256" s="21">
        <f t="shared" si="1854"/>
        <v>0</v>
      </c>
      <c r="DE256" s="126"/>
      <c r="DF256" s="22">
        <v>1.1368683772161603E-13</v>
      </c>
    </row>
    <row r="257" spans="1:110" s="23" customFormat="1" x14ac:dyDescent="0.2">
      <c r="A257" s="23" t="s">
        <v>49</v>
      </c>
      <c r="C257" s="23">
        <f t="shared" ref="C257:AE257" si="1855">C170-B170</f>
        <v>0</v>
      </c>
      <c r="D257" s="23">
        <f t="shared" si="1855"/>
        <v>0</v>
      </c>
      <c r="E257" s="23">
        <f t="shared" si="1855"/>
        <v>0</v>
      </c>
      <c r="F257" s="23">
        <f t="shared" si="1855"/>
        <v>0</v>
      </c>
      <c r="G257" s="23">
        <f t="shared" si="1855"/>
        <v>0</v>
      </c>
      <c r="H257" s="23">
        <f t="shared" si="1855"/>
        <v>25</v>
      </c>
      <c r="I257" s="23">
        <f t="shared" si="1855"/>
        <v>0</v>
      </c>
      <c r="J257" s="23">
        <f t="shared" si="1855"/>
        <v>-25</v>
      </c>
      <c r="K257" s="23">
        <f t="shared" si="1855"/>
        <v>0</v>
      </c>
      <c r="L257" s="23">
        <f t="shared" si="1855"/>
        <v>25</v>
      </c>
      <c r="M257" s="23">
        <f t="shared" si="1855"/>
        <v>0</v>
      </c>
      <c r="N257" s="23">
        <f t="shared" si="1855"/>
        <v>0</v>
      </c>
      <c r="O257" s="23">
        <f t="shared" si="1855"/>
        <v>0</v>
      </c>
      <c r="P257" s="23">
        <f t="shared" si="1855"/>
        <v>-25</v>
      </c>
      <c r="Q257" s="23">
        <f t="shared" si="1855"/>
        <v>0</v>
      </c>
      <c r="R257" s="23">
        <f t="shared" si="1855"/>
        <v>7.25</v>
      </c>
      <c r="S257" s="23">
        <f t="shared" si="1855"/>
        <v>-7.25</v>
      </c>
      <c r="T257" s="23">
        <f t="shared" si="1855"/>
        <v>2.5</v>
      </c>
      <c r="U257" s="23">
        <f t="shared" si="1855"/>
        <v>0</v>
      </c>
      <c r="V257" s="23">
        <f t="shared" si="1855"/>
        <v>-2.5</v>
      </c>
      <c r="W257" s="23">
        <f t="shared" si="1855"/>
        <v>0</v>
      </c>
      <c r="X257" s="23">
        <f t="shared" si="1855"/>
        <v>0</v>
      </c>
      <c r="Y257" s="23">
        <f t="shared" si="1855"/>
        <v>21.6</v>
      </c>
      <c r="Z257" s="23">
        <f t="shared" si="1855"/>
        <v>-21.6</v>
      </c>
      <c r="AA257" s="23">
        <f t="shared" si="1855"/>
        <v>0</v>
      </c>
      <c r="AB257" s="24">
        <f t="shared" si="1855"/>
        <v>0</v>
      </c>
      <c r="AC257" s="24">
        <f t="shared" si="1855"/>
        <v>0</v>
      </c>
      <c r="AD257" s="24">
        <f t="shared" si="1855"/>
        <v>0</v>
      </c>
      <c r="AE257" s="24">
        <f t="shared" si="1855"/>
        <v>0</v>
      </c>
      <c r="AI257" s="23">
        <f t="shared" ref="AI257:BN257" si="1856">AI170-AH170</f>
        <v>0</v>
      </c>
      <c r="AJ257" s="23">
        <f t="shared" si="1856"/>
        <v>0</v>
      </c>
      <c r="AK257" s="23">
        <f t="shared" si="1856"/>
        <v>0</v>
      </c>
      <c r="AL257" s="23">
        <f t="shared" si="1856"/>
        <v>0</v>
      </c>
      <c r="AM257" s="23">
        <f t="shared" si="1856"/>
        <v>0</v>
      </c>
      <c r="AN257" s="23">
        <f t="shared" si="1856"/>
        <v>0</v>
      </c>
      <c r="AO257" s="23">
        <f t="shared" si="1856"/>
        <v>0</v>
      </c>
      <c r="AP257" s="23">
        <f t="shared" si="1856"/>
        <v>0</v>
      </c>
      <c r="AQ257" s="23">
        <f t="shared" si="1856"/>
        <v>0</v>
      </c>
      <c r="AR257" s="23">
        <f t="shared" si="1856"/>
        <v>0</v>
      </c>
      <c r="AS257" s="23">
        <f t="shared" si="1856"/>
        <v>0</v>
      </c>
      <c r="AT257" s="23">
        <f t="shared" si="1856"/>
        <v>0</v>
      </c>
      <c r="AU257" s="23">
        <f t="shared" si="1856"/>
        <v>0</v>
      </c>
      <c r="AV257" s="23">
        <f t="shared" si="1856"/>
        <v>0</v>
      </c>
      <c r="AW257" s="23">
        <f t="shared" si="1856"/>
        <v>0</v>
      </c>
      <c r="AX257" s="23">
        <f t="shared" si="1856"/>
        <v>0</v>
      </c>
      <c r="AY257" s="23">
        <f t="shared" si="1856"/>
        <v>0</v>
      </c>
      <c r="AZ257" s="23">
        <f t="shared" si="1856"/>
        <v>0</v>
      </c>
      <c r="BA257" s="23">
        <f t="shared" si="1856"/>
        <v>0</v>
      </c>
      <c r="BB257" s="23">
        <f t="shared" si="1856"/>
        <v>0</v>
      </c>
      <c r="BC257" s="23">
        <f t="shared" si="1856"/>
        <v>0</v>
      </c>
      <c r="BD257" s="23">
        <f t="shared" si="1856"/>
        <v>9.8440000000000012</v>
      </c>
      <c r="BE257" s="23">
        <f t="shared" si="1856"/>
        <v>0</v>
      </c>
      <c r="BF257" s="23">
        <f t="shared" si="1856"/>
        <v>-9.8440000000000012</v>
      </c>
      <c r="BG257" s="23">
        <f t="shared" si="1856"/>
        <v>0</v>
      </c>
      <c r="BH257" s="23">
        <f t="shared" si="1856"/>
        <v>9.93</v>
      </c>
      <c r="BI257" s="23">
        <f t="shared" si="1856"/>
        <v>0</v>
      </c>
      <c r="BJ257" s="23">
        <f t="shared" si="1856"/>
        <v>-7.43</v>
      </c>
      <c r="BK257" s="23">
        <f t="shared" si="1856"/>
        <v>0</v>
      </c>
      <c r="BL257" s="23">
        <f t="shared" si="1856"/>
        <v>0.10999999999999988</v>
      </c>
      <c r="BM257" s="23">
        <f t="shared" si="1856"/>
        <v>0</v>
      </c>
      <c r="BN257" s="23">
        <f t="shared" si="1856"/>
        <v>-0.10999999999999988</v>
      </c>
      <c r="BO257" s="23">
        <f t="shared" ref="BO257:CT257" si="1857">BO170-BN170</f>
        <v>0</v>
      </c>
      <c r="BP257" s="23">
        <f t="shared" si="1857"/>
        <v>0.10999999999999988</v>
      </c>
      <c r="BQ257" s="23">
        <f t="shared" si="1857"/>
        <v>0</v>
      </c>
      <c r="BR257" s="23">
        <f t="shared" si="1857"/>
        <v>-2.61</v>
      </c>
      <c r="BS257" s="23">
        <f t="shared" si="1857"/>
        <v>0</v>
      </c>
      <c r="BT257" s="23">
        <f t="shared" si="1857"/>
        <v>0</v>
      </c>
      <c r="BU257" s="23">
        <f t="shared" si="1857"/>
        <v>0</v>
      </c>
      <c r="BV257" s="23">
        <f t="shared" si="1857"/>
        <v>0</v>
      </c>
      <c r="BW257" s="23">
        <f t="shared" si="1857"/>
        <v>0</v>
      </c>
      <c r="BX257" s="23">
        <f t="shared" si="1857"/>
        <v>0</v>
      </c>
      <c r="BY257" s="23">
        <f t="shared" si="1857"/>
        <v>0</v>
      </c>
      <c r="BZ257" s="23">
        <f t="shared" si="1857"/>
        <v>0</v>
      </c>
      <c r="CA257" s="23">
        <f t="shared" si="1857"/>
        <v>0</v>
      </c>
      <c r="CB257" s="23">
        <f t="shared" si="1857"/>
        <v>23.91</v>
      </c>
      <c r="CC257" s="23">
        <f t="shared" si="1857"/>
        <v>0</v>
      </c>
      <c r="CD257" s="23">
        <f t="shared" si="1857"/>
        <v>-2.3099999999999987</v>
      </c>
      <c r="CE257" s="23">
        <f t="shared" si="1857"/>
        <v>0</v>
      </c>
      <c r="CF257" s="23">
        <f t="shared" si="1857"/>
        <v>-21.48</v>
      </c>
      <c r="CG257" s="23">
        <f t="shared" si="1857"/>
        <v>0</v>
      </c>
      <c r="CH257" s="23">
        <f t="shared" si="1857"/>
        <v>-0.12</v>
      </c>
      <c r="CI257" s="23">
        <f t="shared" si="1857"/>
        <v>0</v>
      </c>
      <c r="CJ257" s="23">
        <f t="shared" si="1857"/>
        <v>0</v>
      </c>
      <c r="CK257" s="23">
        <f t="shared" si="1857"/>
        <v>0</v>
      </c>
      <c r="CL257" s="23">
        <f t="shared" si="1857"/>
        <v>0</v>
      </c>
      <c r="CM257" s="24">
        <f t="shared" si="1857"/>
        <v>0</v>
      </c>
      <c r="CN257" s="24">
        <f t="shared" si="1857"/>
        <v>0</v>
      </c>
      <c r="CO257" s="24">
        <f t="shared" si="1857"/>
        <v>0</v>
      </c>
      <c r="CP257" s="24">
        <f t="shared" si="1857"/>
        <v>0</v>
      </c>
      <c r="CQ257" s="24">
        <f t="shared" si="1857"/>
        <v>0</v>
      </c>
      <c r="CR257" s="24">
        <f t="shared" si="1857"/>
        <v>0</v>
      </c>
      <c r="CS257" s="24">
        <f t="shared" si="1857"/>
        <v>0</v>
      </c>
      <c r="CT257" s="24">
        <f t="shared" si="1857"/>
        <v>0</v>
      </c>
      <c r="CU257" s="24">
        <f t="shared" ref="CU257:DB257" si="1858">CU170-CT170</f>
        <v>0</v>
      </c>
      <c r="CV257" s="24">
        <f t="shared" si="1858"/>
        <v>0</v>
      </c>
      <c r="CW257" s="24">
        <f t="shared" si="1858"/>
        <v>0</v>
      </c>
      <c r="CX257" s="24">
        <f t="shared" si="1858"/>
        <v>0</v>
      </c>
      <c r="CY257" s="24">
        <f t="shared" si="1858"/>
        <v>0</v>
      </c>
      <c r="CZ257" s="24">
        <f t="shared" si="1858"/>
        <v>0</v>
      </c>
      <c r="DA257" s="24">
        <f t="shared" si="1858"/>
        <v>0</v>
      </c>
      <c r="DB257" s="24">
        <f t="shared" si="1858"/>
        <v>0</v>
      </c>
      <c r="DE257" s="123"/>
      <c r="DF257" s="23">
        <v>0</v>
      </c>
    </row>
    <row r="258" spans="1:110" s="23" customFormat="1" x14ac:dyDescent="0.2">
      <c r="A258" s="23" t="s">
        <v>27</v>
      </c>
      <c r="C258" s="23">
        <f t="shared" ref="C258:AE258" si="1859">C162-C90-B162+C164-B164</f>
        <v>0</v>
      </c>
      <c r="D258" s="23">
        <f t="shared" si="1859"/>
        <v>0</v>
      </c>
      <c r="E258" s="23">
        <f t="shared" si="1859"/>
        <v>0</v>
      </c>
      <c r="F258" s="23">
        <f t="shared" si="1859"/>
        <v>0</v>
      </c>
      <c r="G258" s="23">
        <f t="shared" si="1859"/>
        <v>0</v>
      </c>
      <c r="H258" s="23">
        <f t="shared" si="1859"/>
        <v>24.615730000000003</v>
      </c>
      <c r="I258" s="23">
        <f t="shared" si="1859"/>
        <v>-18.246074099999991</v>
      </c>
      <c r="J258" s="23">
        <f t="shared" si="1859"/>
        <v>18.880198099999998</v>
      </c>
      <c r="K258" s="23">
        <f t="shared" si="1859"/>
        <v>-38.139789399999998</v>
      </c>
      <c r="L258" s="23">
        <f t="shared" si="1859"/>
        <v>0.58416840000001002</v>
      </c>
      <c r="M258" s="23">
        <f t="shared" si="1859"/>
        <v>1.4210854715202004E-14</v>
      </c>
      <c r="N258" s="23">
        <f t="shared" si="1859"/>
        <v>0.81200000000001182</v>
      </c>
      <c r="O258" s="23">
        <f t="shared" si="1859"/>
        <v>-2.8421709430404007E-14</v>
      </c>
      <c r="P258" s="23">
        <f t="shared" si="1859"/>
        <v>60.903000000000027</v>
      </c>
      <c r="Q258" s="23">
        <f t="shared" si="1859"/>
        <v>1.4269999999999285</v>
      </c>
      <c r="R258" s="23">
        <f t="shared" si="1859"/>
        <v>-0.68099999999998317</v>
      </c>
      <c r="S258" s="23">
        <f t="shared" si="1859"/>
        <v>-57.967999999999961</v>
      </c>
      <c r="T258" s="23">
        <f t="shared" si="1859"/>
        <v>-93.420000000000016</v>
      </c>
      <c r="U258" s="23">
        <f t="shared" si="1859"/>
        <v>-156.99</v>
      </c>
      <c r="V258" s="23">
        <f t="shared" si="1859"/>
        <v>-51.129999999999939</v>
      </c>
      <c r="W258" s="23">
        <f t="shared" si="1859"/>
        <v>-76.769999999999925</v>
      </c>
      <c r="X258" s="23">
        <f t="shared" si="1859"/>
        <v>-57.370000000000019</v>
      </c>
      <c r="Y258" s="23">
        <f t="shared" si="1859"/>
        <v>-78.64999999999992</v>
      </c>
      <c r="Z258" s="23">
        <f t="shared" si="1859"/>
        <v>-71.310000000000116</v>
      </c>
      <c r="AA258" s="23">
        <f t="shared" si="1859"/>
        <v>-124.44999999999996</v>
      </c>
      <c r="AB258" s="24">
        <f t="shared" si="1859"/>
        <v>-1.1368683772161603E-13</v>
      </c>
      <c r="AC258" s="24">
        <f t="shared" si="1859"/>
        <v>0</v>
      </c>
      <c r="AD258" s="24">
        <f t="shared" si="1859"/>
        <v>2.2737367544323206E-13</v>
      </c>
      <c r="AE258" s="24">
        <f t="shared" si="1859"/>
        <v>0</v>
      </c>
      <c r="AI258" s="23">
        <f t="shared" ref="AI258:BN258" si="1860">AI162-AI90-AH162+AI164-AH164</f>
        <v>0</v>
      </c>
      <c r="AJ258" s="23">
        <f t="shared" si="1860"/>
        <v>0</v>
      </c>
      <c r="AK258" s="23">
        <f t="shared" si="1860"/>
        <v>0</v>
      </c>
      <c r="AL258" s="23">
        <f t="shared" si="1860"/>
        <v>0</v>
      </c>
      <c r="AM258" s="23">
        <f t="shared" si="1860"/>
        <v>0</v>
      </c>
      <c r="AN258" s="23">
        <f t="shared" si="1860"/>
        <v>0</v>
      </c>
      <c r="AO258" s="23">
        <f t="shared" si="1860"/>
        <v>0</v>
      </c>
      <c r="AP258" s="23">
        <f t="shared" si="1860"/>
        <v>0</v>
      </c>
      <c r="AQ258" s="23">
        <f t="shared" si="1860"/>
        <v>0</v>
      </c>
      <c r="AR258" s="23">
        <f t="shared" si="1860"/>
        <v>0</v>
      </c>
      <c r="AS258" s="23">
        <f t="shared" si="1860"/>
        <v>0</v>
      </c>
      <c r="AT258" s="23">
        <f t="shared" si="1860"/>
        <v>0</v>
      </c>
      <c r="AU258" s="23">
        <f t="shared" si="1860"/>
        <v>0</v>
      </c>
      <c r="AV258" s="23">
        <f t="shared" si="1860"/>
        <v>-28.330999999999996</v>
      </c>
      <c r="AW258" s="23">
        <f t="shared" si="1860"/>
        <v>0</v>
      </c>
      <c r="AX258" s="23">
        <f t="shared" si="1860"/>
        <v>340.86</v>
      </c>
      <c r="AY258" s="23">
        <f t="shared" si="1860"/>
        <v>0</v>
      </c>
      <c r="AZ258" s="23">
        <f t="shared" si="1860"/>
        <v>19.483000000000004</v>
      </c>
      <c r="BA258" s="23">
        <f t="shared" si="1860"/>
        <v>0</v>
      </c>
      <c r="BB258" s="23">
        <f t="shared" si="1860"/>
        <v>-20.117999999999995</v>
      </c>
      <c r="BC258" s="23">
        <f t="shared" si="1860"/>
        <v>0</v>
      </c>
      <c r="BD258" s="23">
        <f t="shared" si="1860"/>
        <v>-28.644999999999982</v>
      </c>
      <c r="BE258" s="23">
        <f t="shared" si="1860"/>
        <v>0</v>
      </c>
      <c r="BF258" s="23">
        <f t="shared" si="1860"/>
        <v>-29.139000000000067</v>
      </c>
      <c r="BG258" s="23">
        <f t="shared" si="1860"/>
        <v>0</v>
      </c>
      <c r="BH258" s="23">
        <f t="shared" si="1860"/>
        <v>-40.599999999999909</v>
      </c>
      <c r="BI258" s="23">
        <f t="shared" si="1860"/>
        <v>0</v>
      </c>
      <c r="BJ258" s="23">
        <f t="shared" si="1860"/>
        <v>-52.70999999999998</v>
      </c>
      <c r="BK258" s="23">
        <f t="shared" si="1860"/>
        <v>0</v>
      </c>
      <c r="BL258" s="23">
        <f t="shared" si="1860"/>
        <v>-126.21000000000004</v>
      </c>
      <c r="BM258" s="23">
        <f t="shared" si="1860"/>
        <v>0</v>
      </c>
      <c r="BN258" s="23">
        <f t="shared" si="1860"/>
        <v>-30.660000000000025</v>
      </c>
      <c r="BO258" s="23">
        <f t="shared" ref="BO258:CT258" si="1861">BO162-BO90-BN162+BO164-BN164</f>
        <v>0</v>
      </c>
      <c r="BP258" s="23">
        <f t="shared" si="1861"/>
        <v>11.539999999999964</v>
      </c>
      <c r="BQ258" s="23">
        <f t="shared" si="1861"/>
        <v>-5.6843418860808015E-14</v>
      </c>
      <c r="BR258" s="23">
        <f t="shared" si="1861"/>
        <v>-64.349999999999966</v>
      </c>
      <c r="BS258" s="23">
        <f t="shared" si="1861"/>
        <v>0</v>
      </c>
      <c r="BT258" s="23">
        <f t="shared" si="1861"/>
        <v>-78.160000000000025</v>
      </c>
      <c r="BU258" s="23">
        <f t="shared" si="1861"/>
        <v>0</v>
      </c>
      <c r="BV258" s="23">
        <f t="shared" si="1861"/>
        <v>1.4100000000000819</v>
      </c>
      <c r="BW258" s="23">
        <f t="shared" si="1861"/>
        <v>0</v>
      </c>
      <c r="BX258" s="23">
        <f t="shared" si="1861"/>
        <v>-71.11000000000007</v>
      </c>
      <c r="BY258" s="23">
        <f t="shared" si="1861"/>
        <v>0</v>
      </c>
      <c r="BZ258" s="23">
        <f t="shared" si="1861"/>
        <v>15.2799999999999</v>
      </c>
      <c r="CA258" s="23">
        <f t="shared" si="1861"/>
        <v>0</v>
      </c>
      <c r="CB258" s="23">
        <f t="shared" si="1861"/>
        <v>-85.22</v>
      </c>
      <c r="CC258" s="23">
        <f t="shared" si="1861"/>
        <v>0</v>
      </c>
      <c r="CD258" s="23">
        <f t="shared" si="1861"/>
        <v>6.8599999999999293</v>
      </c>
      <c r="CE258" s="23">
        <f t="shared" si="1861"/>
        <v>0</v>
      </c>
      <c r="CF258" s="23">
        <f t="shared" si="1861"/>
        <v>-89.799999999999983</v>
      </c>
      <c r="CG258" s="23">
        <f t="shared" si="1861"/>
        <v>0</v>
      </c>
      <c r="CH258" s="23">
        <f t="shared" si="1861"/>
        <v>17.570000000000086</v>
      </c>
      <c r="CI258" s="23">
        <f t="shared" si="1861"/>
        <v>0</v>
      </c>
      <c r="CJ258" s="23">
        <f t="shared" si="1861"/>
        <v>-99.860000000000028</v>
      </c>
      <c r="CK258" s="23">
        <f t="shared" si="1861"/>
        <v>0</v>
      </c>
      <c r="CL258" s="23">
        <f t="shared" si="1861"/>
        <v>-24.209999999999926</v>
      </c>
      <c r="CM258" s="24">
        <f t="shared" si="1861"/>
        <v>0</v>
      </c>
      <c r="CN258" s="24">
        <f t="shared" si="1861"/>
        <v>-1.1368683772161603E-13</v>
      </c>
      <c r="CO258" s="24">
        <f t="shared" si="1861"/>
        <v>0</v>
      </c>
      <c r="CP258" s="24">
        <f t="shared" si="1861"/>
        <v>0</v>
      </c>
      <c r="CQ258" s="24">
        <f t="shared" si="1861"/>
        <v>0</v>
      </c>
      <c r="CR258" s="24">
        <f t="shared" si="1861"/>
        <v>0</v>
      </c>
      <c r="CS258" s="24">
        <f t="shared" si="1861"/>
        <v>-1.1368683772161603E-13</v>
      </c>
      <c r="CT258" s="24">
        <f t="shared" si="1861"/>
        <v>0</v>
      </c>
      <c r="CU258" s="24">
        <f t="shared" ref="CU258:DB258" si="1862">CU162-CU90-CT162+CU164-CT164</f>
        <v>0</v>
      </c>
      <c r="CV258" s="24">
        <f t="shared" si="1862"/>
        <v>2.2737367544323206E-13</v>
      </c>
      <c r="CW258" s="24">
        <f t="shared" si="1862"/>
        <v>0</v>
      </c>
      <c r="CX258" s="24">
        <f t="shared" si="1862"/>
        <v>0</v>
      </c>
      <c r="CY258" s="24">
        <f t="shared" si="1862"/>
        <v>0</v>
      </c>
      <c r="CZ258" s="24">
        <f t="shared" si="1862"/>
        <v>0</v>
      </c>
      <c r="DA258" s="24">
        <f t="shared" si="1862"/>
        <v>0</v>
      </c>
      <c r="DB258" s="24">
        <f t="shared" si="1862"/>
        <v>0</v>
      </c>
      <c r="DE258" s="123"/>
      <c r="DF258" s="23">
        <v>1.1368683772161603E-13</v>
      </c>
    </row>
    <row r="259" spans="1:110" s="23" customFormat="1" x14ac:dyDescent="0.2">
      <c r="AB259" s="24"/>
      <c r="AC259" s="24"/>
      <c r="AD259" s="24"/>
      <c r="AE259" s="24"/>
      <c r="CM259" s="24"/>
      <c r="CN259" s="24"/>
      <c r="CO259" s="24"/>
      <c r="CP259" s="24"/>
      <c r="CQ259" s="24"/>
      <c r="CR259" s="24"/>
      <c r="CS259" s="24"/>
      <c r="CT259" s="24"/>
      <c r="CU259" s="24"/>
      <c r="CV259" s="24"/>
      <c r="CW259" s="24"/>
      <c r="CX259" s="24"/>
      <c r="CY259" s="24"/>
      <c r="CZ259" s="24"/>
      <c r="DA259" s="24"/>
      <c r="DB259" s="24"/>
      <c r="DE259" s="123"/>
    </row>
    <row r="260" spans="1:110" s="23" customFormat="1" x14ac:dyDescent="0.2">
      <c r="A260" s="23" t="s">
        <v>442</v>
      </c>
      <c r="C260" s="23">
        <f t="shared" ref="C260" si="1863">B212</f>
        <v>0</v>
      </c>
      <c r="D260" s="23">
        <f t="shared" ref="D260" si="1864">C212</f>
        <v>0</v>
      </c>
      <c r="E260" s="23">
        <f>D212</f>
        <v>0</v>
      </c>
      <c r="F260" s="23">
        <f t="shared" ref="F260" si="1865">E212</f>
        <v>0</v>
      </c>
      <c r="G260" s="23">
        <f t="shared" ref="G260" si="1866">F212</f>
        <v>0</v>
      </c>
      <c r="H260" s="23">
        <f t="shared" ref="H260" si="1867">G212</f>
        <v>0</v>
      </c>
      <c r="I260" s="23">
        <f t="shared" ref="I260" si="1868">H212</f>
        <v>7.8436633999999996</v>
      </c>
      <c r="J260" s="23">
        <f>I212</f>
        <v>12.0960018</v>
      </c>
      <c r="K260" s="23">
        <f>J212</f>
        <v>3.9201234999999999</v>
      </c>
      <c r="L260" s="23">
        <f t="shared" ref="L260" si="1869">K212</f>
        <v>8.4658485999999993</v>
      </c>
      <c r="M260" s="23">
        <f t="shared" ref="M260" si="1870">L212</f>
        <v>40.040999999999997</v>
      </c>
      <c r="N260" s="23">
        <f t="shared" ref="N260" si="1871">M212</f>
        <v>59.030999999999999</v>
      </c>
      <c r="O260" s="23">
        <f t="shared" ref="O260" si="1872">N212</f>
        <v>77.13300000000001</v>
      </c>
      <c r="P260" s="23">
        <f t="shared" ref="P260" si="1873">O212</f>
        <v>113.294</v>
      </c>
      <c r="Q260" s="23">
        <f t="shared" ref="Q260" si="1874">P212</f>
        <v>89.376000000000005</v>
      </c>
      <c r="R260" s="23">
        <f t="shared" ref="R260" si="1875">Q212</f>
        <v>101.926</v>
      </c>
      <c r="S260" s="23">
        <f t="shared" ref="S260" si="1876">R212</f>
        <v>115.953</v>
      </c>
      <c r="T260" s="23">
        <f t="shared" ref="T260" si="1877">S212</f>
        <v>111.96</v>
      </c>
      <c r="U260" s="23">
        <f t="shared" ref="U260" si="1878">T212</f>
        <v>84.24</v>
      </c>
      <c r="V260" s="23">
        <f t="shared" ref="V260" si="1879">U212</f>
        <v>80.099999999999994</v>
      </c>
      <c r="W260" s="23">
        <f t="shared" ref="W260:AA260" si="1880">V212</f>
        <v>120.22</v>
      </c>
      <c r="X260" s="23">
        <f t="shared" si="1880"/>
        <v>139.12</v>
      </c>
      <c r="Y260" s="23">
        <f t="shared" si="1880"/>
        <v>150.76999999999998</v>
      </c>
      <c r="Z260" s="23">
        <f t="shared" si="1880"/>
        <v>176.64</v>
      </c>
      <c r="AA260" s="23">
        <f t="shared" si="1880"/>
        <v>191.84</v>
      </c>
      <c r="AB260" s="24">
        <f t="shared" ref="AB260" si="1881">AA212</f>
        <v>219.66</v>
      </c>
      <c r="AC260" s="24">
        <f t="shared" ref="AC260" si="1882">AB212</f>
        <v>404.94527273261122</v>
      </c>
      <c r="AD260" s="24">
        <f t="shared" ref="AD260" si="1883">AC212</f>
        <v>641.53565599203455</v>
      </c>
      <c r="AE260" s="24">
        <f t="shared" ref="AE260" si="1884">AD212</f>
        <v>936.47604404757601</v>
      </c>
      <c r="AI260" s="23">
        <f t="shared" ref="AI260" si="1885">AH212</f>
        <v>0</v>
      </c>
      <c r="AJ260" s="23">
        <f t="shared" ref="AJ260" si="1886">AI212</f>
        <v>0</v>
      </c>
      <c r="AK260" s="23">
        <f t="shared" ref="AK260" si="1887">AJ212</f>
        <v>0</v>
      </c>
      <c r="AL260" s="23" t="e">
        <f t="shared" ref="AL260" si="1888">AK212</f>
        <v>#DIV/0!</v>
      </c>
      <c r="AM260" s="23">
        <f t="shared" ref="AM260" si="1889">AL212</f>
        <v>0</v>
      </c>
      <c r="AN260" s="23" t="e">
        <f t="shared" ref="AN260" si="1890">AM212</f>
        <v>#DIV/0!</v>
      </c>
      <c r="AO260" s="23">
        <f t="shared" ref="AO260" si="1891">AN212</f>
        <v>0</v>
      </c>
      <c r="AP260" s="23" t="e">
        <f t="shared" ref="AP260" si="1892">AO212</f>
        <v>#DIV/0!</v>
      </c>
      <c r="AQ260" s="23">
        <f t="shared" ref="AQ260" si="1893">AP212</f>
        <v>0</v>
      </c>
      <c r="AR260" s="23" t="e">
        <f t="shared" ref="AR260" si="1894">AQ212</f>
        <v>#DIV/0!</v>
      </c>
      <c r="AS260" s="23">
        <f t="shared" ref="AS260" si="1895">AR212</f>
        <v>0</v>
      </c>
      <c r="AT260" s="23" t="e">
        <f t="shared" ref="AT260" si="1896">AS212</f>
        <v>#DIV/0!</v>
      </c>
      <c r="AU260" s="23">
        <f t="shared" ref="AU260" si="1897">AT212</f>
        <v>0</v>
      </c>
      <c r="AV260" s="23" t="e">
        <f t="shared" ref="AV260" si="1898">AU212</f>
        <v>#DIV/0!</v>
      </c>
      <c r="AW260" s="23">
        <f t="shared" ref="AW260" si="1899">AV212</f>
        <v>0</v>
      </c>
      <c r="AX260" s="23">
        <f t="shared" ref="AX260" si="1900">AW212</f>
        <v>10.814000000000007</v>
      </c>
      <c r="AY260" s="23">
        <f t="shared" ref="AY260" si="1901">AX212</f>
        <v>101.926</v>
      </c>
      <c r="AZ260" s="23">
        <f t="shared" ref="AZ260" si="1902">AY212</f>
        <v>118.08522942125893</v>
      </c>
      <c r="BA260" s="23">
        <f t="shared" ref="BA260" si="1903">AZ212</f>
        <v>117.952</v>
      </c>
      <c r="BB260" s="23">
        <f t="shared" ref="BB260" si="1904">BA212</f>
        <v>129.23905696882838</v>
      </c>
      <c r="BC260" s="23">
        <f t="shared" ref="BC260" si="1905">BB212</f>
        <v>115.953</v>
      </c>
      <c r="BD260" s="23">
        <f t="shared" ref="BD260" si="1906">BC212</f>
        <v>137.81901740208457</v>
      </c>
      <c r="BE260" s="23">
        <f t="shared" ref="BE260" si="1907">BD212</f>
        <v>136.52699999999999</v>
      </c>
      <c r="BF260" s="23">
        <f t="shared" ref="BF260" si="1908">BE212</f>
        <v>158.90188268435642</v>
      </c>
      <c r="BG260" s="23">
        <f t="shared" ref="BG260" si="1909">BF212</f>
        <v>111.96</v>
      </c>
      <c r="BH260" s="23">
        <f t="shared" ref="BH260" si="1910">BG212</f>
        <v>135.25709290295882</v>
      </c>
      <c r="BI260" s="23">
        <f t="shared" ref="BI260" si="1911">BH212</f>
        <v>88.240000000000009</v>
      </c>
      <c r="BJ260" s="23">
        <f t="shared" ref="BJ260" si="1912">BI212</f>
        <v>110.83694936465153</v>
      </c>
      <c r="BK260" s="23">
        <f t="shared" ref="BK260" si="1913">BJ212</f>
        <v>84.24</v>
      </c>
      <c r="BL260" s="23">
        <f t="shared" ref="BL260" si="1914">BK212</f>
        <v>110.81879628752722</v>
      </c>
      <c r="BM260" s="23">
        <f t="shared" ref="BM260" si="1915">BL212</f>
        <v>43.8</v>
      </c>
      <c r="BN260" s="23">
        <f t="shared" ref="BN260" si="1916">BM212</f>
        <v>74.062522367515527</v>
      </c>
      <c r="BO260" s="23">
        <f t="shared" ref="BO260" si="1917">BN212</f>
        <v>80.099999999999994</v>
      </c>
      <c r="BP260" s="23">
        <f t="shared" ref="BP260" si="1918">BO212</f>
        <v>87.151809936908521</v>
      </c>
      <c r="BQ260" s="23">
        <f t="shared" ref="BQ260" si="1919">BP212</f>
        <v>88.03</v>
      </c>
      <c r="BR260" s="23">
        <f t="shared" ref="BR260" si="1920">BQ212</f>
        <v>124.6935765089722</v>
      </c>
      <c r="BS260" s="23">
        <f t="shared" ref="BS260" si="1921">BR212</f>
        <v>120.22</v>
      </c>
      <c r="BT260" s="23">
        <f t="shared" ref="BT260" si="1922">BS212</f>
        <v>170.58095682375375</v>
      </c>
      <c r="BU260" s="23">
        <f t="shared" ref="BU260" si="1923">BT212</f>
        <v>111.27999999999999</v>
      </c>
      <c r="BV260" s="23">
        <f t="shared" ref="BV260" si="1924">BU212</f>
        <v>170.52706883831792</v>
      </c>
      <c r="BW260" s="23">
        <f t="shared" ref="BW260" si="1925">BV212</f>
        <v>139.12</v>
      </c>
      <c r="BX260" s="23">
        <f t="shared" ref="BX260" si="1926">BW212</f>
        <v>162.99708946078437</v>
      </c>
      <c r="BY260" s="23">
        <f t="shared" ref="BY260" si="1927">BX212</f>
        <v>104.82</v>
      </c>
      <c r="BZ260" s="23">
        <f t="shared" ref="BZ260" si="1928">BY212</f>
        <v>124.55899236867452</v>
      </c>
      <c r="CA260" s="23">
        <f t="shared" ref="CA260" si="1929">BZ212</f>
        <v>150.76999999999998</v>
      </c>
      <c r="CB260" s="23">
        <f t="shared" ref="CB260" si="1930">CA212</f>
        <v>168.71698263173386</v>
      </c>
      <c r="CC260" s="23">
        <f t="shared" ref="CC260" si="1931">CB212</f>
        <v>99.34</v>
      </c>
      <c r="CD260" s="23">
        <f t="shared" ref="CD260" si="1932">CC212</f>
        <v>120.94639054054058</v>
      </c>
      <c r="CE260" s="23">
        <f t="shared" ref="CE260" si="1933">CD212</f>
        <v>176.64</v>
      </c>
      <c r="CF260" s="23">
        <f t="shared" ref="CF260" si="1934">CE212</f>
        <v>199.93258800648294</v>
      </c>
      <c r="CG260" s="23">
        <f t="shared" ref="CG260" si="1935">CF212</f>
        <v>137.56</v>
      </c>
      <c r="CH260" s="23">
        <f t="shared" ref="CH260:CL260" si="1936">CG212</f>
        <v>159.65513306269736</v>
      </c>
      <c r="CI260" s="23">
        <f t="shared" si="1936"/>
        <v>191.84</v>
      </c>
      <c r="CJ260" s="23">
        <f t="shared" si="1936"/>
        <v>240.93141750374014</v>
      </c>
      <c r="CK260" s="23">
        <f t="shared" ref="CK260" si="1937">CJ212</f>
        <v>192.41</v>
      </c>
      <c r="CL260" s="23">
        <f t="shared" si="1936"/>
        <v>246.55598069551561</v>
      </c>
      <c r="CM260" s="24">
        <f t="shared" ref="CM260" si="1938">CL212</f>
        <v>219.66</v>
      </c>
      <c r="CN260" s="24">
        <f t="shared" ref="CN260" si="1939">CM212</f>
        <v>262.91933245942369</v>
      </c>
      <c r="CO260" s="24">
        <f t="shared" ref="CO260" si="1940">CN212</f>
        <v>306.24719651782613</v>
      </c>
      <c r="CP260" s="24">
        <f t="shared" ref="CP260" si="1941">CO212</f>
        <v>359.01104278813273</v>
      </c>
      <c r="CQ260" s="24">
        <f t="shared" ref="CQ260" si="1942">CP212</f>
        <v>404.94527273261122</v>
      </c>
      <c r="CR260" s="24">
        <f t="shared" ref="CR260" si="1943">CQ212</f>
        <v>460.24907429964355</v>
      </c>
      <c r="CS260" s="24">
        <f t="shared" ref="CS260" si="1944">CR212</f>
        <v>515.87066260034669</v>
      </c>
      <c r="CT260" s="24">
        <f t="shared" ref="CT260" si="1945">CS212</f>
        <v>583.1818613082138</v>
      </c>
      <c r="CU260" s="24">
        <f t="shared" ref="CU260" si="1946">CT212</f>
        <v>641.53565599203455</v>
      </c>
      <c r="CV260" s="24">
        <f t="shared" ref="CV260" si="1947">CU212</f>
        <v>711.17518504155896</v>
      </c>
      <c r="CW260" s="24">
        <f t="shared" ref="CW260" si="1948">CV212</f>
        <v>780.91649600762207</v>
      </c>
      <c r="CX260" s="24">
        <f t="shared" ref="CX260" si="1949">CW212</f>
        <v>864.31819840132573</v>
      </c>
      <c r="CY260" s="24">
        <f t="shared" ref="CY260" si="1950">CX212</f>
        <v>936.47604404757601</v>
      </c>
      <c r="CZ260" s="24">
        <f t="shared" ref="CZ260" si="1951">CY212</f>
        <v>1022.835107904205</v>
      </c>
      <c r="DA260" s="24">
        <f t="shared" ref="DA260" si="1952">CZ212</f>
        <v>1109.1933662357967</v>
      </c>
      <c r="DB260" s="24">
        <f t="shared" ref="DB260" si="1953">DA212</f>
        <v>1211.7798941364567</v>
      </c>
      <c r="DE260" s="123"/>
      <c r="DF260" s="23">
        <v>246.55598069551561</v>
      </c>
    </row>
    <row r="261" spans="1:110" s="23" customFormat="1" x14ac:dyDescent="0.2">
      <c r="A261" s="23" t="s">
        <v>443</v>
      </c>
      <c r="C261" s="23">
        <f t="shared" ref="C261:W261" si="1954">C260+C256+C252+C250</f>
        <v>0</v>
      </c>
      <c r="D261" s="23">
        <f t="shared" si="1954"/>
        <v>0</v>
      </c>
      <c r="E261" s="23">
        <f t="shared" si="1954"/>
        <v>0</v>
      </c>
      <c r="F261" s="23">
        <f t="shared" si="1954"/>
        <v>0</v>
      </c>
      <c r="G261" s="23">
        <f t="shared" si="1954"/>
        <v>0</v>
      </c>
      <c r="H261" s="23">
        <f t="shared" si="1954"/>
        <v>7.843663399999997</v>
      </c>
      <c r="I261" s="23">
        <f t="shared" si="1954"/>
        <v>12.096001800000003</v>
      </c>
      <c r="J261" s="23">
        <f>J260+J256+J252+J250</f>
        <v>3.9201234999999945</v>
      </c>
      <c r="K261" s="23">
        <f>K260+K256+K252+K250</f>
        <v>8.465848599999994</v>
      </c>
      <c r="L261" s="23">
        <f>L260+L256+L252+L250</f>
        <v>40.041000000000004</v>
      </c>
      <c r="M261" s="23">
        <f>M260+M256+M252+M250</f>
        <v>59.030999999999992</v>
      </c>
      <c r="N261" s="23">
        <f t="shared" si="1954"/>
        <v>77.13300000000001</v>
      </c>
      <c r="O261" s="23">
        <f t="shared" si="1954"/>
        <v>113.29400000000001</v>
      </c>
      <c r="P261" s="23">
        <f t="shared" si="1954"/>
        <v>89.376000000000033</v>
      </c>
      <c r="Q261" s="23">
        <f t="shared" si="1954"/>
        <v>101.92599999999996</v>
      </c>
      <c r="R261" s="23">
        <f t="shared" si="1954"/>
        <v>115.95299999999996</v>
      </c>
      <c r="S261" s="23">
        <f t="shared" si="1954"/>
        <v>111.96000000000008</v>
      </c>
      <c r="T261" s="23">
        <f t="shared" si="1954"/>
        <v>84.239999999999952</v>
      </c>
      <c r="U261" s="23">
        <f t="shared" si="1954"/>
        <v>80.099999999999937</v>
      </c>
      <c r="V261" s="23">
        <f t="shared" si="1954"/>
        <v>120.22000000000008</v>
      </c>
      <c r="W261" s="23">
        <f t="shared" si="1954"/>
        <v>139.12000000000006</v>
      </c>
      <c r="X261" s="23">
        <f t="shared" ref="X261:Y261" si="1955">X260+X256+X252+X250</f>
        <v>150.76999999999984</v>
      </c>
      <c r="Y261" s="23">
        <f t="shared" si="1955"/>
        <v>176.64</v>
      </c>
      <c r="Z261" s="23">
        <f t="shared" ref="Z261:AA261" si="1956">Z260+Z256+Z252+Z250</f>
        <v>191.83999999999997</v>
      </c>
      <c r="AA261" s="23">
        <f t="shared" si="1956"/>
        <v>220.54000000000011</v>
      </c>
      <c r="AB261" s="24">
        <f t="shared" ref="AA261:AD261" si="1957">AB260+AB256+AB252+AB250</f>
        <v>404.06527273261133</v>
      </c>
      <c r="AC261" s="24">
        <f t="shared" si="1957"/>
        <v>641.53565599203466</v>
      </c>
      <c r="AD261" s="24">
        <f t="shared" si="1957"/>
        <v>936.47604404757612</v>
      </c>
      <c r="AE261" s="24">
        <f t="shared" ref="AE261" si="1958">AE260+AE256+AE252+AE250</f>
        <v>1300.9299978186318</v>
      </c>
      <c r="AI261" s="23">
        <f t="shared" ref="AI261" si="1959">AI260+AI256+AI252+AI250</f>
        <v>0</v>
      </c>
      <c r="AJ261" s="23">
        <f t="shared" ref="AJ261:AL261" si="1960">AJ260+AJ256+AJ252+AJ250</f>
        <v>0</v>
      </c>
      <c r="AK261" s="23" t="e">
        <f t="shared" si="1960"/>
        <v>#DIV/0!</v>
      </c>
      <c r="AL261" s="23" t="e">
        <f t="shared" si="1960"/>
        <v>#DIV/0!</v>
      </c>
      <c r="AM261" s="23" t="e">
        <f t="shared" ref="AM261" si="1961">AM260+AM256+AM252+AM250</f>
        <v>#DIV/0!</v>
      </c>
      <c r="AN261" s="23" t="e">
        <f t="shared" ref="AN261:CD261" si="1962">AN260+AN256+AN252+AN250</f>
        <v>#DIV/0!</v>
      </c>
      <c r="AO261" s="23" t="e">
        <f t="shared" si="1962"/>
        <v>#DIV/0!</v>
      </c>
      <c r="AP261" s="23" t="e">
        <f t="shared" si="1962"/>
        <v>#DIV/0!</v>
      </c>
      <c r="AQ261" s="23" t="e">
        <f t="shared" si="1962"/>
        <v>#DIV/0!</v>
      </c>
      <c r="AR261" s="23" t="e">
        <f t="shared" si="1962"/>
        <v>#DIV/0!</v>
      </c>
      <c r="AS261" s="23" t="e">
        <f t="shared" si="1962"/>
        <v>#DIV/0!</v>
      </c>
      <c r="AT261" s="23" t="e">
        <f t="shared" si="1962"/>
        <v>#DIV/0!</v>
      </c>
      <c r="AU261" s="23" t="e">
        <f t="shared" si="1962"/>
        <v>#DIV/0!</v>
      </c>
      <c r="AV261" s="23" t="e">
        <f t="shared" si="1962"/>
        <v>#DIV/0!</v>
      </c>
      <c r="AW261" s="23">
        <f t="shared" si="1962"/>
        <v>10.814000000000007</v>
      </c>
      <c r="AX261" s="23">
        <f t="shared" si="1962"/>
        <v>101.92600000000006</v>
      </c>
      <c r="AY261" s="23">
        <f t="shared" si="1962"/>
        <v>118.08522942125893</v>
      </c>
      <c r="AZ261" s="23">
        <f t="shared" si="1962"/>
        <v>117.95200000000001</v>
      </c>
      <c r="BA261" s="23">
        <f t="shared" si="1962"/>
        <v>129.23905696882838</v>
      </c>
      <c r="BB261" s="23">
        <f t="shared" si="1962"/>
        <v>115.95199999999998</v>
      </c>
      <c r="BC261" s="23">
        <f t="shared" si="1962"/>
        <v>137.81901740208457</v>
      </c>
      <c r="BD261" s="23">
        <f t="shared" si="1962"/>
        <v>136.529</v>
      </c>
      <c r="BE261" s="23">
        <f t="shared" si="1962"/>
        <v>158.90188268435642</v>
      </c>
      <c r="BF261" s="23">
        <f t="shared" si="1962"/>
        <v>111.95799999999997</v>
      </c>
      <c r="BG261" s="23">
        <f t="shared" si="1962"/>
        <v>135.25709290295882</v>
      </c>
      <c r="BH261" s="23">
        <f t="shared" si="1962"/>
        <v>88.241000000000099</v>
      </c>
      <c r="BI261" s="23">
        <f t="shared" si="1962"/>
        <v>110.83694936465153</v>
      </c>
      <c r="BJ261" s="23">
        <f t="shared" si="1962"/>
        <v>84.240000000000038</v>
      </c>
      <c r="BK261" s="23">
        <f t="shared" si="1962"/>
        <v>110.81879628752722</v>
      </c>
      <c r="BL261" s="23">
        <f t="shared" si="1962"/>
        <v>43.799999999999912</v>
      </c>
      <c r="BM261" s="23">
        <f t="shared" si="1962"/>
        <v>74.062522367515527</v>
      </c>
      <c r="BN261" s="23">
        <f t="shared" si="1962"/>
        <v>80.099999999999994</v>
      </c>
      <c r="BO261" s="23">
        <f t="shared" si="1962"/>
        <v>87.151809936908521</v>
      </c>
      <c r="BP261" s="23">
        <f t="shared" si="1962"/>
        <v>88.02000000000001</v>
      </c>
      <c r="BQ261" s="23">
        <f t="shared" si="1962"/>
        <v>124.6935765089722</v>
      </c>
      <c r="BR261" s="23">
        <f t="shared" si="1962"/>
        <v>120.22999999999999</v>
      </c>
      <c r="BS261" s="23">
        <f t="shared" si="1962"/>
        <v>170.58095682375375</v>
      </c>
      <c r="BT261" s="23">
        <f t="shared" si="1962"/>
        <v>111.27999999999996</v>
      </c>
      <c r="BU261" s="23">
        <f t="shared" si="1962"/>
        <v>170.52706883831792</v>
      </c>
      <c r="BV261" s="23">
        <f t="shared" si="1962"/>
        <v>139.12000000000009</v>
      </c>
      <c r="BW261" s="23">
        <f t="shared" si="1962"/>
        <v>162.99708946078437</v>
      </c>
      <c r="BX261" s="23">
        <f t="shared" si="1962"/>
        <v>104.81999999999994</v>
      </c>
      <c r="BY261" s="23">
        <f t="shared" si="1962"/>
        <v>124.55899236867452</v>
      </c>
      <c r="BZ261" s="23">
        <f t="shared" si="1962"/>
        <v>150.7699999999999</v>
      </c>
      <c r="CA261" s="23">
        <f t="shared" si="1962"/>
        <v>168.71698263173386</v>
      </c>
      <c r="CB261" s="23">
        <f t="shared" si="1962"/>
        <v>99.339999999999918</v>
      </c>
      <c r="CC261" s="23">
        <f t="shared" si="1962"/>
        <v>120.94639054054058</v>
      </c>
      <c r="CD261" s="23">
        <f t="shared" si="1962"/>
        <v>176.64</v>
      </c>
      <c r="CE261" s="23">
        <f t="shared" ref="CE261:CF261" si="1963">CE260+CE256+CE252+CE250</f>
        <v>199.93258800648294</v>
      </c>
      <c r="CF261" s="23">
        <f t="shared" si="1963"/>
        <v>137.56000000000006</v>
      </c>
      <c r="CG261" s="23">
        <f t="shared" ref="CG261:CH261" si="1964">CG260+CG256+CG252+CG250</f>
        <v>159.65513306269736</v>
      </c>
      <c r="CH261" s="23">
        <f t="shared" si="1964"/>
        <v>163.17999999999995</v>
      </c>
      <c r="CI261" s="23">
        <f t="shared" ref="CI261:CJ261" si="1965">CI260+CI256+CI252+CI250</f>
        <v>240.93141750374014</v>
      </c>
      <c r="CJ261" s="23">
        <f t="shared" si="1965"/>
        <v>221.07000000000005</v>
      </c>
      <c r="CK261" s="23">
        <f t="shared" ref="CK261:DB261" si="1966">CK260+CK256+CK252+CK250</f>
        <v>246.55598069551561</v>
      </c>
      <c r="CL261" s="23">
        <f t="shared" si="1966"/>
        <v>219.66000000000003</v>
      </c>
      <c r="CM261" s="24">
        <f t="shared" si="1966"/>
        <v>262.91933245942369</v>
      </c>
      <c r="CN261" s="24">
        <f t="shared" si="1966"/>
        <v>306.24719651782613</v>
      </c>
      <c r="CO261" s="24">
        <f t="shared" si="1966"/>
        <v>359.01104278813273</v>
      </c>
      <c r="CP261" s="24">
        <f t="shared" si="1966"/>
        <v>404.94527273261122</v>
      </c>
      <c r="CQ261" s="24">
        <f t="shared" si="1966"/>
        <v>460.24907429964355</v>
      </c>
      <c r="CR261" s="24">
        <f t="shared" si="1966"/>
        <v>515.87066260034669</v>
      </c>
      <c r="CS261" s="24">
        <f t="shared" si="1966"/>
        <v>583.1818613082138</v>
      </c>
      <c r="CT261" s="24">
        <f t="shared" si="1966"/>
        <v>641.53565599203455</v>
      </c>
      <c r="CU261" s="24">
        <f t="shared" si="1966"/>
        <v>711.17518504155896</v>
      </c>
      <c r="CV261" s="24">
        <f t="shared" si="1966"/>
        <v>780.91649600762207</v>
      </c>
      <c r="CW261" s="24">
        <f t="shared" si="1966"/>
        <v>864.31819840132573</v>
      </c>
      <c r="CX261" s="24">
        <f t="shared" si="1966"/>
        <v>936.47604404757601</v>
      </c>
      <c r="CY261" s="24">
        <f t="shared" si="1966"/>
        <v>1022.835107904205</v>
      </c>
      <c r="CZ261" s="24">
        <f t="shared" si="1966"/>
        <v>1109.1933662357967</v>
      </c>
      <c r="DA261" s="24">
        <f t="shared" si="1966"/>
        <v>1211.7798941364567</v>
      </c>
      <c r="DB261" s="24">
        <f t="shared" si="1966"/>
        <v>1300.9299978186318</v>
      </c>
      <c r="DE261" s="123"/>
      <c r="DF261" s="23">
        <v>286.99809267669565</v>
      </c>
    </row>
    <row r="262" spans="1:110" s="28" customFormat="1" x14ac:dyDescent="0.2">
      <c r="A262" s="28" t="s">
        <v>444</v>
      </c>
      <c r="C262" s="28">
        <f t="shared" ref="C262:W262" si="1967">C261-C212</f>
        <v>0</v>
      </c>
      <c r="D262" s="28">
        <f t="shared" si="1967"/>
        <v>0</v>
      </c>
      <c r="E262" s="28">
        <f t="shared" si="1967"/>
        <v>0</v>
      </c>
      <c r="F262" s="28">
        <f t="shared" si="1967"/>
        <v>0</v>
      </c>
      <c r="G262" s="28">
        <f t="shared" si="1967"/>
        <v>0</v>
      </c>
      <c r="H262" s="28">
        <f t="shared" si="1967"/>
        <v>0</v>
      </c>
      <c r="I262" s="28">
        <f t="shared" si="1967"/>
        <v>0</v>
      </c>
      <c r="J262" s="28">
        <f>J261-J212</f>
        <v>-5.3290705182007514E-15</v>
      </c>
      <c r="K262" s="28">
        <f t="shared" si="1967"/>
        <v>0</v>
      </c>
      <c r="L262" s="28">
        <f t="shared" si="1967"/>
        <v>0</v>
      </c>
      <c r="M262" s="28">
        <f t="shared" si="1967"/>
        <v>0</v>
      </c>
      <c r="N262" s="28">
        <f t="shared" si="1967"/>
        <v>0</v>
      </c>
      <c r="O262" s="28">
        <f t="shared" si="1967"/>
        <v>0</v>
      </c>
      <c r="P262" s="28">
        <f t="shared" si="1967"/>
        <v>0</v>
      </c>
      <c r="Q262" s="28">
        <f t="shared" si="1967"/>
        <v>0</v>
      </c>
      <c r="R262" s="28">
        <f t="shared" si="1967"/>
        <v>0</v>
      </c>
      <c r="S262" s="28">
        <f t="shared" si="1967"/>
        <v>0</v>
      </c>
      <c r="T262" s="28">
        <f t="shared" si="1967"/>
        <v>0</v>
      </c>
      <c r="U262" s="28">
        <f t="shared" si="1967"/>
        <v>0</v>
      </c>
      <c r="V262" s="28">
        <f t="shared" si="1967"/>
        <v>0</v>
      </c>
      <c r="W262" s="28">
        <f t="shared" si="1967"/>
        <v>0</v>
      </c>
      <c r="X262" s="28">
        <f t="shared" ref="X262:Y262" si="1968">X261-X212</f>
        <v>0</v>
      </c>
      <c r="Y262" s="28">
        <f t="shared" si="1968"/>
        <v>0</v>
      </c>
      <c r="Z262" s="28">
        <f t="shared" ref="Z262:AA262" si="1969">Z261-Z212</f>
        <v>0</v>
      </c>
      <c r="AA262" s="28">
        <f t="shared" si="1969"/>
        <v>0.88000000000010914</v>
      </c>
      <c r="AB262" s="30">
        <f t="shared" ref="AA262:AD262" si="1970">AB261-AB212</f>
        <v>-0.87999999999988177</v>
      </c>
      <c r="AC262" s="30">
        <f t="shared" si="1970"/>
        <v>0</v>
      </c>
      <c r="AD262" s="30">
        <f t="shared" si="1970"/>
        <v>0</v>
      </c>
      <c r="AE262" s="30">
        <f t="shared" ref="AE262" si="1971">AE261-AE212</f>
        <v>0</v>
      </c>
      <c r="AI262" s="28">
        <f t="shared" ref="AI262" si="1972">AI261-AI212</f>
        <v>0</v>
      </c>
      <c r="AJ262" s="28">
        <f t="shared" ref="AJ262:AL262" si="1973">AJ261-AJ212</f>
        <v>0</v>
      </c>
      <c r="AK262" s="28" t="e">
        <f t="shared" si="1973"/>
        <v>#DIV/0!</v>
      </c>
      <c r="AL262" s="28" t="e">
        <f t="shared" si="1973"/>
        <v>#DIV/0!</v>
      </c>
      <c r="AM262" s="28" t="e">
        <f t="shared" ref="AM262" si="1974">AM261-AM212</f>
        <v>#DIV/0!</v>
      </c>
      <c r="AN262" s="28" t="e">
        <f t="shared" ref="AN262:CD262" si="1975">AN261-AN212</f>
        <v>#DIV/0!</v>
      </c>
      <c r="AO262" s="28" t="e">
        <f t="shared" si="1975"/>
        <v>#DIV/0!</v>
      </c>
      <c r="AP262" s="28" t="e">
        <f t="shared" si="1975"/>
        <v>#DIV/0!</v>
      </c>
      <c r="AQ262" s="28" t="e">
        <f t="shared" si="1975"/>
        <v>#DIV/0!</v>
      </c>
      <c r="AR262" s="28" t="e">
        <f t="shared" si="1975"/>
        <v>#DIV/0!</v>
      </c>
      <c r="AS262" s="28" t="e">
        <f t="shared" si="1975"/>
        <v>#DIV/0!</v>
      </c>
      <c r="AT262" s="28" t="e">
        <f t="shared" si="1975"/>
        <v>#DIV/0!</v>
      </c>
      <c r="AU262" s="28" t="e">
        <f t="shared" si="1975"/>
        <v>#DIV/0!</v>
      </c>
      <c r="AV262" s="28" t="e">
        <f t="shared" si="1975"/>
        <v>#DIV/0!</v>
      </c>
      <c r="AW262" s="28">
        <f t="shared" si="1975"/>
        <v>0</v>
      </c>
      <c r="AX262" s="28">
        <f t="shared" si="1975"/>
        <v>0</v>
      </c>
      <c r="AY262" s="28">
        <f t="shared" si="1975"/>
        <v>0</v>
      </c>
      <c r="AZ262" s="28">
        <f t="shared" si="1975"/>
        <v>0</v>
      </c>
      <c r="BA262" s="28">
        <f t="shared" si="1975"/>
        <v>0</v>
      </c>
      <c r="BB262" s="28">
        <f t="shared" si="1975"/>
        <v>-1.0000000000189857E-3</v>
      </c>
      <c r="BC262" s="28">
        <f t="shared" si="1975"/>
        <v>0</v>
      </c>
      <c r="BD262" s="28">
        <f t="shared" si="1975"/>
        <v>2.0000000000095497E-3</v>
      </c>
      <c r="BE262" s="28">
        <f t="shared" si="1975"/>
        <v>0</v>
      </c>
      <c r="BF262" s="28">
        <f t="shared" si="1975"/>
        <v>-2.0000000000237605E-3</v>
      </c>
      <c r="BG262" s="28">
        <f t="shared" si="1975"/>
        <v>0</v>
      </c>
      <c r="BH262" s="28">
        <f t="shared" si="1975"/>
        <v>1.00000000009004E-3</v>
      </c>
      <c r="BI262" s="28">
        <f t="shared" si="1975"/>
        <v>0</v>
      </c>
      <c r="BJ262" s="28">
        <f t="shared" si="1975"/>
        <v>0</v>
      </c>
      <c r="BK262" s="28">
        <f t="shared" si="1975"/>
        <v>0</v>
      </c>
      <c r="BL262" s="28">
        <f t="shared" si="1975"/>
        <v>-8.5265128291212022E-14</v>
      </c>
      <c r="BM262" s="28">
        <f t="shared" si="1975"/>
        <v>0</v>
      </c>
      <c r="BN262" s="28">
        <f t="shared" si="1975"/>
        <v>0</v>
      </c>
      <c r="BO262" s="28">
        <f t="shared" si="1975"/>
        <v>0</v>
      </c>
      <c r="BP262" s="28">
        <f t="shared" si="1975"/>
        <v>-9.9999999999909051E-3</v>
      </c>
      <c r="BQ262" s="28">
        <f t="shared" si="1975"/>
        <v>0</v>
      </c>
      <c r="BR262" s="28">
        <f t="shared" si="1975"/>
        <v>9.9999999999909051E-3</v>
      </c>
      <c r="BS262" s="28">
        <f t="shared" si="1975"/>
        <v>0</v>
      </c>
      <c r="BT262" s="28">
        <f t="shared" si="1975"/>
        <v>0</v>
      </c>
      <c r="BU262" s="28">
        <f t="shared" si="1975"/>
        <v>0</v>
      </c>
      <c r="BV262" s="28">
        <f t="shared" si="1975"/>
        <v>0</v>
      </c>
      <c r="BW262" s="28">
        <f t="shared" si="1975"/>
        <v>0</v>
      </c>
      <c r="BX262" s="28">
        <f t="shared" si="1975"/>
        <v>0</v>
      </c>
      <c r="BY262" s="28">
        <f t="shared" si="1975"/>
        <v>0</v>
      </c>
      <c r="BZ262" s="28">
        <f t="shared" si="1975"/>
        <v>0</v>
      </c>
      <c r="CA262" s="28">
        <f t="shared" si="1975"/>
        <v>0</v>
      </c>
      <c r="CB262" s="28">
        <f t="shared" si="1975"/>
        <v>0</v>
      </c>
      <c r="CC262" s="28">
        <f t="shared" si="1975"/>
        <v>0</v>
      </c>
      <c r="CD262" s="28">
        <f t="shared" si="1975"/>
        <v>0</v>
      </c>
      <c r="CE262" s="28">
        <f t="shared" ref="CE262:CF262" si="1976">CE261-CE212</f>
        <v>0</v>
      </c>
      <c r="CF262" s="28">
        <f t="shared" si="1976"/>
        <v>0</v>
      </c>
      <c r="CG262" s="28">
        <f t="shared" ref="CG262:CH262" si="1977">CG261-CG212</f>
        <v>0</v>
      </c>
      <c r="CH262" s="28">
        <f t="shared" si="1977"/>
        <v>-28.660000000000053</v>
      </c>
      <c r="CI262" s="28">
        <f t="shared" ref="CI262:CJ262" si="1978">CI261-CI212</f>
        <v>0</v>
      </c>
      <c r="CJ262" s="28">
        <f t="shared" si="1978"/>
        <v>28.660000000000053</v>
      </c>
      <c r="CK262" s="28">
        <f t="shared" ref="CK262:DB262" si="1979">CK261-CK212</f>
        <v>0</v>
      </c>
      <c r="CL262" s="28">
        <f t="shared" si="1979"/>
        <v>0</v>
      </c>
      <c r="CM262" s="30">
        <f t="shared" si="1979"/>
        <v>0</v>
      </c>
      <c r="CN262" s="30">
        <f t="shared" si="1979"/>
        <v>0</v>
      </c>
      <c r="CO262" s="30">
        <f t="shared" si="1979"/>
        <v>0</v>
      </c>
      <c r="CP262" s="30">
        <f t="shared" si="1979"/>
        <v>0</v>
      </c>
      <c r="CQ262" s="30">
        <f t="shared" si="1979"/>
        <v>0</v>
      </c>
      <c r="CR262" s="30">
        <f t="shared" si="1979"/>
        <v>0</v>
      </c>
      <c r="CS262" s="30">
        <f t="shared" si="1979"/>
        <v>0</v>
      </c>
      <c r="CT262" s="30">
        <f t="shared" si="1979"/>
        <v>0</v>
      </c>
      <c r="CU262" s="30">
        <f t="shared" si="1979"/>
        <v>0</v>
      </c>
      <c r="CV262" s="30">
        <f t="shared" si="1979"/>
        <v>0</v>
      </c>
      <c r="CW262" s="30">
        <f t="shared" si="1979"/>
        <v>0</v>
      </c>
      <c r="CX262" s="30">
        <f t="shared" si="1979"/>
        <v>0</v>
      </c>
      <c r="CY262" s="30">
        <f t="shared" si="1979"/>
        <v>0</v>
      </c>
      <c r="CZ262" s="30">
        <f t="shared" si="1979"/>
        <v>0</v>
      </c>
      <c r="DA262" s="30">
        <f t="shared" si="1979"/>
        <v>0</v>
      </c>
      <c r="DB262" s="30">
        <f t="shared" si="1979"/>
        <v>0</v>
      </c>
      <c r="DE262" s="139"/>
      <c r="DF262" s="28">
        <v>0</v>
      </c>
    </row>
    <row r="263" spans="1:110" s="23" customFormat="1" x14ac:dyDescent="0.2">
      <c r="AB263" s="24"/>
      <c r="AC263" s="24"/>
      <c r="AD263" s="24"/>
      <c r="AE263" s="24"/>
      <c r="CM263" s="24"/>
      <c r="CN263" s="24"/>
      <c r="CO263" s="24"/>
      <c r="CP263" s="24"/>
      <c r="CQ263" s="24"/>
      <c r="CR263" s="24"/>
      <c r="CS263" s="24"/>
      <c r="CT263" s="24"/>
      <c r="CU263" s="24"/>
      <c r="CV263" s="24"/>
      <c r="CW263" s="24"/>
      <c r="CX263" s="24"/>
      <c r="CY263" s="24"/>
      <c r="CZ263" s="24"/>
      <c r="DA263" s="24"/>
      <c r="DB263" s="24"/>
      <c r="DE263" s="123"/>
    </row>
    <row r="264" spans="1:110" s="22" customFormat="1" x14ac:dyDescent="0.2">
      <c r="A264" s="22" t="s">
        <v>96</v>
      </c>
      <c r="C264" s="22">
        <f t="shared" ref="C264:W264" si="1980">C250+C252</f>
        <v>0</v>
      </c>
      <c r="D264" s="22">
        <f t="shared" si="1980"/>
        <v>0</v>
      </c>
      <c r="E264" s="22">
        <f t="shared" si="1980"/>
        <v>0</v>
      </c>
      <c r="F264" s="22">
        <f t="shared" si="1980"/>
        <v>0</v>
      </c>
      <c r="G264" s="22">
        <f t="shared" si="1980"/>
        <v>0</v>
      </c>
      <c r="H264" s="22">
        <f t="shared" si="1980"/>
        <v>-41.772066600000002</v>
      </c>
      <c r="I264" s="22">
        <f t="shared" si="1980"/>
        <v>22.498412499999993</v>
      </c>
      <c r="J264" s="22">
        <f>J250+J252</f>
        <v>-2.0560764000000029</v>
      </c>
      <c r="K264" s="22">
        <f t="shared" si="1980"/>
        <v>42.685514499999989</v>
      </c>
      <c r="L264" s="22">
        <f t="shared" si="1980"/>
        <v>5.9909829999999928</v>
      </c>
      <c r="M264" s="22">
        <f t="shared" si="1980"/>
        <v>18.989999999999981</v>
      </c>
      <c r="N264" s="22">
        <f t="shared" si="1980"/>
        <v>17.290000000000006</v>
      </c>
      <c r="O264" s="22">
        <f t="shared" si="1980"/>
        <v>36.161000000000037</v>
      </c>
      <c r="P264" s="22">
        <f t="shared" si="1980"/>
        <v>-59.820999999999991</v>
      </c>
      <c r="Q264" s="22">
        <f t="shared" si="1980"/>
        <v>11.123000000000019</v>
      </c>
      <c r="R264" s="22">
        <f t="shared" si="1980"/>
        <v>7.4579999999999487</v>
      </c>
      <c r="S264" s="22">
        <f t="shared" si="1980"/>
        <v>61.225000000000037</v>
      </c>
      <c r="T264" s="22">
        <f t="shared" si="1980"/>
        <v>63.199999999999974</v>
      </c>
      <c r="U264" s="22">
        <f t="shared" si="1980"/>
        <v>152.84999999999997</v>
      </c>
      <c r="V264" s="22">
        <f t="shared" si="1980"/>
        <v>93.750000000000028</v>
      </c>
      <c r="W264" s="22">
        <f t="shared" si="1980"/>
        <v>95.669999999999987</v>
      </c>
      <c r="X264" s="22">
        <f t="shared" ref="X264:Y264" si="1981">X250+X252</f>
        <v>69.01999999999984</v>
      </c>
      <c r="Y264" s="22">
        <f t="shared" si="1981"/>
        <v>82.919999999999945</v>
      </c>
      <c r="Z264" s="22">
        <f t="shared" ref="Z264:AA264" si="1982">Z250+Z252</f>
        <v>108.11000000000011</v>
      </c>
      <c r="AA264" s="22">
        <f t="shared" si="1982"/>
        <v>153.15000000000006</v>
      </c>
      <c r="AB264" s="21">
        <f t="shared" ref="AA264:AD264" si="1983">AB250+AB252</f>
        <v>184.40527273261145</v>
      </c>
      <c r="AC264" s="21">
        <f t="shared" si="1983"/>
        <v>236.59038325942348</v>
      </c>
      <c r="AD264" s="21">
        <f t="shared" si="1983"/>
        <v>294.94038805554129</v>
      </c>
      <c r="AE264" s="21">
        <f t="shared" ref="AE264" si="1984">AE250+AE252</f>
        <v>364.45395377105581</v>
      </c>
      <c r="AI264" s="22">
        <f t="shared" ref="AI264" si="1985">AI250+AI252</f>
        <v>0</v>
      </c>
      <c r="AJ264" s="22">
        <f t="shared" ref="AJ264:AL264" si="1986">AJ250+AJ252</f>
        <v>0</v>
      </c>
      <c r="AK264" s="22" t="e">
        <f t="shared" si="1986"/>
        <v>#DIV/0!</v>
      </c>
      <c r="AL264" s="22" t="e">
        <f t="shared" si="1986"/>
        <v>#DIV/0!</v>
      </c>
      <c r="AM264" s="22" t="e">
        <f t="shared" ref="AM264" si="1987">AM250+AM252</f>
        <v>#DIV/0!</v>
      </c>
      <c r="AN264" s="22" t="e">
        <f t="shared" ref="AN264:CD264" si="1988">AN250+AN252</f>
        <v>#DIV/0!</v>
      </c>
      <c r="AO264" s="22" t="e">
        <f t="shared" si="1988"/>
        <v>#DIV/0!</v>
      </c>
      <c r="AP264" s="22" t="e">
        <f t="shared" si="1988"/>
        <v>#DIV/0!</v>
      </c>
      <c r="AQ264" s="22" t="e">
        <f t="shared" si="1988"/>
        <v>#DIV/0!</v>
      </c>
      <c r="AR264" s="22" t="e">
        <f t="shared" si="1988"/>
        <v>#DIV/0!</v>
      </c>
      <c r="AS264" s="22" t="e">
        <f t="shared" si="1988"/>
        <v>#DIV/0!</v>
      </c>
      <c r="AT264" s="22" t="e">
        <f t="shared" si="1988"/>
        <v>#DIV/0!</v>
      </c>
      <c r="AU264" s="22" t="e">
        <f t="shared" si="1988"/>
        <v>#DIV/0!</v>
      </c>
      <c r="AV264" s="22" t="e">
        <f t="shared" si="1988"/>
        <v>#DIV/0!</v>
      </c>
      <c r="AW264" s="22">
        <f t="shared" si="1988"/>
        <v>10.814000000000007</v>
      </c>
      <c r="AX264" s="22">
        <f t="shared" si="1988"/>
        <v>-249.74799999999999</v>
      </c>
      <c r="AY264" s="22">
        <f t="shared" si="1988"/>
        <v>16.159229421258928</v>
      </c>
      <c r="AZ264" s="22">
        <f t="shared" si="1988"/>
        <v>-19.616229421258929</v>
      </c>
      <c r="BA264" s="22">
        <f t="shared" si="1988"/>
        <v>11.287056968828386</v>
      </c>
      <c r="BB264" s="22">
        <f t="shared" si="1988"/>
        <v>6.8309430311715964</v>
      </c>
      <c r="BC264" s="22">
        <f t="shared" si="1988"/>
        <v>21.866017402084562</v>
      </c>
      <c r="BD264" s="22">
        <f t="shared" si="1988"/>
        <v>17.510982597915408</v>
      </c>
      <c r="BE264" s="22">
        <f t="shared" si="1988"/>
        <v>22.374882684356425</v>
      </c>
      <c r="BF264" s="22">
        <f t="shared" si="1988"/>
        <v>-7.9608826843563882</v>
      </c>
      <c r="BG264" s="22">
        <f t="shared" si="1988"/>
        <v>23.297092902958827</v>
      </c>
      <c r="BH264" s="22">
        <f t="shared" si="1988"/>
        <v>-16.346092902958823</v>
      </c>
      <c r="BI264" s="22">
        <f t="shared" si="1988"/>
        <v>22.596949364651522</v>
      </c>
      <c r="BJ264" s="22">
        <f t="shared" si="1988"/>
        <v>33.543050635348479</v>
      </c>
      <c r="BK264" s="22">
        <f t="shared" si="1988"/>
        <v>26.578796287527219</v>
      </c>
      <c r="BL264" s="22">
        <f t="shared" si="1988"/>
        <v>59.081203712472728</v>
      </c>
      <c r="BM264" s="22">
        <f t="shared" si="1988"/>
        <v>30.26252236751553</v>
      </c>
      <c r="BN264" s="22">
        <f t="shared" si="1988"/>
        <v>36.807477632484499</v>
      </c>
      <c r="BO264" s="22">
        <f t="shared" si="1988"/>
        <v>7.0518099369085245</v>
      </c>
      <c r="BP264" s="22">
        <f t="shared" si="1988"/>
        <v>-10.781809936908466</v>
      </c>
      <c r="BQ264" s="22">
        <f t="shared" si="1988"/>
        <v>36.663576508972255</v>
      </c>
      <c r="BR264" s="22">
        <f t="shared" si="1988"/>
        <v>62.496423491027748</v>
      </c>
      <c r="BS264" s="22">
        <f t="shared" si="1988"/>
        <v>50.360956823753739</v>
      </c>
      <c r="BT264" s="22">
        <f t="shared" si="1988"/>
        <v>18.859043176246228</v>
      </c>
      <c r="BU264" s="22">
        <f t="shared" si="1988"/>
        <v>59.247068838317915</v>
      </c>
      <c r="BV264" s="22">
        <f t="shared" si="1988"/>
        <v>-32.817068838317894</v>
      </c>
      <c r="BW264" s="22">
        <f t="shared" si="1988"/>
        <v>23.877089460784369</v>
      </c>
      <c r="BX264" s="22">
        <f t="shared" si="1988"/>
        <v>12.932910539215634</v>
      </c>
      <c r="BY264" s="22">
        <f t="shared" si="1988"/>
        <v>19.738992368674531</v>
      </c>
      <c r="BZ264" s="22">
        <f t="shared" si="1988"/>
        <v>10.931007631325475</v>
      </c>
      <c r="CA264" s="22">
        <f t="shared" si="1988"/>
        <v>17.946982631733889</v>
      </c>
      <c r="CB264" s="22">
        <f t="shared" si="1988"/>
        <v>-8.0669826317339464</v>
      </c>
      <c r="CC264" s="22">
        <f t="shared" si="1988"/>
        <v>21.606390540540573</v>
      </c>
      <c r="CD264" s="22">
        <f t="shared" si="1988"/>
        <v>51.143609459459483</v>
      </c>
      <c r="CE264" s="22">
        <f t="shared" ref="CE264:CF264" si="1989">CE250+CE252</f>
        <v>23.292588006482944</v>
      </c>
      <c r="CF264" s="22">
        <f t="shared" si="1989"/>
        <v>48.907411993517101</v>
      </c>
      <c r="CG264" s="22">
        <f t="shared" ref="CG264:CH264" si="1990">CG250+CG252</f>
        <v>22.095133062697343</v>
      </c>
      <c r="CH264" s="22">
        <f t="shared" si="1990"/>
        <v>-13.925133062697476</v>
      </c>
      <c r="CI264" s="22">
        <f t="shared" ref="CI264:CJ264" si="1991">CI250+CI252</f>
        <v>49.091417503740146</v>
      </c>
      <c r="CJ264" s="22">
        <f t="shared" si="1991"/>
        <v>79.998582496259928</v>
      </c>
      <c r="CK264" s="22">
        <f t="shared" ref="CK264:DB264" si="1992">CK250+CK252</f>
        <v>54.145980695515625</v>
      </c>
      <c r="CL264" s="22">
        <f t="shared" si="1992"/>
        <v>-2.6859806955156529</v>
      </c>
      <c r="CM264" s="21">
        <f t="shared" si="1992"/>
        <v>43.259332459423668</v>
      </c>
      <c r="CN264" s="21">
        <f t="shared" si="1992"/>
        <v>43.327864058402554</v>
      </c>
      <c r="CO264" s="21">
        <f t="shared" si="1992"/>
        <v>52.76384627030663</v>
      </c>
      <c r="CP264" s="21">
        <f t="shared" si="1992"/>
        <v>45.934229944478545</v>
      </c>
      <c r="CQ264" s="21">
        <f t="shared" si="1992"/>
        <v>55.303801567032338</v>
      </c>
      <c r="CR264" s="21">
        <f t="shared" si="1992"/>
        <v>55.621588300703095</v>
      </c>
      <c r="CS264" s="21">
        <f t="shared" si="1992"/>
        <v>67.311198707867248</v>
      </c>
      <c r="CT264" s="21">
        <f t="shared" si="1992"/>
        <v>58.353794683820766</v>
      </c>
      <c r="CU264" s="21">
        <f t="shared" si="1992"/>
        <v>69.639529049524455</v>
      </c>
      <c r="CV264" s="21">
        <f t="shared" si="1992"/>
        <v>69.741310966062855</v>
      </c>
      <c r="CW264" s="21">
        <f t="shared" si="1992"/>
        <v>83.40170239370363</v>
      </c>
      <c r="CX264" s="21">
        <f t="shared" si="1992"/>
        <v>72.157845646250323</v>
      </c>
      <c r="CY264" s="21">
        <f t="shared" si="1992"/>
        <v>86.359063856629035</v>
      </c>
      <c r="CZ264" s="21">
        <f t="shared" si="1992"/>
        <v>86.358258331591585</v>
      </c>
      <c r="DA264" s="21">
        <f t="shared" si="1992"/>
        <v>102.58652790066014</v>
      </c>
      <c r="DB264" s="21">
        <f t="shared" si="1992"/>
        <v>89.1501036821751</v>
      </c>
      <c r="DE264" s="126"/>
      <c r="DF264" s="22">
        <v>40.442111981179913</v>
      </c>
    </row>
    <row r="265" spans="1:110" x14ac:dyDescent="0.2">
      <c r="A265" s="152" t="s">
        <v>496</v>
      </c>
      <c r="AA265" s="2"/>
    </row>
    <row r="266" spans="1:110" x14ac:dyDescent="0.2">
      <c r="AA266" s="2"/>
    </row>
    <row r="267" spans="1:110" s="7" customFormat="1" hidden="1" outlineLevel="1" x14ac:dyDescent="0.2">
      <c r="A267" s="61" t="s">
        <v>97</v>
      </c>
      <c r="AB267" s="77"/>
      <c r="AC267" s="77"/>
      <c r="AD267" s="77"/>
      <c r="AE267" s="77"/>
      <c r="CM267" s="50"/>
      <c r="CN267" s="50"/>
      <c r="CO267" s="50"/>
      <c r="CP267" s="50"/>
      <c r="CQ267" s="50"/>
      <c r="CR267" s="50"/>
      <c r="CS267" s="50"/>
      <c r="CT267" s="50"/>
      <c r="CU267" s="50"/>
      <c r="CV267" s="50"/>
      <c r="CW267" s="50"/>
      <c r="CX267" s="50"/>
      <c r="CY267" s="50"/>
      <c r="CZ267" s="50"/>
      <c r="DA267" s="50"/>
      <c r="DB267" s="50"/>
      <c r="DE267" s="138"/>
    </row>
    <row r="268" spans="1:110" s="62" customFormat="1" hidden="1" outlineLevel="1" x14ac:dyDescent="0.2">
      <c r="A268" s="62" t="s">
        <v>98</v>
      </c>
      <c r="AB268" s="63"/>
      <c r="AC268" s="63"/>
      <c r="AD268" s="63"/>
      <c r="AE268" s="63"/>
      <c r="CM268" s="30"/>
      <c r="CN268" s="30"/>
      <c r="CO268" s="30"/>
      <c r="CP268" s="30"/>
      <c r="CQ268" s="30"/>
      <c r="CR268" s="30"/>
      <c r="CS268" s="30"/>
      <c r="CT268" s="30"/>
      <c r="CU268" s="30"/>
      <c r="CV268" s="30"/>
      <c r="CW268" s="30"/>
      <c r="CX268" s="30"/>
      <c r="CY268" s="30"/>
      <c r="CZ268" s="30"/>
      <c r="DA268" s="30"/>
      <c r="DB268" s="30"/>
      <c r="DE268" s="139"/>
    </row>
    <row r="269" spans="1:110" s="62" customFormat="1" hidden="1" outlineLevel="1" x14ac:dyDescent="0.2">
      <c r="A269" s="62" t="s">
        <v>99</v>
      </c>
      <c r="AB269" s="63"/>
      <c r="AC269" s="63"/>
      <c r="AD269" s="63"/>
      <c r="AE269" s="63"/>
      <c r="CM269" s="30"/>
      <c r="CN269" s="30"/>
      <c r="CO269" s="30"/>
      <c r="CP269" s="30"/>
      <c r="CQ269" s="30"/>
      <c r="CR269" s="30"/>
      <c r="CS269" s="30"/>
      <c r="CT269" s="30"/>
      <c r="CU269" s="30"/>
      <c r="CV269" s="30"/>
      <c r="CW269" s="30"/>
      <c r="CX269" s="30"/>
      <c r="CY269" s="30"/>
      <c r="CZ269" s="30"/>
      <c r="DA269" s="30"/>
      <c r="DB269" s="30"/>
      <c r="DE269" s="139"/>
    </row>
    <row r="270" spans="1:110" s="62" customFormat="1" hidden="1" outlineLevel="1" x14ac:dyDescent="0.2">
      <c r="A270" s="62" t="s">
        <v>100</v>
      </c>
      <c r="AB270" s="63"/>
      <c r="AC270" s="63"/>
      <c r="AD270" s="63"/>
      <c r="AE270" s="63"/>
      <c r="CM270" s="30"/>
      <c r="CN270" s="30"/>
      <c r="CO270" s="30"/>
      <c r="CP270" s="30"/>
      <c r="CQ270" s="30"/>
      <c r="CR270" s="30"/>
      <c r="CS270" s="30"/>
      <c r="CT270" s="30"/>
      <c r="CU270" s="30"/>
      <c r="CV270" s="30"/>
      <c r="CW270" s="30"/>
      <c r="CX270" s="30"/>
      <c r="CY270" s="30"/>
      <c r="CZ270" s="30"/>
      <c r="DA270" s="30"/>
      <c r="DB270" s="30"/>
      <c r="DE270" s="139"/>
    </row>
    <row r="271" spans="1:110" s="62" customFormat="1" hidden="1" outlineLevel="1" x14ac:dyDescent="0.2">
      <c r="AB271" s="63"/>
      <c r="AC271" s="63"/>
      <c r="AD271" s="63"/>
      <c r="AE271" s="63"/>
      <c r="CM271" s="30"/>
      <c r="CN271" s="30"/>
      <c r="CO271" s="30"/>
      <c r="CP271" s="30"/>
      <c r="CQ271" s="30"/>
      <c r="CR271" s="30"/>
      <c r="CS271" s="30"/>
      <c r="CT271" s="30"/>
      <c r="CU271" s="30"/>
      <c r="CV271" s="30"/>
      <c r="CW271" s="30"/>
      <c r="CX271" s="30"/>
      <c r="CY271" s="30"/>
      <c r="CZ271" s="30"/>
      <c r="DA271" s="30"/>
      <c r="DB271" s="30"/>
      <c r="DE271" s="139"/>
    </row>
    <row r="272" spans="1:110" s="62" customFormat="1" hidden="1" outlineLevel="1" x14ac:dyDescent="0.2">
      <c r="AB272" s="63"/>
      <c r="AC272" s="63"/>
      <c r="AD272" s="63"/>
      <c r="AE272" s="63"/>
      <c r="CM272" s="30"/>
      <c r="CN272" s="30"/>
      <c r="CO272" s="30"/>
      <c r="CP272" s="30"/>
      <c r="CQ272" s="30"/>
      <c r="CR272" s="30"/>
      <c r="CS272" s="30"/>
      <c r="CT272" s="30"/>
      <c r="CU272" s="30"/>
      <c r="CV272" s="30"/>
      <c r="CW272" s="30"/>
      <c r="CX272" s="30"/>
      <c r="CY272" s="30"/>
      <c r="CZ272" s="30"/>
      <c r="DA272" s="30"/>
      <c r="DB272" s="30"/>
      <c r="DE272" s="139"/>
    </row>
    <row r="273" spans="1:110" s="62" customFormat="1" hidden="1" outlineLevel="1" x14ac:dyDescent="0.2">
      <c r="AB273" s="63"/>
      <c r="AC273" s="63"/>
      <c r="AD273" s="63"/>
      <c r="AE273" s="63"/>
      <c r="CM273" s="30"/>
      <c r="CN273" s="30"/>
      <c r="CO273" s="30"/>
      <c r="CP273" s="30"/>
      <c r="CQ273" s="30"/>
      <c r="CR273" s="30"/>
      <c r="CS273" s="30"/>
      <c r="CT273" s="30"/>
      <c r="CU273" s="30"/>
      <c r="CV273" s="30"/>
      <c r="CW273" s="30"/>
      <c r="CX273" s="30"/>
      <c r="CY273" s="30"/>
      <c r="CZ273" s="30"/>
      <c r="DA273" s="30"/>
      <c r="DB273" s="30"/>
      <c r="DE273" s="139"/>
    </row>
    <row r="274" spans="1:110" s="11" customFormat="1" collapsed="1" x14ac:dyDescent="0.2">
      <c r="AB274" s="63"/>
      <c r="AC274" s="63"/>
      <c r="AD274" s="63"/>
      <c r="AE274" s="63"/>
      <c r="CM274" s="30"/>
      <c r="CN274" s="30"/>
      <c r="CO274" s="30"/>
      <c r="CP274" s="30"/>
      <c r="CQ274" s="30"/>
      <c r="CR274" s="30"/>
      <c r="CS274" s="30"/>
      <c r="CT274" s="30"/>
      <c r="CU274" s="30"/>
      <c r="CV274" s="30"/>
      <c r="CW274" s="30"/>
      <c r="CX274" s="30"/>
      <c r="CY274" s="30"/>
      <c r="CZ274" s="30"/>
      <c r="DA274" s="30"/>
      <c r="DB274" s="30"/>
      <c r="DE274" s="139"/>
    </row>
    <row r="275" spans="1:110" s="83" customFormat="1" x14ac:dyDescent="0.2">
      <c r="A275" s="82" t="s">
        <v>101</v>
      </c>
      <c r="AB275" s="72"/>
      <c r="AC275" s="72"/>
      <c r="AD275" s="72"/>
      <c r="AE275" s="72"/>
      <c r="CM275" s="30"/>
      <c r="CN275" s="30"/>
      <c r="CO275" s="30"/>
      <c r="CP275" s="30"/>
      <c r="CQ275" s="30"/>
      <c r="CR275" s="30"/>
      <c r="CS275" s="30"/>
      <c r="CT275" s="30"/>
      <c r="CU275" s="30"/>
      <c r="CV275" s="30"/>
      <c r="CW275" s="30"/>
      <c r="CX275" s="30"/>
      <c r="CY275" s="30"/>
      <c r="CZ275" s="30"/>
      <c r="DA275" s="30"/>
      <c r="DB275" s="30"/>
      <c r="DE275" s="139"/>
    </row>
    <row r="276" spans="1:110" s="66" customFormat="1" x14ac:dyDescent="0.2">
      <c r="A276" s="66" t="s">
        <v>471</v>
      </c>
      <c r="AB276" s="50"/>
      <c r="AC276" s="50"/>
      <c r="AD276" s="50"/>
      <c r="AE276" s="50"/>
      <c r="AL276" s="66">
        <f t="shared" ref="AL276:BQ276" si="1993">SUM(AI43:AL43)</f>
        <v>0</v>
      </c>
      <c r="AM276" s="66">
        <f t="shared" si="1993"/>
        <v>0</v>
      </c>
      <c r="AN276" s="66">
        <f t="shared" si="1993"/>
        <v>0</v>
      </c>
      <c r="AO276" s="66">
        <f t="shared" si="1993"/>
        <v>0</v>
      </c>
      <c r="AP276" s="66">
        <f t="shared" si="1993"/>
        <v>0</v>
      </c>
      <c r="AQ276" s="66">
        <f t="shared" si="1993"/>
        <v>0</v>
      </c>
      <c r="AR276" s="66">
        <f t="shared" si="1993"/>
        <v>0</v>
      </c>
      <c r="AS276" s="66">
        <f t="shared" si="1993"/>
        <v>0</v>
      </c>
      <c r="AT276" s="66">
        <f t="shared" si="1993"/>
        <v>0</v>
      </c>
      <c r="AU276" s="66">
        <f t="shared" si="1993"/>
        <v>56.994999999999997</v>
      </c>
      <c r="AV276" s="66">
        <f t="shared" si="1993"/>
        <v>119.25999999999999</v>
      </c>
      <c r="AW276" s="66">
        <f t="shared" si="1993"/>
        <v>175.91199999999998</v>
      </c>
      <c r="AX276" s="66">
        <f t="shared" si="1993"/>
        <v>240.96699999999998</v>
      </c>
      <c r="AY276" s="66">
        <f t="shared" si="1993"/>
        <v>252.71700000000001</v>
      </c>
      <c r="AZ276" s="66">
        <f t="shared" si="1993"/>
        <v>268.60000000000002</v>
      </c>
      <c r="BA276" s="66">
        <f t="shared" si="1993"/>
        <v>282.32600000000002</v>
      </c>
      <c r="BB276" s="66">
        <f t="shared" si="1993"/>
        <v>304.387</v>
      </c>
      <c r="BC276" s="66">
        <f t="shared" si="1993"/>
        <v>323.40199999999999</v>
      </c>
      <c r="BD276" s="66">
        <f t="shared" si="1993"/>
        <v>333.29</v>
      </c>
      <c r="BE276" s="66">
        <f t="shared" si="1993"/>
        <v>346.78200000000004</v>
      </c>
      <c r="BF276" s="66">
        <f t="shared" si="1993"/>
        <v>356.32600000000002</v>
      </c>
      <c r="BG276" s="66">
        <f t="shared" si="1993"/>
        <v>365.71600000000001</v>
      </c>
      <c r="BH276" s="66">
        <f t="shared" si="1993"/>
        <v>381.56</v>
      </c>
      <c r="BI276" s="66">
        <f t="shared" si="1993"/>
        <v>393.98</v>
      </c>
      <c r="BJ276" s="66">
        <f t="shared" si="1993"/>
        <v>402.90999999999997</v>
      </c>
      <c r="BK276" s="66">
        <f t="shared" si="1993"/>
        <v>415.49</v>
      </c>
      <c r="BL276" s="66">
        <f t="shared" si="1993"/>
        <v>427.85</v>
      </c>
      <c r="BM276" s="66">
        <f t="shared" si="1993"/>
        <v>437.35</v>
      </c>
      <c r="BN276" s="66">
        <f t="shared" si="1993"/>
        <v>433.2</v>
      </c>
      <c r="BO276" s="66">
        <f t="shared" si="1993"/>
        <v>379.74</v>
      </c>
      <c r="BP276" s="66">
        <f t="shared" si="1993"/>
        <v>416.75</v>
      </c>
      <c r="BQ276" s="66">
        <f t="shared" si="1993"/>
        <v>449.23</v>
      </c>
      <c r="BR276" s="66">
        <f t="shared" ref="BR276:CW276" si="1994">SUM(BO43:BR43)</f>
        <v>494.63</v>
      </c>
      <c r="BS276" s="66">
        <f t="shared" si="1994"/>
        <v>603.01</v>
      </c>
      <c r="BT276" s="66">
        <f t="shared" si="1994"/>
        <v>625.97</v>
      </c>
      <c r="BU276" s="66">
        <f t="shared" si="1994"/>
        <v>605.1</v>
      </c>
      <c r="BV276" s="66">
        <f t="shared" si="1994"/>
        <v>588.81999999999994</v>
      </c>
      <c r="BW276" s="66">
        <f t="shared" si="1994"/>
        <v>551.96</v>
      </c>
      <c r="BX276" s="66">
        <f t="shared" si="1994"/>
        <v>510.72</v>
      </c>
      <c r="BY276" s="66">
        <f t="shared" si="1994"/>
        <v>521.35</v>
      </c>
      <c r="BZ276" s="66">
        <f t="shared" si="1994"/>
        <v>526.66999999999996</v>
      </c>
      <c r="CA276" s="66">
        <f t="shared" si="1994"/>
        <v>533.77</v>
      </c>
      <c r="CB276" s="66">
        <f t="shared" si="1994"/>
        <v>546.79999999999995</v>
      </c>
      <c r="CC276" s="66">
        <f t="shared" si="1994"/>
        <v>553.51</v>
      </c>
      <c r="CD276" s="66">
        <f t="shared" si="1994"/>
        <v>571.88</v>
      </c>
      <c r="CE276" s="66">
        <f t="shared" si="1994"/>
        <v>593.9</v>
      </c>
      <c r="CF276" s="66">
        <f t="shared" si="1994"/>
        <v>623.26</v>
      </c>
      <c r="CG276" s="66">
        <f t="shared" si="1994"/>
        <v>654.43999999999994</v>
      </c>
      <c r="CH276" s="66">
        <f t="shared" si="1994"/>
        <v>687.34999999999991</v>
      </c>
      <c r="CI276" s="66">
        <f t="shared" si="1994"/>
        <v>723.46999999999991</v>
      </c>
      <c r="CJ276" s="66">
        <f t="shared" si="1994"/>
        <v>762.64</v>
      </c>
      <c r="CK276" s="66">
        <f t="shared" si="1994"/>
        <v>792.25</v>
      </c>
      <c r="CL276" s="66">
        <f t="shared" si="1994"/>
        <v>829.04</v>
      </c>
      <c r="CM276" s="50">
        <f t="shared" si="1994"/>
        <v>860.86269500000003</v>
      </c>
      <c r="CN276" s="50">
        <f t="shared" si="1994"/>
        <v>896.85530500000004</v>
      </c>
      <c r="CO276" s="50">
        <f t="shared" si="1994"/>
        <v>930.45318000000009</v>
      </c>
      <c r="CP276" s="50">
        <f t="shared" si="1994"/>
        <v>969.11996500000009</v>
      </c>
      <c r="CQ276" s="50">
        <f t="shared" si="1994"/>
        <v>1010.208316213</v>
      </c>
      <c r="CR276" s="50">
        <f t="shared" si="1994"/>
        <v>1056.6480289870001</v>
      </c>
      <c r="CS276" s="50">
        <f t="shared" si="1994"/>
        <v>1098.5632000119999</v>
      </c>
      <c r="CT276" s="50">
        <f t="shared" si="1994"/>
        <v>1146.9551262309999</v>
      </c>
      <c r="CU276" s="50">
        <f t="shared" si="1994"/>
        <v>1195.9899645685941</v>
      </c>
      <c r="CV276" s="50">
        <f t="shared" si="1994"/>
        <v>1251.4111177930859</v>
      </c>
      <c r="CW276" s="50">
        <f t="shared" si="1994"/>
        <v>1301.4326828943208</v>
      </c>
      <c r="CX276" s="50">
        <f t="shared" ref="CX276:DB276" si="1995">SUM(CU43:CX43)</f>
        <v>1359.1836076440754</v>
      </c>
      <c r="CY276" s="50">
        <f t="shared" si="1995"/>
        <v>1417.7017837161602</v>
      </c>
      <c r="CZ276" s="50">
        <f t="shared" si="1995"/>
        <v>1483.8413879742684</v>
      </c>
      <c r="DA276" s="50">
        <f t="shared" si="1995"/>
        <v>1543.5371237660825</v>
      </c>
      <c r="DB276" s="50">
        <f t="shared" si="1995"/>
        <v>1612.4570773624396</v>
      </c>
      <c r="DE276" s="138"/>
      <c r="DF276" s="66">
        <v>825.02226000000007</v>
      </c>
    </row>
    <row r="277" spans="1:110" s="66" customFormat="1" x14ac:dyDescent="0.2">
      <c r="A277" s="66" t="s">
        <v>472</v>
      </c>
      <c r="AB277" s="50"/>
      <c r="AC277" s="50"/>
      <c r="AD277" s="50"/>
      <c r="AE277" s="50"/>
      <c r="AL277" s="66">
        <f t="shared" ref="AL277:BQ277" si="1996">SUM(AI70:AL70)</f>
        <v>0</v>
      </c>
      <c r="AM277" s="66">
        <f t="shared" si="1996"/>
        <v>0</v>
      </c>
      <c r="AN277" s="66">
        <f t="shared" si="1996"/>
        <v>0</v>
      </c>
      <c r="AO277" s="66">
        <f t="shared" si="1996"/>
        <v>0</v>
      </c>
      <c r="AP277" s="66">
        <f t="shared" si="1996"/>
        <v>0</v>
      </c>
      <c r="AQ277" s="66">
        <f t="shared" si="1996"/>
        <v>0</v>
      </c>
      <c r="AR277" s="66">
        <f t="shared" si="1996"/>
        <v>0</v>
      </c>
      <c r="AS277" s="66">
        <f t="shared" si="1996"/>
        <v>0</v>
      </c>
      <c r="AT277" s="66">
        <f t="shared" si="1996"/>
        <v>0</v>
      </c>
      <c r="AU277" s="66">
        <f t="shared" si="1996"/>
        <v>20.286999999999995</v>
      </c>
      <c r="AV277" s="66">
        <f t="shared" si="1996"/>
        <v>46.381999999999998</v>
      </c>
      <c r="AW277" s="66">
        <f t="shared" si="1996"/>
        <v>68.474000000000004</v>
      </c>
      <c r="AX277" s="66">
        <f t="shared" si="1996"/>
        <v>93.06</v>
      </c>
      <c r="AY277" s="66">
        <f t="shared" si="1996"/>
        <v>99.719000000000008</v>
      </c>
      <c r="AZ277" s="66">
        <f t="shared" si="1996"/>
        <v>103.976</v>
      </c>
      <c r="BA277" s="66">
        <f t="shared" si="1996"/>
        <v>108.16</v>
      </c>
      <c r="BB277" s="66">
        <f t="shared" si="1996"/>
        <v>115.184</v>
      </c>
      <c r="BC277" s="66">
        <f t="shared" si="1996"/>
        <v>124.66800000000001</v>
      </c>
      <c r="BD277" s="66">
        <f t="shared" si="1996"/>
        <v>130.01200000000003</v>
      </c>
      <c r="BE277" s="66">
        <f t="shared" si="1996"/>
        <v>139.11600000000004</v>
      </c>
      <c r="BF277" s="66">
        <f t="shared" si="1996"/>
        <v>144.71600000000001</v>
      </c>
      <c r="BG277" s="66">
        <f t="shared" si="1996"/>
        <v>149.48600000000005</v>
      </c>
      <c r="BH277" s="66">
        <f t="shared" si="1996"/>
        <v>156.82</v>
      </c>
      <c r="BI277" s="66">
        <f t="shared" si="1996"/>
        <v>156.96</v>
      </c>
      <c r="BJ277" s="66">
        <f t="shared" si="1996"/>
        <v>154.23000000000002</v>
      </c>
      <c r="BK277" s="66">
        <f t="shared" si="1996"/>
        <v>158.64000000000001</v>
      </c>
      <c r="BL277" s="66">
        <f t="shared" si="1996"/>
        <v>167.77</v>
      </c>
      <c r="BM277" s="66">
        <f t="shared" si="1996"/>
        <v>176.03</v>
      </c>
      <c r="BN277" s="66">
        <f t="shared" si="1996"/>
        <v>172.52</v>
      </c>
      <c r="BO277" s="66">
        <f t="shared" si="1996"/>
        <v>135.37</v>
      </c>
      <c r="BP277" s="66">
        <f t="shared" si="1996"/>
        <v>145.11000000000001</v>
      </c>
      <c r="BQ277" s="66">
        <f t="shared" si="1996"/>
        <v>150.95000000000005</v>
      </c>
      <c r="BR277" s="66">
        <f t="shared" ref="BR277:CW277" si="1997">SUM(BO70:BR70)</f>
        <v>171.51000000000005</v>
      </c>
      <c r="BS277" s="66">
        <f t="shared" si="1997"/>
        <v>234.28000000000003</v>
      </c>
      <c r="BT277" s="66">
        <f t="shared" si="1997"/>
        <v>261.67</v>
      </c>
      <c r="BU277" s="66">
        <f t="shared" si="1997"/>
        <v>248.85</v>
      </c>
      <c r="BV277" s="66">
        <f t="shared" si="1997"/>
        <v>234.90999999999997</v>
      </c>
      <c r="BW277" s="66">
        <f t="shared" si="1997"/>
        <v>199.60000000000002</v>
      </c>
      <c r="BX277" s="66">
        <f t="shared" si="1997"/>
        <v>141.89000000000004</v>
      </c>
      <c r="BY277" s="66">
        <f t="shared" si="1997"/>
        <v>132.95000000000005</v>
      </c>
      <c r="BZ277" s="66">
        <f t="shared" si="1997"/>
        <v>120.05000000000004</v>
      </c>
      <c r="CA277" s="66">
        <f t="shared" si="1997"/>
        <v>118.64000000000003</v>
      </c>
      <c r="CB277" s="66">
        <f t="shared" si="1997"/>
        <v>124.58000000000001</v>
      </c>
      <c r="CC277" s="66">
        <f t="shared" si="1997"/>
        <v>128.31000000000006</v>
      </c>
      <c r="CD277" s="66">
        <f t="shared" si="1997"/>
        <v>137.43000000000004</v>
      </c>
      <c r="CE277" s="66">
        <f t="shared" si="1997"/>
        <v>145.56</v>
      </c>
      <c r="CF277" s="66">
        <f t="shared" si="1997"/>
        <v>156.33000000000004</v>
      </c>
      <c r="CG277" s="66">
        <f t="shared" si="1997"/>
        <v>166.47</v>
      </c>
      <c r="CH277" s="66">
        <f t="shared" si="1997"/>
        <v>190.35999999999996</v>
      </c>
      <c r="CI277" s="66">
        <f t="shared" si="1997"/>
        <v>205.48999999999998</v>
      </c>
      <c r="CJ277" s="66">
        <f t="shared" si="1997"/>
        <v>228.54999999999998</v>
      </c>
      <c r="CK277" s="66">
        <f t="shared" si="1997"/>
        <v>244.64999999999998</v>
      </c>
      <c r="CL277" s="66">
        <f t="shared" si="1997"/>
        <v>262.03999999999996</v>
      </c>
      <c r="CM277" s="50">
        <f t="shared" si="1997"/>
        <v>276.03480953857377</v>
      </c>
      <c r="CN277" s="50">
        <f t="shared" si="1997"/>
        <v>286.53820571523721</v>
      </c>
      <c r="CO277" s="50">
        <f t="shared" si="1997"/>
        <v>302.68408484241235</v>
      </c>
      <c r="CP277" s="50">
        <f t="shared" si="1997"/>
        <v>314.13474310206266</v>
      </c>
      <c r="CQ277" s="50">
        <f t="shared" si="1997"/>
        <v>329.62326043176836</v>
      </c>
      <c r="CR277" s="50">
        <f t="shared" si="1997"/>
        <v>346.52224719871896</v>
      </c>
      <c r="CS277" s="50">
        <f t="shared" si="1997"/>
        <v>362.49170087132683</v>
      </c>
      <c r="CT277" s="50">
        <f t="shared" si="1997"/>
        <v>379.84883696621762</v>
      </c>
      <c r="CU277" s="50">
        <f t="shared" si="1997"/>
        <v>396.87819295189615</v>
      </c>
      <c r="CV277" s="50">
        <f t="shared" si="1997"/>
        <v>415.72040680540465</v>
      </c>
      <c r="CW277" s="50">
        <f t="shared" si="1997"/>
        <v>432.43483984538142</v>
      </c>
      <c r="CX277" s="50">
        <f t="shared" ref="CX277:DB277" si="1998">SUM(CU70:CX70)</f>
        <v>451.07438361136008</v>
      </c>
      <c r="CY277" s="50">
        <f t="shared" si="1998"/>
        <v>470.73688688850814</v>
      </c>
      <c r="CZ277" s="50">
        <f t="shared" si="1998"/>
        <v>492.77533279718205</v>
      </c>
      <c r="DA277" s="50">
        <f t="shared" si="1998"/>
        <v>512.566245707132</v>
      </c>
      <c r="DB277" s="50">
        <f t="shared" si="1998"/>
        <v>535.3708816437902</v>
      </c>
      <c r="DE277" s="138"/>
      <c r="DF277" s="66">
        <v>254.73576484268165</v>
      </c>
    </row>
    <row r="278" spans="1:110" s="66" customFormat="1" x14ac:dyDescent="0.2">
      <c r="A278" s="66" t="s">
        <v>473</v>
      </c>
      <c r="AB278" s="50"/>
      <c r="AC278" s="50"/>
      <c r="AD278" s="50"/>
      <c r="AE278" s="50"/>
      <c r="AL278" s="66">
        <f t="shared" ref="AL278:BQ278" si="1999">SUM(AI83:AL83)</f>
        <v>0</v>
      </c>
      <c r="AM278" s="66">
        <f t="shared" si="1999"/>
        <v>0</v>
      </c>
      <c r="AN278" s="66">
        <f t="shared" si="1999"/>
        <v>0</v>
      </c>
      <c r="AO278" s="66">
        <f t="shared" si="1999"/>
        <v>0</v>
      </c>
      <c r="AP278" s="66">
        <f t="shared" si="1999"/>
        <v>0</v>
      </c>
      <c r="AQ278" s="66">
        <f t="shared" si="1999"/>
        <v>0</v>
      </c>
      <c r="AR278" s="66">
        <f t="shared" si="1999"/>
        <v>0</v>
      </c>
      <c r="AS278" s="66">
        <f t="shared" si="1999"/>
        <v>0</v>
      </c>
      <c r="AT278" s="66">
        <f t="shared" si="1999"/>
        <v>0</v>
      </c>
      <c r="AU278" s="66">
        <f t="shared" si="1999"/>
        <v>10.814999999999996</v>
      </c>
      <c r="AV278" s="66">
        <f t="shared" si="1999"/>
        <v>27.050999999999995</v>
      </c>
      <c r="AW278" s="66">
        <f t="shared" si="1999"/>
        <v>37.865000000000002</v>
      </c>
      <c r="AX278" s="66">
        <f t="shared" si="1999"/>
        <v>51.801000000000002</v>
      </c>
      <c r="AY278" s="66">
        <f t="shared" si="1999"/>
        <v>58.064000000000007</v>
      </c>
      <c r="AZ278" s="66">
        <f t="shared" si="1999"/>
        <v>59.522000000000006</v>
      </c>
      <c r="BA278" s="66">
        <f t="shared" si="1999"/>
        <v>64.763000000000005</v>
      </c>
      <c r="BB278" s="66">
        <f t="shared" si="1999"/>
        <v>70.265999999999991</v>
      </c>
      <c r="BC278" s="66">
        <f t="shared" si="1999"/>
        <v>77.248000000000005</v>
      </c>
      <c r="BD278" s="66">
        <f t="shared" si="1999"/>
        <v>84.350000000000009</v>
      </c>
      <c r="BE278" s="66">
        <f t="shared" si="1999"/>
        <v>89.765000000000015</v>
      </c>
      <c r="BF278" s="66">
        <f t="shared" si="1999"/>
        <v>95.456000000000017</v>
      </c>
      <c r="BG278" s="66">
        <f t="shared" si="1999"/>
        <v>94.836000000000013</v>
      </c>
      <c r="BH278" s="66">
        <f t="shared" si="1999"/>
        <v>94.850000000000009</v>
      </c>
      <c r="BI278" s="66">
        <f t="shared" si="1999"/>
        <v>93.360000000000014</v>
      </c>
      <c r="BJ278" s="66">
        <f t="shared" si="1999"/>
        <v>84.48</v>
      </c>
      <c r="BK278" s="66">
        <f t="shared" si="1999"/>
        <v>88.330000000000013</v>
      </c>
      <c r="BL278" s="66">
        <f t="shared" si="1999"/>
        <v>98.300000000000011</v>
      </c>
      <c r="BM278" s="66">
        <f t="shared" si="1999"/>
        <v>105.73000000000003</v>
      </c>
      <c r="BN278" s="66">
        <f t="shared" si="1999"/>
        <v>94.480000000000018</v>
      </c>
      <c r="BO278" s="66">
        <f t="shared" si="1999"/>
        <v>67.680000000000007</v>
      </c>
      <c r="BP278" s="66">
        <f t="shared" si="1999"/>
        <v>76.000000000000014</v>
      </c>
      <c r="BQ278" s="66">
        <f t="shared" si="1999"/>
        <v>80.920000000000016</v>
      </c>
      <c r="BR278" s="66">
        <f t="shared" ref="BR278:CW278" si="2000">SUM(BO83:BR83)</f>
        <v>113.49000000000002</v>
      </c>
      <c r="BS278" s="66">
        <f t="shared" si="2000"/>
        <v>168.87</v>
      </c>
      <c r="BT278" s="66">
        <f t="shared" si="2000"/>
        <v>203.69</v>
      </c>
      <c r="BU278" s="66">
        <f t="shared" si="2000"/>
        <v>193.06</v>
      </c>
      <c r="BV278" s="66">
        <f t="shared" si="2000"/>
        <v>176.20999999999998</v>
      </c>
      <c r="BW278" s="66">
        <f t="shared" si="2000"/>
        <v>141.81</v>
      </c>
      <c r="BX278" s="66">
        <f t="shared" si="2000"/>
        <v>79.220000000000027</v>
      </c>
      <c r="BY278" s="66">
        <f t="shared" si="2000"/>
        <v>71.730000000000032</v>
      </c>
      <c r="BZ278" s="66">
        <f t="shared" si="2000"/>
        <v>63.180000000000042</v>
      </c>
      <c r="CA278" s="66">
        <f t="shared" si="2000"/>
        <v>58.840000000000032</v>
      </c>
      <c r="CB278" s="66">
        <f t="shared" si="2000"/>
        <v>63.480000000000018</v>
      </c>
      <c r="CC278" s="66">
        <f t="shared" si="2000"/>
        <v>63.880000000000052</v>
      </c>
      <c r="CD278" s="66">
        <f t="shared" si="2000"/>
        <v>69.110000000000042</v>
      </c>
      <c r="CE278" s="66">
        <f t="shared" si="2000"/>
        <v>76.280000000000015</v>
      </c>
      <c r="CF278" s="66">
        <f t="shared" si="2000"/>
        <v>83.020000000000024</v>
      </c>
      <c r="CG278" s="66">
        <f t="shared" si="2000"/>
        <v>87.52000000000001</v>
      </c>
      <c r="CH278" s="66">
        <f t="shared" si="2000"/>
        <v>92.319999999999965</v>
      </c>
      <c r="CI278" s="66">
        <f t="shared" si="2000"/>
        <v>106.06</v>
      </c>
      <c r="CJ278" s="66">
        <f t="shared" si="2000"/>
        <v>126.87999999999998</v>
      </c>
      <c r="CK278" s="66">
        <f t="shared" si="2000"/>
        <v>141.69999999999999</v>
      </c>
      <c r="CL278" s="66">
        <f t="shared" si="2000"/>
        <v>167.61999999999995</v>
      </c>
      <c r="CM278" s="50">
        <f t="shared" si="2000"/>
        <v>173.72866529090351</v>
      </c>
      <c r="CN278" s="50">
        <f t="shared" si="2000"/>
        <v>178.31085550574005</v>
      </c>
      <c r="CO278" s="50">
        <f t="shared" si="2000"/>
        <v>190.97947329845897</v>
      </c>
      <c r="CP278" s="50">
        <f t="shared" si="2000"/>
        <v>199.35354314899112</v>
      </c>
      <c r="CQ278" s="50">
        <f t="shared" si="2000"/>
        <v>212.24521520009191</v>
      </c>
      <c r="CR278" s="50">
        <f t="shared" si="2000"/>
        <v>226.23177202591219</v>
      </c>
      <c r="CS278" s="50">
        <f t="shared" si="2000"/>
        <v>239.56111199236665</v>
      </c>
      <c r="CT278" s="50">
        <f t="shared" si="2000"/>
        <v>253.97972115198712</v>
      </c>
      <c r="CU278" s="50">
        <f t="shared" si="2000"/>
        <v>268.59231434909429</v>
      </c>
      <c r="CV278" s="50">
        <f t="shared" si="2000"/>
        <v>284.66521873255761</v>
      </c>
      <c r="CW278" s="50">
        <f t="shared" si="2000"/>
        <v>299.24204464328466</v>
      </c>
      <c r="CX278" s="50">
        <f t="shared" ref="CX278:DB278" si="2001">SUM(CU83:CX83)</f>
        <v>315.37787751902619</v>
      </c>
      <c r="CY278" s="50">
        <f t="shared" si="2001"/>
        <v>332.37952562368957</v>
      </c>
      <c r="CZ278" s="50">
        <f t="shared" si="2001"/>
        <v>351.28410346163719</v>
      </c>
      <c r="DA278" s="50">
        <f t="shared" si="2001"/>
        <v>368.62369301798304</v>
      </c>
      <c r="DB278" s="50">
        <f t="shared" si="2001"/>
        <v>388.36390607027397</v>
      </c>
      <c r="DE278" s="138"/>
      <c r="DF278" s="66">
        <v>159.12399878909588</v>
      </c>
    </row>
    <row r="279" spans="1:110" s="93" customFormat="1" x14ac:dyDescent="0.2">
      <c r="AB279" s="30"/>
      <c r="AC279" s="30"/>
      <c r="AD279" s="30"/>
      <c r="AE279" s="30"/>
      <c r="CM279" s="30"/>
      <c r="CN279" s="30"/>
      <c r="CO279" s="30"/>
      <c r="CP279" s="30"/>
      <c r="CQ279" s="30"/>
      <c r="CR279" s="30"/>
      <c r="CS279" s="30"/>
      <c r="CT279" s="30"/>
      <c r="CU279" s="30"/>
      <c r="CV279" s="30"/>
      <c r="CW279" s="30"/>
      <c r="CX279" s="30"/>
      <c r="CY279" s="30"/>
      <c r="CZ279" s="30"/>
      <c r="DA279" s="30"/>
      <c r="DB279" s="30"/>
      <c r="DE279" s="139"/>
    </row>
    <row r="280" spans="1:110" s="11" customFormat="1" x14ac:dyDescent="0.2">
      <c r="AB280" s="63"/>
      <c r="AC280" s="63"/>
      <c r="AD280" s="63"/>
      <c r="AE280" s="63"/>
      <c r="CM280" s="30"/>
      <c r="CN280" s="30"/>
      <c r="CO280" s="30"/>
      <c r="CP280" s="30"/>
      <c r="CQ280" s="30"/>
      <c r="CR280" s="30"/>
      <c r="CS280" s="30"/>
      <c r="CT280" s="30"/>
      <c r="CU280" s="30"/>
      <c r="CV280" s="30"/>
      <c r="CW280" s="30"/>
      <c r="CX280" s="30"/>
      <c r="CY280" s="30"/>
      <c r="CZ280" s="30"/>
      <c r="DA280" s="30"/>
      <c r="DB280" s="30"/>
      <c r="DE280" s="139"/>
    </row>
    <row r="281" spans="1:110" s="62" customFormat="1" hidden="1" outlineLevel="1" x14ac:dyDescent="0.2">
      <c r="A281" s="61" t="s">
        <v>339</v>
      </c>
      <c r="AB281" s="63"/>
      <c r="AC281" s="63"/>
      <c r="AD281" s="63"/>
      <c r="AE281" s="63"/>
      <c r="CM281" s="30"/>
      <c r="CN281" s="30"/>
      <c r="CO281" s="30"/>
      <c r="CP281" s="30"/>
      <c r="CQ281" s="30"/>
      <c r="CR281" s="30"/>
      <c r="CS281" s="30"/>
      <c r="CT281" s="30"/>
      <c r="CU281" s="30"/>
      <c r="CV281" s="30"/>
      <c r="CW281" s="30"/>
      <c r="CX281" s="30"/>
      <c r="CY281" s="30"/>
      <c r="CZ281" s="30"/>
      <c r="DA281" s="30"/>
      <c r="DB281" s="30"/>
      <c r="DE281" s="139"/>
    </row>
    <row r="282" spans="1:110" s="64" customFormat="1" hidden="1" outlineLevel="1" x14ac:dyDescent="0.2">
      <c r="A282" s="64" t="s">
        <v>474</v>
      </c>
      <c r="B282" s="64">
        <f t="shared" ref="B282:Z282" si="2002">B41-B288</f>
        <v>0</v>
      </c>
      <c r="C282" s="64">
        <f t="shared" si="2002"/>
        <v>0</v>
      </c>
      <c r="D282" s="64">
        <f t="shared" si="2002"/>
        <v>0</v>
      </c>
      <c r="E282" s="64">
        <f t="shared" si="2002"/>
        <v>0</v>
      </c>
      <c r="F282" s="64">
        <f t="shared" si="2002"/>
        <v>0</v>
      </c>
      <c r="G282" s="64">
        <f t="shared" si="2002"/>
        <v>0</v>
      </c>
      <c r="H282" s="64">
        <f t="shared" si="2002"/>
        <v>33.754413999999997</v>
      </c>
      <c r="I282" s="64">
        <f t="shared" si="2002"/>
        <v>44.410636199999999</v>
      </c>
      <c r="J282" s="64">
        <f t="shared" si="2002"/>
        <v>45.278377300000002</v>
      </c>
      <c r="K282" s="64">
        <f t="shared" si="2002"/>
        <v>58.3431049</v>
      </c>
      <c r="L282" s="64">
        <f t="shared" si="2002"/>
        <v>77.864999999999995</v>
      </c>
      <c r="M282" s="64">
        <f t="shared" si="2002"/>
        <v>109.07599999999999</v>
      </c>
      <c r="N282" s="64">
        <f t="shared" si="2002"/>
        <v>134.261</v>
      </c>
      <c r="O282" s="64">
        <f t="shared" si="2002"/>
        <v>149.97800000000001</v>
      </c>
      <c r="P282" s="64">
        <f t="shared" si="2002"/>
        <v>182.958</v>
      </c>
      <c r="Q282" s="64">
        <f t="shared" si="2002"/>
        <v>240.965</v>
      </c>
      <c r="R282" s="64">
        <f t="shared" si="2002"/>
        <v>304.387</v>
      </c>
      <c r="S282" s="64">
        <f t="shared" si="2002"/>
        <v>356.32</v>
      </c>
      <c r="T282" s="64">
        <f t="shared" si="2002"/>
        <v>402.91</v>
      </c>
      <c r="U282" s="64">
        <f t="shared" si="2002"/>
        <v>434.26</v>
      </c>
      <c r="V282" s="64">
        <f t="shared" si="2002"/>
        <v>494.62</v>
      </c>
      <c r="W282" s="64">
        <f t="shared" si="2002"/>
        <v>588.86</v>
      </c>
      <c r="X282" s="64">
        <f t="shared" si="2002"/>
        <v>526.66999999999996</v>
      </c>
      <c r="Y282" s="64">
        <f t="shared" si="2002"/>
        <v>571.88</v>
      </c>
      <c r="Z282" s="64">
        <f t="shared" si="2002"/>
        <v>687.35</v>
      </c>
      <c r="AA282" s="64">
        <f t="shared" ref="AA282" si="2003">AA41-AA288</f>
        <v>829.04</v>
      </c>
      <c r="AB282" s="30"/>
      <c r="AC282" s="30"/>
      <c r="AD282" s="30"/>
      <c r="AE282" s="30"/>
      <c r="AI282" s="64">
        <f t="shared" ref="AI282:BN282" si="2004">AI41-AI288</f>
        <v>0</v>
      </c>
      <c r="AJ282" s="64">
        <f t="shared" si="2004"/>
        <v>0</v>
      </c>
      <c r="AK282" s="64">
        <f t="shared" si="2004"/>
        <v>0</v>
      </c>
      <c r="AL282" s="64">
        <f t="shared" si="2004"/>
        <v>0</v>
      </c>
      <c r="AM282" s="64">
        <f t="shared" si="2004"/>
        <v>0</v>
      </c>
      <c r="AN282" s="64">
        <f t="shared" si="2004"/>
        <v>0</v>
      </c>
      <c r="AO282" s="64">
        <f t="shared" si="2004"/>
        <v>0</v>
      </c>
      <c r="AP282" s="64">
        <f t="shared" si="2004"/>
        <v>0</v>
      </c>
      <c r="AQ282" s="64">
        <f t="shared" si="2004"/>
        <v>0</v>
      </c>
      <c r="AR282" s="64">
        <f t="shared" si="2004"/>
        <v>0</v>
      </c>
      <c r="AS282" s="64">
        <f t="shared" si="2004"/>
        <v>0</v>
      </c>
      <c r="AT282" s="64">
        <f t="shared" si="2004"/>
        <v>0</v>
      </c>
      <c r="AU282" s="64">
        <f t="shared" si="2004"/>
        <v>56.994999999999997</v>
      </c>
      <c r="AV282" s="64">
        <f t="shared" si="2004"/>
        <v>62.265000000000001</v>
      </c>
      <c r="AW282" s="64">
        <f t="shared" si="2004"/>
        <v>56.652000000000001</v>
      </c>
      <c r="AX282" s="64">
        <f t="shared" si="2004"/>
        <v>65.055000000000007</v>
      </c>
      <c r="AY282" s="64">
        <f t="shared" si="2004"/>
        <v>68.745000000000005</v>
      </c>
      <c r="AZ282" s="64">
        <f t="shared" si="2004"/>
        <v>78.147999999999996</v>
      </c>
      <c r="BA282" s="64">
        <f t="shared" si="2004"/>
        <v>70.378</v>
      </c>
      <c r="BB282" s="64">
        <f t="shared" si="2004"/>
        <v>87.116</v>
      </c>
      <c r="BC282" s="64">
        <f t="shared" si="2004"/>
        <v>87.76</v>
      </c>
      <c r="BD282" s="64">
        <f t="shared" si="2004"/>
        <v>88.036000000000001</v>
      </c>
      <c r="BE282" s="64">
        <f t="shared" si="2004"/>
        <v>83.87</v>
      </c>
      <c r="BF282" s="64">
        <f t="shared" si="2004"/>
        <v>96.66</v>
      </c>
      <c r="BG282" s="64">
        <f t="shared" si="2004"/>
        <v>97.15</v>
      </c>
      <c r="BH282" s="64">
        <f t="shared" si="2004"/>
        <v>103.88</v>
      </c>
      <c r="BI282" s="64">
        <f t="shared" si="2004"/>
        <v>96.29</v>
      </c>
      <c r="BJ282" s="64">
        <f t="shared" si="2004"/>
        <v>105.59</v>
      </c>
      <c r="BK282" s="64">
        <f t="shared" si="2004"/>
        <v>109.73</v>
      </c>
      <c r="BL282" s="64">
        <f t="shared" si="2004"/>
        <v>116.24</v>
      </c>
      <c r="BM282" s="64">
        <f t="shared" si="2004"/>
        <v>105.79</v>
      </c>
      <c r="BN282" s="64">
        <f t="shared" si="2004"/>
        <v>101.44</v>
      </c>
      <c r="BO282" s="64">
        <f t="shared" ref="BO282:CT282" si="2005">BO41-BO288</f>
        <v>56.27</v>
      </c>
      <c r="BP282" s="64">
        <f t="shared" si="2005"/>
        <v>153.25</v>
      </c>
      <c r="BQ282" s="64">
        <f t="shared" si="2005"/>
        <v>138.27000000000001</v>
      </c>
      <c r="BR282" s="64">
        <f t="shared" si="2005"/>
        <v>146.84</v>
      </c>
      <c r="BS282" s="64">
        <f t="shared" si="2005"/>
        <v>164.65</v>
      </c>
      <c r="BT282" s="64">
        <f t="shared" si="2005"/>
        <v>176.21</v>
      </c>
      <c r="BU282" s="64">
        <f t="shared" si="2005"/>
        <v>117.4</v>
      </c>
      <c r="BV282" s="64">
        <f t="shared" si="2005"/>
        <v>130.56</v>
      </c>
      <c r="BW282" s="64">
        <f t="shared" si="2005"/>
        <v>127.79</v>
      </c>
      <c r="BX282" s="64">
        <f t="shared" si="2005"/>
        <v>134.97</v>
      </c>
      <c r="BY282" s="64">
        <f t="shared" si="2005"/>
        <v>128.03</v>
      </c>
      <c r="BZ282" s="64">
        <f t="shared" si="2005"/>
        <v>135.88</v>
      </c>
      <c r="CA282" s="64">
        <f t="shared" si="2005"/>
        <v>134.88999999999999</v>
      </c>
      <c r="CB282" s="64">
        <f t="shared" si="2005"/>
        <v>148</v>
      </c>
      <c r="CC282" s="64">
        <f t="shared" si="2005"/>
        <v>134.74</v>
      </c>
      <c r="CD282" s="64">
        <f t="shared" si="2005"/>
        <v>154.25</v>
      </c>
      <c r="CE282" s="64">
        <f t="shared" si="2005"/>
        <v>156.91</v>
      </c>
      <c r="CF282" s="64">
        <f t="shared" si="2005"/>
        <v>177.36</v>
      </c>
      <c r="CG282" s="64">
        <f t="shared" si="2005"/>
        <v>165.92</v>
      </c>
      <c r="CH282" s="64">
        <f t="shared" si="2005"/>
        <v>187.16</v>
      </c>
      <c r="CI282" s="64">
        <f t="shared" si="2005"/>
        <v>193.03</v>
      </c>
      <c r="CJ282" s="64">
        <f t="shared" si="2005"/>
        <v>216.53</v>
      </c>
      <c r="CK282" s="64">
        <f t="shared" si="2005"/>
        <v>195.53</v>
      </c>
      <c r="CL282" s="64">
        <f t="shared" ref="CL282" si="2006">CL41-CL288</f>
        <v>223.95</v>
      </c>
      <c r="CM282" s="30">
        <f t="shared" si="2005"/>
        <v>224.85269500000004</v>
      </c>
      <c r="CN282" s="30">
        <f t="shared" si="2005"/>
        <v>252.52260999999999</v>
      </c>
      <c r="CO282" s="30">
        <f t="shared" si="2005"/>
        <v>229.12787500000005</v>
      </c>
      <c r="CP282" s="30">
        <f t="shared" si="2005"/>
        <v>262.61678499999999</v>
      </c>
      <c r="CQ282" s="30">
        <f t="shared" si="2005"/>
        <v>265.94104621299999</v>
      </c>
      <c r="CR282" s="30">
        <f t="shared" si="2005"/>
        <v>298.96232277400003</v>
      </c>
      <c r="CS282" s="30">
        <f t="shared" si="2005"/>
        <v>271.04304602499997</v>
      </c>
      <c r="CT282" s="30">
        <f t="shared" si="2005"/>
        <v>311.00871121899996</v>
      </c>
      <c r="CU282" s="30">
        <f t="shared" ref="CU282:DB282" si="2007">CU41-CU288</f>
        <v>314.97588455059429</v>
      </c>
      <c r="CV282" s="30">
        <f t="shared" si="2007"/>
        <v>354.38347599849158</v>
      </c>
      <c r="CW282" s="30">
        <f t="shared" si="2007"/>
        <v>321.06461112623492</v>
      </c>
      <c r="CX282" s="30">
        <f t="shared" si="2007"/>
        <v>368.75963596875459</v>
      </c>
      <c r="CY282" s="30">
        <f t="shared" si="2007"/>
        <v>373.49406062267923</v>
      </c>
      <c r="CZ282" s="30">
        <f t="shared" si="2007"/>
        <v>420.52308025659983</v>
      </c>
      <c r="DA282" s="30">
        <f t="shared" si="2007"/>
        <v>380.76034691804887</v>
      </c>
      <c r="DB282" s="30">
        <f t="shared" si="2007"/>
        <v>437.67958956511171</v>
      </c>
      <c r="DE282" s="139"/>
      <c r="DF282" s="64">
        <v>219.93226000000001</v>
      </c>
    </row>
    <row r="283" spans="1:110" s="64" customFormat="1" hidden="1" outlineLevel="1" x14ac:dyDescent="0.2">
      <c r="A283" s="64" t="s">
        <v>475</v>
      </c>
      <c r="B283" s="64">
        <f t="shared" ref="B283:Z283" si="2008">B70-B289</f>
        <v>0</v>
      </c>
      <c r="C283" s="64">
        <f t="shared" si="2008"/>
        <v>0</v>
      </c>
      <c r="D283" s="64">
        <f t="shared" si="2008"/>
        <v>0</v>
      </c>
      <c r="E283" s="64">
        <f t="shared" si="2008"/>
        <v>0</v>
      </c>
      <c r="F283" s="64">
        <f t="shared" si="2008"/>
        <v>0</v>
      </c>
      <c r="G283" s="64">
        <f t="shared" si="2008"/>
        <v>0</v>
      </c>
      <c r="H283" s="64">
        <f t="shared" si="2008"/>
        <v>1.4652084999999957</v>
      </c>
      <c r="I283" s="64">
        <f t="shared" si="2008"/>
        <v>25.776711899999995</v>
      </c>
      <c r="J283" s="64">
        <f t="shared" si="2008"/>
        <v>12.057614300000001</v>
      </c>
      <c r="K283" s="64">
        <f t="shared" si="2008"/>
        <v>27.786175499999999</v>
      </c>
      <c r="L283" s="64">
        <f t="shared" si="2008"/>
        <v>35.659999999999989</v>
      </c>
      <c r="M283" s="64">
        <f t="shared" si="2008"/>
        <v>49.066999999999986</v>
      </c>
      <c r="N283" s="64">
        <f t="shared" si="2008"/>
        <v>63.560999999999986</v>
      </c>
      <c r="O283" s="64">
        <f t="shared" si="2008"/>
        <v>68.841000000000022</v>
      </c>
      <c r="P283" s="64">
        <f t="shared" si="2008"/>
        <v>72.671999999999997</v>
      </c>
      <c r="Q283" s="64">
        <f t="shared" si="2008"/>
        <v>94.049000000000007</v>
      </c>
      <c r="R283" s="64">
        <f t="shared" si="2008"/>
        <v>115.379</v>
      </c>
      <c r="S283" s="64">
        <f t="shared" si="2008"/>
        <v>144.71999999999997</v>
      </c>
      <c r="T283" s="64">
        <f t="shared" si="2008"/>
        <v>154.22999999999999</v>
      </c>
      <c r="U283" s="64">
        <f t="shared" si="2008"/>
        <v>173.56999999999996</v>
      </c>
      <c r="V283" s="64">
        <f t="shared" si="2008"/>
        <v>171.26</v>
      </c>
      <c r="W283" s="64">
        <f t="shared" si="2008"/>
        <v>235.73000000000002</v>
      </c>
      <c r="X283" s="64">
        <f t="shared" si="2008"/>
        <v>122.52999999999994</v>
      </c>
      <c r="Y283" s="64">
        <f t="shared" si="2008"/>
        <v>138.75999999999993</v>
      </c>
      <c r="Z283" s="64">
        <f t="shared" si="2008"/>
        <v>190.56000000000012</v>
      </c>
      <c r="AA283" s="64">
        <f t="shared" ref="AA283" si="2009">AA70-AA289</f>
        <v>245.92999999999995</v>
      </c>
      <c r="AB283" s="30"/>
      <c r="AC283" s="30"/>
      <c r="AD283" s="30"/>
      <c r="AE283" s="30"/>
      <c r="AI283" s="64">
        <f t="shared" ref="AI283:BN283" si="2010">AI70-AI289</f>
        <v>0</v>
      </c>
      <c r="AJ283" s="64">
        <f t="shared" si="2010"/>
        <v>0</v>
      </c>
      <c r="AK283" s="64">
        <f t="shared" si="2010"/>
        <v>0</v>
      </c>
      <c r="AL283" s="64">
        <f t="shared" si="2010"/>
        <v>0</v>
      </c>
      <c r="AM283" s="64">
        <f t="shared" si="2010"/>
        <v>0</v>
      </c>
      <c r="AN283" s="64">
        <f t="shared" si="2010"/>
        <v>0</v>
      </c>
      <c r="AO283" s="64">
        <f t="shared" si="2010"/>
        <v>0</v>
      </c>
      <c r="AP283" s="64">
        <f t="shared" si="2010"/>
        <v>0</v>
      </c>
      <c r="AQ283" s="64">
        <f t="shared" si="2010"/>
        <v>0</v>
      </c>
      <c r="AR283" s="64">
        <f t="shared" si="2010"/>
        <v>0</v>
      </c>
      <c r="AS283" s="64">
        <f t="shared" si="2010"/>
        <v>0</v>
      </c>
      <c r="AT283" s="64">
        <f t="shared" si="2010"/>
        <v>0</v>
      </c>
      <c r="AU283" s="64">
        <f t="shared" si="2010"/>
        <v>20.286999999999995</v>
      </c>
      <c r="AV283" s="64">
        <f t="shared" si="2010"/>
        <v>26.095000000000002</v>
      </c>
      <c r="AW283" s="64">
        <f t="shared" si="2010"/>
        <v>22.092000000000006</v>
      </c>
      <c r="AX283" s="64">
        <f t="shared" si="2010"/>
        <v>24.585999999999995</v>
      </c>
      <c r="AY283" s="64">
        <f t="shared" si="2010"/>
        <v>26.945999999999998</v>
      </c>
      <c r="AZ283" s="64">
        <f t="shared" si="2010"/>
        <v>30.351999999999997</v>
      </c>
      <c r="BA283" s="64">
        <f t="shared" si="2010"/>
        <v>26.276000000000003</v>
      </c>
      <c r="BB283" s="64">
        <f t="shared" si="2010"/>
        <v>31.610000000000003</v>
      </c>
      <c r="BC283" s="64">
        <f t="shared" si="2010"/>
        <v>36.430000000000007</v>
      </c>
      <c r="BD283" s="64">
        <f t="shared" si="2010"/>
        <v>35.696000000000005</v>
      </c>
      <c r="BE283" s="64">
        <f t="shared" si="2010"/>
        <v>35.38000000000001</v>
      </c>
      <c r="BF283" s="64">
        <f t="shared" si="2010"/>
        <v>37.21</v>
      </c>
      <c r="BG283" s="64">
        <f t="shared" si="2010"/>
        <v>41.2</v>
      </c>
      <c r="BH283" s="64">
        <f t="shared" si="2010"/>
        <v>43.03</v>
      </c>
      <c r="BI283" s="64">
        <f t="shared" si="2010"/>
        <v>35.520000000000003</v>
      </c>
      <c r="BJ283" s="64">
        <f t="shared" si="2010"/>
        <v>34.480000000000004</v>
      </c>
      <c r="BK283" s="64">
        <f t="shared" si="2010"/>
        <v>45.610000000000007</v>
      </c>
      <c r="BL283" s="64">
        <f t="shared" si="2010"/>
        <v>52.160000000000004</v>
      </c>
      <c r="BM283" s="64">
        <f t="shared" si="2010"/>
        <v>43.780000000000008</v>
      </c>
      <c r="BN283" s="64">
        <f t="shared" si="2010"/>
        <v>30.97</v>
      </c>
      <c r="BO283" s="64">
        <f t="shared" ref="BO283:CT283" si="2011">BO70-BO289</f>
        <v>8.4600000000000009</v>
      </c>
      <c r="BP283" s="64">
        <f t="shared" si="2011"/>
        <v>61.900000000000006</v>
      </c>
      <c r="BQ283" s="64">
        <f t="shared" si="2011"/>
        <v>49.620000000000019</v>
      </c>
      <c r="BR283" s="64">
        <f t="shared" si="2011"/>
        <v>51.530000000000008</v>
      </c>
      <c r="BS283" s="64">
        <f t="shared" si="2011"/>
        <v>71.22999999999999</v>
      </c>
      <c r="BT283" s="64">
        <f t="shared" si="2011"/>
        <v>89.289999999999992</v>
      </c>
      <c r="BU283" s="64">
        <f t="shared" si="2011"/>
        <v>36.800000000000011</v>
      </c>
      <c r="BV283" s="64">
        <f t="shared" si="2011"/>
        <v>37.589999999999989</v>
      </c>
      <c r="BW283" s="64">
        <f t="shared" si="2011"/>
        <v>35.920000000000023</v>
      </c>
      <c r="BX283" s="64">
        <f t="shared" si="2011"/>
        <v>31.580000000000005</v>
      </c>
      <c r="BY283" s="64">
        <f t="shared" si="2011"/>
        <v>27.86</v>
      </c>
      <c r="BZ283" s="64">
        <f t="shared" si="2011"/>
        <v>24.690000000000012</v>
      </c>
      <c r="CA283" s="64">
        <f t="shared" si="2011"/>
        <v>34.510000000000005</v>
      </c>
      <c r="CB283" s="64">
        <f t="shared" si="2011"/>
        <v>37.519999999999996</v>
      </c>
      <c r="CC283" s="64">
        <f t="shared" si="2011"/>
        <v>31.590000000000032</v>
      </c>
      <c r="CD283" s="64">
        <f t="shared" si="2011"/>
        <v>33.81</v>
      </c>
      <c r="CE283" s="64">
        <f t="shared" si="2011"/>
        <v>42.639999999999986</v>
      </c>
      <c r="CF283" s="64">
        <f t="shared" si="2011"/>
        <v>48.290000000000006</v>
      </c>
      <c r="CG283" s="64">
        <f t="shared" si="2011"/>
        <v>41.730000000000004</v>
      </c>
      <c r="CH283" s="64">
        <f t="shared" si="2011"/>
        <v>57.69999999999996</v>
      </c>
      <c r="CI283" s="64">
        <f t="shared" si="2011"/>
        <v>57.77000000000001</v>
      </c>
      <c r="CJ283" s="64">
        <f t="shared" si="2011"/>
        <v>71.349999999999994</v>
      </c>
      <c r="CK283" s="64">
        <f t="shared" si="2011"/>
        <v>57.830000000000013</v>
      </c>
      <c r="CL283" s="64">
        <f t="shared" ref="CL283" si="2012">CL70-CL289</f>
        <v>75.089999999999947</v>
      </c>
      <c r="CM283" s="30">
        <f t="shared" si="2011"/>
        <v>71.764809538573829</v>
      </c>
      <c r="CN283" s="30">
        <f t="shared" si="2011"/>
        <v>81.853396176663423</v>
      </c>
      <c r="CO283" s="30">
        <f t="shared" si="2011"/>
        <v>73.975879127175162</v>
      </c>
      <c r="CP283" s="30">
        <f t="shared" si="2011"/>
        <v>86.540658259650243</v>
      </c>
      <c r="CQ283" s="30">
        <f t="shared" si="2011"/>
        <v>87.25332686827953</v>
      </c>
      <c r="CR283" s="30">
        <f t="shared" si="2011"/>
        <v>98.752382943613995</v>
      </c>
      <c r="CS283" s="30">
        <f t="shared" si="2011"/>
        <v>89.945332799783031</v>
      </c>
      <c r="CT283" s="30">
        <f t="shared" si="2011"/>
        <v>103.89779435454111</v>
      </c>
      <c r="CU283" s="30">
        <f t="shared" ref="CU283:DB283" si="2013">CU70-CU289</f>
        <v>104.28268285395805</v>
      </c>
      <c r="CV283" s="30">
        <f t="shared" si="2013"/>
        <v>117.59459679712245</v>
      </c>
      <c r="CW283" s="30">
        <f t="shared" si="2013"/>
        <v>106.65976583975981</v>
      </c>
      <c r="CX283" s="30">
        <f t="shared" si="2013"/>
        <v>122.53733812051973</v>
      </c>
      <c r="CY283" s="30">
        <f t="shared" si="2013"/>
        <v>123.94518613110614</v>
      </c>
      <c r="CZ283" s="30">
        <f t="shared" si="2013"/>
        <v>139.63304270579636</v>
      </c>
      <c r="DA283" s="30">
        <f t="shared" si="2013"/>
        <v>126.45067874970974</v>
      </c>
      <c r="DB283" s="30">
        <f t="shared" si="2013"/>
        <v>145.34197405717796</v>
      </c>
      <c r="DE283" s="139"/>
      <c r="DF283" s="64">
        <v>67.785764842681644</v>
      </c>
    </row>
    <row r="284" spans="1:110" s="89" customFormat="1" hidden="1" outlineLevel="1" x14ac:dyDescent="0.2">
      <c r="A284" s="86" t="s">
        <v>476</v>
      </c>
      <c r="B284" s="86" t="e">
        <f>+B283/B282</f>
        <v>#DIV/0!</v>
      </c>
      <c r="C284" s="86" t="e">
        <f t="shared" ref="C284" si="2014">+C283/C282</f>
        <v>#DIV/0!</v>
      </c>
      <c r="D284" s="86" t="e">
        <f t="shared" ref="D284" si="2015">+D283/D282</f>
        <v>#DIV/0!</v>
      </c>
      <c r="E284" s="86" t="e">
        <f t="shared" ref="E284" si="2016">+E283/E282</f>
        <v>#DIV/0!</v>
      </c>
      <c r="F284" s="86" t="e">
        <f t="shared" ref="F284" si="2017">+F283/F282</f>
        <v>#DIV/0!</v>
      </c>
      <c r="G284" s="86" t="e">
        <f t="shared" ref="G284" si="2018">+G283/G282</f>
        <v>#DIV/0!</v>
      </c>
      <c r="H284" s="86">
        <f t="shared" ref="H284" si="2019">+H283/H282</f>
        <v>4.3407908073889119E-2</v>
      </c>
      <c r="I284" s="86">
        <f t="shared" ref="I284" si="2020">+I283/I282</f>
        <v>0.58041753295126175</v>
      </c>
      <c r="J284" s="86">
        <f t="shared" ref="J284" si="2021">+J283/J282</f>
        <v>0.26629961184585121</v>
      </c>
      <c r="K284" s="86">
        <f t="shared" ref="K284" si="2022">+K283/K282</f>
        <v>0.47625465850035686</v>
      </c>
      <c r="L284" s="86">
        <f t="shared" ref="L284" si="2023">+L283/L282</f>
        <v>0.45797213125280922</v>
      </c>
      <c r="M284" s="86">
        <f t="shared" ref="M284" si="2024">+M283/M282</f>
        <v>0.44984231178261019</v>
      </c>
      <c r="N284" s="86">
        <f t="shared" ref="N284" si="2025">+N283/N282</f>
        <v>0.47341372401516441</v>
      </c>
      <c r="O284" s="86">
        <f t="shared" ref="O284" si="2026">+O283/O282</f>
        <v>0.45900732107375763</v>
      </c>
      <c r="P284" s="86">
        <f t="shared" ref="P284" si="2027">+P283/P282</f>
        <v>0.39720591611189454</v>
      </c>
      <c r="Q284" s="86">
        <f t="shared" ref="Q284" si="2028">+Q283/Q282</f>
        <v>0.39030149606789372</v>
      </c>
      <c r="R284" s="86">
        <f t="shared" ref="R284" si="2029">+R283/R282</f>
        <v>0.37905363895304334</v>
      </c>
      <c r="S284" s="86">
        <f t="shared" ref="S284" si="2030">+S283/S282</f>
        <v>0.40615177368657379</v>
      </c>
      <c r="T284" s="86">
        <f t="shared" ref="T284" si="2031">+T283/T282</f>
        <v>0.38279020128564689</v>
      </c>
      <c r="U284" s="86">
        <f t="shared" ref="U284" si="2032">+U283/U282</f>
        <v>0.39969142909777544</v>
      </c>
      <c r="V284" s="86">
        <f t="shared" ref="V284" si="2033">+V283/V282</f>
        <v>0.34624560268488941</v>
      </c>
      <c r="W284" s="86">
        <f t="shared" ref="W284" si="2034">+W283/W282</f>
        <v>0.40031586455184598</v>
      </c>
      <c r="X284" s="86">
        <f t="shared" ref="X284:Y284" si="2035">+X283/X282</f>
        <v>0.23265042626312482</v>
      </c>
      <c r="Y284" s="86">
        <f t="shared" si="2035"/>
        <v>0.24263831573057273</v>
      </c>
      <c r="Z284" s="86">
        <f t="shared" ref="Z284:AA284" si="2036">+Z283/Z282</f>
        <v>0.27723867025532861</v>
      </c>
      <c r="AA284" s="86">
        <f t="shared" si="2036"/>
        <v>0.2966443114928109</v>
      </c>
      <c r="AB284" s="87"/>
      <c r="AC284" s="87"/>
      <c r="AD284" s="87"/>
      <c r="AE284" s="87"/>
      <c r="AF284" s="86"/>
      <c r="AG284" s="86"/>
      <c r="AH284" s="86"/>
      <c r="AI284" s="86" t="e">
        <f t="shared" ref="AI284" si="2037">+AI283/AI282</f>
        <v>#DIV/0!</v>
      </c>
      <c r="AJ284" s="86" t="e">
        <f t="shared" ref="AJ284" si="2038">+AJ283/AJ282</f>
        <v>#DIV/0!</v>
      </c>
      <c r="AK284" s="86" t="e">
        <f t="shared" ref="AK284" si="2039">+AK283/AK282</f>
        <v>#DIV/0!</v>
      </c>
      <c r="AL284" s="86" t="e">
        <f t="shared" ref="AL284" si="2040">+AL283/AL282</f>
        <v>#DIV/0!</v>
      </c>
      <c r="AM284" s="86" t="e">
        <f t="shared" ref="AM284" si="2041">+AM283/AM282</f>
        <v>#DIV/0!</v>
      </c>
      <c r="AN284" s="86" t="e">
        <f t="shared" ref="AN284" si="2042">+AN283/AN282</f>
        <v>#DIV/0!</v>
      </c>
      <c r="AO284" s="86" t="e">
        <f t="shared" ref="AO284" si="2043">+AO283/AO282</f>
        <v>#DIV/0!</v>
      </c>
      <c r="AP284" s="86" t="e">
        <f t="shared" ref="AP284" si="2044">+AP283/AP282</f>
        <v>#DIV/0!</v>
      </c>
      <c r="AQ284" s="86" t="e">
        <f t="shared" ref="AQ284" si="2045">+AQ283/AQ282</f>
        <v>#DIV/0!</v>
      </c>
      <c r="AR284" s="86" t="e">
        <f t="shared" ref="AR284" si="2046">+AR283/AR282</f>
        <v>#DIV/0!</v>
      </c>
      <c r="AS284" s="86" t="e">
        <f t="shared" ref="AS284" si="2047">+AS283/AS282</f>
        <v>#DIV/0!</v>
      </c>
      <c r="AT284" s="86" t="e">
        <f t="shared" ref="AT284" si="2048">+AT283/AT282</f>
        <v>#DIV/0!</v>
      </c>
      <c r="AU284" s="86">
        <f t="shared" ref="AU284" si="2049">+AU283/AU282</f>
        <v>0.35594350381612416</v>
      </c>
      <c r="AV284" s="86">
        <f t="shared" ref="AV284" si="2050">+AV283/AV282</f>
        <v>0.41909580020878506</v>
      </c>
      <c r="AW284" s="86">
        <f t="shared" ref="AW284" si="2051">+AW283/AW282</f>
        <v>0.38995975428934559</v>
      </c>
      <c r="AX284" s="86">
        <f t="shared" ref="AX284" si="2052">+AX283/AX282</f>
        <v>0.37792636999461982</v>
      </c>
      <c r="AY284" s="86">
        <f t="shared" ref="AY284" si="2053">+AY283/AY282</f>
        <v>0.39197032511455371</v>
      </c>
      <c r="AZ284" s="86">
        <f t="shared" ref="AZ284" si="2054">+AZ283/AZ282</f>
        <v>0.38839125761375848</v>
      </c>
      <c r="BA284" s="86">
        <f t="shared" ref="BA284" si="2055">+BA283/BA282</f>
        <v>0.37335530989797955</v>
      </c>
      <c r="BB284" s="86">
        <f t="shared" ref="BB284" si="2056">+BB283/BB282</f>
        <v>0.36284953395472708</v>
      </c>
      <c r="BC284" s="86">
        <f t="shared" ref="BC284" si="2057">+BC283/BC282</f>
        <v>0.41510938924339114</v>
      </c>
      <c r="BD284" s="86">
        <f t="shared" ref="BD284" si="2058">+BD283/BD282</f>
        <v>0.40547048934526791</v>
      </c>
      <c r="BE284" s="86">
        <f t="shared" ref="BE284" si="2059">+BE283/BE282</f>
        <v>0.42184332896148813</v>
      </c>
      <c r="BF284" s="86">
        <f t="shared" ref="BF284" si="2060">+BF283/BF282</f>
        <v>0.38495758328160568</v>
      </c>
      <c r="BG284" s="86">
        <f t="shared" ref="BG284" si="2061">+BG283/BG282</f>
        <v>0.42408646423057128</v>
      </c>
      <c r="BH284" s="86">
        <f t="shared" ref="BH284" si="2062">+BH283/BH282</f>
        <v>0.41422795533307666</v>
      </c>
      <c r="BI284" s="86">
        <f t="shared" ref="BI284" si="2063">+BI283/BI282</f>
        <v>0.36888565790840172</v>
      </c>
      <c r="BJ284" s="86">
        <f t="shared" ref="BJ284" si="2064">+BJ283/BJ282</f>
        <v>0.32654607443886735</v>
      </c>
      <c r="BK284" s="86">
        <f t="shared" ref="BK284" si="2065">+BK283/BK282</f>
        <v>0.41565661168322249</v>
      </c>
      <c r="BL284" s="86">
        <f t="shared" ref="BL284" si="2066">+BL283/BL282</f>
        <v>0.4487267721954577</v>
      </c>
      <c r="BM284" s="86">
        <f t="shared" ref="BM284" si="2067">+BM283/BM282</f>
        <v>0.4138387371207109</v>
      </c>
      <c r="BN284" s="86">
        <f t="shared" ref="BN284" si="2068">+BN283/BN282</f>
        <v>0.30530362776025238</v>
      </c>
      <c r="BO284" s="86">
        <f t="shared" ref="BO284" si="2069">+BO283/BO282</f>
        <v>0.15034654345121734</v>
      </c>
      <c r="BP284" s="86">
        <f t="shared" ref="BP284" si="2070">+BP283/BP282</f>
        <v>0.40391517128874393</v>
      </c>
      <c r="BQ284" s="86">
        <f t="shared" ref="BQ284" si="2071">+BQ283/BQ282</f>
        <v>0.3588630939466263</v>
      </c>
      <c r="BR284" s="86">
        <f t="shared" ref="BR284" si="2072">+BR283/BR282</f>
        <v>0.35092617815309185</v>
      </c>
      <c r="BS284" s="86">
        <f t="shared" ref="BS284" si="2073">+BS283/BS282</f>
        <v>0.43261463710901904</v>
      </c>
      <c r="BT284" s="86">
        <f t="shared" ref="BT284" si="2074">+BT283/BT282</f>
        <v>0.50672493048067635</v>
      </c>
      <c r="BU284" s="86">
        <f t="shared" ref="BU284" si="2075">+BU283/BU282</f>
        <v>0.31345826235093704</v>
      </c>
      <c r="BV284" s="86">
        <f t="shared" ref="BV284" si="2076">+BV283/BV282</f>
        <v>0.28791360294117641</v>
      </c>
      <c r="BW284" s="86">
        <f t="shared" ref="BW284" si="2077">+BW283/BW282</f>
        <v>0.28108615697628941</v>
      </c>
      <c r="BX284" s="86">
        <f t="shared" ref="BX284" si="2078">+BX283/BX282</f>
        <v>0.23397792101948586</v>
      </c>
      <c r="BY284" s="86">
        <f t="shared" ref="BY284" si="2079">+BY283/BY282</f>
        <v>0.21760524876981957</v>
      </c>
      <c r="BZ284" s="86">
        <f t="shared" ref="BZ284" si="2080">+BZ283/BZ282</f>
        <v>0.18170444509861652</v>
      </c>
      <c r="CA284" s="86">
        <f t="shared" ref="CA284" si="2081">+CA283/CA282</f>
        <v>0.25583809029579663</v>
      </c>
      <c r="CB284" s="86">
        <f t="shared" ref="CB284:CC284" si="2082">+CB283/CB282</f>
        <v>0.25351351351351348</v>
      </c>
      <c r="CC284" s="86">
        <f t="shared" si="2082"/>
        <v>0.23445153629211837</v>
      </c>
      <c r="CD284" s="86">
        <f t="shared" ref="CD284" si="2083">+CD283/CD282</f>
        <v>0.21918962722852514</v>
      </c>
      <c r="CE284" s="86">
        <f t="shared" ref="CE284:CF284" si="2084">+CE283/CE282</f>
        <v>0.27174813587406788</v>
      </c>
      <c r="CF284" s="86">
        <f t="shared" si="2084"/>
        <v>0.27227108705457825</v>
      </c>
      <c r="CG284" s="86">
        <f t="shared" ref="CG284:CH284" si="2085">+CG283/CG282</f>
        <v>0.2515067502410801</v>
      </c>
      <c r="CH284" s="86">
        <f t="shared" si="2085"/>
        <v>0.30829237016456484</v>
      </c>
      <c r="CI284" s="86">
        <f t="shared" ref="CI284:CJ284" si="2086">+CI283/CI282</f>
        <v>0.2992799046780294</v>
      </c>
      <c r="CJ284" s="86">
        <f t="shared" si="2086"/>
        <v>0.3295155405717452</v>
      </c>
      <c r="CK284" s="86">
        <f t="shared" ref="CK284:DB284" si="2087">+CK283/CK282</f>
        <v>0.29576024139518237</v>
      </c>
      <c r="CL284" s="86">
        <f t="shared" si="2087"/>
        <v>0.3352980576021431</v>
      </c>
      <c r="CM284" s="47">
        <f t="shared" si="2087"/>
        <v>0.31916366196355272</v>
      </c>
      <c r="CN284" s="47">
        <f t="shared" si="2087"/>
        <v>0.32414284081993067</v>
      </c>
      <c r="CO284" s="47">
        <f t="shared" si="2087"/>
        <v>0.32285848732798289</v>
      </c>
      <c r="CP284" s="47">
        <f t="shared" si="2087"/>
        <v>0.32953209087397156</v>
      </c>
      <c r="CQ284" s="47">
        <f t="shared" si="2087"/>
        <v>0.32809274127016774</v>
      </c>
      <c r="CR284" s="47">
        <f t="shared" si="2087"/>
        <v>0.33031715176452409</v>
      </c>
      <c r="CS284" s="47">
        <f t="shared" si="2087"/>
        <v>0.33184888569871968</v>
      </c>
      <c r="CT284" s="47">
        <f t="shared" si="2087"/>
        <v>0.33406715184058111</v>
      </c>
      <c r="CU284" s="47">
        <f t="shared" si="2087"/>
        <v>0.33108148264349813</v>
      </c>
      <c r="CV284" s="47">
        <f t="shared" si="2087"/>
        <v>0.33182866798683069</v>
      </c>
      <c r="CW284" s="47">
        <f t="shared" si="2087"/>
        <v>0.33220654704240743</v>
      </c>
      <c r="CX284" s="47">
        <f t="shared" si="2087"/>
        <v>0.33229596237832942</v>
      </c>
      <c r="CY284" s="47">
        <f t="shared" si="2087"/>
        <v>0.3318531650127664</v>
      </c>
      <c r="CZ284" s="47">
        <f t="shared" si="2087"/>
        <v>0.33204608560508353</v>
      </c>
      <c r="DA284" s="47">
        <f t="shared" si="2087"/>
        <v>0.33210044000964667</v>
      </c>
      <c r="DB284" s="47">
        <f t="shared" si="2087"/>
        <v>0.33207391325145641</v>
      </c>
      <c r="DE284" s="130"/>
      <c r="DF284" s="89">
        <v>0.30821201420238048</v>
      </c>
    </row>
    <row r="285" spans="1:110" s="64" customFormat="1" hidden="1" outlineLevel="1" x14ac:dyDescent="0.2">
      <c r="A285" s="64" t="s">
        <v>477</v>
      </c>
      <c r="B285" s="64">
        <f t="shared" ref="B285:Z285" si="2088">B83-B291</f>
        <v>0</v>
      </c>
      <c r="C285" s="64">
        <f t="shared" si="2088"/>
        <v>0</v>
      </c>
      <c r="D285" s="64">
        <f t="shared" si="2088"/>
        <v>0</v>
      </c>
      <c r="E285" s="64">
        <f t="shared" si="2088"/>
        <v>0</v>
      </c>
      <c r="F285" s="64">
        <f t="shared" si="2088"/>
        <v>0</v>
      </c>
      <c r="G285" s="64">
        <f t="shared" si="2088"/>
        <v>0</v>
      </c>
      <c r="H285" s="64">
        <f t="shared" si="2088"/>
        <v>2.3112966999999958</v>
      </c>
      <c r="I285" s="64">
        <f t="shared" si="2088"/>
        <v>21.903158799999993</v>
      </c>
      <c r="J285" s="64">
        <f t="shared" si="2088"/>
        <v>7.6633442000000018</v>
      </c>
      <c r="K285" s="64">
        <f t="shared" si="2088"/>
        <v>23.135967299999994</v>
      </c>
      <c r="L285" s="64">
        <f t="shared" si="2088"/>
        <v>24.824999999999989</v>
      </c>
      <c r="M285" s="64">
        <f t="shared" si="2088"/>
        <v>34.942999999999984</v>
      </c>
      <c r="N285" s="64">
        <f t="shared" si="2088"/>
        <v>56.818999999999996</v>
      </c>
      <c r="O285" s="64">
        <f t="shared" si="2088"/>
        <v>46.15600000000002</v>
      </c>
      <c r="P285" s="64">
        <f t="shared" si="2088"/>
        <v>44.037999999999997</v>
      </c>
      <c r="Q285" s="64">
        <f t="shared" si="2088"/>
        <v>51.800000000000011</v>
      </c>
      <c r="R285" s="64">
        <f t="shared" si="2088"/>
        <v>70.27800000000002</v>
      </c>
      <c r="S285" s="64">
        <f t="shared" si="2088"/>
        <v>95.46999999999997</v>
      </c>
      <c r="T285" s="64">
        <f t="shared" si="2088"/>
        <v>84.479999999999976</v>
      </c>
      <c r="U285" s="64">
        <f t="shared" si="2088"/>
        <v>94.46999999999997</v>
      </c>
      <c r="V285" s="64">
        <f t="shared" si="2088"/>
        <v>113.22</v>
      </c>
      <c r="W285" s="64">
        <f t="shared" si="2088"/>
        <v>176.32</v>
      </c>
      <c r="X285" s="64">
        <f t="shared" si="2088"/>
        <v>63.179999999999936</v>
      </c>
      <c r="Y285" s="64">
        <f t="shared" si="2088"/>
        <v>69.099999999999952</v>
      </c>
      <c r="Z285" s="64">
        <f t="shared" si="2088"/>
        <v>92.190000000000111</v>
      </c>
      <c r="AA285" s="64">
        <f t="shared" ref="AA285" si="2089">AA83-AA291</f>
        <v>167.62999999999997</v>
      </c>
      <c r="AB285" s="30"/>
      <c r="AC285" s="30"/>
      <c r="AD285" s="30"/>
      <c r="AE285" s="30"/>
      <c r="AI285" s="64">
        <f t="shared" ref="AI285:BN285" si="2090">AI83-AI291</f>
        <v>0</v>
      </c>
      <c r="AJ285" s="64">
        <f t="shared" si="2090"/>
        <v>0</v>
      </c>
      <c r="AK285" s="64">
        <f t="shared" si="2090"/>
        <v>0</v>
      </c>
      <c r="AL285" s="64">
        <f t="shared" si="2090"/>
        <v>0</v>
      </c>
      <c r="AM285" s="64">
        <f t="shared" si="2090"/>
        <v>0</v>
      </c>
      <c r="AN285" s="64">
        <f t="shared" si="2090"/>
        <v>0</v>
      </c>
      <c r="AO285" s="64">
        <f t="shared" si="2090"/>
        <v>0</v>
      </c>
      <c r="AP285" s="64">
        <f t="shared" si="2090"/>
        <v>0</v>
      </c>
      <c r="AQ285" s="64">
        <f t="shared" si="2090"/>
        <v>0</v>
      </c>
      <c r="AR285" s="64">
        <f t="shared" si="2090"/>
        <v>0</v>
      </c>
      <c r="AS285" s="64">
        <f t="shared" si="2090"/>
        <v>0</v>
      </c>
      <c r="AT285" s="64">
        <f t="shared" si="2090"/>
        <v>0</v>
      </c>
      <c r="AU285" s="64">
        <f t="shared" si="2090"/>
        <v>10.814999999999996</v>
      </c>
      <c r="AV285" s="64">
        <f t="shared" si="2090"/>
        <v>16.236000000000001</v>
      </c>
      <c r="AW285" s="64">
        <f t="shared" si="2090"/>
        <v>10.814000000000007</v>
      </c>
      <c r="AX285" s="64">
        <f t="shared" si="2090"/>
        <v>13.935999999999996</v>
      </c>
      <c r="AY285" s="64">
        <f t="shared" si="2090"/>
        <v>17.077999999999999</v>
      </c>
      <c r="AZ285" s="64">
        <f t="shared" si="2090"/>
        <v>17.693999999999999</v>
      </c>
      <c r="BA285" s="64">
        <f t="shared" si="2090"/>
        <v>16.055000000000003</v>
      </c>
      <c r="BB285" s="64">
        <f t="shared" si="2090"/>
        <v>19.439</v>
      </c>
      <c r="BC285" s="64">
        <f t="shared" si="2090"/>
        <v>24.060000000000002</v>
      </c>
      <c r="BD285" s="64">
        <f t="shared" si="2090"/>
        <v>24.796000000000003</v>
      </c>
      <c r="BE285" s="64">
        <f t="shared" si="2090"/>
        <v>21.47000000000001</v>
      </c>
      <c r="BF285" s="64">
        <f t="shared" si="2090"/>
        <v>25.130000000000003</v>
      </c>
      <c r="BG285" s="64">
        <f t="shared" si="2090"/>
        <v>23.44</v>
      </c>
      <c r="BH285" s="64">
        <f t="shared" si="2090"/>
        <v>24.810000000000002</v>
      </c>
      <c r="BI285" s="64">
        <f t="shared" si="2090"/>
        <v>19.980000000000004</v>
      </c>
      <c r="BJ285" s="64">
        <f t="shared" si="2090"/>
        <v>16.25</v>
      </c>
      <c r="BK285" s="64">
        <f t="shared" si="2090"/>
        <v>27.290000000000006</v>
      </c>
      <c r="BL285" s="64">
        <f t="shared" si="2090"/>
        <v>34.780000000000008</v>
      </c>
      <c r="BM285" s="64">
        <f t="shared" si="2090"/>
        <v>27.410000000000011</v>
      </c>
      <c r="BN285" s="64">
        <f t="shared" si="2090"/>
        <v>4.9999999999999964</v>
      </c>
      <c r="BO285" s="64">
        <f t="shared" ref="BO285:CT285" si="2091">BO83-BO291</f>
        <v>0.4900000000000011</v>
      </c>
      <c r="BP285" s="64">
        <f t="shared" si="2091"/>
        <v>43.1</v>
      </c>
      <c r="BQ285" s="64">
        <f t="shared" si="2091"/>
        <v>32.330000000000013</v>
      </c>
      <c r="BR285" s="64">
        <f t="shared" si="2091"/>
        <v>37.570000000000007</v>
      </c>
      <c r="BS285" s="64">
        <f t="shared" si="2091"/>
        <v>55.86999999999999</v>
      </c>
      <c r="BT285" s="64">
        <f t="shared" si="2091"/>
        <v>77.919999999999987</v>
      </c>
      <c r="BU285" s="64">
        <f t="shared" si="2091"/>
        <v>21.70000000000001</v>
      </c>
      <c r="BV285" s="64">
        <f t="shared" si="2091"/>
        <v>20.719999999999985</v>
      </c>
      <c r="BW285" s="64">
        <f t="shared" si="2091"/>
        <v>21.470000000000024</v>
      </c>
      <c r="BX285" s="64">
        <f t="shared" si="2091"/>
        <v>15.330000000000009</v>
      </c>
      <c r="BY285" s="64">
        <f t="shared" si="2091"/>
        <v>14.210000000000004</v>
      </c>
      <c r="BZ285" s="64">
        <f t="shared" si="2091"/>
        <v>12.170000000000009</v>
      </c>
      <c r="CA285" s="64">
        <f t="shared" si="2091"/>
        <v>17.13000000000001</v>
      </c>
      <c r="CB285" s="64">
        <f t="shared" si="2091"/>
        <v>19.97</v>
      </c>
      <c r="CC285" s="64">
        <f t="shared" si="2091"/>
        <v>14.610000000000033</v>
      </c>
      <c r="CD285" s="64">
        <f t="shared" si="2091"/>
        <v>17.400000000000002</v>
      </c>
      <c r="CE285" s="64">
        <f t="shared" si="2091"/>
        <v>24.299999999999983</v>
      </c>
      <c r="CF285" s="64">
        <f t="shared" si="2091"/>
        <v>26.710000000000008</v>
      </c>
      <c r="CG285" s="64">
        <f t="shared" si="2091"/>
        <v>19.110000000000007</v>
      </c>
      <c r="CH285" s="64">
        <f t="shared" si="2091"/>
        <v>22.199999999999964</v>
      </c>
      <c r="CI285" s="64">
        <f t="shared" si="2091"/>
        <v>38.040000000000013</v>
      </c>
      <c r="CJ285" s="64">
        <f t="shared" si="2091"/>
        <v>47.529999999999987</v>
      </c>
      <c r="CK285" s="64">
        <f t="shared" si="2091"/>
        <v>33.930000000000021</v>
      </c>
      <c r="CL285" s="64">
        <f t="shared" ref="CL285" si="2092">CL83-CL291</f>
        <v>48.119999999999948</v>
      </c>
      <c r="CM285" s="30">
        <f t="shared" si="2091"/>
        <v>44.148665290903551</v>
      </c>
      <c r="CN285" s="30">
        <f t="shared" si="2091"/>
        <v>52.112190214836531</v>
      </c>
      <c r="CO285" s="30">
        <f t="shared" si="2091"/>
        <v>46.598617792718919</v>
      </c>
      <c r="CP285" s="30">
        <f t="shared" si="2091"/>
        <v>56.494069850532121</v>
      </c>
      <c r="CQ285" s="30">
        <f t="shared" si="2091"/>
        <v>57.040337342004342</v>
      </c>
      <c r="CR285" s="30">
        <f t="shared" si="2091"/>
        <v>66.098747040656804</v>
      </c>
      <c r="CS285" s="30">
        <f t="shared" si="2091"/>
        <v>59.927957759173367</v>
      </c>
      <c r="CT285" s="30">
        <f t="shared" si="2091"/>
        <v>70.912679010152601</v>
      </c>
      <c r="CU285" s="30">
        <f t="shared" ref="CU285:DB285" si="2093">CU83-CU291</f>
        <v>71.652930539111566</v>
      </c>
      <c r="CV285" s="30">
        <f t="shared" si="2093"/>
        <v>82.171651424120114</v>
      </c>
      <c r="CW285" s="30">
        <f t="shared" si="2093"/>
        <v>74.504783669900391</v>
      </c>
      <c r="CX285" s="30">
        <f t="shared" si="2093"/>
        <v>87.048511885894115</v>
      </c>
      <c r="CY285" s="30">
        <f t="shared" si="2093"/>
        <v>88.654578643774954</v>
      </c>
      <c r="CZ285" s="30">
        <f t="shared" si="2093"/>
        <v>101.0762292620677</v>
      </c>
      <c r="DA285" s="30">
        <f t="shared" si="2093"/>
        <v>91.844373226246319</v>
      </c>
      <c r="DB285" s="30">
        <f t="shared" si="2093"/>
        <v>106.78872493818501</v>
      </c>
      <c r="DE285" s="139"/>
      <c r="DF285" s="64">
        <v>39.623998789095857</v>
      </c>
    </row>
    <row r="286" spans="1:110" s="64" customFormat="1" hidden="1" outlineLevel="1" x14ac:dyDescent="0.2">
      <c r="AB286" s="30"/>
      <c r="AC286" s="30"/>
      <c r="AD286" s="30"/>
      <c r="AE286" s="30"/>
      <c r="CM286" s="30"/>
      <c r="CN286" s="30"/>
      <c r="CO286" s="30"/>
      <c r="CP286" s="30"/>
      <c r="CQ286" s="30"/>
      <c r="CR286" s="30"/>
      <c r="CS286" s="30"/>
      <c r="CT286" s="30"/>
      <c r="CU286" s="30"/>
      <c r="CV286" s="30"/>
      <c r="CW286" s="30"/>
      <c r="CX286" s="30"/>
      <c r="CY286" s="30"/>
      <c r="CZ286" s="30"/>
      <c r="DA286" s="30"/>
      <c r="DB286" s="30"/>
      <c r="DE286" s="139"/>
    </row>
    <row r="287" spans="1:110" s="64" customFormat="1" hidden="1" outlineLevel="1" x14ac:dyDescent="0.2">
      <c r="A287" s="65" t="s">
        <v>352</v>
      </c>
      <c r="AB287" s="30"/>
      <c r="AC287" s="30"/>
      <c r="AD287" s="30"/>
      <c r="AE287" s="30"/>
      <c r="CM287" s="30"/>
      <c r="CN287" s="30"/>
      <c r="CO287" s="30"/>
      <c r="CP287" s="30"/>
      <c r="CQ287" s="30"/>
      <c r="CR287" s="30"/>
      <c r="CS287" s="30"/>
      <c r="CT287" s="30"/>
      <c r="CU287" s="30"/>
      <c r="CV287" s="30"/>
      <c r="CW287" s="30"/>
      <c r="CX287" s="30"/>
      <c r="CY287" s="30"/>
      <c r="CZ287" s="30"/>
      <c r="DA287" s="30"/>
      <c r="DB287" s="30"/>
      <c r="DE287" s="139"/>
    </row>
    <row r="288" spans="1:110" s="64" customFormat="1" hidden="1" outlineLevel="1" x14ac:dyDescent="0.2">
      <c r="A288" s="64" t="s">
        <v>478</v>
      </c>
      <c r="AB288" s="30"/>
      <c r="AC288" s="30"/>
      <c r="AD288" s="30"/>
      <c r="AE288" s="30"/>
      <c r="CM288" s="30"/>
      <c r="CN288" s="30"/>
      <c r="CO288" s="30"/>
      <c r="CP288" s="30"/>
      <c r="CQ288" s="30"/>
      <c r="CR288" s="30"/>
      <c r="CS288" s="30"/>
      <c r="CT288" s="30"/>
      <c r="CU288" s="30"/>
      <c r="CV288" s="30"/>
      <c r="CW288" s="30"/>
      <c r="CX288" s="30"/>
      <c r="CY288" s="30"/>
      <c r="CZ288" s="30"/>
      <c r="DA288" s="30"/>
      <c r="DB288" s="30"/>
      <c r="DE288" s="139"/>
    </row>
    <row r="289" spans="1:110" s="64" customFormat="1" hidden="1" outlineLevel="1" x14ac:dyDescent="0.2">
      <c r="A289" s="64" t="s">
        <v>479</v>
      </c>
      <c r="AB289" s="30"/>
      <c r="AC289" s="30"/>
      <c r="AD289" s="30"/>
      <c r="AE289" s="30"/>
      <c r="CM289" s="30"/>
      <c r="CN289" s="30"/>
      <c r="CO289" s="30"/>
      <c r="CP289" s="30"/>
      <c r="CQ289" s="30"/>
      <c r="CR289" s="30"/>
      <c r="CS289" s="30"/>
      <c r="CT289" s="30"/>
      <c r="CU289" s="30"/>
      <c r="CV289" s="30"/>
      <c r="CW289" s="30"/>
      <c r="CX289" s="30"/>
      <c r="CY289" s="30"/>
      <c r="CZ289" s="30"/>
      <c r="DA289" s="30"/>
      <c r="DB289" s="30"/>
      <c r="DE289" s="139"/>
    </row>
    <row r="290" spans="1:110" s="89" customFormat="1" hidden="1" outlineLevel="1" x14ac:dyDescent="0.2">
      <c r="A290" s="86" t="s">
        <v>480</v>
      </c>
      <c r="B290" s="86" t="e">
        <f>+B289/B288</f>
        <v>#DIV/0!</v>
      </c>
      <c r="C290" s="86" t="e">
        <f t="shared" ref="C290:X290" si="2094">+C289/C288</f>
        <v>#DIV/0!</v>
      </c>
      <c r="D290" s="86" t="e">
        <f t="shared" si="2094"/>
        <v>#DIV/0!</v>
      </c>
      <c r="E290" s="86" t="e">
        <f t="shared" si="2094"/>
        <v>#DIV/0!</v>
      </c>
      <c r="F290" s="86" t="e">
        <f t="shared" si="2094"/>
        <v>#DIV/0!</v>
      </c>
      <c r="G290" s="86" t="e">
        <f t="shared" si="2094"/>
        <v>#DIV/0!</v>
      </c>
      <c r="H290" s="86" t="e">
        <f t="shared" si="2094"/>
        <v>#DIV/0!</v>
      </c>
      <c r="I290" s="86" t="e">
        <f t="shared" si="2094"/>
        <v>#DIV/0!</v>
      </c>
      <c r="J290" s="86" t="e">
        <f t="shared" si="2094"/>
        <v>#DIV/0!</v>
      </c>
      <c r="K290" s="86" t="e">
        <f t="shared" si="2094"/>
        <v>#DIV/0!</v>
      </c>
      <c r="L290" s="86" t="e">
        <f t="shared" si="2094"/>
        <v>#DIV/0!</v>
      </c>
      <c r="M290" s="86" t="e">
        <f t="shared" si="2094"/>
        <v>#DIV/0!</v>
      </c>
      <c r="N290" s="86" t="e">
        <f t="shared" si="2094"/>
        <v>#DIV/0!</v>
      </c>
      <c r="O290" s="86" t="e">
        <f t="shared" si="2094"/>
        <v>#DIV/0!</v>
      </c>
      <c r="P290" s="86" t="e">
        <f t="shared" si="2094"/>
        <v>#DIV/0!</v>
      </c>
      <c r="Q290" s="86" t="e">
        <f t="shared" si="2094"/>
        <v>#DIV/0!</v>
      </c>
      <c r="R290" s="86" t="e">
        <f t="shared" si="2094"/>
        <v>#DIV/0!</v>
      </c>
      <c r="S290" s="86" t="e">
        <f t="shared" si="2094"/>
        <v>#DIV/0!</v>
      </c>
      <c r="T290" s="86" t="e">
        <f t="shared" si="2094"/>
        <v>#DIV/0!</v>
      </c>
      <c r="U290" s="86" t="e">
        <f t="shared" si="2094"/>
        <v>#DIV/0!</v>
      </c>
      <c r="V290" s="86" t="e">
        <f t="shared" si="2094"/>
        <v>#DIV/0!</v>
      </c>
      <c r="W290" s="86" t="e">
        <f t="shared" si="2094"/>
        <v>#DIV/0!</v>
      </c>
      <c r="X290" s="86" t="e">
        <f t="shared" si="2094"/>
        <v>#DIV/0!</v>
      </c>
      <c r="Y290" s="86" t="e">
        <f t="shared" ref="Y290:Z290" si="2095">+Y289/Y288</f>
        <v>#DIV/0!</v>
      </c>
      <c r="Z290" s="86" t="e">
        <f t="shared" si="2095"/>
        <v>#DIV/0!</v>
      </c>
      <c r="AA290" s="86" t="e">
        <f t="shared" ref="AA290" si="2096">+AA289/AA288</f>
        <v>#DIV/0!</v>
      </c>
      <c r="AB290" s="87"/>
      <c r="AC290" s="87"/>
      <c r="AD290" s="87"/>
      <c r="AE290" s="87"/>
      <c r="AF290" s="86"/>
      <c r="AG290" s="86"/>
      <c r="AH290" s="86"/>
      <c r="AI290" s="86" t="e">
        <f t="shared" ref="AI290" si="2097">+AI289/AI288</f>
        <v>#DIV/0!</v>
      </c>
      <c r="AJ290" s="86" t="e">
        <f t="shared" ref="AJ290" si="2098">+AJ289/AJ288</f>
        <v>#DIV/0!</v>
      </c>
      <c r="AK290" s="86" t="e">
        <f t="shared" ref="AK290" si="2099">+AK289/AK288</f>
        <v>#DIV/0!</v>
      </c>
      <c r="AL290" s="86" t="e">
        <f t="shared" ref="AL290" si="2100">+AL289/AL288</f>
        <v>#DIV/0!</v>
      </c>
      <c r="AM290" s="86" t="e">
        <f t="shared" ref="AM290" si="2101">+AM289/AM288</f>
        <v>#DIV/0!</v>
      </c>
      <c r="AN290" s="86" t="e">
        <f t="shared" ref="AN290" si="2102">+AN289/AN288</f>
        <v>#DIV/0!</v>
      </c>
      <c r="AO290" s="86" t="e">
        <f t="shared" ref="AO290" si="2103">+AO289/AO288</f>
        <v>#DIV/0!</v>
      </c>
      <c r="AP290" s="86" t="e">
        <f t="shared" ref="AP290" si="2104">+AP289/AP288</f>
        <v>#DIV/0!</v>
      </c>
      <c r="AQ290" s="86" t="e">
        <f t="shared" ref="AQ290" si="2105">+AQ289/AQ288</f>
        <v>#DIV/0!</v>
      </c>
      <c r="AR290" s="86" t="e">
        <f t="shared" ref="AR290" si="2106">+AR289/AR288</f>
        <v>#DIV/0!</v>
      </c>
      <c r="AS290" s="86" t="e">
        <f t="shared" ref="AS290" si="2107">+AS289/AS288</f>
        <v>#DIV/0!</v>
      </c>
      <c r="AT290" s="86" t="e">
        <f t="shared" ref="AT290" si="2108">+AT289/AT288</f>
        <v>#DIV/0!</v>
      </c>
      <c r="AU290" s="86" t="e">
        <f t="shared" ref="AU290" si="2109">+AU289/AU288</f>
        <v>#DIV/0!</v>
      </c>
      <c r="AV290" s="86" t="e">
        <f t="shared" ref="AV290" si="2110">+AV289/AV288</f>
        <v>#DIV/0!</v>
      </c>
      <c r="AW290" s="86" t="e">
        <f t="shared" ref="AW290" si="2111">+AW289/AW288</f>
        <v>#DIV/0!</v>
      </c>
      <c r="AX290" s="86" t="e">
        <f t="shared" ref="AX290" si="2112">+AX289/AX288</f>
        <v>#DIV/0!</v>
      </c>
      <c r="AY290" s="86" t="e">
        <f t="shared" ref="AY290" si="2113">+AY289/AY288</f>
        <v>#DIV/0!</v>
      </c>
      <c r="AZ290" s="86" t="e">
        <f t="shared" ref="AZ290" si="2114">+AZ289/AZ288</f>
        <v>#DIV/0!</v>
      </c>
      <c r="BA290" s="86" t="e">
        <f t="shared" ref="BA290" si="2115">+BA289/BA288</f>
        <v>#DIV/0!</v>
      </c>
      <c r="BB290" s="86" t="e">
        <f t="shared" ref="BB290" si="2116">+BB289/BB288</f>
        <v>#DIV/0!</v>
      </c>
      <c r="BC290" s="86" t="e">
        <f t="shared" ref="BC290" si="2117">+BC289/BC288</f>
        <v>#DIV/0!</v>
      </c>
      <c r="BD290" s="86" t="e">
        <f t="shared" ref="BD290" si="2118">+BD289/BD288</f>
        <v>#DIV/0!</v>
      </c>
      <c r="BE290" s="86" t="e">
        <f t="shared" ref="BE290" si="2119">+BE289/BE288</f>
        <v>#DIV/0!</v>
      </c>
      <c r="BF290" s="86" t="e">
        <f t="shared" ref="BF290" si="2120">+BF289/BF288</f>
        <v>#DIV/0!</v>
      </c>
      <c r="BG290" s="86" t="e">
        <f t="shared" ref="BG290" si="2121">+BG289/BG288</f>
        <v>#DIV/0!</v>
      </c>
      <c r="BH290" s="86" t="e">
        <f t="shared" ref="BH290" si="2122">+BH289/BH288</f>
        <v>#DIV/0!</v>
      </c>
      <c r="BI290" s="86" t="e">
        <f t="shared" ref="BI290" si="2123">+BI289/BI288</f>
        <v>#DIV/0!</v>
      </c>
      <c r="BJ290" s="86" t="e">
        <f t="shared" ref="BJ290" si="2124">+BJ289/BJ288</f>
        <v>#DIV/0!</v>
      </c>
      <c r="BK290" s="86" t="e">
        <f t="shared" ref="BK290" si="2125">+BK289/BK288</f>
        <v>#DIV/0!</v>
      </c>
      <c r="BL290" s="86" t="e">
        <f t="shared" ref="BL290" si="2126">+BL289/BL288</f>
        <v>#DIV/0!</v>
      </c>
      <c r="BM290" s="86" t="e">
        <f t="shared" ref="BM290" si="2127">+BM289/BM288</f>
        <v>#DIV/0!</v>
      </c>
      <c r="BN290" s="86" t="e">
        <f t="shared" ref="BN290" si="2128">+BN289/BN288</f>
        <v>#DIV/0!</v>
      </c>
      <c r="BO290" s="86" t="e">
        <f t="shared" ref="BO290" si="2129">+BO289/BO288</f>
        <v>#DIV/0!</v>
      </c>
      <c r="BP290" s="86" t="e">
        <f t="shared" ref="BP290" si="2130">+BP289/BP288</f>
        <v>#DIV/0!</v>
      </c>
      <c r="BQ290" s="86" t="e">
        <f t="shared" ref="BQ290" si="2131">+BQ289/BQ288</f>
        <v>#DIV/0!</v>
      </c>
      <c r="BR290" s="86" t="e">
        <f t="shared" ref="BR290" si="2132">+BR289/BR288</f>
        <v>#DIV/0!</v>
      </c>
      <c r="BS290" s="86" t="e">
        <f t="shared" ref="BS290" si="2133">+BS289/BS288</f>
        <v>#DIV/0!</v>
      </c>
      <c r="BT290" s="86" t="e">
        <f t="shared" ref="BT290" si="2134">+BT289/BT288</f>
        <v>#DIV/0!</v>
      </c>
      <c r="BU290" s="86" t="e">
        <f t="shared" ref="BU290" si="2135">+BU289/BU288</f>
        <v>#DIV/0!</v>
      </c>
      <c r="BV290" s="86" t="e">
        <f t="shared" ref="BV290" si="2136">+BV289/BV288</f>
        <v>#DIV/0!</v>
      </c>
      <c r="BW290" s="86" t="e">
        <f t="shared" ref="BW290" si="2137">+BW289/BW288</f>
        <v>#DIV/0!</v>
      </c>
      <c r="BX290" s="86" t="e">
        <f t="shared" ref="BX290" si="2138">+BX289/BX288</f>
        <v>#DIV/0!</v>
      </c>
      <c r="BY290" s="86" t="e">
        <f t="shared" ref="BY290" si="2139">+BY289/BY288</f>
        <v>#DIV/0!</v>
      </c>
      <c r="BZ290" s="86" t="e">
        <f t="shared" ref="BZ290" si="2140">+BZ289/BZ288</f>
        <v>#DIV/0!</v>
      </c>
      <c r="CA290" s="86" t="e">
        <f t="shared" ref="CA290" si="2141">+CA289/CA288</f>
        <v>#DIV/0!</v>
      </c>
      <c r="CB290" s="86" t="e">
        <f t="shared" ref="CB290:CC290" si="2142">+CB289/CB288</f>
        <v>#DIV/0!</v>
      </c>
      <c r="CC290" s="86" t="e">
        <f t="shared" si="2142"/>
        <v>#DIV/0!</v>
      </c>
      <c r="CD290" s="86" t="e">
        <f t="shared" ref="CD290" si="2143">+CD289/CD288</f>
        <v>#DIV/0!</v>
      </c>
      <c r="CE290" s="86" t="e">
        <f t="shared" ref="CE290:CF290" si="2144">+CE289/CE288</f>
        <v>#DIV/0!</v>
      </c>
      <c r="CF290" s="86" t="e">
        <f t="shared" si="2144"/>
        <v>#DIV/0!</v>
      </c>
      <c r="CG290" s="86" t="e">
        <f t="shared" ref="CG290:CH290" si="2145">+CG289/CG288</f>
        <v>#DIV/0!</v>
      </c>
      <c r="CH290" s="86" t="e">
        <f t="shared" si="2145"/>
        <v>#DIV/0!</v>
      </c>
      <c r="CI290" s="86" t="e">
        <f t="shared" ref="CI290:CJ290" si="2146">+CI289/CI288</f>
        <v>#DIV/0!</v>
      </c>
      <c r="CJ290" s="86" t="e">
        <f t="shared" si="2146"/>
        <v>#DIV/0!</v>
      </c>
      <c r="CK290" s="86" t="e">
        <f t="shared" ref="CK290:DB290" si="2147">+CK289/CK288</f>
        <v>#DIV/0!</v>
      </c>
      <c r="CL290" s="86" t="e">
        <f t="shared" si="2147"/>
        <v>#DIV/0!</v>
      </c>
      <c r="CM290" s="47" t="e">
        <f t="shared" si="2147"/>
        <v>#DIV/0!</v>
      </c>
      <c r="CN290" s="47" t="e">
        <f t="shared" si="2147"/>
        <v>#DIV/0!</v>
      </c>
      <c r="CO290" s="47" t="e">
        <f t="shared" si="2147"/>
        <v>#DIV/0!</v>
      </c>
      <c r="CP290" s="47" t="e">
        <f t="shared" si="2147"/>
        <v>#DIV/0!</v>
      </c>
      <c r="CQ290" s="47" t="e">
        <f t="shared" si="2147"/>
        <v>#DIV/0!</v>
      </c>
      <c r="CR290" s="47" t="e">
        <f t="shared" si="2147"/>
        <v>#DIV/0!</v>
      </c>
      <c r="CS290" s="47" t="e">
        <f t="shared" si="2147"/>
        <v>#DIV/0!</v>
      </c>
      <c r="CT290" s="47" t="e">
        <f t="shared" si="2147"/>
        <v>#DIV/0!</v>
      </c>
      <c r="CU290" s="47" t="e">
        <f t="shared" si="2147"/>
        <v>#DIV/0!</v>
      </c>
      <c r="CV290" s="47" t="e">
        <f t="shared" si="2147"/>
        <v>#DIV/0!</v>
      </c>
      <c r="CW290" s="47" t="e">
        <f t="shared" si="2147"/>
        <v>#DIV/0!</v>
      </c>
      <c r="CX290" s="47" t="e">
        <f t="shared" si="2147"/>
        <v>#DIV/0!</v>
      </c>
      <c r="CY290" s="47" t="e">
        <f t="shared" si="2147"/>
        <v>#DIV/0!</v>
      </c>
      <c r="CZ290" s="47" t="e">
        <f t="shared" si="2147"/>
        <v>#DIV/0!</v>
      </c>
      <c r="DA290" s="47" t="e">
        <f t="shared" si="2147"/>
        <v>#DIV/0!</v>
      </c>
      <c r="DB290" s="47" t="e">
        <f t="shared" si="2147"/>
        <v>#DIV/0!</v>
      </c>
      <c r="DE290" s="130"/>
    </row>
    <row r="291" spans="1:110" s="64" customFormat="1" hidden="1" outlineLevel="1" x14ac:dyDescent="0.2">
      <c r="A291" s="64" t="s">
        <v>481</v>
      </c>
      <c r="AB291" s="30"/>
      <c r="AC291" s="30"/>
      <c r="AD291" s="30"/>
      <c r="AE291" s="30"/>
      <c r="CM291" s="30"/>
      <c r="CN291" s="30"/>
      <c r="CO291" s="30"/>
      <c r="CP291" s="30"/>
      <c r="CQ291" s="30"/>
      <c r="CR291" s="30"/>
      <c r="CS291" s="30"/>
      <c r="CT291" s="30"/>
      <c r="CU291" s="30"/>
      <c r="CV291" s="30"/>
      <c r="CW291" s="30"/>
      <c r="CX291" s="30"/>
      <c r="CY291" s="30"/>
      <c r="CZ291" s="30"/>
      <c r="DA291" s="30"/>
      <c r="DB291" s="30"/>
      <c r="DE291" s="139"/>
    </row>
    <row r="292" spans="1:110" s="62" customFormat="1" hidden="1" outlineLevel="1" x14ac:dyDescent="0.2">
      <c r="AB292" s="63"/>
      <c r="AC292" s="63"/>
      <c r="AD292" s="63"/>
      <c r="AE292" s="63"/>
      <c r="CM292" s="30"/>
      <c r="CN292" s="30"/>
      <c r="CO292" s="30"/>
      <c r="CP292" s="30"/>
      <c r="CQ292" s="30"/>
      <c r="CR292" s="30"/>
      <c r="CS292" s="30"/>
      <c r="CT292" s="30"/>
      <c r="CU292" s="30"/>
      <c r="CV292" s="30"/>
      <c r="CW292" s="30"/>
      <c r="CX292" s="30"/>
      <c r="CY292" s="30"/>
      <c r="CZ292" s="30"/>
      <c r="DA292" s="30"/>
      <c r="DB292" s="30"/>
      <c r="DE292" s="139"/>
    </row>
    <row r="293" spans="1:110" s="11" customFormat="1" collapsed="1" x14ac:dyDescent="0.2">
      <c r="AB293" s="63"/>
      <c r="AC293" s="63"/>
      <c r="AD293" s="63"/>
      <c r="AE293" s="63"/>
      <c r="CM293" s="30"/>
      <c r="CN293" s="30"/>
      <c r="CO293" s="30"/>
      <c r="CP293" s="30"/>
      <c r="CQ293" s="30"/>
      <c r="CR293" s="30"/>
      <c r="CS293" s="30"/>
      <c r="CT293" s="30"/>
      <c r="CU293" s="30"/>
      <c r="CV293" s="30"/>
      <c r="CW293" s="30"/>
      <c r="CX293" s="30"/>
      <c r="CY293" s="30"/>
      <c r="CZ293" s="30"/>
      <c r="DA293" s="30"/>
      <c r="DB293" s="30"/>
      <c r="DE293" s="139"/>
    </row>
    <row r="294" spans="1:110" s="62" customFormat="1" x14ac:dyDescent="0.2">
      <c r="A294" s="154" t="s">
        <v>497</v>
      </c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79"/>
      <c r="V294" s="179"/>
      <c r="W294" s="179"/>
      <c r="X294" s="179"/>
      <c r="Y294" s="179"/>
      <c r="Z294" s="179"/>
      <c r="AA294" s="179"/>
      <c r="AB294" s="63"/>
      <c r="AC294" s="63"/>
      <c r="AD294" s="63"/>
      <c r="AE294" s="63"/>
      <c r="AL294" s="179"/>
      <c r="CF294" s="179"/>
      <c r="CG294" s="179"/>
      <c r="CH294" s="179"/>
      <c r="CI294" s="179"/>
      <c r="CJ294" s="179"/>
      <c r="CK294" s="179"/>
      <c r="CL294" s="179"/>
      <c r="CM294" s="30"/>
      <c r="CN294" s="30"/>
      <c r="CO294" s="30"/>
      <c r="CP294" s="30"/>
      <c r="CQ294" s="30"/>
      <c r="CR294" s="30"/>
      <c r="CS294" s="30"/>
      <c r="CT294" s="30"/>
      <c r="CU294" s="30"/>
      <c r="CV294" s="30"/>
      <c r="CW294" s="30"/>
      <c r="CX294" s="30"/>
      <c r="CY294" s="30"/>
      <c r="CZ294" s="30"/>
      <c r="DA294" s="30"/>
      <c r="DB294" s="30"/>
      <c r="DE294" s="139"/>
    </row>
    <row r="295" spans="1:110" s="84" customFormat="1" x14ac:dyDescent="0.2">
      <c r="A295" s="84" t="s">
        <v>512</v>
      </c>
      <c r="B295" s="84" t="e">
        <f>B41/B216</f>
        <v>#DIV/0!</v>
      </c>
      <c r="C295" s="84" t="e">
        <f>C41/C216</f>
        <v>#DIV/0!</v>
      </c>
      <c r="D295" s="84" t="e">
        <f>D41/D216</f>
        <v>#DIV/0!</v>
      </c>
      <c r="E295" s="84" t="e">
        <f t="shared" ref="E295:AE295" si="2148">E43/(E212+E195+E180)</f>
        <v>#DIV/0!</v>
      </c>
      <c r="F295" s="84" t="e">
        <f t="shared" si="2148"/>
        <v>#DIV/0!</v>
      </c>
      <c r="G295" s="84" t="e">
        <f t="shared" si="2148"/>
        <v>#DIV/0!</v>
      </c>
      <c r="H295" s="84">
        <f t="shared" si="2148"/>
        <v>0.57811453505999943</v>
      </c>
      <c r="I295" s="84">
        <f t="shared" si="2148"/>
        <v>0.49837198647047504</v>
      </c>
      <c r="J295" s="84">
        <f t="shared" si="2148"/>
        <v>0.58929186064755446</v>
      </c>
      <c r="K295" s="84">
        <f t="shared" si="2148"/>
        <v>0.8085219938540299</v>
      </c>
      <c r="L295" s="84">
        <f t="shared" si="2148"/>
        <v>1.0135372600065085</v>
      </c>
      <c r="M295" s="84">
        <f t="shared" si="2148"/>
        <v>0.96691723991206291</v>
      </c>
      <c r="N295" s="84">
        <f t="shared" si="2148"/>
        <v>0.75039682539682528</v>
      </c>
      <c r="O295" s="84">
        <f t="shared" si="2148"/>
        <v>0.65746374651493111</v>
      </c>
      <c r="P295" s="84">
        <f t="shared" si="2148"/>
        <v>0.55995837605398868</v>
      </c>
      <c r="Q295" s="84">
        <f t="shared" si="2148"/>
        <v>0.59423728061198067</v>
      </c>
      <c r="R295" s="84">
        <f t="shared" si="2148"/>
        <v>0.70128789973274341</v>
      </c>
      <c r="S295" s="84">
        <f t="shared" si="2148"/>
        <v>0.7852436256253168</v>
      </c>
      <c r="T295" s="84">
        <f t="shared" si="2148"/>
        <v>0.89750957854406144</v>
      </c>
      <c r="U295" s="84">
        <f t="shared" si="2148"/>
        <v>0.97002323087919951</v>
      </c>
      <c r="V295" s="84">
        <f t="shared" si="2148"/>
        <v>0.95289652648005096</v>
      </c>
      <c r="W295" s="84">
        <f t="shared" si="2148"/>
        <v>0.71213825297197941</v>
      </c>
      <c r="X295" s="84">
        <f t="shared" si="2148"/>
        <v>0.71277574773311669</v>
      </c>
      <c r="Y295" s="84">
        <f t="shared" si="2148"/>
        <v>0.94769985416942848</v>
      </c>
      <c r="Z295" s="84">
        <f t="shared" si="2148"/>
        <v>0.97101162642858141</v>
      </c>
      <c r="AA295" s="84">
        <f t="shared" ref="AA295" si="2149">AA43/(AA212+AA195+AA180)</f>
        <v>1.0867952230510074</v>
      </c>
      <c r="AB295" s="50">
        <f t="shared" si="2148"/>
        <v>1.0425509670882347</v>
      </c>
      <c r="AC295" s="50">
        <f t="shared" si="2148"/>
        <v>0.94451027510123409</v>
      </c>
      <c r="AD295" s="50">
        <f t="shared" si="2148"/>
        <v>0.86724351488130547</v>
      </c>
      <c r="AE295" s="50">
        <f t="shared" si="2148"/>
        <v>0.80575380449112144</v>
      </c>
      <c r="AL295" s="84" t="e">
        <f t="shared" ref="AL295:BQ295" si="2150">SUM(AI43:AL43)/(AL212+AL195+AL180)</f>
        <v>#DIV/0!</v>
      </c>
      <c r="AM295" s="84" t="e">
        <f t="shared" si="2150"/>
        <v>#DIV/0!</v>
      </c>
      <c r="AN295" s="84" t="e">
        <f t="shared" si="2150"/>
        <v>#DIV/0!</v>
      </c>
      <c r="AO295" s="84" t="e">
        <f t="shared" si="2150"/>
        <v>#DIV/0!</v>
      </c>
      <c r="AP295" s="84" t="e">
        <f t="shared" si="2150"/>
        <v>#DIV/0!</v>
      </c>
      <c r="AQ295" s="84" t="e">
        <f t="shared" si="2150"/>
        <v>#DIV/0!</v>
      </c>
      <c r="AR295" s="84" t="e">
        <f t="shared" si="2150"/>
        <v>#DIV/0!</v>
      </c>
      <c r="AS295" s="84" t="e">
        <f t="shared" si="2150"/>
        <v>#DIV/0!</v>
      </c>
      <c r="AT295" s="84" t="e">
        <f t="shared" si="2150"/>
        <v>#DIV/0!</v>
      </c>
      <c r="AU295" s="84" t="e">
        <f t="shared" si="2150"/>
        <v>#DIV/0!</v>
      </c>
      <c r="AV295" s="84" t="e">
        <f t="shared" si="2150"/>
        <v>#DIV/0!</v>
      </c>
      <c r="AW295" s="84">
        <f t="shared" si="2150"/>
        <v>16.267061216940988</v>
      </c>
      <c r="AX295" s="84">
        <f t="shared" si="2150"/>
        <v>0.59424221275798206</v>
      </c>
      <c r="AY295" s="84">
        <f t="shared" si="2150"/>
        <v>0.59786966830331945</v>
      </c>
      <c r="AZ295" s="84">
        <f t="shared" si="2150"/>
        <v>0.61263077705576863</v>
      </c>
      <c r="BA295" s="84">
        <f t="shared" si="2150"/>
        <v>0.63085602965066112</v>
      </c>
      <c r="BB295" s="84">
        <f t="shared" si="2150"/>
        <v>0.70128628401464366</v>
      </c>
      <c r="BC295" s="84">
        <f t="shared" si="2150"/>
        <v>0.70912070403204186</v>
      </c>
      <c r="BD295" s="84">
        <f t="shared" si="2150"/>
        <v>0.73189584939138608</v>
      </c>
      <c r="BE295" s="84">
        <f t="shared" si="2150"/>
        <v>0.72761674798935239</v>
      </c>
      <c r="BF295" s="84">
        <f t="shared" si="2150"/>
        <v>0.75210756274141466</v>
      </c>
      <c r="BG295" s="84">
        <f t="shared" si="2150"/>
        <v>0.73554604616156705</v>
      </c>
      <c r="BH295" s="84">
        <f t="shared" si="2150"/>
        <v>0.82020636285468618</v>
      </c>
      <c r="BI295" s="84">
        <f t="shared" si="2150"/>
        <v>0.81192010945795234</v>
      </c>
      <c r="BJ295" s="84">
        <f t="shared" si="2150"/>
        <v>0.89750957854406133</v>
      </c>
      <c r="BK295" s="84">
        <f t="shared" si="2150"/>
        <v>0.87162481699546834</v>
      </c>
      <c r="BL295" s="84">
        <f t="shared" si="2150"/>
        <v>1.011489633324665</v>
      </c>
      <c r="BM295" s="84">
        <f t="shared" si="2150"/>
        <v>0.97251658301051447</v>
      </c>
      <c r="BN295" s="84">
        <f t="shared" si="2150"/>
        <v>0.96765546819156523</v>
      </c>
      <c r="BO295" s="84">
        <f t="shared" si="2150"/>
        <v>0.86663804842585923</v>
      </c>
      <c r="BP295" s="84">
        <f t="shared" si="2150"/>
        <v>0.84876071770432371</v>
      </c>
      <c r="BQ295" s="84">
        <f t="shared" si="2150"/>
        <v>0.86172464627806977</v>
      </c>
      <c r="BR295" s="84">
        <f t="shared" ref="BR295:CW295" si="2151">SUM(BO43:BR43)/(BR212+BR195+BR180)</f>
        <v>0.95293415019458239</v>
      </c>
      <c r="BS295" s="84">
        <f t="shared" si="2151"/>
        <v>1.0438596862785201</v>
      </c>
      <c r="BT295" s="84">
        <f t="shared" si="2151"/>
        <v>1.1281991204671618</v>
      </c>
      <c r="BU295" s="84">
        <f t="shared" si="2151"/>
        <v>1.0609662459818621</v>
      </c>
      <c r="BV295" s="84">
        <f t="shared" si="2151"/>
        <v>1.0147694959069367</v>
      </c>
      <c r="BW295" s="84">
        <f t="shared" si="2151"/>
        <v>0.91744202779867812</v>
      </c>
      <c r="BX295" s="84">
        <f t="shared" si="2151"/>
        <v>0.94239214673211047</v>
      </c>
      <c r="BY295" s="84">
        <f t="shared" si="2151"/>
        <v>0.93819820769562035</v>
      </c>
      <c r="BZ295" s="84">
        <f t="shared" si="2151"/>
        <v>0.88020389404194854</v>
      </c>
      <c r="CA295" s="84">
        <f t="shared" si="2151"/>
        <v>0.86724857312957548</v>
      </c>
      <c r="CB295" s="84">
        <f t="shared" si="2151"/>
        <v>0.98202259298503958</v>
      </c>
      <c r="CC295" s="84">
        <f t="shared" si="2151"/>
        <v>0.970109732304691</v>
      </c>
      <c r="CD295" s="84">
        <f t="shared" si="2151"/>
        <v>0.94769985416942848</v>
      </c>
      <c r="CE295" s="84">
        <f t="shared" si="2151"/>
        <v>0.94524654799125163</v>
      </c>
      <c r="CF295" s="84">
        <f t="shared" si="2151"/>
        <v>1.1234363170986699</v>
      </c>
      <c r="CG295" s="84">
        <f t="shared" si="2151"/>
        <v>1.1462480605872045</v>
      </c>
      <c r="CH295" s="84">
        <f t="shared" si="2151"/>
        <v>0.9796613551495108</v>
      </c>
      <c r="CI295" s="84">
        <f t="shared" si="2151"/>
        <v>0.97041737883022261</v>
      </c>
      <c r="CJ295" s="84">
        <f t="shared" si="2151"/>
        <v>1.1860099839820848</v>
      </c>
      <c r="CK295" s="84">
        <f t="shared" si="2151"/>
        <v>1.2042641805056793</v>
      </c>
      <c r="CL295" s="84">
        <f t="shared" si="2151"/>
        <v>1.1735794569802664</v>
      </c>
      <c r="CM295" s="50">
        <f t="shared" si="2151"/>
        <v>1.1474980318591956</v>
      </c>
      <c r="CN295" s="50">
        <f t="shared" si="2151"/>
        <v>1.0920911465977601</v>
      </c>
      <c r="CO295" s="50">
        <f t="shared" si="2151"/>
        <v>1.0946810312409379</v>
      </c>
      <c r="CP295" s="50">
        <f t="shared" si="2151"/>
        <v>1.0425509670882347</v>
      </c>
      <c r="CQ295" s="50">
        <f t="shared" si="2151"/>
        <v>1.022489246743173</v>
      </c>
      <c r="CR295" s="50">
        <f t="shared" si="2151"/>
        <v>0.98124270434737293</v>
      </c>
      <c r="CS295" s="50">
        <f t="shared" si="2151"/>
        <v>0.98466826965145404</v>
      </c>
      <c r="CT295" s="50">
        <f t="shared" si="2151"/>
        <v>0.94451027510123409</v>
      </c>
      <c r="CU295" s="50">
        <f t="shared" si="2151"/>
        <v>0.92868120204208771</v>
      </c>
      <c r="CV295" s="50">
        <f t="shared" si="2151"/>
        <v>0.8955510726382202</v>
      </c>
      <c r="CW295" s="50">
        <f t="shared" si="2151"/>
        <v>0.89947764721315326</v>
      </c>
      <c r="CX295" s="50">
        <f t="shared" ref="CX295:DB295" si="2152">SUM(CU43:CX43)/(CX212+CX195+CX180)</f>
        <v>0.86724351488130547</v>
      </c>
      <c r="CY295" s="50">
        <f t="shared" si="2152"/>
        <v>0.85491373082762523</v>
      </c>
      <c r="CZ295" s="50">
        <f t="shared" si="2152"/>
        <v>0.82793671768220423</v>
      </c>
      <c r="DA295" s="50">
        <f t="shared" si="2152"/>
        <v>0.83235171250962603</v>
      </c>
      <c r="DB295" s="50">
        <f t="shared" si="2152"/>
        <v>0.80575380449112144</v>
      </c>
      <c r="DE295" s="138"/>
      <c r="DF295" s="84">
        <v>1.1535552320273259</v>
      </c>
    </row>
    <row r="296" spans="1:110" s="84" customFormat="1" x14ac:dyDescent="0.2">
      <c r="A296" s="84" t="s">
        <v>513</v>
      </c>
      <c r="E296" s="180" t="e">
        <f t="shared" ref="E296:AE296" si="2153">+E84</f>
        <v>#DIV/0!</v>
      </c>
      <c r="F296" s="180" t="e">
        <f t="shared" si="2153"/>
        <v>#DIV/0!</v>
      </c>
      <c r="G296" s="180" t="e">
        <f t="shared" si="2153"/>
        <v>#DIV/0!</v>
      </c>
      <c r="H296" s="180">
        <f t="shared" si="2153"/>
        <v>6.8473909812209924E-2</v>
      </c>
      <c r="I296" s="180">
        <f t="shared" si="2153"/>
        <v>0.49319624022859626</v>
      </c>
      <c r="J296" s="180">
        <f t="shared" si="2153"/>
        <v>0.16924953271238369</v>
      </c>
      <c r="K296" s="180">
        <f t="shared" si="2153"/>
        <v>0.39655015514952469</v>
      </c>
      <c r="L296" s="180">
        <f t="shared" si="2153"/>
        <v>0.31882103640916959</v>
      </c>
      <c r="M296" s="180">
        <f t="shared" si="2153"/>
        <v>0.32035461513073438</v>
      </c>
      <c r="N296" s="180">
        <f t="shared" si="2153"/>
        <v>0.42319809922464452</v>
      </c>
      <c r="O296" s="180">
        <f t="shared" si="2153"/>
        <v>0.30775180359786114</v>
      </c>
      <c r="P296" s="180">
        <f t="shared" si="2153"/>
        <v>0.24070005137791187</v>
      </c>
      <c r="Q296" s="180">
        <f t="shared" si="2153"/>
        <v>0.21496897889735028</v>
      </c>
      <c r="R296" s="180">
        <f t="shared" si="2153"/>
        <v>0.23088371053954349</v>
      </c>
      <c r="S296" s="180">
        <f t="shared" si="2153"/>
        <v>0.26793331836551404</v>
      </c>
      <c r="T296" s="180">
        <f t="shared" si="2153"/>
        <v>0.20967461716015975</v>
      </c>
      <c r="U296" s="180">
        <f t="shared" si="2153"/>
        <v>0.21754248606825397</v>
      </c>
      <c r="V296" s="180">
        <f t="shared" si="2153"/>
        <v>0.22890299623953742</v>
      </c>
      <c r="W296" s="180">
        <f t="shared" si="2153"/>
        <v>0.29942600957782833</v>
      </c>
      <c r="X296" s="180">
        <f t="shared" si="2153"/>
        <v>0.11996126606793617</v>
      </c>
      <c r="Y296" s="180">
        <f t="shared" si="2153"/>
        <v>0.12082954465971874</v>
      </c>
      <c r="Z296" s="180">
        <f t="shared" si="2153"/>
        <v>0.13412380883101782</v>
      </c>
      <c r="AA296" s="180">
        <f t="shared" ref="AA296" si="2154">+AA84</f>
        <v>0.20219772266718128</v>
      </c>
      <c r="AB296" s="181">
        <f t="shared" si="2153"/>
        <v>0.20570574371459899</v>
      </c>
      <c r="AC296" s="181">
        <f t="shared" si="2153"/>
        <v>0.22143823707086771</v>
      </c>
      <c r="AD296" s="181">
        <f t="shared" si="2153"/>
        <v>0.23203478598868824</v>
      </c>
      <c r="AE296" s="181">
        <f t="shared" si="2153"/>
        <v>0.24085224439309499</v>
      </c>
      <c r="AL296" s="180" t="e">
        <f t="shared" ref="AL296:BQ296" si="2155">+AL84</f>
        <v>#DIV/0!</v>
      </c>
      <c r="AM296" s="180" t="e">
        <f t="shared" si="2155"/>
        <v>#DIV/0!</v>
      </c>
      <c r="AN296" s="180" t="e">
        <f t="shared" si="2155"/>
        <v>#DIV/0!</v>
      </c>
      <c r="AO296" s="180" t="e">
        <f t="shared" si="2155"/>
        <v>#DIV/0!</v>
      </c>
      <c r="AP296" s="180" t="e">
        <f t="shared" si="2155"/>
        <v>#DIV/0!</v>
      </c>
      <c r="AQ296" s="180" t="e">
        <f t="shared" si="2155"/>
        <v>#DIV/0!</v>
      </c>
      <c r="AR296" s="180" t="e">
        <f t="shared" si="2155"/>
        <v>#DIV/0!</v>
      </c>
      <c r="AS296" s="180" t="e">
        <f t="shared" si="2155"/>
        <v>#DIV/0!</v>
      </c>
      <c r="AT296" s="180" t="e">
        <f t="shared" si="2155"/>
        <v>#DIV/0!</v>
      </c>
      <c r="AU296" s="180">
        <f t="shared" si="2155"/>
        <v>0.18975348714799536</v>
      </c>
      <c r="AV296" s="180">
        <f t="shared" si="2155"/>
        <v>0.26075644423030597</v>
      </c>
      <c r="AW296" s="180">
        <f t="shared" si="2155"/>
        <v>0.1908846995693004</v>
      </c>
      <c r="AX296" s="180">
        <f t="shared" si="2155"/>
        <v>0.21421873799093066</v>
      </c>
      <c r="AY296" s="180">
        <f t="shared" si="2155"/>
        <v>0.24842534002472905</v>
      </c>
      <c r="AZ296" s="180">
        <f t="shared" si="2155"/>
        <v>0.2264165429697497</v>
      </c>
      <c r="BA296" s="180">
        <f t="shared" si="2155"/>
        <v>0.2281252664184831</v>
      </c>
      <c r="BB296" s="180">
        <f t="shared" si="2155"/>
        <v>0.22313926259240552</v>
      </c>
      <c r="BC296" s="180">
        <f t="shared" si="2155"/>
        <v>0.27415679124886055</v>
      </c>
      <c r="BD296" s="180">
        <f t="shared" si="2155"/>
        <v>0.28165750374846654</v>
      </c>
      <c r="BE296" s="180">
        <f t="shared" si="2155"/>
        <v>0.25599141528556107</v>
      </c>
      <c r="BF296" s="180">
        <f t="shared" si="2155"/>
        <v>0.25998344713428517</v>
      </c>
      <c r="BG296" s="180">
        <f t="shared" si="2155"/>
        <v>0.24127637673700464</v>
      </c>
      <c r="BH296" s="180">
        <f t="shared" si="2155"/>
        <v>0.23883326915671932</v>
      </c>
      <c r="BI296" s="180">
        <f t="shared" si="2155"/>
        <v>0.20749818257347599</v>
      </c>
      <c r="BJ296" s="180">
        <f t="shared" si="2155"/>
        <v>0.15389714935126431</v>
      </c>
      <c r="BK296" s="180">
        <f t="shared" si="2155"/>
        <v>0.24870135787842892</v>
      </c>
      <c r="BL296" s="180">
        <f t="shared" si="2155"/>
        <v>0.29920853406744674</v>
      </c>
      <c r="BM296" s="180">
        <f t="shared" si="2155"/>
        <v>0.25909821344172423</v>
      </c>
      <c r="BN296" s="180">
        <f t="shared" si="2155"/>
        <v>4.9290220820189239E-2</v>
      </c>
      <c r="BO296" s="180">
        <f t="shared" si="2155"/>
        <v>8.7080149280256095E-3</v>
      </c>
      <c r="BP296" s="180">
        <f t="shared" si="2155"/>
        <v>0.28123980424143558</v>
      </c>
      <c r="BQ296" s="180">
        <f t="shared" si="2155"/>
        <v>0.23381789252910978</v>
      </c>
      <c r="BR296" s="180">
        <f t="shared" ref="BR296:DB296" si="2156">+BR84</f>
        <v>0.25585671479160998</v>
      </c>
      <c r="BS296" s="180">
        <f t="shared" si="2156"/>
        <v>0.33932584269662913</v>
      </c>
      <c r="BT296" s="180">
        <f t="shared" si="2156"/>
        <v>0.44219964814709711</v>
      </c>
      <c r="BU296" s="180">
        <f t="shared" si="2156"/>
        <v>0.18483816013628629</v>
      </c>
      <c r="BV296" s="180">
        <f t="shared" si="2156"/>
        <v>0.15870098039215674</v>
      </c>
      <c r="BW296" s="180">
        <f t="shared" si="2156"/>
        <v>0.16801001643321092</v>
      </c>
      <c r="BX296" s="180">
        <f t="shared" si="2156"/>
        <v>0.11358079573238504</v>
      </c>
      <c r="BY296" s="180">
        <f t="shared" si="2156"/>
        <v>0.11098961180973213</v>
      </c>
      <c r="BZ296" s="180">
        <f t="shared" si="2156"/>
        <v>8.9564321460111937E-2</v>
      </c>
      <c r="CA296" s="180">
        <f t="shared" si="2156"/>
        <v>0.12699236414856557</v>
      </c>
      <c r="CB296" s="180">
        <f t="shared" si="2156"/>
        <v>0.13493243243243241</v>
      </c>
      <c r="CC296" s="180">
        <f t="shared" si="2156"/>
        <v>0.10843105239720968</v>
      </c>
      <c r="CD296" s="180">
        <f t="shared" si="2156"/>
        <v>0.1128038897893031</v>
      </c>
      <c r="CE296" s="180">
        <f t="shared" si="2156"/>
        <v>0.15486584666369246</v>
      </c>
      <c r="CF296" s="180">
        <f t="shared" si="2156"/>
        <v>0.15059765448804693</v>
      </c>
      <c r="CG296" s="180">
        <f t="shared" si="2156"/>
        <v>0.1151759884281582</v>
      </c>
      <c r="CH296" s="180">
        <f t="shared" si="2156"/>
        <v>0.11861508869416523</v>
      </c>
      <c r="CI296" s="180">
        <f t="shared" si="2156"/>
        <v>0.19706781329327056</v>
      </c>
      <c r="CJ296" s="180">
        <f t="shared" si="2156"/>
        <v>0.2195076894656629</v>
      </c>
      <c r="CK296" s="180">
        <f t="shared" si="2156"/>
        <v>0.17352835881961859</v>
      </c>
      <c r="CL296" s="180">
        <f t="shared" ref="CL296" si="2157">+CL84</f>
        <v>0.21486939048894821</v>
      </c>
      <c r="CM296" s="181">
        <f t="shared" si="2156"/>
        <v>0.19634483496363495</v>
      </c>
      <c r="CN296" s="181">
        <f t="shared" si="2156"/>
        <v>0.20636643275165156</v>
      </c>
      <c r="CO296" s="181">
        <f t="shared" si="2156"/>
        <v>0.20337384874153314</v>
      </c>
      <c r="CP296" s="181">
        <f t="shared" si="2156"/>
        <v>0.2151197984185669</v>
      </c>
      <c r="CQ296" s="181">
        <f t="shared" si="2156"/>
        <v>0.2144848948827518</v>
      </c>
      <c r="CR296" s="181">
        <f t="shared" si="2156"/>
        <v>0.22109390383156749</v>
      </c>
      <c r="CS296" s="181">
        <f t="shared" si="2156"/>
        <v>0.22110125545757717</v>
      </c>
      <c r="CT296" s="181">
        <f t="shared" si="2156"/>
        <v>0.22800865844628612</v>
      </c>
      <c r="CU296" s="181">
        <f t="shared" si="2156"/>
        <v>0.22748703648009605</v>
      </c>
      <c r="CV296" s="181">
        <f t="shared" si="2156"/>
        <v>0.23187213002129331</v>
      </c>
      <c r="CW296" s="181">
        <f t="shared" si="2156"/>
        <v>0.23205542151952366</v>
      </c>
      <c r="CX296" s="181">
        <f t="shared" si="2156"/>
        <v>0.23605759252151401</v>
      </c>
      <c r="CY296" s="181">
        <f t="shared" si="2156"/>
        <v>0.23736543091467754</v>
      </c>
      <c r="CZ296" s="181">
        <f t="shared" si="2156"/>
        <v>0.24035833942905532</v>
      </c>
      <c r="DA296" s="181">
        <f t="shared" si="2156"/>
        <v>0.24121307265752126</v>
      </c>
      <c r="DB296" s="181">
        <f t="shared" si="2156"/>
        <v>0.24398835925680859</v>
      </c>
      <c r="DE296" s="138"/>
      <c r="DF296" s="84">
        <v>0.18016455971077575</v>
      </c>
    </row>
    <row r="297" spans="1:110" s="84" customFormat="1" x14ac:dyDescent="0.2">
      <c r="A297" s="84" t="s">
        <v>514</v>
      </c>
      <c r="E297" s="84" t="e">
        <f t="shared" ref="E297:AE297" si="2158">(E212+E195+E180+E182)/E162</f>
        <v>#DIV/0!</v>
      </c>
      <c r="F297" s="84" t="e">
        <f t="shared" si="2158"/>
        <v>#DIV/0!</v>
      </c>
      <c r="G297" s="84" t="e">
        <f t="shared" si="2158"/>
        <v>#DIV/0!</v>
      </c>
      <c r="H297" s="84">
        <f t="shared" si="2158"/>
        <v>2.2205986931338391</v>
      </c>
      <c r="I297" s="84">
        <f t="shared" si="2158"/>
        <v>2.959687807048728</v>
      </c>
      <c r="J297" s="84">
        <f t="shared" si="2158"/>
        <v>1.3696209756991997</v>
      </c>
      <c r="K297" s="84">
        <f t="shared" si="2158"/>
        <v>1.7130491804548948</v>
      </c>
      <c r="L297" s="84">
        <f t="shared" si="2158"/>
        <v>1.4929738053988419</v>
      </c>
      <c r="M297" s="84">
        <f t="shared" si="2158"/>
        <v>1.3350247862914242</v>
      </c>
      <c r="N297" s="84">
        <f t="shared" si="2158"/>
        <v>1.2275228440980097</v>
      </c>
      <c r="O297" s="84">
        <f t="shared" si="2158"/>
        <v>1.1913479392814028</v>
      </c>
      <c r="P297" s="84">
        <f t="shared" si="2158"/>
        <v>1.1880725978029612</v>
      </c>
      <c r="Q297" s="84">
        <f t="shared" si="2158"/>
        <v>1.1135308115204727</v>
      </c>
      <c r="R297" s="84">
        <f t="shared" si="2158"/>
        <v>1.0643243879472695</v>
      </c>
      <c r="S297" s="84">
        <f t="shared" si="2158"/>
        <v>1.0687586004647069</v>
      </c>
      <c r="T297" s="84">
        <f t="shared" si="2158"/>
        <v>1.0791965434822577</v>
      </c>
      <c r="U297" s="84">
        <f t="shared" si="2158"/>
        <v>1.2787399427246693</v>
      </c>
      <c r="V297" s="84">
        <f t="shared" si="2158"/>
        <v>1.2642061411720649</v>
      </c>
      <c r="W297" s="84">
        <f t="shared" si="2158"/>
        <v>1.6100613403725998</v>
      </c>
      <c r="X297" s="84">
        <f t="shared" si="2158"/>
        <v>1.4242934680890889</v>
      </c>
      <c r="Y297" s="84">
        <f t="shared" si="2158"/>
        <v>1.1942060900599896</v>
      </c>
      <c r="Z297" s="84">
        <f t="shared" si="2158"/>
        <v>1.3388934613625973</v>
      </c>
      <c r="AA297" s="84">
        <f t="shared" ref="AA297" si="2159">(AA212+AA195+AA180+AA182)/AA162</f>
        <v>1.3458070025619127</v>
      </c>
      <c r="AB297" s="50">
        <f t="shared" si="2158"/>
        <v>1.2227068033958652</v>
      </c>
      <c r="AC297" s="50">
        <f t="shared" si="2158"/>
        <v>1.2024977020887302</v>
      </c>
      <c r="AD297" s="50">
        <f t="shared" si="2158"/>
        <v>1.1864958936078405</v>
      </c>
      <c r="AE297" s="50">
        <f t="shared" si="2158"/>
        <v>1.1737144917047677</v>
      </c>
      <c r="AL297" s="84" t="e">
        <f t="shared" ref="AL297:BQ297" si="2160">(AL212+AL195+AL180+AL182)/AL162</f>
        <v>#DIV/0!</v>
      </c>
      <c r="AM297" s="84" t="e">
        <f t="shared" si="2160"/>
        <v>#DIV/0!</v>
      </c>
      <c r="AN297" s="84" t="e">
        <f t="shared" si="2160"/>
        <v>#DIV/0!</v>
      </c>
      <c r="AO297" s="84" t="e">
        <f t="shared" si="2160"/>
        <v>#DIV/0!</v>
      </c>
      <c r="AP297" s="84" t="e">
        <f t="shared" si="2160"/>
        <v>#DIV/0!</v>
      </c>
      <c r="AQ297" s="84" t="e">
        <f t="shared" si="2160"/>
        <v>#DIV/0!</v>
      </c>
      <c r="AR297" s="84" t="e">
        <f t="shared" si="2160"/>
        <v>#DIV/0!</v>
      </c>
      <c r="AS297" s="84" t="e">
        <f t="shared" si="2160"/>
        <v>#DIV/0!</v>
      </c>
      <c r="AT297" s="84" t="e">
        <f t="shared" si="2160"/>
        <v>#DIV/0!</v>
      </c>
      <c r="AU297" s="84" t="e">
        <f t="shared" si="2160"/>
        <v>#DIV/0!</v>
      </c>
      <c r="AV297" s="84" t="e">
        <f t="shared" si="2160"/>
        <v>#DIV/0!</v>
      </c>
      <c r="AW297" s="84">
        <f t="shared" si="2160"/>
        <v>1</v>
      </c>
      <c r="AX297" s="84">
        <f t="shared" si="2160"/>
        <v>1.1135308115204725</v>
      </c>
      <c r="AY297" s="84">
        <f t="shared" si="2160"/>
        <v>1.1087643296403746</v>
      </c>
      <c r="AZ297" s="84">
        <f t="shared" si="2160"/>
        <v>1.0870105270465265</v>
      </c>
      <c r="BA297" s="84">
        <f t="shared" si="2160"/>
        <v>1.0848568843855431</v>
      </c>
      <c r="BB297" s="84">
        <f t="shared" si="2160"/>
        <v>1.0643268400816073</v>
      </c>
      <c r="BC297" s="84">
        <f t="shared" si="2160"/>
        <v>1.0610550991470113</v>
      </c>
      <c r="BD297" s="84">
        <f t="shared" si="2160"/>
        <v>1.0734778514380185</v>
      </c>
      <c r="BE297" s="84">
        <f t="shared" si="2160"/>
        <v>1.0693938611896123</v>
      </c>
      <c r="BF297" s="84">
        <f t="shared" si="2160"/>
        <v>1.0687586004647072</v>
      </c>
      <c r="BG297" s="84">
        <f t="shared" si="2160"/>
        <v>1.0653826025556044</v>
      </c>
      <c r="BH297" s="84">
        <f t="shared" si="2160"/>
        <v>1.0759056164838816</v>
      </c>
      <c r="BI297" s="84">
        <f t="shared" si="2160"/>
        <v>1.0724385711386537</v>
      </c>
      <c r="BJ297" s="84">
        <f t="shared" si="2160"/>
        <v>1.0791965434822577</v>
      </c>
      <c r="BK297" s="84">
        <f t="shared" si="2160"/>
        <v>1.075130145529015</v>
      </c>
      <c r="BL297" s="84">
        <f t="shared" si="2160"/>
        <v>1.1956492475028944</v>
      </c>
      <c r="BM297" s="84">
        <f t="shared" si="2160"/>
        <v>1.1802355239911699</v>
      </c>
      <c r="BN297" s="84">
        <f t="shared" si="2160"/>
        <v>1.2787050673648614</v>
      </c>
      <c r="BO297" s="84">
        <f t="shared" si="2160"/>
        <v>1.2519992572490763</v>
      </c>
      <c r="BP297" s="84">
        <f t="shared" si="2160"/>
        <v>1.214458574546835</v>
      </c>
      <c r="BQ297" s="84">
        <f t="shared" si="2160"/>
        <v>1.1945601573072988</v>
      </c>
      <c r="BR297" s="84">
        <f t="shared" ref="BR297:DB297" si="2161">(BR212+BR195+BR180+BR182)/BR162</f>
        <v>1.2642123247595201</v>
      </c>
      <c r="BS297" s="84">
        <f t="shared" si="2161"/>
        <v>1.2400816502353245</v>
      </c>
      <c r="BT297" s="84">
        <f t="shared" si="2161"/>
        <v>1.1928609924961653</v>
      </c>
      <c r="BU297" s="84">
        <f t="shared" si="2161"/>
        <v>1.1727043408540334</v>
      </c>
      <c r="BV297" s="84">
        <f t="shared" si="2161"/>
        <v>1.1416715726304194</v>
      </c>
      <c r="BW297" s="84">
        <f t="shared" si="2161"/>
        <v>1.1354172799146558</v>
      </c>
      <c r="BX297" s="84">
        <f t="shared" si="2161"/>
        <v>1.1433153343347815</v>
      </c>
      <c r="BY297" s="84">
        <f t="shared" si="2161"/>
        <v>1.1372507819922366</v>
      </c>
      <c r="BZ297" s="84">
        <f t="shared" si="2161"/>
        <v>1.1612390043046978</v>
      </c>
      <c r="CA297" s="84">
        <f t="shared" si="2161"/>
        <v>1.1558651426534909</v>
      </c>
      <c r="CB297" s="84">
        <f t="shared" si="2161"/>
        <v>1.1915475578406172</v>
      </c>
      <c r="CC297" s="84">
        <f t="shared" si="2161"/>
        <v>1.1825046257381786</v>
      </c>
      <c r="CD297" s="84">
        <f t="shared" si="2161"/>
        <v>1.1941834197087915</v>
      </c>
      <c r="CE297" s="84">
        <f t="shared" si="2161"/>
        <v>1.1869199662824681</v>
      </c>
      <c r="CF297" s="84">
        <f t="shared" si="2161"/>
        <v>1.1876229105211407</v>
      </c>
      <c r="CG297" s="84">
        <f t="shared" si="2161"/>
        <v>1.1747412380416353</v>
      </c>
      <c r="CH297" s="84">
        <f t="shared" si="2161"/>
        <v>1.3274622770919069</v>
      </c>
      <c r="CI297" s="84">
        <f t="shared" si="2161"/>
        <v>1.3141896102911697</v>
      </c>
      <c r="CJ297" s="84">
        <f t="shared" si="2161"/>
        <v>1.2491529548304972</v>
      </c>
      <c r="CK297" s="84">
        <f t="shared" si="2161"/>
        <v>1.2111618920502292</v>
      </c>
      <c r="CL297" s="84">
        <f t="shared" ref="CL297" si="2162">(CL212+CL195+CL180+CL182)/CL162</f>
        <v>1.2494619982920581</v>
      </c>
      <c r="CM297" s="50">
        <f t="shared" si="2161"/>
        <v>1.2333769320050216</v>
      </c>
      <c r="CN297" s="50">
        <f t="shared" si="2161"/>
        <v>1.2451326327089718</v>
      </c>
      <c r="CO297" s="50">
        <f t="shared" si="2161"/>
        <v>1.2065089841298897</v>
      </c>
      <c r="CP297" s="50">
        <f t="shared" si="2161"/>
        <v>1.2227068033958652</v>
      </c>
      <c r="CQ297" s="50">
        <f t="shared" si="2161"/>
        <v>1.2106549468787087</v>
      </c>
      <c r="CR297" s="50">
        <f t="shared" si="2161"/>
        <v>1.221806073355693</v>
      </c>
      <c r="CS297" s="50">
        <f t="shared" si="2161"/>
        <v>1.1872900359409049</v>
      </c>
      <c r="CT297" s="50">
        <f t="shared" si="2161"/>
        <v>1.2024977020887302</v>
      </c>
      <c r="CU297" s="50">
        <f t="shared" si="2161"/>
        <v>1.1921023095877867</v>
      </c>
      <c r="CV297" s="50">
        <f t="shared" si="2161"/>
        <v>1.2029046417436129</v>
      </c>
      <c r="CW297" s="50">
        <f t="shared" si="2161"/>
        <v>1.1719382090532977</v>
      </c>
      <c r="CX297" s="50">
        <f t="shared" si="2161"/>
        <v>1.1864958936078405</v>
      </c>
      <c r="CY297" s="50">
        <f t="shared" si="2161"/>
        <v>1.1774470195663265</v>
      </c>
      <c r="CZ297" s="50">
        <f t="shared" si="2161"/>
        <v>1.1879681200864896</v>
      </c>
      <c r="DA297" s="50">
        <f t="shared" si="2161"/>
        <v>1.1597722062651992</v>
      </c>
      <c r="DB297" s="50">
        <f t="shared" si="2161"/>
        <v>1.1737144917047677</v>
      </c>
      <c r="DE297" s="138"/>
      <c r="DF297" s="84">
        <v>1.2241337601490767</v>
      </c>
    </row>
    <row r="298" spans="1:110" s="84" customFormat="1" x14ac:dyDescent="0.2">
      <c r="A298" s="154" t="s">
        <v>498</v>
      </c>
      <c r="AB298" s="50"/>
      <c r="AC298" s="50"/>
      <c r="AD298" s="50"/>
      <c r="AE298" s="50"/>
      <c r="CM298" s="50"/>
      <c r="CN298" s="50"/>
      <c r="CO298" s="50"/>
      <c r="CP298" s="50"/>
      <c r="CQ298" s="50"/>
      <c r="CR298" s="50"/>
      <c r="CS298" s="50"/>
      <c r="CT298" s="50"/>
      <c r="CU298" s="50"/>
      <c r="CV298" s="50"/>
      <c r="CW298" s="50"/>
      <c r="CX298" s="50"/>
      <c r="CY298" s="50"/>
      <c r="CZ298" s="50"/>
      <c r="DA298" s="50"/>
      <c r="DB298" s="50"/>
      <c r="DE298" s="138"/>
    </row>
    <row r="299" spans="1:110" s="88" customFormat="1" x14ac:dyDescent="0.2">
      <c r="A299" s="88" t="s">
        <v>102</v>
      </c>
      <c r="B299" s="88" t="e">
        <f>B212/B162</f>
        <v>#DIV/0!</v>
      </c>
      <c r="C299" s="88" t="e">
        <f>C212/C162</f>
        <v>#DIV/0!</v>
      </c>
      <c r="D299" s="88" t="e">
        <f>D212/D162</f>
        <v>#DIV/0!</v>
      </c>
      <c r="F299" s="88" t="e">
        <f t="shared" ref="F299:AE299" si="2163">F212/F162</f>
        <v>#DIV/0!</v>
      </c>
      <c r="G299" s="88" t="e">
        <f t="shared" si="2163"/>
        <v>#DIV/0!</v>
      </c>
      <c r="H299" s="88">
        <f t="shared" si="2163"/>
        <v>0.29129333466290208</v>
      </c>
      <c r="I299" s="88">
        <f t="shared" si="2163"/>
        <v>0.39549953378733765</v>
      </c>
      <c r="J299" s="88">
        <f t="shared" si="2163"/>
        <v>6.8620418415678772E-2</v>
      </c>
      <c r="K299" s="88">
        <f t="shared" si="2163"/>
        <v>0.20097527405365467</v>
      </c>
      <c r="L299" s="88">
        <f t="shared" si="2163"/>
        <v>0.59291013282395266</v>
      </c>
      <c r="M299" s="88">
        <f t="shared" si="2163"/>
        <v>0.57604707443694136</v>
      </c>
      <c r="N299" s="88">
        <f t="shared" si="2163"/>
        <v>0.48175907361951703</v>
      </c>
      <c r="O299" s="88">
        <f t="shared" si="2163"/>
        <v>0.54926962179353545</v>
      </c>
      <c r="P299" s="88">
        <f t="shared" si="2163"/>
        <v>0.3233902131909166</v>
      </c>
      <c r="Q299" s="88">
        <f t="shared" si="2163"/>
        <v>0.2787834030797845</v>
      </c>
      <c r="R299" s="88">
        <f t="shared" si="2163"/>
        <v>0.28433233286252357</v>
      </c>
      <c r="S299" s="88">
        <f t="shared" si="2163"/>
        <v>0.25256604028965235</v>
      </c>
      <c r="T299" s="88">
        <f t="shared" si="2163"/>
        <v>0.19360176503033644</v>
      </c>
      <c r="U299" s="88">
        <f t="shared" si="2163"/>
        <v>0.21846447565798446</v>
      </c>
      <c r="V299" s="88">
        <f t="shared" si="2163"/>
        <v>0.2813611683205392</v>
      </c>
      <c r="W299" s="88">
        <f t="shared" si="2163"/>
        <v>0.26420039121104505</v>
      </c>
      <c r="X299" s="88">
        <f t="shared" si="2163"/>
        <v>0.28218229459105371</v>
      </c>
      <c r="Y299" s="88">
        <f t="shared" si="2163"/>
        <v>0.33533297896575287</v>
      </c>
      <c r="Z299" s="88">
        <f t="shared" si="2163"/>
        <v>0.35087334247828078</v>
      </c>
      <c r="AA299" s="88">
        <f t="shared" ref="AA299" si="2164">AA212/AA162</f>
        <v>0.37516652433817249</v>
      </c>
      <c r="AB299" s="42">
        <f t="shared" si="2163"/>
        <v>0.51861968364365518</v>
      </c>
      <c r="AC299" s="42">
        <f t="shared" si="2163"/>
        <v>0.6223949787120997</v>
      </c>
      <c r="AD299" s="42">
        <f t="shared" si="2163"/>
        <v>0.69777380601560668</v>
      </c>
      <c r="AE299" s="42">
        <f t="shared" si="2163"/>
        <v>0.75354417201610935</v>
      </c>
      <c r="AL299" s="88" t="e">
        <f t="shared" ref="AL299:BQ299" si="2165">AL212/AL162</f>
        <v>#DIV/0!</v>
      </c>
      <c r="AM299" s="88" t="e">
        <f t="shared" si="2165"/>
        <v>#DIV/0!</v>
      </c>
      <c r="AN299" s="88" t="e">
        <f t="shared" si="2165"/>
        <v>#DIV/0!</v>
      </c>
      <c r="AO299" s="88" t="e">
        <f t="shared" si="2165"/>
        <v>#DIV/0!</v>
      </c>
      <c r="AP299" s="88" t="e">
        <f t="shared" si="2165"/>
        <v>#DIV/0!</v>
      </c>
      <c r="AQ299" s="88" t="e">
        <f t="shared" si="2165"/>
        <v>#DIV/0!</v>
      </c>
      <c r="AR299" s="88" t="e">
        <f t="shared" si="2165"/>
        <v>#DIV/0!</v>
      </c>
      <c r="AS299" s="88" t="e">
        <f t="shared" si="2165"/>
        <v>#DIV/0!</v>
      </c>
      <c r="AT299" s="88" t="e">
        <f t="shared" si="2165"/>
        <v>#DIV/0!</v>
      </c>
      <c r="AU299" s="88" t="e">
        <f t="shared" si="2165"/>
        <v>#DIV/0!</v>
      </c>
      <c r="AV299" s="88" t="e">
        <f t="shared" si="2165"/>
        <v>#DIV/0!</v>
      </c>
      <c r="AW299" s="88">
        <f t="shared" si="2165"/>
        <v>1</v>
      </c>
      <c r="AX299" s="88">
        <f t="shared" si="2165"/>
        <v>0.27878340307978444</v>
      </c>
      <c r="AY299" s="88">
        <f t="shared" si="2165"/>
        <v>0.30856789191523887</v>
      </c>
      <c r="AZ299" s="88">
        <f t="shared" si="2165"/>
        <v>0.29243669144299378</v>
      </c>
      <c r="BA299" s="88">
        <f t="shared" si="2165"/>
        <v>0.31328933651900231</v>
      </c>
      <c r="BB299" s="88">
        <f t="shared" si="2165"/>
        <v>0.28433233286252357</v>
      </c>
      <c r="BC299" s="88">
        <f t="shared" si="2165"/>
        <v>0.32064505768042423</v>
      </c>
      <c r="BD299" s="88">
        <f t="shared" si="2165"/>
        <v>0.32061461290799825</v>
      </c>
      <c r="BE299" s="88">
        <f t="shared" si="2165"/>
        <v>0.35524756971143778</v>
      </c>
      <c r="BF299" s="88">
        <f t="shared" si="2165"/>
        <v>0.2525660402896524</v>
      </c>
      <c r="BG299" s="88">
        <f t="shared" si="2165"/>
        <v>0.28982213654237038</v>
      </c>
      <c r="BH299" s="88">
        <f t="shared" si="2165"/>
        <v>0.19550238174365792</v>
      </c>
      <c r="BI299" s="88">
        <f t="shared" si="2165"/>
        <v>0.23507306333966391</v>
      </c>
      <c r="BJ299" s="88">
        <f t="shared" si="2165"/>
        <v>0.19360176503033644</v>
      </c>
      <c r="BK299" s="88">
        <f t="shared" si="2165"/>
        <v>0.23956159079860614</v>
      </c>
      <c r="BL299" s="88">
        <f t="shared" si="2165"/>
        <v>0.11792262337452547</v>
      </c>
      <c r="BM299" s="88">
        <f t="shared" si="2165"/>
        <v>0.18565758138853786</v>
      </c>
      <c r="BN299" s="88">
        <f t="shared" si="2165"/>
        <v>0.21845851742758959</v>
      </c>
      <c r="BO299" s="88">
        <f t="shared" si="2165"/>
        <v>0.23754206965823141</v>
      </c>
      <c r="BP299" s="88">
        <f t="shared" si="2165"/>
        <v>0.20885925785327894</v>
      </c>
      <c r="BQ299" s="88">
        <f t="shared" si="2165"/>
        <v>0.27473412322685398</v>
      </c>
      <c r="BR299" s="88">
        <f t="shared" ref="BR299:DB299" si="2166">BR212/BR162</f>
        <v>0.28136775341119202</v>
      </c>
      <c r="BS299" s="88">
        <f t="shared" si="2166"/>
        <v>0.35327939696335042</v>
      </c>
      <c r="BT299" s="88">
        <f t="shared" si="2166"/>
        <v>0.23067037021682352</v>
      </c>
      <c r="BU299" s="88">
        <f t="shared" si="2166"/>
        <v>0.33840107326225977</v>
      </c>
      <c r="BV299" s="88">
        <f t="shared" si="2166"/>
        <v>0.26420039121104505</v>
      </c>
      <c r="BW299" s="88">
        <f t="shared" si="2166"/>
        <v>0.29727720127810386</v>
      </c>
      <c r="BX299" s="88">
        <f t="shared" si="2166"/>
        <v>0.21278064228005358</v>
      </c>
      <c r="BY299" s="88">
        <f t="shared" si="2166"/>
        <v>0.2455138415434906</v>
      </c>
      <c r="BZ299" s="88">
        <f t="shared" si="2166"/>
        <v>0.28218229459105371</v>
      </c>
      <c r="CA299" s="88">
        <f t="shared" si="2166"/>
        <v>0.30586835139908242</v>
      </c>
      <c r="CB299" s="88">
        <f t="shared" si="2166"/>
        <v>0.20429820051413883</v>
      </c>
      <c r="CC299" s="88">
        <f t="shared" si="2166"/>
        <v>0.2411211932626407</v>
      </c>
      <c r="CD299" s="88">
        <f t="shared" si="2166"/>
        <v>0.33532661313286632</v>
      </c>
      <c r="CE299" s="88">
        <f t="shared" si="2166"/>
        <v>0.36289357825985219</v>
      </c>
      <c r="CF299" s="88">
        <f t="shared" si="2166"/>
        <v>0.28179285480170441</v>
      </c>
      <c r="CG299" s="88">
        <f t="shared" si="2166"/>
        <v>0.31473403328148197</v>
      </c>
      <c r="CH299" s="88">
        <f t="shared" si="2166"/>
        <v>0.35087334247828078</v>
      </c>
      <c r="CI299" s="88">
        <f t="shared" si="2166"/>
        <v>0.41137040278606085</v>
      </c>
      <c r="CJ299" s="88">
        <f t="shared" si="2166"/>
        <v>0.36017670953370395</v>
      </c>
      <c r="CK299" s="88">
        <f t="shared" si="2166"/>
        <v>0.43776140885535952</v>
      </c>
      <c r="CL299" s="88">
        <f t="shared" ref="CL299" si="2167">CL212/CL162</f>
        <v>0.37516652433817249</v>
      </c>
      <c r="CM299" s="42">
        <f t="shared" si="2166"/>
        <v>0.41823601852068287</v>
      </c>
      <c r="CN299" s="42">
        <f t="shared" si="2166"/>
        <v>0.45053522094088699</v>
      </c>
      <c r="CO299" s="42">
        <f t="shared" si="2166"/>
        <v>0.49496271143583698</v>
      </c>
      <c r="CP299" s="42">
        <f t="shared" si="2166"/>
        <v>0.51861968364365518</v>
      </c>
      <c r="CQ299" s="42">
        <f t="shared" si="2166"/>
        <v>0.54998200384712725</v>
      </c>
      <c r="CR299" s="42">
        <f t="shared" si="2166"/>
        <v>0.57196141580125159</v>
      </c>
      <c r="CS299" s="42">
        <f t="shared" si="2166"/>
        <v>0.60694333774246412</v>
      </c>
      <c r="CT299" s="42">
        <f t="shared" si="2166"/>
        <v>0.6223949787120997</v>
      </c>
      <c r="CU299" s="42">
        <f t="shared" si="2166"/>
        <v>0.64570332490100313</v>
      </c>
      <c r="CV299" s="42">
        <f t="shared" si="2166"/>
        <v>0.66036219578991129</v>
      </c>
      <c r="CW299" s="42">
        <f t="shared" si="2166"/>
        <v>0.68812259757512373</v>
      </c>
      <c r="CX299" s="42">
        <f t="shared" si="2166"/>
        <v>0.69777380601560668</v>
      </c>
      <c r="CY299" s="42">
        <f t="shared" si="2166"/>
        <v>0.71540152020012227</v>
      </c>
      <c r="CZ299" s="42">
        <f t="shared" si="2166"/>
        <v>0.72505683917749808</v>
      </c>
      <c r="DA299" s="42">
        <f t="shared" si="2166"/>
        <v>0.74771858249426459</v>
      </c>
      <c r="DB299" s="42">
        <f t="shared" si="2166"/>
        <v>0.75354417201610935</v>
      </c>
      <c r="DE299" s="125"/>
      <c r="DF299" s="88">
        <v>0.47509633304638382</v>
      </c>
    </row>
    <row r="300" spans="1:110" s="89" customFormat="1" x14ac:dyDescent="0.2">
      <c r="A300" s="89" t="s">
        <v>103</v>
      </c>
      <c r="C300" s="89" t="e">
        <f>C170/B170-1</f>
        <v>#DIV/0!</v>
      </c>
      <c r="D300" s="89" t="e">
        <f>D170/C170-1</f>
        <v>#DIV/0!</v>
      </c>
      <c r="F300" s="89" t="e">
        <f t="shared" ref="F300:AE300" si="2168">F170/E170-1</f>
        <v>#DIV/0!</v>
      </c>
      <c r="G300" s="89" t="e">
        <f t="shared" si="2168"/>
        <v>#DIV/0!</v>
      </c>
      <c r="H300" s="89" t="e">
        <f t="shared" si="2168"/>
        <v>#DIV/0!</v>
      </c>
      <c r="I300" s="89">
        <f t="shared" si="2168"/>
        <v>0</v>
      </c>
      <c r="J300" s="89">
        <f t="shared" si="2168"/>
        <v>-1</v>
      </c>
      <c r="K300" s="89" t="e">
        <f t="shared" si="2168"/>
        <v>#DIV/0!</v>
      </c>
      <c r="L300" s="89" t="e">
        <f t="shared" si="2168"/>
        <v>#DIV/0!</v>
      </c>
      <c r="M300" s="89">
        <f t="shared" si="2168"/>
        <v>0</v>
      </c>
      <c r="N300" s="89">
        <f t="shared" si="2168"/>
        <v>0</v>
      </c>
      <c r="O300" s="89">
        <f t="shared" si="2168"/>
        <v>0</v>
      </c>
      <c r="P300" s="89">
        <f t="shared" si="2168"/>
        <v>-1</v>
      </c>
      <c r="Q300" s="89" t="e">
        <f t="shared" si="2168"/>
        <v>#DIV/0!</v>
      </c>
      <c r="R300" s="89" t="e">
        <f t="shared" si="2168"/>
        <v>#DIV/0!</v>
      </c>
      <c r="S300" s="89">
        <f t="shared" si="2168"/>
        <v>-1</v>
      </c>
      <c r="T300" s="89" t="e">
        <f t="shared" si="2168"/>
        <v>#DIV/0!</v>
      </c>
      <c r="U300" s="89">
        <f t="shared" si="2168"/>
        <v>0</v>
      </c>
      <c r="V300" s="89">
        <f t="shared" si="2168"/>
        <v>-1</v>
      </c>
      <c r="W300" s="89" t="e">
        <f t="shared" si="2168"/>
        <v>#DIV/0!</v>
      </c>
      <c r="X300" s="89" t="e">
        <f t="shared" si="2168"/>
        <v>#DIV/0!</v>
      </c>
      <c r="Y300" s="89" t="e">
        <f t="shared" si="2168"/>
        <v>#DIV/0!</v>
      </c>
      <c r="Z300" s="89">
        <f t="shared" si="2168"/>
        <v>-1</v>
      </c>
      <c r="AA300" s="89" t="e">
        <f t="shared" si="2168"/>
        <v>#DIV/0!</v>
      </c>
      <c r="AB300" s="47" t="e">
        <f t="shared" si="2168"/>
        <v>#DIV/0!</v>
      </c>
      <c r="AC300" s="47" t="e">
        <f t="shared" si="2168"/>
        <v>#DIV/0!</v>
      </c>
      <c r="AD300" s="47" t="e">
        <f t="shared" si="2168"/>
        <v>#DIV/0!</v>
      </c>
      <c r="AE300" s="47" t="e">
        <f t="shared" si="2168"/>
        <v>#DIV/0!</v>
      </c>
      <c r="AL300" s="89" t="e">
        <f t="shared" ref="AL300:BQ300" si="2169">AL170/AK170-1</f>
        <v>#DIV/0!</v>
      </c>
      <c r="AM300" s="89" t="e">
        <f t="shared" si="2169"/>
        <v>#DIV/0!</v>
      </c>
      <c r="AN300" s="89" t="e">
        <f t="shared" si="2169"/>
        <v>#DIV/0!</v>
      </c>
      <c r="AO300" s="89" t="e">
        <f t="shared" si="2169"/>
        <v>#DIV/0!</v>
      </c>
      <c r="AP300" s="89" t="e">
        <f t="shared" si="2169"/>
        <v>#DIV/0!</v>
      </c>
      <c r="AQ300" s="89" t="e">
        <f t="shared" si="2169"/>
        <v>#DIV/0!</v>
      </c>
      <c r="AR300" s="89" t="e">
        <f t="shared" si="2169"/>
        <v>#DIV/0!</v>
      </c>
      <c r="AS300" s="89" t="e">
        <f t="shared" si="2169"/>
        <v>#DIV/0!</v>
      </c>
      <c r="AT300" s="89" t="e">
        <f t="shared" si="2169"/>
        <v>#DIV/0!</v>
      </c>
      <c r="AU300" s="89" t="e">
        <f t="shared" si="2169"/>
        <v>#DIV/0!</v>
      </c>
      <c r="AV300" s="89" t="e">
        <f t="shared" si="2169"/>
        <v>#DIV/0!</v>
      </c>
      <c r="AW300" s="89" t="e">
        <f t="shared" si="2169"/>
        <v>#DIV/0!</v>
      </c>
      <c r="AX300" s="89" t="e">
        <f t="shared" si="2169"/>
        <v>#DIV/0!</v>
      </c>
      <c r="AY300" s="89" t="e">
        <f t="shared" si="2169"/>
        <v>#DIV/0!</v>
      </c>
      <c r="AZ300" s="89" t="e">
        <f t="shared" si="2169"/>
        <v>#DIV/0!</v>
      </c>
      <c r="BA300" s="89" t="e">
        <f t="shared" si="2169"/>
        <v>#DIV/0!</v>
      </c>
      <c r="BB300" s="89" t="e">
        <f t="shared" si="2169"/>
        <v>#DIV/0!</v>
      </c>
      <c r="BC300" s="89" t="e">
        <f t="shared" si="2169"/>
        <v>#DIV/0!</v>
      </c>
      <c r="BD300" s="89" t="e">
        <f t="shared" si="2169"/>
        <v>#DIV/0!</v>
      </c>
      <c r="BE300" s="89">
        <f t="shared" si="2169"/>
        <v>0</v>
      </c>
      <c r="BF300" s="89">
        <f t="shared" si="2169"/>
        <v>-1</v>
      </c>
      <c r="BG300" s="89" t="e">
        <f t="shared" si="2169"/>
        <v>#DIV/0!</v>
      </c>
      <c r="BH300" s="89" t="e">
        <f t="shared" si="2169"/>
        <v>#DIV/0!</v>
      </c>
      <c r="BI300" s="89">
        <f t="shared" si="2169"/>
        <v>0</v>
      </c>
      <c r="BJ300" s="89">
        <f t="shared" si="2169"/>
        <v>-0.74823766364551858</v>
      </c>
      <c r="BK300" s="89">
        <f t="shared" si="2169"/>
        <v>0</v>
      </c>
      <c r="BL300" s="89">
        <f t="shared" si="2169"/>
        <v>4.4000000000000039E-2</v>
      </c>
      <c r="BM300" s="89">
        <f t="shared" si="2169"/>
        <v>0</v>
      </c>
      <c r="BN300" s="89">
        <f t="shared" si="2169"/>
        <v>-4.2145593869731712E-2</v>
      </c>
      <c r="BO300" s="89">
        <f t="shared" si="2169"/>
        <v>0</v>
      </c>
      <c r="BP300" s="89">
        <f t="shared" si="2169"/>
        <v>4.4000000000000039E-2</v>
      </c>
      <c r="BQ300" s="89">
        <f t="shared" si="2169"/>
        <v>0</v>
      </c>
      <c r="BR300" s="89">
        <f t="shared" ref="BR300:DB300" si="2170">BR170/BQ170-1</f>
        <v>-1</v>
      </c>
      <c r="BS300" s="89" t="e">
        <f t="shared" si="2170"/>
        <v>#DIV/0!</v>
      </c>
      <c r="BT300" s="89" t="e">
        <f t="shared" si="2170"/>
        <v>#DIV/0!</v>
      </c>
      <c r="BU300" s="89" t="e">
        <f t="shared" si="2170"/>
        <v>#DIV/0!</v>
      </c>
      <c r="BV300" s="89" t="e">
        <f t="shared" si="2170"/>
        <v>#DIV/0!</v>
      </c>
      <c r="BW300" s="89" t="e">
        <f t="shared" si="2170"/>
        <v>#DIV/0!</v>
      </c>
      <c r="BX300" s="89" t="e">
        <f t="shared" si="2170"/>
        <v>#DIV/0!</v>
      </c>
      <c r="BY300" s="89" t="e">
        <f t="shared" si="2170"/>
        <v>#DIV/0!</v>
      </c>
      <c r="BZ300" s="89" t="e">
        <f t="shared" si="2170"/>
        <v>#DIV/0!</v>
      </c>
      <c r="CA300" s="89" t="e">
        <f t="shared" si="2170"/>
        <v>#DIV/0!</v>
      </c>
      <c r="CB300" s="89" t="e">
        <f t="shared" si="2170"/>
        <v>#DIV/0!</v>
      </c>
      <c r="CC300" s="89">
        <f t="shared" si="2170"/>
        <v>0</v>
      </c>
      <c r="CD300" s="89">
        <f t="shared" si="2170"/>
        <v>-9.6612296110413998E-2</v>
      </c>
      <c r="CE300" s="89">
        <f t="shared" si="2170"/>
        <v>0</v>
      </c>
      <c r="CF300" s="89">
        <f t="shared" si="2170"/>
        <v>-0.99444444444444446</v>
      </c>
      <c r="CG300" s="89">
        <f t="shared" si="2170"/>
        <v>0</v>
      </c>
      <c r="CH300" s="89">
        <f t="shared" si="2170"/>
        <v>-1</v>
      </c>
      <c r="CI300" s="89" t="e">
        <f t="shared" si="2170"/>
        <v>#DIV/0!</v>
      </c>
      <c r="CJ300" s="89" t="e">
        <f t="shared" si="2170"/>
        <v>#DIV/0!</v>
      </c>
      <c r="CK300" s="89" t="e">
        <f t="shared" si="2170"/>
        <v>#DIV/0!</v>
      </c>
      <c r="CL300" s="89" t="e">
        <f t="shared" si="2170"/>
        <v>#DIV/0!</v>
      </c>
      <c r="CM300" s="47" t="e">
        <f t="shared" si="2170"/>
        <v>#DIV/0!</v>
      </c>
      <c r="CN300" s="47" t="e">
        <f t="shared" si="2170"/>
        <v>#DIV/0!</v>
      </c>
      <c r="CO300" s="47" t="e">
        <f t="shared" si="2170"/>
        <v>#DIV/0!</v>
      </c>
      <c r="CP300" s="47" t="e">
        <f t="shared" si="2170"/>
        <v>#DIV/0!</v>
      </c>
      <c r="CQ300" s="47" t="e">
        <f t="shared" si="2170"/>
        <v>#DIV/0!</v>
      </c>
      <c r="CR300" s="47" t="e">
        <f t="shared" si="2170"/>
        <v>#DIV/0!</v>
      </c>
      <c r="CS300" s="47" t="e">
        <f t="shared" si="2170"/>
        <v>#DIV/0!</v>
      </c>
      <c r="CT300" s="47" t="e">
        <f t="shared" si="2170"/>
        <v>#DIV/0!</v>
      </c>
      <c r="CU300" s="47" t="e">
        <f t="shared" si="2170"/>
        <v>#DIV/0!</v>
      </c>
      <c r="CV300" s="47" t="e">
        <f t="shared" si="2170"/>
        <v>#DIV/0!</v>
      </c>
      <c r="CW300" s="47" t="e">
        <f t="shared" si="2170"/>
        <v>#DIV/0!</v>
      </c>
      <c r="CX300" s="47" t="e">
        <f t="shared" si="2170"/>
        <v>#DIV/0!</v>
      </c>
      <c r="CY300" s="47" t="e">
        <f t="shared" si="2170"/>
        <v>#DIV/0!</v>
      </c>
      <c r="CZ300" s="47" t="e">
        <f t="shared" si="2170"/>
        <v>#DIV/0!</v>
      </c>
      <c r="DA300" s="47" t="e">
        <f t="shared" si="2170"/>
        <v>#DIV/0!</v>
      </c>
      <c r="DB300" s="47" t="e">
        <f t="shared" si="2170"/>
        <v>#DIV/0!</v>
      </c>
      <c r="DE300" s="130"/>
    </row>
    <row r="301" spans="1:110" s="89" customFormat="1" x14ac:dyDescent="0.2">
      <c r="A301" s="89" t="s">
        <v>104</v>
      </c>
      <c r="C301" s="89" t="e">
        <f>C70/B70-1</f>
        <v>#DIV/0!</v>
      </c>
      <c r="D301" s="89" t="e">
        <f>D70/C70-1</f>
        <v>#DIV/0!</v>
      </c>
      <c r="F301" s="89" t="e">
        <f t="shared" ref="F301:AE301" si="2171">F70/E70-1</f>
        <v>#DIV/0!</v>
      </c>
      <c r="G301" s="89" t="e">
        <f t="shared" si="2171"/>
        <v>#DIV/0!</v>
      </c>
      <c r="H301" s="89" t="e">
        <f t="shared" si="2171"/>
        <v>#DIV/0!</v>
      </c>
      <c r="I301" s="89">
        <f t="shared" si="2171"/>
        <v>16.592521405656651</v>
      </c>
      <c r="J301" s="89">
        <f t="shared" si="2171"/>
        <v>-0.53222837936905354</v>
      </c>
      <c r="K301" s="89">
        <f t="shared" si="2171"/>
        <v>1.3044505163844886</v>
      </c>
      <c r="L301" s="89">
        <f t="shared" si="2171"/>
        <v>0.2833720135396105</v>
      </c>
      <c r="M301" s="89">
        <f t="shared" si="2171"/>
        <v>0.37596747055524404</v>
      </c>
      <c r="N301" s="89">
        <f t="shared" si="2171"/>
        <v>0.29539201499989809</v>
      </c>
      <c r="O301" s="89">
        <f t="shared" si="2171"/>
        <v>8.3069806957096981E-2</v>
      </c>
      <c r="P301" s="89">
        <f t="shared" si="2171"/>
        <v>5.5649976031724835E-2</v>
      </c>
      <c r="Q301" s="89">
        <f t="shared" si="2171"/>
        <v>0.29415730955526209</v>
      </c>
      <c r="R301" s="89">
        <f t="shared" si="2171"/>
        <v>0.22679666982105062</v>
      </c>
      <c r="S301" s="89">
        <f t="shared" si="2171"/>
        <v>0.25430104265074194</v>
      </c>
      <c r="T301" s="89">
        <f t="shared" si="2171"/>
        <v>6.5713101160862486E-2</v>
      </c>
      <c r="U301" s="89">
        <f t="shared" si="2171"/>
        <v>0.12539713415029485</v>
      </c>
      <c r="V301" s="89">
        <f t="shared" si="2171"/>
        <v>-1.3308751512357997E-2</v>
      </c>
      <c r="W301" s="89">
        <f t="shared" si="2171"/>
        <v>0.37644517108490039</v>
      </c>
      <c r="X301" s="89">
        <f t="shared" si="2171"/>
        <v>-0.48021041021507682</v>
      </c>
      <c r="Y301" s="89">
        <f t="shared" si="2171"/>
        <v>0.1324573573818657</v>
      </c>
      <c r="Z301" s="89">
        <f t="shared" si="2171"/>
        <v>0.37330642836552475</v>
      </c>
      <c r="AA301" s="89">
        <f t="shared" si="2171"/>
        <v>0.29056465155331557</v>
      </c>
      <c r="AB301" s="47">
        <f t="shared" si="2171"/>
        <v>0.27733396943058075</v>
      </c>
      <c r="AC301" s="47">
        <f t="shared" si="2171"/>
        <v>0.20919078614238007</v>
      </c>
      <c r="AD301" s="47">
        <f t="shared" si="2171"/>
        <v>0.18751024016292273</v>
      </c>
      <c r="AE301" s="47">
        <f t="shared" si="2171"/>
        <v>0.18687937310370284</v>
      </c>
      <c r="AL301" s="89" t="e">
        <f t="shared" ref="AL301:BQ301" si="2172">AL70/AK70-1</f>
        <v>#DIV/0!</v>
      </c>
      <c r="AM301" s="89" t="e">
        <f t="shared" si="2172"/>
        <v>#DIV/0!</v>
      </c>
      <c r="AN301" s="89" t="e">
        <f t="shared" si="2172"/>
        <v>#DIV/0!</v>
      </c>
      <c r="AO301" s="89" t="e">
        <f t="shared" si="2172"/>
        <v>#DIV/0!</v>
      </c>
      <c r="AP301" s="89" t="e">
        <f t="shared" si="2172"/>
        <v>#DIV/0!</v>
      </c>
      <c r="AQ301" s="89" t="e">
        <f t="shared" si="2172"/>
        <v>#DIV/0!</v>
      </c>
      <c r="AR301" s="89" t="e">
        <f t="shared" si="2172"/>
        <v>#DIV/0!</v>
      </c>
      <c r="AS301" s="89" t="e">
        <f t="shared" si="2172"/>
        <v>#DIV/0!</v>
      </c>
      <c r="AT301" s="89" t="e">
        <f t="shared" si="2172"/>
        <v>#DIV/0!</v>
      </c>
      <c r="AU301" s="89" t="e">
        <f t="shared" si="2172"/>
        <v>#DIV/0!</v>
      </c>
      <c r="AV301" s="89">
        <f t="shared" si="2172"/>
        <v>0.28629171390545705</v>
      </c>
      <c r="AW301" s="89">
        <f t="shared" si="2172"/>
        <v>-0.15340103468097321</v>
      </c>
      <c r="AX301" s="89">
        <f t="shared" si="2172"/>
        <v>0.11289154445047922</v>
      </c>
      <c r="AY301" s="89">
        <f t="shared" si="2172"/>
        <v>9.5989587570161961E-2</v>
      </c>
      <c r="AZ301" s="89">
        <f t="shared" si="2172"/>
        <v>0.12640095004824459</v>
      </c>
      <c r="BA301" s="89">
        <f t="shared" si="2172"/>
        <v>-0.13429098576700027</v>
      </c>
      <c r="BB301" s="89">
        <f t="shared" si="2172"/>
        <v>0.2029989343887959</v>
      </c>
      <c r="BC301" s="89">
        <f t="shared" si="2172"/>
        <v>0.15248339133185707</v>
      </c>
      <c r="BD301" s="89">
        <f t="shared" si="2172"/>
        <v>-2.0148229481196878E-2</v>
      </c>
      <c r="BE301" s="89">
        <f t="shared" si="2172"/>
        <v>-8.8525324966381991E-3</v>
      </c>
      <c r="BF301" s="89">
        <f t="shared" si="2172"/>
        <v>5.1724137931034253E-2</v>
      </c>
      <c r="BG301" s="89">
        <f t="shared" si="2172"/>
        <v>0.10722923945176044</v>
      </c>
      <c r="BH301" s="89">
        <f t="shared" si="2172"/>
        <v>4.4417475728155242E-2</v>
      </c>
      <c r="BI301" s="89">
        <f t="shared" si="2172"/>
        <v>-0.17452939809435275</v>
      </c>
      <c r="BJ301" s="89">
        <f t="shared" si="2172"/>
        <v>-2.9279279279279202E-2</v>
      </c>
      <c r="BK301" s="89">
        <f t="shared" si="2172"/>
        <v>0.32279582366589321</v>
      </c>
      <c r="BL301" s="89">
        <f t="shared" si="2172"/>
        <v>0.14360885770664322</v>
      </c>
      <c r="BM301" s="89">
        <f t="shared" si="2172"/>
        <v>-0.16065950920245387</v>
      </c>
      <c r="BN301" s="89">
        <f t="shared" si="2172"/>
        <v>-0.29259936043855661</v>
      </c>
      <c r="BO301" s="89">
        <f t="shared" si="2172"/>
        <v>-0.72683241846948654</v>
      </c>
      <c r="BP301" s="89">
        <f t="shared" si="2172"/>
        <v>6.3167848699763596</v>
      </c>
      <c r="BQ301" s="89">
        <f t="shared" si="2172"/>
        <v>-0.19838449111470091</v>
      </c>
      <c r="BR301" s="89">
        <f t="shared" ref="BR301:DB301" si="2173">BR70/BQ70-1</f>
        <v>3.8492543329302409E-2</v>
      </c>
      <c r="BS301" s="89">
        <f t="shared" si="2173"/>
        <v>0.38230157189986369</v>
      </c>
      <c r="BT301" s="89">
        <f t="shared" si="2173"/>
        <v>0.25354485469605503</v>
      </c>
      <c r="BU301" s="89">
        <f t="shared" si="2173"/>
        <v>-0.58785978273042883</v>
      </c>
      <c r="BV301" s="89">
        <f t="shared" si="2173"/>
        <v>2.1467391304347272E-2</v>
      </c>
      <c r="BW301" s="89">
        <f t="shared" si="2173"/>
        <v>-4.4426709231177641E-2</v>
      </c>
      <c r="BX301" s="89">
        <f t="shared" si="2173"/>
        <v>-0.12082405345211622</v>
      </c>
      <c r="BY301" s="89">
        <f t="shared" si="2173"/>
        <v>-0.11779607346421805</v>
      </c>
      <c r="BZ301" s="89">
        <f t="shared" si="2173"/>
        <v>-0.1137832017228998</v>
      </c>
      <c r="CA301" s="89">
        <f t="shared" si="2173"/>
        <v>0.39773187525313847</v>
      </c>
      <c r="CB301" s="89">
        <f t="shared" si="2173"/>
        <v>8.722109533468525E-2</v>
      </c>
      <c r="CC301" s="89">
        <f t="shared" si="2173"/>
        <v>-0.15804904051172619</v>
      </c>
      <c r="CD301" s="89">
        <f t="shared" si="2173"/>
        <v>7.0275403608735854E-2</v>
      </c>
      <c r="CE301" s="89">
        <f t="shared" si="2173"/>
        <v>0.26116533569949674</v>
      </c>
      <c r="CF301" s="89">
        <f t="shared" si="2173"/>
        <v>0.13250469043152013</v>
      </c>
      <c r="CG301" s="89">
        <f t="shared" si="2173"/>
        <v>-0.13584593083454133</v>
      </c>
      <c r="CH301" s="89">
        <f t="shared" si="2173"/>
        <v>0.38269829858614801</v>
      </c>
      <c r="CI301" s="89">
        <f t="shared" si="2173"/>
        <v>1.2131715771239726E-3</v>
      </c>
      <c r="CJ301" s="89">
        <f t="shared" si="2173"/>
        <v>0.23507010559113706</v>
      </c>
      <c r="CK301" s="89">
        <f t="shared" si="2173"/>
        <v>-0.18948843728100884</v>
      </c>
      <c r="CL301" s="89">
        <f t="shared" si="2173"/>
        <v>0.29846100639806217</v>
      </c>
      <c r="CM301" s="47">
        <f t="shared" si="2173"/>
        <v>-4.4282733538768437E-2</v>
      </c>
      <c r="CN301" s="47">
        <f t="shared" si="2173"/>
        <v>0.14057846321834022</v>
      </c>
      <c r="CO301" s="47">
        <f t="shared" si="2173"/>
        <v>-9.62393427450009E-2</v>
      </c>
      <c r="CP301" s="47">
        <f t="shared" si="2173"/>
        <v>0.16984967641782833</v>
      </c>
      <c r="CQ301" s="47">
        <f t="shared" si="2173"/>
        <v>8.2350726578834799E-3</v>
      </c>
      <c r="CR301" s="47">
        <f t="shared" si="2173"/>
        <v>0.13178931380683978</v>
      </c>
      <c r="CS301" s="47">
        <f t="shared" si="2173"/>
        <v>-8.9183165826587141E-2</v>
      </c>
      <c r="CT301" s="47">
        <f t="shared" si="2173"/>
        <v>0.15512157352084111</v>
      </c>
      <c r="CU301" s="47">
        <f t="shared" si="2173"/>
        <v>3.7044915323567462E-3</v>
      </c>
      <c r="CV301" s="47">
        <f t="shared" si="2173"/>
        <v>0.12765220052697512</v>
      </c>
      <c r="CW301" s="47">
        <f t="shared" si="2173"/>
        <v>-9.2987528808213149E-2</v>
      </c>
      <c r="CX301" s="47">
        <f t="shared" si="2173"/>
        <v>0.14886187078840551</v>
      </c>
      <c r="CY301" s="47">
        <f t="shared" si="2173"/>
        <v>1.1489134921486066E-2</v>
      </c>
      <c r="CZ301" s="47">
        <f t="shared" si="2173"/>
        <v>0.12657092271494919</v>
      </c>
      <c r="DA301" s="47">
        <f t="shared" si="2173"/>
        <v>-9.4407195464912719E-2</v>
      </c>
      <c r="DB301" s="47">
        <f t="shared" si="2173"/>
        <v>0.14939655124240758</v>
      </c>
      <c r="DE301" s="130"/>
      <c r="DF301" s="89">
        <v>0.17215571230644344</v>
      </c>
    </row>
    <row r="302" spans="1:110" s="103" customFormat="1" x14ac:dyDescent="0.2">
      <c r="A302" s="147" t="s">
        <v>105</v>
      </c>
      <c r="C302" s="103" t="e">
        <f>IF(C300&gt;C301,"RF",0)</f>
        <v>#DIV/0!</v>
      </c>
      <c r="D302" s="103" t="e">
        <f t="shared" ref="D302:U302" si="2174">IF(D300&gt;D301,"RF",0)</f>
        <v>#DIV/0!</v>
      </c>
      <c r="F302" s="103" t="e">
        <f t="shared" si="2174"/>
        <v>#DIV/0!</v>
      </c>
      <c r="G302" s="103" t="e">
        <f t="shared" si="2174"/>
        <v>#DIV/0!</v>
      </c>
      <c r="H302" s="103" t="e">
        <f t="shared" si="2174"/>
        <v>#DIV/0!</v>
      </c>
      <c r="I302" s="103">
        <f t="shared" si="2174"/>
        <v>0</v>
      </c>
      <c r="J302" s="103">
        <f t="shared" si="2174"/>
        <v>0</v>
      </c>
      <c r="K302" s="103" t="e">
        <f t="shared" si="2174"/>
        <v>#DIV/0!</v>
      </c>
      <c r="L302" s="103" t="e">
        <f t="shared" si="2174"/>
        <v>#DIV/0!</v>
      </c>
      <c r="M302" s="103">
        <f t="shared" si="2174"/>
        <v>0</v>
      </c>
      <c r="N302" s="103">
        <f t="shared" si="2174"/>
        <v>0</v>
      </c>
      <c r="O302" s="103">
        <f t="shared" si="2174"/>
        <v>0</v>
      </c>
      <c r="P302" s="103">
        <f t="shared" si="2174"/>
        <v>0</v>
      </c>
      <c r="Q302" s="103" t="e">
        <f t="shared" si="2174"/>
        <v>#DIV/0!</v>
      </c>
      <c r="R302" s="103" t="e">
        <f t="shared" si="2174"/>
        <v>#DIV/0!</v>
      </c>
      <c r="S302" s="103">
        <f t="shared" si="2174"/>
        <v>0</v>
      </c>
      <c r="T302" s="103" t="e">
        <f t="shared" si="2174"/>
        <v>#DIV/0!</v>
      </c>
      <c r="U302" s="103">
        <f t="shared" si="2174"/>
        <v>0</v>
      </c>
      <c r="V302" s="103">
        <f>IF(V300&gt;V301,"RF",0)</f>
        <v>0</v>
      </c>
      <c r="W302" s="103" t="e">
        <f t="shared" ref="W302:AE302" si="2175">IF(W300&gt;W301,"RF",0)</f>
        <v>#DIV/0!</v>
      </c>
      <c r="X302" s="103" t="e">
        <f t="shared" si="2175"/>
        <v>#DIV/0!</v>
      </c>
      <c r="Y302" s="103" t="e">
        <f t="shared" si="2175"/>
        <v>#DIV/0!</v>
      </c>
      <c r="Z302" s="103">
        <f t="shared" si="2175"/>
        <v>0</v>
      </c>
      <c r="AA302" s="103" t="e">
        <f t="shared" ref="AA302" si="2176">IF(AA300&gt;AA301,"RF",0)</f>
        <v>#DIV/0!</v>
      </c>
      <c r="AB302" s="73" t="e">
        <f t="shared" si="2175"/>
        <v>#DIV/0!</v>
      </c>
      <c r="AC302" s="73" t="e">
        <f t="shared" si="2175"/>
        <v>#DIV/0!</v>
      </c>
      <c r="AD302" s="73" t="e">
        <f t="shared" si="2175"/>
        <v>#DIV/0!</v>
      </c>
      <c r="AE302" s="73" t="e">
        <f t="shared" si="2175"/>
        <v>#DIV/0!</v>
      </c>
      <c r="AL302" s="103" t="e">
        <f t="shared" ref="AL302:CW302" si="2177">IF(AL300&gt;AL301,"RF",0)</f>
        <v>#DIV/0!</v>
      </c>
      <c r="AM302" s="103" t="e">
        <f t="shared" si="2177"/>
        <v>#DIV/0!</v>
      </c>
      <c r="AN302" s="103" t="e">
        <f t="shared" si="2177"/>
        <v>#DIV/0!</v>
      </c>
      <c r="AO302" s="103" t="e">
        <f t="shared" si="2177"/>
        <v>#DIV/0!</v>
      </c>
      <c r="AP302" s="103" t="e">
        <f t="shared" si="2177"/>
        <v>#DIV/0!</v>
      </c>
      <c r="AQ302" s="103" t="e">
        <f t="shared" si="2177"/>
        <v>#DIV/0!</v>
      </c>
      <c r="AR302" s="103" t="e">
        <f t="shared" si="2177"/>
        <v>#DIV/0!</v>
      </c>
      <c r="AS302" s="103" t="e">
        <f t="shared" si="2177"/>
        <v>#DIV/0!</v>
      </c>
      <c r="AT302" s="103" t="e">
        <f t="shared" si="2177"/>
        <v>#DIV/0!</v>
      </c>
      <c r="AU302" s="103" t="e">
        <f t="shared" si="2177"/>
        <v>#DIV/0!</v>
      </c>
      <c r="AV302" s="103" t="e">
        <f t="shared" si="2177"/>
        <v>#DIV/0!</v>
      </c>
      <c r="AW302" s="103" t="e">
        <f t="shared" si="2177"/>
        <v>#DIV/0!</v>
      </c>
      <c r="AX302" s="103" t="e">
        <f t="shared" si="2177"/>
        <v>#DIV/0!</v>
      </c>
      <c r="AY302" s="103" t="e">
        <f t="shared" si="2177"/>
        <v>#DIV/0!</v>
      </c>
      <c r="AZ302" s="103" t="e">
        <f t="shared" si="2177"/>
        <v>#DIV/0!</v>
      </c>
      <c r="BA302" s="103" t="e">
        <f t="shared" si="2177"/>
        <v>#DIV/0!</v>
      </c>
      <c r="BB302" s="103" t="e">
        <f t="shared" si="2177"/>
        <v>#DIV/0!</v>
      </c>
      <c r="BC302" s="103" t="e">
        <f t="shared" si="2177"/>
        <v>#DIV/0!</v>
      </c>
      <c r="BD302" s="103" t="e">
        <f t="shared" si="2177"/>
        <v>#DIV/0!</v>
      </c>
      <c r="BE302" s="103" t="str">
        <f t="shared" si="2177"/>
        <v>RF</v>
      </c>
      <c r="BF302" s="103">
        <f t="shared" si="2177"/>
        <v>0</v>
      </c>
      <c r="BG302" s="103" t="e">
        <f t="shared" si="2177"/>
        <v>#DIV/0!</v>
      </c>
      <c r="BH302" s="103" t="e">
        <f t="shared" si="2177"/>
        <v>#DIV/0!</v>
      </c>
      <c r="BI302" s="103" t="str">
        <f t="shared" si="2177"/>
        <v>RF</v>
      </c>
      <c r="BJ302" s="103">
        <f t="shared" si="2177"/>
        <v>0</v>
      </c>
      <c r="BK302" s="103">
        <f t="shared" si="2177"/>
        <v>0</v>
      </c>
      <c r="BL302" s="103">
        <f t="shared" si="2177"/>
        <v>0</v>
      </c>
      <c r="BM302" s="103" t="str">
        <f t="shared" si="2177"/>
        <v>RF</v>
      </c>
      <c r="BN302" s="103" t="str">
        <f t="shared" si="2177"/>
        <v>RF</v>
      </c>
      <c r="BO302" s="103" t="str">
        <f t="shared" si="2177"/>
        <v>RF</v>
      </c>
      <c r="BP302" s="103">
        <f t="shared" si="2177"/>
        <v>0</v>
      </c>
      <c r="BQ302" s="103" t="str">
        <f t="shared" si="2177"/>
        <v>RF</v>
      </c>
      <c r="BR302" s="103">
        <f t="shared" si="2177"/>
        <v>0</v>
      </c>
      <c r="BS302" s="103" t="e">
        <f t="shared" si="2177"/>
        <v>#DIV/0!</v>
      </c>
      <c r="BT302" s="103" t="e">
        <f t="shared" si="2177"/>
        <v>#DIV/0!</v>
      </c>
      <c r="BU302" s="103" t="e">
        <f t="shared" si="2177"/>
        <v>#DIV/0!</v>
      </c>
      <c r="BV302" s="103" t="e">
        <f t="shared" si="2177"/>
        <v>#DIV/0!</v>
      </c>
      <c r="BW302" s="103" t="e">
        <f t="shared" si="2177"/>
        <v>#DIV/0!</v>
      </c>
      <c r="BX302" s="103" t="e">
        <f t="shared" si="2177"/>
        <v>#DIV/0!</v>
      </c>
      <c r="BY302" s="103" t="e">
        <f t="shared" si="2177"/>
        <v>#DIV/0!</v>
      </c>
      <c r="BZ302" s="103" t="e">
        <f t="shared" si="2177"/>
        <v>#DIV/0!</v>
      </c>
      <c r="CA302" s="103" t="e">
        <f t="shared" si="2177"/>
        <v>#DIV/0!</v>
      </c>
      <c r="CB302" s="103" t="e">
        <f t="shared" si="2177"/>
        <v>#DIV/0!</v>
      </c>
      <c r="CC302" s="103" t="str">
        <f t="shared" si="2177"/>
        <v>RF</v>
      </c>
      <c r="CD302" s="103">
        <f t="shared" si="2177"/>
        <v>0</v>
      </c>
      <c r="CE302" s="103">
        <f t="shared" si="2177"/>
        <v>0</v>
      </c>
      <c r="CF302" s="103">
        <f t="shared" si="2177"/>
        <v>0</v>
      </c>
      <c r="CG302" s="103" t="str">
        <f t="shared" si="2177"/>
        <v>RF</v>
      </c>
      <c r="CH302" s="103">
        <f t="shared" si="2177"/>
        <v>0</v>
      </c>
      <c r="CI302" s="103" t="e">
        <f t="shared" si="2177"/>
        <v>#DIV/0!</v>
      </c>
      <c r="CJ302" s="103" t="e">
        <f t="shared" si="2177"/>
        <v>#DIV/0!</v>
      </c>
      <c r="CK302" s="103" t="e">
        <f t="shared" si="2177"/>
        <v>#DIV/0!</v>
      </c>
      <c r="CL302" s="103" t="e">
        <f t="shared" ref="CL302" si="2178">IF(CL300&gt;CL301,"RF",0)</f>
        <v>#DIV/0!</v>
      </c>
      <c r="CM302" s="73" t="e">
        <f t="shared" si="2177"/>
        <v>#DIV/0!</v>
      </c>
      <c r="CN302" s="73" t="e">
        <f t="shared" si="2177"/>
        <v>#DIV/0!</v>
      </c>
      <c r="CO302" s="73" t="e">
        <f t="shared" si="2177"/>
        <v>#DIV/0!</v>
      </c>
      <c r="CP302" s="73" t="e">
        <f t="shared" si="2177"/>
        <v>#DIV/0!</v>
      </c>
      <c r="CQ302" s="73" t="e">
        <f t="shared" si="2177"/>
        <v>#DIV/0!</v>
      </c>
      <c r="CR302" s="73" t="e">
        <f t="shared" si="2177"/>
        <v>#DIV/0!</v>
      </c>
      <c r="CS302" s="73" t="e">
        <f t="shared" si="2177"/>
        <v>#DIV/0!</v>
      </c>
      <c r="CT302" s="73" t="e">
        <f t="shared" si="2177"/>
        <v>#DIV/0!</v>
      </c>
      <c r="CU302" s="73" t="e">
        <f t="shared" si="2177"/>
        <v>#DIV/0!</v>
      </c>
      <c r="CV302" s="73" t="e">
        <f t="shared" si="2177"/>
        <v>#DIV/0!</v>
      </c>
      <c r="CW302" s="73" t="e">
        <f t="shared" si="2177"/>
        <v>#DIV/0!</v>
      </c>
      <c r="CX302" s="73" t="e">
        <f t="shared" ref="CX302:DB302" si="2179">IF(CX300&gt;CX301,"RF",0)</f>
        <v>#DIV/0!</v>
      </c>
      <c r="CY302" s="73" t="e">
        <f t="shared" si="2179"/>
        <v>#DIV/0!</v>
      </c>
      <c r="CZ302" s="73" t="e">
        <f t="shared" si="2179"/>
        <v>#DIV/0!</v>
      </c>
      <c r="DA302" s="73" t="e">
        <f t="shared" si="2179"/>
        <v>#DIV/0!</v>
      </c>
      <c r="DB302" s="73" t="e">
        <f t="shared" si="2179"/>
        <v>#DIV/0!</v>
      </c>
      <c r="DE302" s="142"/>
    </row>
    <row r="303" spans="1:110" s="86" customFormat="1" x14ac:dyDescent="0.2">
      <c r="A303" s="86" t="s">
        <v>432</v>
      </c>
      <c r="B303" s="86" t="e">
        <f>B78/B41</f>
        <v>#DIV/0!</v>
      </c>
      <c r="C303" s="86" t="e">
        <f>C78/C41</f>
        <v>#DIV/0!</v>
      </c>
      <c r="D303" s="86" t="e">
        <f>D78/D41</f>
        <v>#DIV/0!</v>
      </c>
      <c r="F303" s="86" t="e">
        <f t="shared" ref="F303:AE303" si="2180">F78/F41</f>
        <v>#DIV/0!</v>
      </c>
      <c r="G303" s="86" t="e">
        <f t="shared" si="2180"/>
        <v>#DIV/0!</v>
      </c>
      <c r="H303" s="86">
        <f t="shared" si="2180"/>
        <v>1.6057514729777267E-3</v>
      </c>
      <c r="I303" s="86">
        <f t="shared" si="2180"/>
        <v>1.4053435244415617E-3</v>
      </c>
      <c r="J303" s="86">
        <f t="shared" si="2180"/>
        <v>7.2621639645199907E-4</v>
      </c>
      <c r="K303" s="86">
        <f t="shared" si="2180"/>
        <v>7.3974465489922878E-4</v>
      </c>
      <c r="L303" s="86">
        <f t="shared" si="2180"/>
        <v>8.4762088229628214E-4</v>
      </c>
      <c r="M303" s="86">
        <f t="shared" si="2180"/>
        <v>6.600902123290183E-4</v>
      </c>
      <c r="N303" s="86">
        <f t="shared" si="2180"/>
        <v>7.2247339137947728E-4</v>
      </c>
      <c r="O303" s="86">
        <f t="shared" si="2180"/>
        <v>1.066823134059662E-3</v>
      </c>
      <c r="P303" s="86">
        <f t="shared" si="2180"/>
        <v>1.6397205916111894E-3</v>
      </c>
      <c r="Q303" s="86">
        <f t="shared" si="2180"/>
        <v>2.2866391384640927E-3</v>
      </c>
      <c r="R303" s="86">
        <f t="shared" si="2180"/>
        <v>1.5210899282820883E-3</v>
      </c>
      <c r="S303" s="86">
        <f t="shared" si="2180"/>
        <v>1.2348450830713966E-3</v>
      </c>
      <c r="T303" s="86">
        <f t="shared" si="2180"/>
        <v>1.5139857536422526E-3</v>
      </c>
      <c r="U303" s="86">
        <f t="shared" si="2180"/>
        <v>4.2601206650393778E-3</v>
      </c>
      <c r="V303" s="86">
        <f t="shared" si="2180"/>
        <v>1.7589260442359791E-3</v>
      </c>
      <c r="W303" s="86">
        <f t="shared" si="2180"/>
        <v>5.4512108141154094E-3</v>
      </c>
      <c r="X303" s="86">
        <f t="shared" si="2180"/>
        <v>9.1708280327339707E-3</v>
      </c>
      <c r="Y303" s="86">
        <f t="shared" si="2180"/>
        <v>9.6698608099601326E-3</v>
      </c>
      <c r="Z303" s="86">
        <f t="shared" si="2180"/>
        <v>5.4411871681094058E-3</v>
      </c>
      <c r="AA303" s="86">
        <f t="shared" ref="AA303" si="2181">AA78/AA41</f>
        <v>4.7766090900318442E-3</v>
      </c>
      <c r="AB303" s="87">
        <f t="shared" si="2180"/>
        <v>-1.3402677181234226E-2</v>
      </c>
      <c r="AC303" s="87">
        <f t="shared" si="2180"/>
        <v>-1.7125751705696728E-2</v>
      </c>
      <c r="AD303" s="87">
        <f t="shared" si="2180"/>
        <v>-2.2056957710364047E-2</v>
      </c>
      <c r="AE303" s="87">
        <f t="shared" si="2180"/>
        <v>-2.6545106052221042E-2</v>
      </c>
      <c r="AL303" s="86" t="e">
        <f t="shared" ref="AL303:BQ303" si="2182">AL78/AL41</f>
        <v>#DIV/0!</v>
      </c>
      <c r="AM303" s="86" t="e">
        <f t="shared" si="2182"/>
        <v>#DIV/0!</v>
      </c>
      <c r="AN303" s="86" t="e">
        <f t="shared" si="2182"/>
        <v>#DIV/0!</v>
      </c>
      <c r="AO303" s="86" t="e">
        <f t="shared" si="2182"/>
        <v>#DIV/0!</v>
      </c>
      <c r="AP303" s="86" t="e">
        <f t="shared" si="2182"/>
        <v>#DIV/0!</v>
      </c>
      <c r="AQ303" s="86" t="e">
        <f t="shared" si="2182"/>
        <v>#DIV/0!</v>
      </c>
      <c r="AR303" s="86" t="e">
        <f t="shared" si="2182"/>
        <v>#DIV/0!</v>
      </c>
      <c r="AS303" s="86" t="e">
        <f t="shared" si="2182"/>
        <v>#DIV/0!</v>
      </c>
      <c r="AT303" s="86" t="e">
        <f t="shared" si="2182"/>
        <v>#DIV/0!</v>
      </c>
      <c r="AU303" s="86">
        <f t="shared" si="2182"/>
        <v>0</v>
      </c>
      <c r="AV303" s="86">
        <f t="shared" si="2182"/>
        <v>0</v>
      </c>
      <c r="AW303" s="86">
        <f t="shared" si="2182"/>
        <v>0</v>
      </c>
      <c r="AX303" s="86">
        <f t="shared" si="2182"/>
        <v>0</v>
      </c>
      <c r="AY303" s="86">
        <f t="shared" si="2182"/>
        <v>1.1928140228380246E-3</v>
      </c>
      <c r="AZ303" s="86">
        <f t="shared" si="2182"/>
        <v>0</v>
      </c>
      <c r="BA303" s="86">
        <f t="shared" si="2182"/>
        <v>1.2219727755832788E-3</v>
      </c>
      <c r="BB303" s="86">
        <f t="shared" si="2182"/>
        <v>1.1478947610083108E-3</v>
      </c>
      <c r="BC303" s="86">
        <f t="shared" si="2182"/>
        <v>1.0255241567912487E-3</v>
      </c>
      <c r="BD303" s="86">
        <f t="shared" si="2182"/>
        <v>1.0223090553864327E-3</v>
      </c>
      <c r="BE303" s="86">
        <f t="shared" si="2182"/>
        <v>1.1923214498628829E-3</v>
      </c>
      <c r="BF303" s="86">
        <f t="shared" si="2182"/>
        <v>1.5518311607697084E-3</v>
      </c>
      <c r="BG303" s="86">
        <f t="shared" si="2182"/>
        <v>1.132269686052496E-3</v>
      </c>
      <c r="BH303" s="86">
        <f t="shared" si="2182"/>
        <v>1.4439738159414709E-3</v>
      </c>
      <c r="BI303" s="86">
        <f t="shared" si="2182"/>
        <v>1.5577941634645342E-3</v>
      </c>
      <c r="BJ303" s="86">
        <f t="shared" si="2182"/>
        <v>1.8941187612463303E-3</v>
      </c>
      <c r="BK303" s="86">
        <f t="shared" si="2182"/>
        <v>4.2832406816731977E-3</v>
      </c>
      <c r="BL303" s="86">
        <f t="shared" si="2182"/>
        <v>5.2477632484514798E-3</v>
      </c>
      <c r="BM303" s="86">
        <f t="shared" si="2182"/>
        <v>3.6865488231401832E-3</v>
      </c>
      <c r="BN303" s="86">
        <f t="shared" si="2182"/>
        <v>3.746056782334385E-3</v>
      </c>
      <c r="BO303" s="86">
        <f t="shared" si="2182"/>
        <v>5.686866891771814E-3</v>
      </c>
      <c r="BP303" s="86">
        <f t="shared" si="2182"/>
        <v>2.2185970636215335E-3</v>
      </c>
      <c r="BQ303" s="86">
        <f t="shared" si="2182"/>
        <v>2.1696680407897588E-3</v>
      </c>
      <c r="BR303" s="86">
        <f t="shared" ref="BR303:DB303" si="2183">BR78/BR41</f>
        <v>-6.1291201307545626E-4</v>
      </c>
      <c r="BS303" s="86">
        <f t="shared" si="2183"/>
        <v>3.7655633161251139E-3</v>
      </c>
      <c r="BT303" s="86">
        <f t="shared" si="2183"/>
        <v>3.915782305204017E-3</v>
      </c>
      <c r="BU303" s="86">
        <f t="shared" si="2183"/>
        <v>4.2589437819420782E-3</v>
      </c>
      <c r="BV303" s="86">
        <f t="shared" si="2183"/>
        <v>4.365808823529411E-3</v>
      </c>
      <c r="BW303" s="86">
        <f t="shared" si="2183"/>
        <v>4.3821895296971593E-3</v>
      </c>
      <c r="BX303" s="86">
        <f t="shared" si="2183"/>
        <v>4.0008890864636588E-3</v>
      </c>
      <c r="BY303" s="86">
        <f t="shared" si="2183"/>
        <v>4.5301882371319218E-3</v>
      </c>
      <c r="BZ303" s="86">
        <f t="shared" si="2183"/>
        <v>4.9308213129231676E-3</v>
      </c>
      <c r="CA303" s="86">
        <f t="shared" si="2183"/>
        <v>6.5238342353028398E-3</v>
      </c>
      <c r="CB303" s="86">
        <f t="shared" si="2183"/>
        <v>7.6351351351351343E-3</v>
      </c>
      <c r="CC303" s="86">
        <f t="shared" si="2183"/>
        <v>7.9412201276532583E-3</v>
      </c>
      <c r="CD303" s="86">
        <f t="shared" si="2183"/>
        <v>7.2609400324149115E-3</v>
      </c>
      <c r="CE303" s="86">
        <f t="shared" si="2183"/>
        <v>6.3093493085208084E-3</v>
      </c>
      <c r="CF303" s="86">
        <f t="shared" si="2183"/>
        <v>4.2850699142986011E-3</v>
      </c>
      <c r="CG303" s="86">
        <f t="shared" si="2183"/>
        <v>3.6162005785920926E-3</v>
      </c>
      <c r="CH303" s="86">
        <f t="shared" si="2183"/>
        <v>3.7401154092754859E-3</v>
      </c>
      <c r="CI303" s="86">
        <f t="shared" si="2183"/>
        <v>4.0408226700512874E-3</v>
      </c>
      <c r="CJ303" s="86">
        <f t="shared" si="2183"/>
        <v>2.7247956403269754E-3</v>
      </c>
      <c r="CK303" s="86">
        <f t="shared" si="2183"/>
        <v>-4.6028742392471741E-4</v>
      </c>
      <c r="CL303" s="86">
        <f t="shared" ref="CL303" si="2184">CL78/CL41</f>
        <v>6.7872292922527356E-3</v>
      </c>
      <c r="CM303" s="87">
        <f t="shared" si="2183"/>
        <v>-1.1054562098466796E-2</v>
      </c>
      <c r="CN303" s="87">
        <f t="shared" si="2183"/>
        <v>-1.1781780114417224E-2</v>
      </c>
      <c r="CO303" s="87">
        <f t="shared" si="2183"/>
        <v>-1.5124563722021435E-2</v>
      </c>
      <c r="CP303" s="87">
        <f t="shared" si="2183"/>
        <v>-1.5469418491401068E-2</v>
      </c>
      <c r="CQ303" s="87">
        <f t="shared" si="2183"/>
        <v>-1.5226881239245732E-2</v>
      </c>
      <c r="CR303" s="87">
        <f t="shared" si="2183"/>
        <v>-1.5394885550429976E-2</v>
      </c>
      <c r="CS303" s="87">
        <f t="shared" si="2183"/>
        <v>-1.9032794611995498E-2</v>
      </c>
      <c r="CT303" s="87">
        <f t="shared" si="2183"/>
        <v>-1.8751303107312656E-2</v>
      </c>
      <c r="CU303" s="87">
        <f t="shared" si="2183"/>
        <v>-2.0367770596386253E-2</v>
      </c>
      <c r="CV303" s="87">
        <f t="shared" si="2183"/>
        <v>-2.0067955568125476E-2</v>
      </c>
      <c r="CW303" s="87">
        <f t="shared" si="2183"/>
        <v>-2.4322721002115816E-2</v>
      </c>
      <c r="CX303" s="87">
        <f t="shared" si="2183"/>
        <v>-2.3438525101336209E-2</v>
      </c>
      <c r="CY303" s="87">
        <f t="shared" si="2183"/>
        <v>-2.5073385169400244E-2</v>
      </c>
      <c r="CZ303" s="87">
        <f t="shared" si="2183"/>
        <v>-2.4322924375044509E-2</v>
      </c>
      <c r="DA303" s="87">
        <f t="shared" si="2183"/>
        <v>-2.9131010495547442E-2</v>
      </c>
      <c r="DB303" s="87">
        <f t="shared" si="2183"/>
        <v>-2.7686461124232647E-2</v>
      </c>
      <c r="DE303" s="141"/>
      <c r="DF303" s="86">
        <v>-1.6815812789050293E-2</v>
      </c>
    </row>
    <row r="304" spans="1:110" s="86" customFormat="1" x14ac:dyDescent="0.2">
      <c r="A304" s="86" t="s">
        <v>433</v>
      </c>
      <c r="B304" s="86" t="e">
        <f>B74/B41</f>
        <v>#DIV/0!</v>
      </c>
      <c r="C304" s="86" t="e">
        <f>C74/C41</f>
        <v>#DIV/0!</v>
      </c>
      <c r="D304" s="86" t="e">
        <f>D74/D41</f>
        <v>#DIV/0!</v>
      </c>
      <c r="F304" s="86" t="e">
        <f t="shared" ref="F304:AE304" si="2185">F74/F41</f>
        <v>#DIV/0!</v>
      </c>
      <c r="G304" s="86" t="e">
        <f t="shared" si="2185"/>
        <v>#DIV/0!</v>
      </c>
      <c r="H304" s="86">
        <f t="shared" si="2185"/>
        <v>2.8134684844476936E-2</v>
      </c>
      <c r="I304" s="86">
        <f t="shared" si="2185"/>
        <v>2.8872840150846568E-2</v>
      </c>
      <c r="J304" s="86">
        <f t="shared" si="2185"/>
        <v>3.025175771924141E-2</v>
      </c>
      <c r="K304" s="86">
        <f t="shared" si="2185"/>
        <v>2.4365962394983884E-2</v>
      </c>
      <c r="L304" s="86">
        <f t="shared" si="2185"/>
        <v>1.6811147498876262E-2</v>
      </c>
      <c r="M304" s="86">
        <f t="shared" si="2185"/>
        <v>1.9170119916388575E-2</v>
      </c>
      <c r="N304" s="86">
        <f t="shared" si="2185"/>
        <v>2.4690714354875951E-2</v>
      </c>
      <c r="O304" s="86">
        <f t="shared" si="2185"/>
        <v>4.2419554868047313E-2</v>
      </c>
      <c r="P304" s="86">
        <f t="shared" si="2185"/>
        <v>7.0316684703593174E-2</v>
      </c>
      <c r="Q304" s="86">
        <f t="shared" si="2185"/>
        <v>7.5683190504845094E-2</v>
      </c>
      <c r="R304" s="86">
        <f t="shared" si="2185"/>
        <v>5.9302795454470786E-2</v>
      </c>
      <c r="S304" s="86">
        <f t="shared" si="2185"/>
        <v>5.640996856757971E-2</v>
      </c>
      <c r="T304" s="86">
        <f t="shared" si="2185"/>
        <v>6.4952470775111071E-2</v>
      </c>
      <c r="U304" s="86">
        <f t="shared" si="2185"/>
        <v>7.3481324552111635E-2</v>
      </c>
      <c r="V304" s="86">
        <f t="shared" si="2185"/>
        <v>6.1218713355707416E-2</v>
      </c>
      <c r="W304" s="86">
        <f t="shared" si="2185"/>
        <v>5.7517915973236418E-2</v>
      </c>
      <c r="X304" s="86">
        <f t="shared" si="2185"/>
        <v>7.349953481307081E-2</v>
      </c>
      <c r="Y304" s="86">
        <f t="shared" si="2185"/>
        <v>8.2202559977617676E-2</v>
      </c>
      <c r="Z304" s="86">
        <f t="shared" si="2185"/>
        <v>8.039572270313522E-2</v>
      </c>
      <c r="AA304" s="86">
        <f t="shared" ref="AA304" si="2186">AA74/AA41</f>
        <v>7.0660040528804396E-2</v>
      </c>
      <c r="AB304" s="87">
        <f t="shared" si="2185"/>
        <v>6.3272683629205628E-2</v>
      </c>
      <c r="AC304" s="87">
        <f t="shared" si="2185"/>
        <v>5.3054976678068071E-2</v>
      </c>
      <c r="AD304" s="87">
        <f t="shared" si="2185"/>
        <v>4.4548802629178368E-2</v>
      </c>
      <c r="AE304" s="87">
        <f t="shared" si="2185"/>
        <v>3.7430568036405633E-2</v>
      </c>
      <c r="AL304" s="86" t="e">
        <f t="shared" ref="AL304:BQ304" si="2187">AL74/AL41</f>
        <v>#DIV/0!</v>
      </c>
      <c r="AM304" s="86" t="e">
        <f t="shared" si="2187"/>
        <v>#DIV/0!</v>
      </c>
      <c r="AN304" s="86" t="e">
        <f t="shared" si="2187"/>
        <v>#DIV/0!</v>
      </c>
      <c r="AO304" s="86" t="e">
        <f t="shared" si="2187"/>
        <v>#DIV/0!</v>
      </c>
      <c r="AP304" s="86" t="e">
        <f t="shared" si="2187"/>
        <v>#DIV/0!</v>
      </c>
      <c r="AQ304" s="86" t="e">
        <f t="shared" si="2187"/>
        <v>#DIV/0!</v>
      </c>
      <c r="AR304" s="86" t="e">
        <f t="shared" si="2187"/>
        <v>#DIV/0!</v>
      </c>
      <c r="AS304" s="86" t="e">
        <f t="shared" si="2187"/>
        <v>#DIV/0!</v>
      </c>
      <c r="AT304" s="86" t="e">
        <f t="shared" si="2187"/>
        <v>#DIV/0!</v>
      </c>
      <c r="AU304" s="86">
        <f t="shared" si="2187"/>
        <v>7.9901745767172572E-2</v>
      </c>
      <c r="AV304" s="86">
        <f t="shared" si="2187"/>
        <v>6.4530635188308039E-2</v>
      </c>
      <c r="AW304" s="86">
        <f t="shared" si="2187"/>
        <v>8.1868248252488882E-2</v>
      </c>
      <c r="AX304" s="86">
        <f t="shared" si="2187"/>
        <v>7.7273076627469059E-2</v>
      </c>
      <c r="AY304" s="86">
        <f t="shared" si="2187"/>
        <v>6.0106189541057523E-2</v>
      </c>
      <c r="AZ304" s="86">
        <f t="shared" si="2187"/>
        <v>5.534370681271434E-2</v>
      </c>
      <c r="BA304" s="86">
        <f t="shared" si="2187"/>
        <v>6.6270709596748981E-2</v>
      </c>
      <c r="BB304" s="86">
        <f t="shared" si="2187"/>
        <v>5.659121171770972E-2</v>
      </c>
      <c r="BC304" s="86">
        <f t="shared" si="2187"/>
        <v>5.0364630811303553E-2</v>
      </c>
      <c r="BD304" s="86">
        <f t="shared" si="2187"/>
        <v>5.6113408151210874E-2</v>
      </c>
      <c r="BE304" s="86">
        <f t="shared" si="2187"/>
        <v>6.1285322522952178E-2</v>
      </c>
      <c r="BF304" s="86">
        <f t="shared" si="2187"/>
        <v>5.7935030002069107E-2</v>
      </c>
      <c r="BG304" s="86">
        <f t="shared" si="2187"/>
        <v>5.8466289243437976E-2</v>
      </c>
      <c r="BH304" s="86">
        <f t="shared" si="2187"/>
        <v>6.3631112822487498E-2</v>
      </c>
      <c r="BI304" s="86">
        <f t="shared" si="2187"/>
        <v>7.1554678575137601E-2</v>
      </c>
      <c r="BJ304" s="86">
        <f t="shared" si="2187"/>
        <v>6.6199450705559243E-2</v>
      </c>
      <c r="BK304" s="86">
        <f t="shared" si="2187"/>
        <v>6.6982593638931914E-2</v>
      </c>
      <c r="BL304" s="86">
        <f t="shared" si="2187"/>
        <v>7.0801789401238824E-2</v>
      </c>
      <c r="BM304" s="86">
        <f t="shared" si="2187"/>
        <v>7.4109084034407788E-2</v>
      </c>
      <c r="BN304" s="86">
        <f t="shared" si="2187"/>
        <v>8.3694794952681395E-2</v>
      </c>
      <c r="BO304" s="86">
        <f t="shared" si="2187"/>
        <v>0.12386706948640483</v>
      </c>
      <c r="BP304" s="86">
        <f t="shared" si="2187"/>
        <v>4.9853181076672103E-2</v>
      </c>
      <c r="BQ304" s="86">
        <f t="shared" si="2187"/>
        <v>5.6700658132639033E-2</v>
      </c>
      <c r="BR304" s="86">
        <f t="shared" ref="BR304:DB304" si="2188">BR74/BR41</f>
        <v>5.3187142467992367E-2</v>
      </c>
      <c r="BS304" s="86">
        <f t="shared" si="2188"/>
        <v>4.4275736410567867E-2</v>
      </c>
      <c r="BT304" s="86">
        <f t="shared" si="2188"/>
        <v>4.6308382044151865E-2</v>
      </c>
      <c r="BU304" s="86">
        <f t="shared" si="2188"/>
        <v>7.4957410562180582E-2</v>
      </c>
      <c r="BV304" s="86">
        <f t="shared" si="2188"/>
        <v>7.4065563725490197E-2</v>
      </c>
      <c r="BW304" s="86">
        <f t="shared" si="2188"/>
        <v>6.7376164019093812E-2</v>
      </c>
      <c r="BX304" s="86">
        <f t="shared" si="2188"/>
        <v>6.7792842853967555E-2</v>
      </c>
      <c r="BY304" s="86">
        <f t="shared" si="2188"/>
        <v>7.9278294149808637E-2</v>
      </c>
      <c r="BZ304" s="86">
        <f t="shared" si="2188"/>
        <v>7.9481895790403309E-2</v>
      </c>
      <c r="CA304" s="86">
        <f t="shared" si="2188"/>
        <v>7.2874193787530586E-2</v>
      </c>
      <c r="CB304" s="86">
        <f t="shared" si="2188"/>
        <v>7.195945945945946E-2</v>
      </c>
      <c r="CC304" s="86">
        <f t="shared" si="2188"/>
        <v>9.9970313195784477E-2</v>
      </c>
      <c r="CD304" s="86">
        <f t="shared" si="2188"/>
        <v>8.4667747163695309E-2</v>
      </c>
      <c r="CE304" s="86">
        <f t="shared" si="2188"/>
        <v>7.2398190045248861E-2</v>
      </c>
      <c r="CF304" s="86">
        <f t="shared" si="2188"/>
        <v>7.3691926026161481E-2</v>
      </c>
      <c r="CG304" s="86">
        <f t="shared" si="2188"/>
        <v>0.10282063645130184</v>
      </c>
      <c r="CH304" s="86">
        <f t="shared" si="2188"/>
        <v>7.3573413122462059E-2</v>
      </c>
      <c r="CI304" s="86">
        <f t="shared" si="2188"/>
        <v>5.910998290421178E-2</v>
      </c>
      <c r="CJ304" s="86">
        <f t="shared" si="2188"/>
        <v>5.3156606474853367E-2</v>
      </c>
      <c r="CK304" s="86">
        <f t="shared" si="2188"/>
        <v>0.11062241088324042</v>
      </c>
      <c r="CL304" s="86">
        <f t="shared" ref="CL304" si="2189">CL74/CL41</f>
        <v>6.2647912480464391E-2</v>
      </c>
      <c r="CM304" s="87">
        <f t="shared" si="2188"/>
        <v>6.8425110777172879E-2</v>
      </c>
      <c r="CN304" s="87">
        <f t="shared" si="2188"/>
        <v>6.0769377265479138E-2</v>
      </c>
      <c r="CO304" s="87">
        <f t="shared" si="2188"/>
        <v>6.6817919394626793E-2</v>
      </c>
      <c r="CP304" s="87">
        <f t="shared" si="2188"/>
        <v>5.8175111473950082E-2</v>
      </c>
      <c r="CQ304" s="87">
        <f t="shared" si="2188"/>
        <v>5.7339762665744413E-2</v>
      </c>
      <c r="CR304" s="87">
        <f t="shared" si="2188"/>
        <v>5.0920165539530694E-2</v>
      </c>
      <c r="CS304" s="87">
        <f t="shared" si="2188"/>
        <v>5.6080006367278945E-2</v>
      </c>
      <c r="CT304" s="87">
        <f t="shared" si="2188"/>
        <v>4.8806910352845567E-2</v>
      </c>
      <c r="CU304" s="87">
        <f t="shared" si="2188"/>
        <v>4.8133204599756278E-2</v>
      </c>
      <c r="CV304" s="87">
        <f t="shared" si="2188"/>
        <v>4.2733783526565129E-2</v>
      </c>
      <c r="CW304" s="87">
        <f t="shared" si="2188"/>
        <v>4.7122039351825025E-2</v>
      </c>
      <c r="CX304" s="87">
        <f t="shared" si="2188"/>
        <v>4.0991030784313598E-2</v>
      </c>
      <c r="CY304" s="87">
        <f t="shared" si="2188"/>
        <v>4.04393089625966E-2</v>
      </c>
      <c r="CZ304" s="87">
        <f t="shared" si="2188"/>
        <v>3.5891224074720937E-2</v>
      </c>
      <c r="DA304" s="87">
        <f t="shared" si="2188"/>
        <v>3.9614020295165746E-2</v>
      </c>
      <c r="DB304" s="87">
        <f t="shared" si="2188"/>
        <v>3.444256203327762E-2</v>
      </c>
      <c r="DE304" s="141"/>
      <c r="DF304" s="86">
        <v>8.480841404372981E-2</v>
      </c>
    </row>
    <row r="305" spans="28:109" s="85" customFormat="1" x14ac:dyDescent="0.2">
      <c r="AB305" s="58"/>
      <c r="AC305" s="58"/>
      <c r="AD305" s="58"/>
      <c r="AE305" s="58"/>
      <c r="CM305" s="72"/>
      <c r="CN305" s="72"/>
      <c r="CO305" s="72"/>
      <c r="CP305" s="72"/>
      <c r="CQ305" s="72"/>
      <c r="CR305" s="72"/>
      <c r="CS305" s="72"/>
      <c r="CT305" s="72"/>
      <c r="CU305" s="72"/>
      <c r="CV305" s="72"/>
      <c r="CW305" s="72"/>
      <c r="CX305" s="72"/>
      <c r="CY305" s="72"/>
      <c r="CZ305" s="72"/>
      <c r="DA305" s="72"/>
      <c r="DB305" s="72"/>
      <c r="DE305" s="143"/>
    </row>
  </sheetData>
  <sortState xmlns:xlrd2="http://schemas.microsoft.com/office/spreadsheetml/2017/richdata2" ref="A53:DE67">
    <sortCondition descending="1" ref="Z53:Z67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28" activePane="bottomRight" state="frozen"/>
      <selection activeCell="A2" sqref="A2"/>
      <selection pane="topRight" activeCell="A2" sqref="A2"/>
      <selection pane="bottomLeft" activeCell="A2" sqref="A2"/>
      <selection pane="bottomRight" activeCell="BE28" sqref="BE28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218764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3"/>
      <c r="BG2" s="183"/>
      <c r="BH2" s="183"/>
      <c r="BI2" s="183"/>
      <c r="BJ2" s="183"/>
      <c r="BK2" s="183"/>
      <c r="BL2" s="183"/>
      <c r="BM2" s="183"/>
      <c r="BN2" s="183"/>
      <c r="BO2" s="183"/>
      <c r="BP2" s="183"/>
      <c r="BQ2" s="183"/>
      <c r="BR2" s="183"/>
      <c r="BS2" s="183"/>
      <c r="BT2" s="183"/>
      <c r="BU2" s="183"/>
      <c r="BV2" s="183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Thyrocare Technologies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55.241999999999997</v>
      </c>
      <c r="P6">
        <f>_xll.EQNXTDZ($A$1,$B6,P$1,$B$1)</f>
        <v>59.777000000000001</v>
      </c>
      <c r="Q6">
        <f>_xll.EQNXTDZ($A$1,$B6,Q$1,$B$1)</f>
        <v>54.015000000000001</v>
      </c>
      <c r="R6">
        <f>_xll.EQNXTDZ($A$1,$B6,R$1,$B$1)</f>
        <v>65.055000000000007</v>
      </c>
      <c r="S6">
        <f>_xll.EQNXTDZ($A$1,$B6,S$1,$B$1)</f>
        <v>68.745000000000005</v>
      </c>
      <c r="T6">
        <f>_xll.EQNXTDZ($A$1,$B6,T$1,$B$1)</f>
        <v>78.147999999999996</v>
      </c>
      <c r="U6">
        <f>_xll.EQNXTDZ($A$1,$B6,U$1,$B$1)</f>
        <v>70.378</v>
      </c>
      <c r="V6">
        <f>_xll.EQNXTDZ($A$1,$B6,V$1,$B$1)</f>
        <v>87.116</v>
      </c>
      <c r="W6">
        <f>_xll.EQNXTDZ($A$1,$B6,W$1,$B$1)</f>
        <v>87.76</v>
      </c>
      <c r="X6">
        <f>_xll.EQNXTDZ($A$1,$B6,X$1,$B$1)</f>
        <v>88.036000000000001</v>
      </c>
      <c r="Y6">
        <f>_xll.EQNXTDZ($A$1,$B6,Y$1,$B$1)</f>
        <v>83.87</v>
      </c>
      <c r="Z6">
        <f>_xll.EQNXTDZ($A$1,$B6,Z$1,$B$1)</f>
        <v>96.66</v>
      </c>
      <c r="AA6">
        <f>_xll.EQNXTDZ($A$1,$B6,AA$1,$B$1)</f>
        <v>97.15</v>
      </c>
      <c r="AB6">
        <f>_xll.EQNXTDZ($A$1,$B6,AB$1,$B$1)</f>
        <v>103.88</v>
      </c>
      <c r="AC6">
        <f>_xll.EQNXTDZ($A$1,$B6,AC$1,$B$1)</f>
        <v>96.29</v>
      </c>
      <c r="AD6">
        <f>_xll.EQNXTDZ($A$1,$B6,AD$1,$B$1)</f>
        <v>105.59</v>
      </c>
      <c r="AE6">
        <f>_xll.EQNXTDZ($A$1,$B6,AE$1,$B$1)</f>
        <v>109.73</v>
      </c>
      <c r="AF6">
        <f>_xll.EQNXTDZ($A$1,$B6,AF$1,$B$1)</f>
        <v>116.24</v>
      </c>
      <c r="AG6">
        <f>_xll.EQNXTDZ($A$1,$B6,AG$1,$B$1)</f>
        <v>105.79</v>
      </c>
      <c r="AH6">
        <f>_xll.EQNXTDZ($A$1,$B6,AH$1,$B$1)</f>
        <v>101.44</v>
      </c>
      <c r="AI6">
        <f>_xll.EQNXTDZ($A$1,$B6,AI$1,$B$1)</f>
        <v>56.27</v>
      </c>
      <c r="AJ6">
        <f>_xll.EQNXTDZ($A$1,$B6,AJ$1,$B$1)</f>
        <v>153.25</v>
      </c>
      <c r="AK6">
        <f>_xll.EQNXTDZ($A$1,$B6,AK$1,$B$1)</f>
        <v>138.27000000000001</v>
      </c>
      <c r="AL6">
        <f>_xll.EQNXTDZ($A$1,$B6,AL$1,$B$1)</f>
        <v>146.84</v>
      </c>
      <c r="AM6">
        <f>_xll.EQNXTDZ($A$1,$B6,AM$1,$B$1)</f>
        <v>164.65</v>
      </c>
      <c r="AN6">
        <f>_xll.EQNXTDZ($A$1,$B6,AN$1,$B$1)</f>
        <v>176.21</v>
      </c>
      <c r="AO6">
        <f>_xll.EQNXTDZ($A$1,$B6,AO$1,$B$1)</f>
        <v>117.4</v>
      </c>
      <c r="AP6">
        <f>_xll.EQNXTDZ($A$1,$B6,AP$1,$B$1)</f>
        <v>130.56</v>
      </c>
      <c r="AQ6">
        <f>_xll.EQNXTDZ($A$1,$B6,AQ$1,$B$1)</f>
        <v>127.79</v>
      </c>
      <c r="AR6">
        <f>_xll.EQNXTDZ($A$1,$B6,AR$1,$B$1)</f>
        <v>134.97</v>
      </c>
      <c r="AS6">
        <f>_xll.EQNXTDZ($A$1,$B6,AS$1,$B$1)</f>
        <v>128.03</v>
      </c>
      <c r="AT6">
        <f>_xll.EQNXTDZ($A$1,$B6,AT$1,$B$1)</f>
        <v>135.88</v>
      </c>
      <c r="AU6">
        <f>_xll.EQNXTDZ($A$1,$B6,AU$1,$B$1)</f>
        <v>134.88999999999999</v>
      </c>
      <c r="AV6">
        <f>_xll.EQNXTDZ($A$1,$B6,AV$1,$B$1)</f>
        <v>148</v>
      </c>
      <c r="AW6">
        <f>_xll.EQNXTDZ($A$1,$B6,AW$1,$B$1)</f>
        <v>134.74</v>
      </c>
      <c r="AX6">
        <f>_xll.EQNXTDZ($A$1,$B6,AX$1,$B$1)</f>
        <v>154.25</v>
      </c>
      <c r="AY6">
        <f>_xll.EQNXTDZ($A$1,$B6,AY$1,$B$1)</f>
        <v>156.91</v>
      </c>
      <c r="AZ6">
        <f>_xll.EQNXTDZ($A$1,$B6,AZ$1,$B$1)</f>
        <v>177.36</v>
      </c>
      <c r="BA6">
        <f>_xll.EQNXTDZ($A$1,$B6,BA$1,$B$1)</f>
        <v>165.92</v>
      </c>
      <c r="BB6">
        <f>_xll.EQNXTDZ($A$1,$B6,BB$1,$B$1)</f>
        <v>187.16</v>
      </c>
      <c r="BC6">
        <f>_xll.EQNXTDZ($A$1,$B6,BC$1,$B$1)</f>
        <v>193.03</v>
      </c>
      <c r="BD6">
        <f>_xll.EQNXTDZ($A$1,$B6,BD$1,$B$1)</f>
        <v>216.53</v>
      </c>
      <c r="BE6">
        <f>_xll.EQNXTDZ($A$1,$B6,BE$1,$B$1)</f>
        <v>195.53</v>
      </c>
      <c r="BF6">
        <f>_xll.EQNXTDZ($A$1,$B6,BF$1,$B$1)</f>
        <v>223.95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1.7529999999999999</v>
      </c>
      <c r="P8">
        <f>_xll.EQNXTDZ($A$1,$B8,P$1,$B$1)</f>
        <v>2.488</v>
      </c>
      <c r="Q8">
        <f>_xll.EQNXTDZ($A$1,$B8,Q$1,$B$1)</f>
        <v>2.637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56.994999999999997</v>
      </c>
      <c r="P9">
        <f>_xll.EQNXTDZ($A$1,$B9,P$1,$B$1)</f>
        <v>62.265000000000001</v>
      </c>
      <c r="Q9">
        <f>_xll.EQNXTDZ($A$1,$B9,Q$1,$B$1)</f>
        <v>56.652000000000001</v>
      </c>
      <c r="R9">
        <f>_xll.EQNXTDZ($A$1,$B9,R$1,$B$1)</f>
        <v>65.055000000000007</v>
      </c>
      <c r="S9">
        <f>_xll.EQNXTDZ($A$1,$B9,S$1,$B$1)</f>
        <v>68.745000000000005</v>
      </c>
      <c r="T9">
        <f>_xll.EQNXTDZ($A$1,$B9,T$1,$B$1)</f>
        <v>78.147999999999996</v>
      </c>
      <c r="U9">
        <f>_xll.EQNXTDZ($A$1,$B9,U$1,$B$1)</f>
        <v>70.378</v>
      </c>
      <c r="V9">
        <f>_xll.EQNXTDZ($A$1,$B9,V$1,$B$1)</f>
        <v>87.116</v>
      </c>
      <c r="W9">
        <f>_xll.EQNXTDZ($A$1,$B9,W$1,$B$1)</f>
        <v>87.76</v>
      </c>
      <c r="X9">
        <f>_xll.EQNXTDZ($A$1,$B9,X$1,$B$1)</f>
        <v>88.04</v>
      </c>
      <c r="Y9">
        <f>_xll.EQNXTDZ($A$1,$B9,Y$1,$B$1)</f>
        <v>83.87</v>
      </c>
      <c r="Z9">
        <f>_xll.EQNXTDZ($A$1,$B9,Z$1,$B$1)</f>
        <v>96.66</v>
      </c>
      <c r="AA9">
        <f>_xll.EQNXTDZ($A$1,$B9,AA$1,$B$1)</f>
        <v>97.15</v>
      </c>
      <c r="AB9">
        <f>_xll.EQNXTDZ($A$1,$B9,AB$1,$B$1)</f>
        <v>103.88</v>
      </c>
      <c r="AC9">
        <f>_xll.EQNXTDZ($A$1,$B9,AC$1,$B$1)</f>
        <v>96.29</v>
      </c>
      <c r="AD9">
        <f>_xll.EQNXTDZ($A$1,$B9,AD$1,$B$1)</f>
        <v>105.59</v>
      </c>
      <c r="AE9">
        <f>_xll.EQNXTDZ($A$1,$B9,AE$1,$B$1)</f>
        <v>109.73</v>
      </c>
      <c r="AF9">
        <f>_xll.EQNXTDZ($A$1,$B9,AF$1,$B$1)</f>
        <v>116.24</v>
      </c>
      <c r="AG9">
        <f>_xll.EQNXTDZ($A$1,$B9,AG$1,$B$1)</f>
        <v>105.79</v>
      </c>
      <c r="AH9">
        <f>_xll.EQNXTDZ($A$1,$B9,AH$1,$B$1)</f>
        <v>101.44</v>
      </c>
      <c r="AI9">
        <f>_xll.EQNXTDZ($A$1,$B9,AI$1,$B$1)</f>
        <v>56.27</v>
      </c>
      <c r="AJ9">
        <f>_xll.EQNXTDZ($A$1,$B9,AJ$1,$B$1)</f>
        <v>153.25</v>
      </c>
      <c r="AK9">
        <f>_xll.EQNXTDZ($A$1,$B9,AK$1,$B$1)</f>
        <v>138.27000000000001</v>
      </c>
      <c r="AL9">
        <f>_xll.EQNXTDZ($A$1,$B9,AL$1,$B$1)</f>
        <v>146.84</v>
      </c>
      <c r="AM9">
        <f>_xll.EQNXTDZ($A$1,$B9,AM$1,$B$1)</f>
        <v>164.65</v>
      </c>
      <c r="AN9">
        <f>_xll.EQNXTDZ($A$1,$B9,AN$1,$B$1)</f>
        <v>176.21</v>
      </c>
      <c r="AO9">
        <f>_xll.EQNXTDZ($A$1,$B9,AO$1,$B$1)</f>
        <v>117.4</v>
      </c>
      <c r="AP9">
        <f>_xll.EQNXTDZ($A$1,$B9,AP$1,$B$1)</f>
        <v>130.56</v>
      </c>
      <c r="AQ9">
        <f>_xll.EQNXTDZ($A$1,$B9,AQ$1,$B$1)</f>
        <v>127.79</v>
      </c>
      <c r="AR9">
        <f>_xll.EQNXTDZ($A$1,$B9,AR$1,$B$1)</f>
        <v>134.97</v>
      </c>
      <c r="AS9">
        <f>_xll.EQNXTDZ($A$1,$B9,AS$1,$B$1)</f>
        <v>128.03</v>
      </c>
      <c r="AT9">
        <f>_xll.EQNXTDZ($A$1,$B9,AT$1,$B$1)</f>
        <v>135.88</v>
      </c>
      <c r="AU9">
        <f>_xll.EQNXTDZ($A$1,$B9,AU$1,$B$1)</f>
        <v>134.88999999999999</v>
      </c>
      <c r="AV9">
        <f>_xll.EQNXTDZ($A$1,$B9,AV$1,$B$1)</f>
        <v>148</v>
      </c>
      <c r="AW9">
        <f>_xll.EQNXTDZ($A$1,$B9,AW$1,$B$1)</f>
        <v>134.74</v>
      </c>
      <c r="AX9">
        <f>_xll.EQNXTDZ($A$1,$B9,AX$1,$B$1)</f>
        <v>154.25</v>
      </c>
      <c r="AY9">
        <f>_xll.EQNXTDZ($A$1,$B9,AY$1,$B$1)</f>
        <v>156.91</v>
      </c>
      <c r="AZ9">
        <f>_xll.EQNXTDZ($A$1,$B9,AZ$1,$B$1)</f>
        <v>177.36</v>
      </c>
      <c r="BA9">
        <f>_xll.EQNXTDZ($A$1,$B9,BA$1,$B$1)</f>
        <v>165.92</v>
      </c>
      <c r="BB9">
        <f>_xll.EQNXTDZ($A$1,$B9,BB$1,$B$1)</f>
        <v>187.16</v>
      </c>
      <c r="BC9">
        <f>_xll.EQNXTDZ($A$1,$B9,BC$1,$B$1)</f>
        <v>193.03</v>
      </c>
      <c r="BD9">
        <f>_xll.EQNXTDZ($A$1,$B9,BD$1,$B$1)</f>
        <v>216.53</v>
      </c>
      <c r="BE9">
        <f>_xll.EQNXTDZ($A$1,$B9,BE$1,$B$1)</f>
        <v>195.53</v>
      </c>
      <c r="BF9">
        <f>_xll.EQNXTDZ($A$1,$B9,BF$1,$B$1)</f>
        <v>223.95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0.307</v>
      </c>
      <c r="P10">
        <f>_xll.EQNXTDZ($A$1,$B10,P$1,$B$1)</f>
        <v>9.7000000000000003E-2</v>
      </c>
      <c r="Q10">
        <f>_xll.EQNXTDZ($A$1,$B10,Q$1,$B$1)</f>
        <v>-0.28100000000000003</v>
      </c>
      <c r="R10">
        <f>_xll.EQNXTDZ($A$1,$B10,R$1,$B$1)</f>
        <v>0.55800000000000005</v>
      </c>
      <c r="S10">
        <f>_xll.EQNXTDZ($A$1,$B10,S$1,$B$1)</f>
        <v>-9.7000000000000003E-2</v>
      </c>
      <c r="T10">
        <f>_xll.EQNXTDZ($A$1,$B10,T$1,$B$1)</f>
        <v>-0.04</v>
      </c>
      <c r="U10">
        <f>_xll.EQNXTDZ($A$1,$B10,U$1,$B$1)</f>
        <v>-0.108</v>
      </c>
      <c r="V10">
        <f>_xll.EQNXTDZ($A$1,$B10,V$1,$B$1)</f>
        <v>-0.11600000000000001</v>
      </c>
      <c r="W10">
        <f>_xll.EQNXTDZ($A$1,$B10,W$1,$B$1)</f>
        <v>-7.0000000000000007E-2</v>
      </c>
      <c r="X10">
        <f>_xll.EQNXTDZ($A$1,$B10,X$1,$B$1)</f>
        <v>0.3</v>
      </c>
      <c r="Y10">
        <f>_xll.EQNXTDZ($A$1,$B10,Y$1,$B$1)</f>
        <v>-0.06</v>
      </c>
      <c r="Z10">
        <f>_xll.EQNXTDZ($A$1,$B10,Z$1,$B$1)</f>
        <v>0.21</v>
      </c>
      <c r="AA10">
        <f>_xll.EQNXTDZ($A$1,$B10,AA$1,$B$1)</f>
        <v>-0.27</v>
      </c>
      <c r="AB10">
        <f>_xll.EQNXTDZ($A$1,$B10,AB$1,$B$1)</f>
        <v>-0.23</v>
      </c>
      <c r="AC10">
        <f>_xll.EQNXTDZ($A$1,$B10,AC$1,$B$1)</f>
        <v>-0.28000000000000003</v>
      </c>
      <c r="AD10">
        <f>_xll.EQNXTDZ($A$1,$B10,AD$1,$B$1)</f>
        <v>0.52</v>
      </c>
      <c r="AE10">
        <f>_xll.EQNXTDZ($A$1,$B10,AE$1,$B$1)</f>
        <v>-0.42</v>
      </c>
      <c r="AF10">
        <f>_xll.EQNXTDZ($A$1,$B10,AF$1,$B$1)</f>
        <v>0.59</v>
      </c>
      <c r="AG10">
        <f>_xll.EQNXTDZ($A$1,$B10,AG$1,$B$1)</f>
        <v>-0.22</v>
      </c>
      <c r="AH10">
        <f>_xll.EQNXTDZ($A$1,$B10,AH$1,$B$1)</f>
        <v>-0.03</v>
      </c>
      <c r="AI10">
        <f>_xll.EQNXTDZ($A$1,$B10,AI$1,$B$1)</f>
        <v>-0.18</v>
      </c>
      <c r="AJ10">
        <f>_xll.EQNXTDZ($A$1,$B10,AJ$1,$B$1)</f>
        <v>-0.24</v>
      </c>
      <c r="AK10">
        <f>_xll.EQNXTDZ($A$1,$B10,AK$1,$B$1)</f>
        <v>0.42</v>
      </c>
      <c r="AL10">
        <f>_xll.EQNXTDZ($A$1,$B10,AL$1,$B$1)</f>
        <v>0.28000000000000003</v>
      </c>
      <c r="AM10">
        <f>_xll.EQNXTDZ($A$1,$B10,AM$1,$B$1)</f>
        <v>-0.04</v>
      </c>
      <c r="AN10">
        <f>_xll.EQNXTDZ($A$1,$B10,AN$1,$B$1)</f>
        <v>-0.41</v>
      </c>
      <c r="AO10">
        <f>_xll.EQNXTDZ($A$1,$B10,AO$1,$B$1)</f>
        <v>-1</v>
      </c>
      <c r="AP10">
        <f>_xll.EQNXTDZ($A$1,$B10,AP$1,$B$1)</f>
        <v>0.52</v>
      </c>
      <c r="AQ10">
        <f>_xll.EQNXTDZ($A$1,$B10,AQ$1,$B$1)</f>
        <v>-0.22</v>
      </c>
      <c r="AR10">
        <f>_xll.EQNXTDZ($A$1,$B10,AR$1,$B$1)</f>
        <v>-0.71</v>
      </c>
      <c r="AS10">
        <f>_xll.EQNXTDZ($A$1,$B10,AS$1,$B$1)</f>
        <v>0.4</v>
      </c>
      <c r="AT10">
        <f>_xll.EQNXTDZ($A$1,$B10,AT$1,$B$1)</f>
        <v>0.73</v>
      </c>
      <c r="AU10">
        <f>_xll.EQNXTDZ($A$1,$B10,AU$1,$B$1)</f>
        <v>0.42</v>
      </c>
      <c r="AV10">
        <f>_xll.EQNXTDZ($A$1,$B10,AV$1,$B$1)</f>
        <v>0.18</v>
      </c>
      <c r="AW10">
        <f>_xll.EQNXTDZ($A$1,$B10,AW$1,$B$1)</f>
        <v>-0.27</v>
      </c>
      <c r="AX10">
        <f>_xll.EQNXTDZ($A$1,$B10,AX$1,$B$1)</f>
        <v>-0.61</v>
      </c>
      <c r="AY10">
        <f>_xll.EQNXTDZ($A$1,$B10,AY$1,$B$1)</f>
        <v>0.75</v>
      </c>
      <c r="AZ10">
        <f>_xll.EQNXTDZ($A$1,$B10,AZ$1,$B$1)</f>
        <v>-0.41</v>
      </c>
      <c r="BA10">
        <f>_xll.EQNXTDZ($A$1,$B10,BA$1,$B$1)</f>
        <v>0.17</v>
      </c>
      <c r="BB10">
        <f>_xll.EQNXTDZ($A$1,$B10,BB$1,$B$1)</f>
        <v>0.3</v>
      </c>
      <c r="BC10">
        <f>_xll.EQNXTDZ($A$1,$B10,BC$1,$B$1)</f>
        <v>0.15</v>
      </c>
      <c r="BD10">
        <f>_xll.EQNXTDZ($A$1,$B10,BD$1,$B$1)</f>
        <v>0.04</v>
      </c>
      <c r="BE10">
        <f>_xll.EQNXTDZ($A$1,$B10,BE$1,$B$1)</f>
        <v>0.09</v>
      </c>
      <c r="BF10">
        <f>_xll.EQNXTDZ($A$1,$B10,BF$1,$B$1)</f>
        <v>-0.51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15.811</v>
      </c>
      <c r="P11">
        <f>_xll.EQNXTDZ($A$1,$B11,P$1,$B$1)</f>
        <v>16.256</v>
      </c>
      <c r="Q11">
        <f>_xll.EQNXTDZ($A$1,$B11,Q$1,$B$1)</f>
        <v>14.11</v>
      </c>
      <c r="R11">
        <f>_xll.EQNXTDZ($A$1,$B11,R$1,$B$1)</f>
        <v>16.855</v>
      </c>
      <c r="S11">
        <f>_xll.EQNXTDZ($A$1,$B11,S$1,$B$1)</f>
        <v>17.974</v>
      </c>
      <c r="T11">
        <f>_xll.EQNXTDZ($A$1,$B11,T$1,$B$1)</f>
        <v>20.611000000000001</v>
      </c>
      <c r="U11">
        <f>_xll.EQNXTDZ($A$1,$B11,U$1,$B$1)</f>
        <v>17.600000000000001</v>
      </c>
      <c r="V11">
        <f>_xll.EQNXTDZ($A$1,$B11,V$1,$B$1)</f>
        <v>23.038</v>
      </c>
      <c r="W11">
        <f>_xll.EQNXTDZ($A$1,$B11,W$1,$B$1)</f>
        <v>21.77</v>
      </c>
      <c r="X11">
        <f>_xll.EQNXTDZ($A$1,$B11,X$1,$B$1)</f>
        <v>25.22</v>
      </c>
      <c r="Y11">
        <f>_xll.EQNXTDZ($A$1,$B11,Y$1,$B$1)</f>
        <v>20.170000000000002</v>
      </c>
      <c r="Z11">
        <f>_xll.EQNXTDZ($A$1,$B11,Z$1,$B$1)</f>
        <v>25.04</v>
      </c>
      <c r="AA11">
        <f>_xll.EQNXTDZ($A$1,$B11,AA$1,$B$1)</f>
        <v>25.17</v>
      </c>
      <c r="AB11">
        <f>_xll.EQNXTDZ($A$1,$B11,AB$1,$B$1)</f>
        <v>27.86</v>
      </c>
      <c r="AC11">
        <f>_xll.EQNXTDZ($A$1,$B11,AC$1,$B$1)</f>
        <v>25.34</v>
      </c>
      <c r="AD11">
        <f>_xll.EQNXTDZ($A$1,$B11,AD$1,$B$1)</f>
        <v>30.09</v>
      </c>
      <c r="AE11">
        <f>_xll.EQNXTDZ($A$1,$B11,AE$1,$B$1)</f>
        <v>30.37</v>
      </c>
      <c r="AF11">
        <f>_xll.EQNXTDZ($A$1,$B11,AF$1,$B$1)</f>
        <v>30.55</v>
      </c>
      <c r="AG11">
        <f>_xll.EQNXTDZ($A$1,$B11,AG$1,$B$1)</f>
        <v>26.98</v>
      </c>
      <c r="AH11">
        <f>_xll.EQNXTDZ($A$1,$B11,AH$1,$B$1)</f>
        <v>27.02</v>
      </c>
      <c r="AI11">
        <f>_xll.EQNXTDZ($A$1,$B11,AI$1,$B$1)</f>
        <v>25.79</v>
      </c>
      <c r="AJ11">
        <f>_xll.EQNXTDZ($A$1,$B11,AJ$1,$B$1)</f>
        <v>50.43</v>
      </c>
      <c r="AK11">
        <f>_xll.EQNXTDZ($A$1,$B11,AK$1,$B$1)</f>
        <v>42.28</v>
      </c>
      <c r="AL11">
        <f>_xll.EQNXTDZ($A$1,$B11,AL$1,$B$1)</f>
        <v>44.04</v>
      </c>
      <c r="AM11">
        <f>_xll.EQNXTDZ($A$1,$B11,AM$1,$B$1)</f>
        <v>52.39</v>
      </c>
      <c r="AN11">
        <f>_xll.EQNXTDZ($A$1,$B11,AN$1,$B$1)</f>
        <v>42.72</v>
      </c>
      <c r="AO11">
        <f>_xll.EQNXTDZ($A$1,$B11,AO$1,$B$1)</f>
        <v>30.4</v>
      </c>
      <c r="AP11">
        <f>_xll.EQNXTDZ($A$1,$B11,AP$1,$B$1)</f>
        <v>40.75</v>
      </c>
      <c r="AQ11">
        <f>_xll.EQNXTDZ($A$1,$B11,AQ$1,$B$1)</f>
        <v>38.89</v>
      </c>
      <c r="AR11">
        <f>_xll.EQNXTDZ($A$1,$B11,AR$1,$B$1)</f>
        <v>39.72</v>
      </c>
      <c r="AS11">
        <f>_xll.EQNXTDZ($A$1,$B11,AS$1,$B$1)</f>
        <v>39.11</v>
      </c>
      <c r="AT11">
        <f>_xll.EQNXTDZ($A$1,$B11,AT$1,$B$1)</f>
        <v>39.200000000000003</v>
      </c>
      <c r="AU11">
        <f>_xll.EQNXTDZ($A$1,$B11,AU$1,$B$1)</f>
        <v>37.299999999999997</v>
      </c>
      <c r="AV11">
        <f>_xll.EQNXTDZ($A$1,$B11,AV$1,$B$1)</f>
        <v>43.08</v>
      </c>
      <c r="AW11">
        <f>_xll.EQNXTDZ($A$1,$B11,AW$1,$B$1)</f>
        <v>38.01</v>
      </c>
      <c r="AX11">
        <f>_xll.EQNXTDZ($A$1,$B11,AX$1,$B$1)</f>
        <v>46.12</v>
      </c>
      <c r="AY11">
        <f>_xll.EQNXTDZ($A$1,$B11,AY$1,$B$1)</f>
        <v>44.65</v>
      </c>
      <c r="AZ11">
        <f>_xll.EQNXTDZ($A$1,$B11,AZ$1,$B$1)</f>
        <v>50.12</v>
      </c>
      <c r="BA11">
        <f>_xll.EQNXTDZ($A$1,$B11,BA$1,$B$1)</f>
        <v>44.79</v>
      </c>
      <c r="BB11">
        <f>_xll.EQNXTDZ($A$1,$B11,BB$1,$B$1)</f>
        <v>48.71</v>
      </c>
      <c r="BC11">
        <f>_xll.EQNXTDZ($A$1,$B11,BC$1,$B$1)</f>
        <v>55.41</v>
      </c>
      <c r="BD11">
        <f>_xll.EQNXTDZ($A$1,$B11,BD$1,$B$1)</f>
        <v>59.81</v>
      </c>
      <c r="BE11">
        <f>_xll.EQNXTDZ($A$1,$B11,BE$1,$B$1)</f>
        <v>47.07</v>
      </c>
      <c r="BF11">
        <f>_xll.EQNXTDZ($A$1,$B11,BF$1,$B$1)</f>
        <v>56.42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1.2709999999999999</v>
      </c>
      <c r="P12">
        <f>_xll.EQNXTDZ($A$1,$B12,P$1,$B$1)</f>
        <v>1.669</v>
      </c>
      <c r="Q12">
        <f>_xll.EQNXTDZ($A$1,$B12,Q$1,$B$1)</f>
        <v>1.7390000000000001</v>
      </c>
      <c r="R12">
        <f>_xll.EQNXTDZ($A$1,$B12,R$1,$B$1)</f>
        <v>1.9630000000000001</v>
      </c>
      <c r="S12">
        <f>_xll.EQNXTDZ($A$1,$B12,S$1,$B$1)</f>
        <v>0.39700000000000002</v>
      </c>
      <c r="T12">
        <f>_xll.EQNXTDZ($A$1,$B12,T$1,$B$1)</f>
        <v>0.71899999999999997</v>
      </c>
      <c r="U12">
        <f>_xll.EQNXTDZ($A$1,$B12,U$1,$B$1)</f>
        <v>0.71299999999999997</v>
      </c>
      <c r="V12">
        <f>_xll.EQNXTDZ($A$1,$B12,V$1,$B$1)</f>
        <v>0.73199999999999998</v>
      </c>
      <c r="W12">
        <f>_xll.EQNXTDZ($A$1,$B12,W$1,$B$1)</f>
        <v>0.63</v>
      </c>
      <c r="X12">
        <f>_xll.EQNXTDZ($A$1,$B12,X$1,$B$1)</f>
        <v>0.39</v>
      </c>
      <c r="Y12">
        <f>_xll.EQNXTDZ($A$1,$B12,Y$1,$B$1)</f>
        <v>0.66</v>
      </c>
      <c r="Z12">
        <f>_xll.EQNXTDZ($A$1,$B12,Z$1,$B$1)</f>
        <v>0.74</v>
      </c>
      <c r="AA12">
        <f>_xll.EQNXTDZ($A$1,$B12,AA$1,$B$1)</f>
        <v>0.7</v>
      </c>
      <c r="AB12">
        <f>_xll.EQNXTDZ($A$1,$B12,AB$1,$B$1)</f>
        <v>0.74</v>
      </c>
      <c r="AC12">
        <f>_xll.EQNXTDZ($A$1,$B12,AC$1,$B$1)</f>
        <v>0.89</v>
      </c>
      <c r="AD12">
        <f>_xll.EQNXTDZ($A$1,$B12,AD$1,$B$1)</f>
        <v>0</v>
      </c>
      <c r="AE12">
        <f>_xll.EQNXTDZ($A$1,$B12,AE$1,$B$1)</f>
        <v>0.91</v>
      </c>
      <c r="AF12">
        <f>_xll.EQNXTDZ($A$1,$B12,AF$1,$B$1)</f>
        <v>7.0000000000000007E-2</v>
      </c>
      <c r="AG12">
        <f>_xll.EQNXTDZ($A$1,$B12,AG$1,$B$1)</f>
        <v>0.74</v>
      </c>
      <c r="AH12">
        <f>_xll.EQNXTDZ($A$1,$B12,AH$1,$B$1)</f>
        <v>0.53</v>
      </c>
      <c r="AI12">
        <f>_xll.EQNXTDZ($A$1,$B12,AI$1,$B$1)</f>
        <v>0.35</v>
      </c>
      <c r="AJ12">
        <f>_xll.EQNXTDZ($A$1,$B12,AJ$1,$B$1)</f>
        <v>0.66</v>
      </c>
      <c r="AK12">
        <f>_xll.EQNXTDZ($A$1,$B12,AK$1,$B$1)</f>
        <v>0</v>
      </c>
      <c r="AL12">
        <f>_xll.EQNXTDZ($A$1,$B12,AL$1,$B$1)</f>
        <v>0.08</v>
      </c>
      <c r="AM12">
        <f>_xll.EQNXTDZ($A$1,$B12,AM$1,$B$1)</f>
        <v>1.87</v>
      </c>
      <c r="AN12">
        <f>_xll.EQNXTDZ($A$1,$B12,AN$1,$B$1)</f>
        <v>1.3</v>
      </c>
      <c r="AO12">
        <f>_xll.EQNXTDZ($A$1,$B12,AO$1,$B$1)</f>
        <v>0.6</v>
      </c>
      <c r="AP12">
        <f>_xll.EQNXTDZ($A$1,$B12,AP$1,$B$1)</f>
        <v>0.62</v>
      </c>
      <c r="AQ12">
        <f>_xll.EQNXTDZ($A$1,$B12,AQ$1,$B$1)</f>
        <v>0.83</v>
      </c>
      <c r="AR12">
        <f>_xll.EQNXTDZ($A$1,$B12,AR$1,$B$1)</f>
        <v>2.11</v>
      </c>
      <c r="AS12">
        <f>_xll.EQNXTDZ($A$1,$B12,AS$1,$B$1)</f>
        <v>1.35</v>
      </c>
      <c r="AT12">
        <f>_xll.EQNXTDZ($A$1,$B12,AT$1,$B$1)</f>
        <v>1.82</v>
      </c>
      <c r="AU12">
        <f>_xll.EQNXTDZ($A$1,$B12,AU$1,$B$1)</f>
        <v>0.35</v>
      </c>
      <c r="AV12">
        <f>_xll.EQNXTDZ($A$1,$B12,AV$1,$B$1)</f>
        <v>0.38</v>
      </c>
      <c r="AW12">
        <f>_xll.EQNXTDZ($A$1,$B12,AW$1,$B$1)</f>
        <v>0.68</v>
      </c>
      <c r="AX12">
        <f>_xll.EQNXTDZ($A$1,$B12,AX$1,$B$1)</f>
        <v>1.06</v>
      </c>
      <c r="AY12">
        <f>_xll.EQNXTDZ($A$1,$B12,AY$1,$B$1)</f>
        <v>0.06</v>
      </c>
      <c r="AZ12">
        <f>_xll.EQNXTDZ($A$1,$B12,AZ$1,$B$1)</f>
        <v>1.28</v>
      </c>
      <c r="BA12">
        <f>_xll.EQNXTDZ($A$1,$B12,BA$1,$B$1)</f>
        <v>0.2</v>
      </c>
      <c r="BB12">
        <f>_xll.EQNXTDZ($A$1,$B12,BB$1,$B$1)</f>
        <v>0.46</v>
      </c>
      <c r="BC12">
        <f>_xll.EQNXTDZ($A$1,$B12,BC$1,$B$1)</f>
        <v>7.0000000000000007E-2</v>
      </c>
      <c r="BD12">
        <f>_xll.EQNXTDZ($A$1,$B12,BD$1,$B$1)</f>
        <v>0.21</v>
      </c>
      <c r="BE12">
        <f>_xll.EQNXTDZ($A$1,$B12,BE$1,$B$1)</f>
        <v>0.04</v>
      </c>
      <c r="BF12">
        <f>_xll.EQNXTDZ($A$1,$B12,BF$1,$B$1)</f>
        <v>0.77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12.885999999999999</v>
      </c>
      <c r="P14">
        <f>_xll.EQNXTDZ($A$1,$B14,P$1,$B$1)</f>
        <v>12.644</v>
      </c>
      <c r="Q14">
        <f>_xll.EQNXTDZ($A$1,$B14,Q$1,$B$1)</f>
        <v>12.930999999999999</v>
      </c>
      <c r="R14">
        <f>_xll.EQNXTDZ($A$1,$B14,R$1,$B$1)</f>
        <v>13.202</v>
      </c>
      <c r="S14">
        <f>_xll.EQNXTDZ($A$1,$B14,S$1,$B$1)</f>
        <v>16.364000000000001</v>
      </c>
      <c r="T14">
        <f>_xll.EQNXTDZ($A$1,$B14,T$1,$B$1)</f>
        <v>18.948</v>
      </c>
      <c r="U14">
        <f>_xll.EQNXTDZ($A$1,$B14,U$1,$B$1)</f>
        <v>18.302</v>
      </c>
      <c r="V14">
        <f>_xll.EQNXTDZ($A$1,$B14,V$1,$B$1)</f>
        <v>22.166</v>
      </c>
      <c r="W14">
        <f>_xll.EQNXTDZ($A$1,$B14,W$1,$B$1)</f>
        <v>21.62</v>
      </c>
      <c r="X14">
        <f>_xll.EQNXTDZ($A$1,$B14,X$1,$B$1)</f>
        <v>19.23</v>
      </c>
      <c r="Y14">
        <f>_xll.EQNXTDZ($A$1,$B14,Y$1,$B$1)</f>
        <v>18.27</v>
      </c>
      <c r="Z14">
        <f>_xll.EQNXTDZ($A$1,$B14,Z$1,$B$1)</f>
        <v>22.15</v>
      </c>
      <c r="AA14">
        <f>_xll.EQNXTDZ($A$1,$B14,AA$1,$B$1)</f>
        <v>21.4</v>
      </c>
      <c r="AB14">
        <f>_xll.EQNXTDZ($A$1,$B14,AB$1,$B$1)</f>
        <v>22.66</v>
      </c>
      <c r="AC14">
        <f>_xll.EQNXTDZ($A$1,$B14,AC$1,$B$1)</f>
        <v>24.35</v>
      </c>
      <c r="AD14">
        <f>_xll.EQNXTDZ($A$1,$B14,AD$1,$B$1)</f>
        <v>26.39</v>
      </c>
      <c r="AE14">
        <f>_xll.EQNXTDZ($A$1,$B14,AE$1,$B$1)</f>
        <v>21.73</v>
      </c>
      <c r="AF14">
        <f>_xll.EQNXTDZ($A$1,$B14,AF$1,$B$1)</f>
        <v>21.45</v>
      </c>
      <c r="AG14">
        <f>_xll.EQNXTDZ($A$1,$B14,AG$1,$B$1)</f>
        <v>22.11</v>
      </c>
      <c r="AH14">
        <f>_xll.EQNXTDZ($A$1,$B14,AH$1,$B$1)</f>
        <v>29.38</v>
      </c>
      <c r="AI14">
        <f>_xll.EQNXTDZ($A$1,$B14,AI$1,$B$1)</f>
        <v>12.63</v>
      </c>
      <c r="AJ14">
        <f>_xll.EQNXTDZ($A$1,$B14,AJ$1,$B$1)</f>
        <v>27.4</v>
      </c>
      <c r="AK14">
        <f>_xll.EQNXTDZ($A$1,$B14,AK$1,$B$1)</f>
        <v>28.73</v>
      </c>
      <c r="AL14">
        <f>_xll.EQNXTDZ($A$1,$B14,AL$1,$B$1)</f>
        <v>32.380000000000003</v>
      </c>
      <c r="AM14">
        <f>_xll.EQNXTDZ($A$1,$B14,AM$1,$B$1)</f>
        <v>25.29</v>
      </c>
      <c r="AN14">
        <f>_xll.EQNXTDZ($A$1,$B14,AN$1,$B$1)</f>
        <v>28.29</v>
      </c>
      <c r="AO14">
        <f>_xll.EQNXTDZ($A$1,$B14,AO$1,$B$1)</f>
        <v>35.9</v>
      </c>
      <c r="AP14">
        <f>_xll.EQNXTDZ($A$1,$B14,AP$1,$B$1)</f>
        <v>33.65</v>
      </c>
      <c r="AQ14">
        <f>_xll.EQNXTDZ($A$1,$B14,AQ$1,$B$1)</f>
        <v>30.72</v>
      </c>
      <c r="AR14">
        <f>_xll.EQNXTDZ($A$1,$B14,AR$1,$B$1)</f>
        <v>33.1</v>
      </c>
      <c r="AS14">
        <f>_xll.EQNXTDZ($A$1,$B14,AS$1,$B$1)</f>
        <v>32.270000000000003</v>
      </c>
      <c r="AT14">
        <f>_xll.EQNXTDZ($A$1,$B14,AT$1,$B$1)</f>
        <v>41.15</v>
      </c>
      <c r="AU14">
        <f>_xll.EQNXTDZ($A$1,$B14,AU$1,$B$1)</f>
        <v>34.44</v>
      </c>
      <c r="AV14">
        <f>_xll.EQNXTDZ($A$1,$B14,AV$1,$B$1)</f>
        <v>39.78</v>
      </c>
      <c r="AW14">
        <f>_xll.EQNXTDZ($A$1,$B14,AW$1,$B$1)</f>
        <v>38.369999999999997</v>
      </c>
      <c r="AX14">
        <f>_xll.EQNXTDZ($A$1,$B14,AX$1,$B$1)</f>
        <v>47.3</v>
      </c>
      <c r="AY14">
        <f>_xll.EQNXTDZ($A$1,$B14,AY$1,$B$1)</f>
        <v>40.090000000000003</v>
      </c>
      <c r="AZ14">
        <f>_xll.EQNXTDZ($A$1,$B14,AZ$1,$B$1)</f>
        <v>48.59</v>
      </c>
      <c r="BA14">
        <f>_xll.EQNXTDZ($A$1,$B14,BA$1,$B$1)</f>
        <v>43.94</v>
      </c>
      <c r="BB14">
        <f>_xll.EQNXTDZ($A$1,$B14,BB$1,$B$1)</f>
        <v>46.52</v>
      </c>
      <c r="BC14">
        <f>_xll.EQNXTDZ($A$1,$B14,BC$1,$B$1)</f>
        <v>46.63</v>
      </c>
      <c r="BD14">
        <f>_xll.EQNXTDZ($A$1,$B14,BD$1,$B$1)</f>
        <v>51.89</v>
      </c>
      <c r="BE14">
        <f>_xll.EQNXTDZ($A$1,$B14,BE$1,$B$1)</f>
        <v>54.74</v>
      </c>
      <c r="BF14">
        <f>_xll.EQNXTDZ($A$1,$B14,BF$1,$B$1)</f>
        <v>56.11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6.4329999999999998</v>
      </c>
      <c r="P16">
        <f>_xll.EQNXTDZ($A$1,$B16,P$1,$B$1)</f>
        <v>5.5039999999999996</v>
      </c>
      <c r="Q16">
        <f>_xll.EQNXTDZ($A$1,$B16,Q$1,$B$1)</f>
        <v>6.0609999999999999</v>
      </c>
      <c r="R16">
        <f>_xll.EQNXTDZ($A$1,$B16,R$1,$B$1)</f>
        <v>7.891</v>
      </c>
      <c r="S16">
        <f>_xll.EQNXTDZ($A$1,$B16,S$1,$B$1)</f>
        <v>7.1609999999999996</v>
      </c>
      <c r="T16">
        <f>_xll.EQNXTDZ($A$1,$B16,T$1,$B$1)</f>
        <v>7.5579999999999998</v>
      </c>
      <c r="U16">
        <f>_xll.EQNXTDZ($A$1,$B16,U$1,$B$1)</f>
        <v>7.5949999999999998</v>
      </c>
      <c r="V16">
        <f>_xll.EQNXTDZ($A$1,$B16,V$1,$B$1)</f>
        <v>9.6859999999999999</v>
      </c>
      <c r="W16">
        <f>_xll.EQNXTDZ($A$1,$B16,W$1,$B$1)</f>
        <v>7.38</v>
      </c>
      <c r="X16">
        <f>_xll.EQNXTDZ($A$1,$B16,X$1,$B$1)</f>
        <v>7.2</v>
      </c>
      <c r="Y16">
        <f>_xll.EQNXTDZ($A$1,$B16,Y$1,$B$1)</f>
        <v>9.4499999999999993</v>
      </c>
      <c r="Z16">
        <f>_xll.EQNXTDZ($A$1,$B16,Z$1,$B$1)</f>
        <v>11.31</v>
      </c>
      <c r="AA16">
        <f>_xll.EQNXTDZ($A$1,$B16,AA$1,$B$1)</f>
        <v>8.9499999999999993</v>
      </c>
      <c r="AB16">
        <f>_xll.EQNXTDZ($A$1,$B16,AB$1,$B$1)</f>
        <v>9.82</v>
      </c>
      <c r="AC16">
        <f>_xll.EQNXTDZ($A$1,$B16,AC$1,$B$1)</f>
        <v>10.47</v>
      </c>
      <c r="AD16">
        <f>_xll.EQNXTDZ($A$1,$B16,AD$1,$B$1)</f>
        <v>14.11</v>
      </c>
      <c r="AE16">
        <f>_xll.EQNXTDZ($A$1,$B16,AE$1,$B$1)</f>
        <v>11.53</v>
      </c>
      <c r="AF16">
        <f>_xll.EQNXTDZ($A$1,$B16,AF$1,$B$1)</f>
        <v>11.42</v>
      </c>
      <c r="AG16">
        <f>_xll.EQNXTDZ($A$1,$B16,AG$1,$B$1)</f>
        <v>12.4</v>
      </c>
      <c r="AH16">
        <f>_xll.EQNXTDZ($A$1,$B16,AH$1,$B$1)</f>
        <v>13.57</v>
      </c>
      <c r="AI16">
        <f>_xll.EQNXTDZ($A$1,$B16,AI$1,$B$1)</f>
        <v>9.2200000000000006</v>
      </c>
      <c r="AJ16">
        <f>_xll.EQNXTDZ($A$1,$B16,AJ$1,$B$1)</f>
        <v>13.1</v>
      </c>
      <c r="AK16">
        <f>_xll.EQNXTDZ($A$1,$B16,AK$1,$B$1)</f>
        <v>17.22</v>
      </c>
      <c r="AL16">
        <f>_xll.EQNXTDZ($A$1,$B16,AL$1,$B$1)</f>
        <v>18.53</v>
      </c>
      <c r="AM16">
        <f>_xll.EQNXTDZ($A$1,$B16,AM$1,$B$1)</f>
        <v>13.91</v>
      </c>
      <c r="AN16">
        <f>_xll.EQNXTDZ($A$1,$B16,AN$1,$B$1)</f>
        <v>15.02</v>
      </c>
      <c r="AO16">
        <f>_xll.EQNXTDZ($A$1,$B16,AO$1,$B$1)</f>
        <v>14.7</v>
      </c>
      <c r="AP16">
        <f>_xll.EQNXTDZ($A$1,$B16,AP$1,$B$1)</f>
        <v>17.43</v>
      </c>
      <c r="AQ16">
        <f>_xll.EQNXTDZ($A$1,$B16,AQ$1,$B$1)</f>
        <v>21.65</v>
      </c>
      <c r="AR16">
        <f>_xll.EQNXTDZ($A$1,$B16,AR$1,$B$1)</f>
        <v>29.17</v>
      </c>
      <c r="AS16">
        <f>_xll.EQNXTDZ($A$1,$B16,AS$1,$B$1)</f>
        <v>27.04</v>
      </c>
      <c r="AT16">
        <f>_xll.EQNXTDZ($A$1,$B16,AT$1,$B$1)</f>
        <v>28.29</v>
      </c>
      <c r="AU16">
        <f>_xll.EQNXTDZ($A$1,$B16,AU$1,$B$1)</f>
        <v>27.87</v>
      </c>
      <c r="AV16">
        <f>_xll.EQNXTDZ($A$1,$B16,AV$1,$B$1)</f>
        <v>27.06</v>
      </c>
      <c r="AW16">
        <f>_xll.EQNXTDZ($A$1,$B16,AW$1,$B$1)</f>
        <v>26.36</v>
      </c>
      <c r="AX16">
        <f>_xll.EQNXTDZ($A$1,$B16,AX$1,$B$1)</f>
        <v>26.57</v>
      </c>
      <c r="AY16">
        <f>_xll.EQNXTDZ($A$1,$B16,AY$1,$B$1)</f>
        <v>28.72</v>
      </c>
      <c r="AZ16">
        <f>_xll.EQNXTDZ($A$1,$B16,AZ$1,$B$1)</f>
        <v>29.49</v>
      </c>
      <c r="BA16">
        <f>_xll.EQNXTDZ($A$1,$B16,BA$1,$B$1)</f>
        <v>35.090000000000003</v>
      </c>
      <c r="BB16">
        <f>_xll.EQNXTDZ($A$1,$B16,BB$1,$B$1)</f>
        <v>33.47</v>
      </c>
      <c r="BC16">
        <f>_xll.EQNXTDZ($A$1,$B16,BC$1,$B$1)</f>
        <v>33</v>
      </c>
      <c r="BD16">
        <f>_xll.EQNXTDZ($A$1,$B16,BD$1,$B$1)</f>
        <v>33.229999999999997</v>
      </c>
      <c r="BE16">
        <f>_xll.EQNXTDZ($A$1,$B16,BE$1,$B$1)</f>
        <v>35.76</v>
      </c>
      <c r="BF16">
        <f>_xll.EQNXTDZ($A$1,$B16,BF$1,$B$1)</f>
        <v>36.07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20.286999999999999</v>
      </c>
      <c r="P22">
        <f>_xll.EQNXTDZ($A$1,$B22,P$1,$B$1)</f>
        <v>26.094999999999999</v>
      </c>
      <c r="Q22">
        <f>_xll.EQNXTDZ($A$1,$B22,Q$1,$B$1)</f>
        <v>22.091999999999999</v>
      </c>
      <c r="R22">
        <f>_xll.EQNXTDZ($A$1,$B22,R$1,$B$1)</f>
        <v>24.585999999999999</v>
      </c>
      <c r="S22">
        <f>_xll.EQNXTDZ($A$1,$B22,S$1,$B$1)</f>
        <v>26.946000000000002</v>
      </c>
      <c r="T22">
        <f>_xll.EQNXTDZ($A$1,$B22,T$1,$B$1)</f>
        <v>30.352</v>
      </c>
      <c r="U22">
        <f>_xll.EQNXTDZ($A$1,$B22,U$1,$B$1)</f>
        <v>26.276</v>
      </c>
      <c r="V22">
        <f>_xll.EQNXTDZ($A$1,$B22,V$1,$B$1)</f>
        <v>31.61</v>
      </c>
      <c r="W22">
        <f>_xll.EQNXTDZ($A$1,$B22,W$1,$B$1)</f>
        <v>36.43</v>
      </c>
      <c r="X22">
        <f>_xll.EQNXTDZ($A$1,$B22,X$1,$B$1)</f>
        <v>35.700000000000003</v>
      </c>
      <c r="Y22">
        <f>_xll.EQNXTDZ($A$1,$B22,Y$1,$B$1)</f>
        <v>35.380000000000003</v>
      </c>
      <c r="Z22">
        <f>_xll.EQNXTDZ($A$1,$B22,Z$1,$B$1)</f>
        <v>37.21</v>
      </c>
      <c r="AA22">
        <f>_xll.EQNXTDZ($A$1,$B22,AA$1,$B$1)</f>
        <v>41.2</v>
      </c>
      <c r="AB22">
        <f>_xll.EQNXTDZ($A$1,$B22,AB$1,$B$1)</f>
        <v>43.03</v>
      </c>
      <c r="AC22">
        <f>_xll.EQNXTDZ($A$1,$B22,AC$1,$B$1)</f>
        <v>35.520000000000003</v>
      </c>
      <c r="AD22">
        <f>_xll.EQNXTDZ($A$1,$B22,AD$1,$B$1)</f>
        <v>34.479999999999997</v>
      </c>
      <c r="AE22">
        <f>_xll.EQNXTDZ($A$1,$B22,AE$1,$B$1)</f>
        <v>45.61</v>
      </c>
      <c r="AF22">
        <f>_xll.EQNXTDZ($A$1,$B22,AF$1,$B$1)</f>
        <v>52.16</v>
      </c>
      <c r="AG22">
        <f>_xll.EQNXTDZ($A$1,$B22,AG$1,$B$1)</f>
        <v>43.78</v>
      </c>
      <c r="AH22">
        <f>_xll.EQNXTDZ($A$1,$B22,AH$1,$B$1)</f>
        <v>30.97</v>
      </c>
      <c r="AI22">
        <f>_xll.EQNXTDZ($A$1,$B22,AI$1,$B$1)</f>
        <v>8.4600000000000097</v>
      </c>
      <c r="AJ22">
        <f>_xll.EQNXTDZ($A$1,$B22,AJ$1,$B$1)</f>
        <v>61.9</v>
      </c>
      <c r="AK22">
        <f>_xll.EQNXTDZ($A$1,$B22,AK$1,$B$1)</f>
        <v>49.62</v>
      </c>
      <c r="AL22">
        <f>_xll.EQNXTDZ($A$1,$B22,AL$1,$B$1)</f>
        <v>51.53</v>
      </c>
      <c r="AM22">
        <f>_xll.EQNXTDZ($A$1,$B22,AM$1,$B$1)</f>
        <v>71.23</v>
      </c>
      <c r="AN22">
        <f>_xll.EQNXTDZ($A$1,$B22,AN$1,$B$1)</f>
        <v>89.29</v>
      </c>
      <c r="AO22">
        <f>_xll.EQNXTDZ($A$1,$B22,AO$1,$B$1)</f>
        <v>36.799999999999997</v>
      </c>
      <c r="AP22">
        <f>_xll.EQNXTDZ($A$1,$B22,AP$1,$B$1)</f>
        <v>37.590000000000003</v>
      </c>
      <c r="AQ22">
        <f>_xll.EQNXTDZ($A$1,$B22,AQ$1,$B$1)</f>
        <v>35.92</v>
      </c>
      <c r="AR22">
        <f>_xll.EQNXTDZ($A$1,$B22,AR$1,$B$1)</f>
        <v>31.58</v>
      </c>
      <c r="AS22">
        <f>_xll.EQNXTDZ($A$1,$B22,AS$1,$B$1)</f>
        <v>27.86</v>
      </c>
      <c r="AT22">
        <f>_xll.EQNXTDZ($A$1,$B22,AT$1,$B$1)</f>
        <v>24.69</v>
      </c>
      <c r="AU22">
        <f>_xll.EQNXTDZ($A$1,$B22,AU$1,$B$1)</f>
        <v>34.51</v>
      </c>
      <c r="AV22">
        <f>_xll.EQNXTDZ($A$1,$B22,AV$1,$B$1)</f>
        <v>37.520000000000003</v>
      </c>
      <c r="AW22">
        <f>_xll.EQNXTDZ($A$1,$B22,AW$1,$B$1)</f>
        <v>31.59</v>
      </c>
      <c r="AX22">
        <f>_xll.EQNXTDZ($A$1,$B22,AX$1,$B$1)</f>
        <v>33.81</v>
      </c>
      <c r="AY22">
        <f>_xll.EQNXTDZ($A$1,$B22,AY$1,$B$1)</f>
        <v>42.64</v>
      </c>
      <c r="AZ22">
        <f>_xll.EQNXTDZ($A$1,$B22,AZ$1,$B$1)</f>
        <v>48.29</v>
      </c>
      <c r="BA22">
        <f>_xll.EQNXTDZ($A$1,$B22,BA$1,$B$1)</f>
        <v>41.73</v>
      </c>
      <c r="BB22">
        <f>_xll.EQNXTDZ($A$1,$B22,BB$1,$B$1)</f>
        <v>57.7</v>
      </c>
      <c r="BC22">
        <f>_xll.EQNXTDZ($A$1,$B22,BC$1,$B$1)</f>
        <v>57.77</v>
      </c>
      <c r="BD22">
        <f>_xll.EQNXTDZ($A$1,$B22,BD$1,$B$1)</f>
        <v>71.349999999999994</v>
      </c>
      <c r="BE22">
        <f>_xll.EQNXTDZ($A$1,$B22,BE$1,$B$1)</f>
        <v>57.83</v>
      </c>
      <c r="BF22">
        <f>_xll.EQNXTDZ($A$1,$B22,BF$1,$B$1)</f>
        <v>75.09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0.92100000000000004</v>
      </c>
      <c r="P23">
        <f>_xll.EQNXTDZ($A$1,$B23,P$1,$B$1)</f>
        <v>2.8039999999999998</v>
      </c>
      <c r="Q23">
        <f>_xll.EQNXTDZ($A$1,$B23,Q$1,$B$1)</f>
        <v>0.99099999999999999</v>
      </c>
      <c r="R23">
        <f>_xll.EQNXTDZ($A$1,$B23,R$1,$B$1)</f>
        <v>2.266</v>
      </c>
      <c r="S23">
        <f>_xll.EQNXTDZ($A$1,$B23,S$1,$B$1)</f>
        <v>3.0760000000000001</v>
      </c>
      <c r="T23">
        <f>_xll.EQNXTDZ($A$1,$B23,T$1,$B$1)</f>
        <v>3.097</v>
      </c>
      <c r="U23">
        <f>_xll.EQNXTDZ($A$1,$B23,U$1,$B$1)</f>
        <v>3.907</v>
      </c>
      <c r="V23">
        <f>_xll.EQNXTDZ($A$1,$B23,V$1,$B$1)</f>
        <v>2.1619999999999999</v>
      </c>
      <c r="W23">
        <f>_xll.EQNXTDZ($A$1,$B23,W$1,$B$1)</f>
        <v>4.76</v>
      </c>
      <c r="X23">
        <f>_xll.EQNXTDZ($A$1,$B23,X$1,$B$1)</f>
        <v>3.68</v>
      </c>
      <c r="Y23">
        <f>_xll.EQNXTDZ($A$1,$B23,Y$1,$B$1)</f>
        <v>3.67</v>
      </c>
      <c r="Z23">
        <f>_xll.EQNXTDZ($A$1,$B23,Z$1,$B$1)</f>
        <v>10.88</v>
      </c>
      <c r="AA23">
        <f>_xll.EQNXTDZ($A$1,$B23,AA$1,$B$1)</f>
        <v>2.2599999999999998</v>
      </c>
      <c r="AB23">
        <f>_xll.EQNXTDZ($A$1,$B23,AB$1,$B$1)</f>
        <v>2.4</v>
      </c>
      <c r="AC23">
        <f>_xll.EQNXTDZ($A$1,$B23,AC$1,$B$1)</f>
        <v>3.34</v>
      </c>
      <c r="AD23">
        <f>_xll.EQNXTDZ($A$1,$B23,AD$1,$B$1)</f>
        <v>1.95</v>
      </c>
      <c r="AE23">
        <f>_xll.EQNXTDZ($A$1,$B23,AE$1,$B$1)</f>
        <v>2.36</v>
      </c>
      <c r="AF23">
        <f>_xll.EQNXTDZ($A$1,$B23,AF$1,$B$1)</f>
        <v>2.46</v>
      </c>
      <c r="AG23">
        <f>_xll.EQNXTDZ($A$1,$B23,AG$1,$B$1)</f>
        <v>0.85</v>
      </c>
      <c r="AH23">
        <f>_xll.EQNXTDZ($A$1,$B23,AH$1,$B$1)</f>
        <v>2.06</v>
      </c>
      <c r="AI23">
        <f>_xll.EQNXTDZ($A$1,$B23,AI$1,$B$1)</f>
        <v>1.22</v>
      </c>
      <c r="AJ23">
        <f>_xll.EQNXTDZ($A$1,$B23,AJ$1,$B$1)</f>
        <v>4.99</v>
      </c>
      <c r="AK23">
        <f>_xll.EQNXTDZ($A$1,$B23,AK$1,$B$1)</f>
        <v>2.58</v>
      </c>
      <c r="AL23">
        <f>_xll.EQNXTDZ($A$1,$B23,AL$1,$B$1)</f>
        <v>3.64</v>
      </c>
      <c r="AM23">
        <f>_xll.EQNXTDZ($A$1,$B23,AM$1,$B$1)</f>
        <v>10.49</v>
      </c>
      <c r="AN23">
        <f>_xll.EQNXTDZ($A$1,$B23,AN$1,$B$1)</f>
        <v>15.19</v>
      </c>
      <c r="AO23">
        <f>_xll.EQNXTDZ($A$1,$B23,AO$1,$B$1)</f>
        <v>1.4</v>
      </c>
      <c r="AP23">
        <f>_xll.EQNXTDZ($A$1,$B23,AP$1,$B$1)</f>
        <v>2.15</v>
      </c>
      <c r="AQ23">
        <f>_xll.EQNXTDZ($A$1,$B23,AQ$1,$B$1)</f>
        <v>1</v>
      </c>
      <c r="AR23">
        <f>_xll.EQNXTDZ($A$1,$B23,AR$1,$B$1)</f>
        <v>1.62</v>
      </c>
      <c r="AS23">
        <f>_xll.EQNXTDZ($A$1,$B23,AS$1,$B$1)</f>
        <v>2.1</v>
      </c>
      <c r="AT23">
        <f>_xll.EQNXTDZ($A$1,$B23,AT$1,$B$1)</f>
        <v>3.7</v>
      </c>
      <c r="AU23">
        <f>_xll.EQNXTDZ($A$1,$B23,AU$1,$B$1)</f>
        <v>0.98</v>
      </c>
      <c r="AV23">
        <f>_xll.EQNXTDZ($A$1,$B23,AV$1,$B$1)</f>
        <v>2.17</v>
      </c>
      <c r="AW23">
        <f>_xll.EQNXTDZ($A$1,$B23,AW$1,$B$1)</f>
        <v>2.73</v>
      </c>
      <c r="AX23">
        <f>_xll.EQNXTDZ($A$1,$B23,AX$1,$B$1)</f>
        <v>3.49</v>
      </c>
      <c r="AY23">
        <f>_xll.EQNXTDZ($A$1,$B23,AY$1,$B$1)</f>
        <v>3.62</v>
      </c>
      <c r="AZ23">
        <f>_xll.EQNXTDZ($A$1,$B23,AZ$1,$B$1)</f>
        <v>2.61</v>
      </c>
      <c r="BA23">
        <f>_xll.EQNXTDZ($A$1,$B23,BA$1,$B$1)</f>
        <v>4.01</v>
      </c>
      <c r="BB23">
        <f>_xll.EQNXTDZ($A$1,$B23,BB$1,$B$1)</f>
        <v>4.59</v>
      </c>
      <c r="BC23">
        <f>_xll.EQNXTDZ($A$1,$B23,BC$1,$B$1)</f>
        <v>4.6500000000000004</v>
      </c>
      <c r="BD23">
        <f>_xll.EQNXTDZ($A$1,$B23,BD$1,$B$1)</f>
        <v>3.05</v>
      </c>
      <c r="BE23">
        <f>_xll.EQNXTDZ($A$1,$B23,BE$1,$B$1)</f>
        <v>4.9800000000000004</v>
      </c>
      <c r="BF23">
        <f>_xll.EQNXTDZ($A$1,$B23,BF$1,$B$1)</f>
        <v>4.3099999999999996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21.207999999999998</v>
      </c>
      <c r="P24">
        <f>_xll.EQNXTDZ($A$1,$B24,P$1,$B$1)</f>
        <v>28.899000000000001</v>
      </c>
      <c r="Q24">
        <f>_xll.EQNXTDZ($A$1,$B24,Q$1,$B$1)</f>
        <v>23.082999999999998</v>
      </c>
      <c r="R24">
        <f>_xll.EQNXTDZ($A$1,$B24,R$1,$B$1)</f>
        <v>26.852</v>
      </c>
      <c r="S24">
        <f>_xll.EQNXTDZ($A$1,$B24,S$1,$B$1)</f>
        <v>30.021999999999998</v>
      </c>
      <c r="T24">
        <f>_xll.EQNXTDZ($A$1,$B24,T$1,$B$1)</f>
        <v>33.448999999999998</v>
      </c>
      <c r="U24">
        <f>_xll.EQNXTDZ($A$1,$B24,U$1,$B$1)</f>
        <v>30.183</v>
      </c>
      <c r="V24">
        <f>_xll.EQNXTDZ($A$1,$B24,V$1,$B$1)</f>
        <v>33.771999999999998</v>
      </c>
      <c r="W24">
        <f>_xll.EQNXTDZ($A$1,$B24,W$1,$B$1)</f>
        <v>41.19</v>
      </c>
      <c r="X24">
        <f>_xll.EQNXTDZ($A$1,$B24,X$1,$B$1)</f>
        <v>39.380000000000003</v>
      </c>
      <c r="Y24">
        <f>_xll.EQNXTDZ($A$1,$B24,Y$1,$B$1)</f>
        <v>39.049999999999997</v>
      </c>
      <c r="Z24">
        <f>_xll.EQNXTDZ($A$1,$B24,Z$1,$B$1)</f>
        <v>48.09</v>
      </c>
      <c r="AA24">
        <f>_xll.EQNXTDZ($A$1,$B24,AA$1,$B$1)</f>
        <v>43.46</v>
      </c>
      <c r="AB24">
        <f>_xll.EQNXTDZ($A$1,$B24,AB$1,$B$1)</f>
        <v>45.43</v>
      </c>
      <c r="AC24">
        <f>_xll.EQNXTDZ($A$1,$B24,AC$1,$B$1)</f>
        <v>38.86</v>
      </c>
      <c r="AD24">
        <f>_xll.EQNXTDZ($A$1,$B24,AD$1,$B$1)</f>
        <v>36.43</v>
      </c>
      <c r="AE24">
        <f>_xll.EQNXTDZ($A$1,$B24,AE$1,$B$1)</f>
        <v>47.97</v>
      </c>
      <c r="AF24">
        <f>_xll.EQNXTDZ($A$1,$B24,AF$1,$B$1)</f>
        <v>54.62</v>
      </c>
      <c r="AG24">
        <f>_xll.EQNXTDZ($A$1,$B24,AG$1,$B$1)</f>
        <v>44.63</v>
      </c>
      <c r="AH24">
        <f>_xll.EQNXTDZ($A$1,$B24,AH$1,$B$1)</f>
        <v>33.03</v>
      </c>
      <c r="AI24">
        <f>_xll.EQNXTDZ($A$1,$B24,AI$1,$B$1)</f>
        <v>9.68</v>
      </c>
      <c r="AJ24">
        <f>_xll.EQNXTDZ($A$1,$B24,AJ$1,$B$1)</f>
        <v>66.89</v>
      </c>
      <c r="AK24">
        <f>_xll.EQNXTDZ($A$1,$B24,AK$1,$B$1)</f>
        <v>52.2</v>
      </c>
      <c r="AL24">
        <f>_xll.EQNXTDZ($A$1,$B24,AL$1,$B$1)</f>
        <v>55.17</v>
      </c>
      <c r="AM24">
        <f>_xll.EQNXTDZ($A$1,$B24,AM$1,$B$1)</f>
        <v>81.72</v>
      </c>
      <c r="AN24">
        <f>_xll.EQNXTDZ($A$1,$B24,AN$1,$B$1)</f>
        <v>104.48</v>
      </c>
      <c r="AO24">
        <f>_xll.EQNXTDZ($A$1,$B24,AO$1,$B$1)</f>
        <v>38.200000000000003</v>
      </c>
      <c r="AP24">
        <f>_xll.EQNXTDZ($A$1,$B24,AP$1,$B$1)</f>
        <v>39.74</v>
      </c>
      <c r="AQ24">
        <f>_xll.EQNXTDZ($A$1,$B24,AQ$1,$B$1)</f>
        <v>36.92</v>
      </c>
      <c r="AR24">
        <f>_xll.EQNXTDZ($A$1,$B24,AR$1,$B$1)</f>
        <v>33.200000000000003</v>
      </c>
      <c r="AS24">
        <f>_xll.EQNXTDZ($A$1,$B24,AS$1,$B$1)</f>
        <v>29.96</v>
      </c>
      <c r="AT24">
        <f>_xll.EQNXTDZ($A$1,$B24,AT$1,$B$1)</f>
        <v>28.39</v>
      </c>
      <c r="AU24">
        <f>_xll.EQNXTDZ($A$1,$B24,AU$1,$B$1)</f>
        <v>35.49</v>
      </c>
      <c r="AV24">
        <f>_xll.EQNXTDZ($A$1,$B24,AV$1,$B$1)</f>
        <v>39.69</v>
      </c>
      <c r="AW24">
        <f>_xll.EQNXTDZ($A$1,$B24,AW$1,$B$1)</f>
        <v>34.32</v>
      </c>
      <c r="AX24">
        <f>_xll.EQNXTDZ($A$1,$B24,AX$1,$B$1)</f>
        <v>37.299999999999997</v>
      </c>
      <c r="AY24">
        <f>_xll.EQNXTDZ($A$1,$B24,AY$1,$B$1)</f>
        <v>46.26</v>
      </c>
      <c r="AZ24">
        <f>_xll.EQNXTDZ($A$1,$B24,AZ$1,$B$1)</f>
        <v>50.9</v>
      </c>
      <c r="BA24">
        <f>_xll.EQNXTDZ($A$1,$B24,BA$1,$B$1)</f>
        <v>45.74</v>
      </c>
      <c r="BB24">
        <f>_xll.EQNXTDZ($A$1,$B24,BB$1,$B$1)</f>
        <v>62.29</v>
      </c>
      <c r="BC24">
        <f>_xll.EQNXTDZ($A$1,$B24,BC$1,$B$1)</f>
        <v>62.42</v>
      </c>
      <c r="BD24">
        <f>_xll.EQNXTDZ($A$1,$B24,BD$1,$B$1)</f>
        <v>74.400000000000006</v>
      </c>
      <c r="BE24">
        <f>_xll.EQNXTDZ($A$1,$B24,BE$1,$B$1)</f>
        <v>62.81</v>
      </c>
      <c r="BF24">
        <f>_xll.EQNXTDZ($A$1,$B24,BF$1,$B$1)</f>
        <v>79.400000000000006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8.2000000000000003E-2</v>
      </c>
      <c r="T25">
        <f>_xll.EQNXTDZ($A$1,$B25,T$1,$B$1)</f>
        <v>0</v>
      </c>
      <c r="U25">
        <f>_xll.EQNXTDZ($A$1,$B25,U$1,$B$1)</f>
        <v>8.5999999999999993E-2</v>
      </c>
      <c r="V25">
        <f>_xll.EQNXTDZ($A$1,$B25,V$1,$B$1)</f>
        <v>0.1</v>
      </c>
      <c r="W25">
        <f>_xll.EQNXTDZ($A$1,$B25,W$1,$B$1)</f>
        <v>0.09</v>
      </c>
      <c r="X25">
        <f>_xll.EQNXTDZ($A$1,$B25,X$1,$B$1)</f>
        <v>0.09</v>
      </c>
      <c r="Y25">
        <f>_xll.EQNXTDZ($A$1,$B25,Y$1,$B$1)</f>
        <v>0.1</v>
      </c>
      <c r="Z25">
        <f>_xll.EQNXTDZ($A$1,$B25,Z$1,$B$1)</f>
        <v>0.15</v>
      </c>
      <c r="AA25">
        <f>_xll.EQNXTDZ($A$1,$B25,AA$1,$B$1)</f>
        <v>0.11</v>
      </c>
      <c r="AB25">
        <f>_xll.EQNXTDZ($A$1,$B25,AB$1,$B$1)</f>
        <v>0.15</v>
      </c>
      <c r="AC25">
        <f>_xll.EQNXTDZ($A$1,$B25,AC$1,$B$1)</f>
        <v>0.15</v>
      </c>
      <c r="AD25">
        <f>_xll.EQNXTDZ($A$1,$B25,AD$1,$B$1)</f>
        <v>0.2</v>
      </c>
      <c r="AE25">
        <f>_xll.EQNXTDZ($A$1,$B25,AE$1,$B$1)</f>
        <v>0.47</v>
      </c>
      <c r="AF25">
        <f>_xll.EQNXTDZ($A$1,$B25,AF$1,$B$1)</f>
        <v>0.61</v>
      </c>
      <c r="AG25">
        <f>_xll.EQNXTDZ($A$1,$B25,AG$1,$B$1)</f>
        <v>0.39</v>
      </c>
      <c r="AH25">
        <f>_xll.EQNXTDZ($A$1,$B25,AH$1,$B$1)</f>
        <v>0.38</v>
      </c>
      <c r="AI25">
        <f>_xll.EQNXTDZ($A$1,$B25,AI$1,$B$1)</f>
        <v>0.32</v>
      </c>
      <c r="AJ25">
        <f>_xll.EQNXTDZ($A$1,$B25,AJ$1,$B$1)</f>
        <v>0.34</v>
      </c>
      <c r="AK25">
        <f>_xll.EQNXTDZ($A$1,$B25,AK$1,$B$1)</f>
        <v>0.3</v>
      </c>
      <c r="AL25">
        <f>_xll.EQNXTDZ($A$1,$B25,AL$1,$B$1)</f>
        <v>-0.09</v>
      </c>
      <c r="AM25">
        <f>_xll.EQNXTDZ($A$1,$B25,AM$1,$B$1)</f>
        <v>0.62</v>
      </c>
      <c r="AN25">
        <f>_xll.EQNXTDZ($A$1,$B25,AN$1,$B$1)</f>
        <v>0.69</v>
      </c>
      <c r="AO25">
        <f>_xll.EQNXTDZ($A$1,$B25,AO$1,$B$1)</f>
        <v>0.5</v>
      </c>
      <c r="AP25">
        <f>_xll.EQNXTDZ($A$1,$B25,AP$1,$B$1)</f>
        <v>0.56999999999999995</v>
      </c>
      <c r="AQ25">
        <f>_xll.EQNXTDZ($A$1,$B25,AQ$1,$B$1)</f>
        <v>0.56000000000000005</v>
      </c>
      <c r="AR25">
        <f>_xll.EQNXTDZ($A$1,$B25,AR$1,$B$1)</f>
        <v>0.54</v>
      </c>
      <c r="AS25">
        <f>_xll.EQNXTDZ($A$1,$B25,AS$1,$B$1)</f>
        <v>0.57999999999999996</v>
      </c>
      <c r="AT25">
        <f>_xll.EQNXTDZ($A$1,$B25,AT$1,$B$1)</f>
        <v>0.67</v>
      </c>
      <c r="AU25">
        <f>_xll.EQNXTDZ($A$1,$B25,AU$1,$B$1)</f>
        <v>0.88</v>
      </c>
      <c r="AV25">
        <f>_xll.EQNXTDZ($A$1,$B25,AV$1,$B$1)</f>
        <v>1.1299999999999999</v>
      </c>
      <c r="AW25">
        <f>_xll.EQNXTDZ($A$1,$B25,AW$1,$B$1)</f>
        <v>1.07</v>
      </c>
      <c r="AX25">
        <f>_xll.EQNXTDZ($A$1,$B25,AX$1,$B$1)</f>
        <v>1.1200000000000001</v>
      </c>
      <c r="AY25">
        <f>_xll.EQNXTDZ($A$1,$B25,AY$1,$B$1)</f>
        <v>0.99</v>
      </c>
      <c r="AZ25">
        <f>_xll.EQNXTDZ($A$1,$B25,AZ$1,$B$1)</f>
        <v>0.76</v>
      </c>
      <c r="BA25">
        <f>_xll.EQNXTDZ($A$1,$B25,BA$1,$B$1)</f>
        <v>0.6</v>
      </c>
      <c r="BB25">
        <f>_xll.EQNXTDZ($A$1,$B25,BB$1,$B$1)</f>
        <v>0.7</v>
      </c>
      <c r="BC25">
        <f>_xll.EQNXTDZ($A$1,$B25,BC$1,$B$1)</f>
        <v>0.78</v>
      </c>
      <c r="BD25">
        <f>_xll.EQNXTDZ($A$1,$B25,BD$1,$B$1)</f>
        <v>0.59</v>
      </c>
      <c r="BE25">
        <f>_xll.EQNXTDZ($A$1,$B25,BE$1,$B$1)</f>
        <v>-0.09</v>
      </c>
      <c r="BF25">
        <f>_xll.EQNXTDZ($A$1,$B25,BF$1,$B$1)</f>
        <v>1.52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-16.523</v>
      </c>
      <c r="U26">
        <f>_xll.EQNXTDZ($A$1,$B26,U$1,$B$1)</f>
        <v>-6.8739999999999997</v>
      </c>
      <c r="V26">
        <f>_xll.EQNXTDZ($A$1,$B26,V$1,$B$1)</f>
        <v>-4.0359999999999996</v>
      </c>
      <c r="W26">
        <f>_xll.EQNXTDZ($A$1,$B26,W$1,$B$1)</f>
        <v>-2.0499999999999998</v>
      </c>
      <c r="X26">
        <f>_xll.EQNXTDZ($A$1,$B26,X$1,$B$1)</f>
        <v>-0.14000000000000001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-6.58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-6.16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21.207999999999998</v>
      </c>
      <c r="P27">
        <f>_xll.EQNXTDZ($A$1,$B27,P$1,$B$1)</f>
        <v>28.899000000000001</v>
      </c>
      <c r="Q27">
        <f>_xll.EQNXTDZ($A$1,$B27,Q$1,$B$1)</f>
        <v>23.082999999999998</v>
      </c>
      <c r="R27">
        <f>_xll.EQNXTDZ($A$1,$B27,R$1,$B$1)</f>
        <v>26.852</v>
      </c>
      <c r="S27">
        <f>_xll.EQNXTDZ($A$1,$B27,S$1,$B$1)</f>
        <v>29.94</v>
      </c>
      <c r="T27">
        <f>_xll.EQNXTDZ($A$1,$B27,T$1,$B$1)</f>
        <v>16.925999999999998</v>
      </c>
      <c r="U27">
        <f>_xll.EQNXTDZ($A$1,$B27,U$1,$B$1)</f>
        <v>23.222999999999999</v>
      </c>
      <c r="V27">
        <f>_xll.EQNXTDZ($A$1,$B27,V$1,$B$1)</f>
        <v>29.635999999999999</v>
      </c>
      <c r="W27">
        <f>_xll.EQNXTDZ($A$1,$B27,W$1,$B$1)</f>
        <v>39.052999999999997</v>
      </c>
      <c r="X27">
        <f>_xll.EQNXTDZ($A$1,$B27,X$1,$B$1)</f>
        <v>39.15</v>
      </c>
      <c r="Y27">
        <f>_xll.EQNXTDZ($A$1,$B27,Y$1,$B$1)</f>
        <v>38.950000000000003</v>
      </c>
      <c r="Z27">
        <f>_xll.EQNXTDZ($A$1,$B27,Z$1,$B$1)</f>
        <v>47.94</v>
      </c>
      <c r="AA27">
        <f>_xll.EQNXTDZ($A$1,$B27,AA$1,$B$1)</f>
        <v>43.35</v>
      </c>
      <c r="AB27">
        <f>_xll.EQNXTDZ($A$1,$B27,AB$1,$B$1)</f>
        <v>45.28</v>
      </c>
      <c r="AC27">
        <f>_xll.EQNXTDZ($A$1,$B27,AC$1,$B$1)</f>
        <v>38.71</v>
      </c>
      <c r="AD27">
        <f>_xll.EQNXTDZ($A$1,$B27,AD$1,$B$1)</f>
        <v>36.229999999999997</v>
      </c>
      <c r="AE27">
        <f>_xll.EQNXTDZ($A$1,$B27,AE$1,$B$1)</f>
        <v>47.5</v>
      </c>
      <c r="AF27">
        <f>_xll.EQNXTDZ($A$1,$B27,AF$1,$B$1)</f>
        <v>54.01</v>
      </c>
      <c r="AG27">
        <f>_xll.EQNXTDZ($A$1,$B27,AG$1,$B$1)</f>
        <v>44.24</v>
      </c>
      <c r="AH27">
        <f>_xll.EQNXTDZ($A$1,$B27,AH$1,$B$1)</f>
        <v>26.07</v>
      </c>
      <c r="AI27">
        <f>_xll.EQNXTDZ($A$1,$B27,AI$1,$B$1)</f>
        <v>9.36</v>
      </c>
      <c r="AJ27">
        <f>_xll.EQNXTDZ($A$1,$B27,AJ$1,$B$1)</f>
        <v>66.55</v>
      </c>
      <c r="AK27">
        <f>_xll.EQNXTDZ($A$1,$B27,AK$1,$B$1)</f>
        <v>51.9</v>
      </c>
      <c r="AL27">
        <f>_xll.EQNXTDZ($A$1,$B27,AL$1,$B$1)</f>
        <v>55.26</v>
      </c>
      <c r="AM27">
        <f>_xll.EQNXTDZ($A$1,$B27,AM$1,$B$1)</f>
        <v>81.099999999999994</v>
      </c>
      <c r="AN27">
        <f>_xll.EQNXTDZ($A$1,$B27,AN$1,$B$1)</f>
        <v>103.79</v>
      </c>
      <c r="AO27">
        <f>_xll.EQNXTDZ($A$1,$B27,AO$1,$B$1)</f>
        <v>37.700000000000003</v>
      </c>
      <c r="AP27">
        <f>_xll.EQNXTDZ($A$1,$B27,AP$1,$B$1)</f>
        <v>39.17</v>
      </c>
      <c r="AQ27">
        <f>_xll.EQNXTDZ($A$1,$B27,AQ$1,$B$1)</f>
        <v>36.36</v>
      </c>
      <c r="AR27">
        <f>_xll.EQNXTDZ($A$1,$B27,AR$1,$B$1)</f>
        <v>32.659999999999997</v>
      </c>
      <c r="AS27">
        <f>_xll.EQNXTDZ($A$1,$B27,AS$1,$B$1)</f>
        <v>29.38</v>
      </c>
      <c r="AT27">
        <f>_xll.EQNXTDZ($A$1,$B27,AT$1,$B$1)</f>
        <v>27.72</v>
      </c>
      <c r="AU27">
        <f>_xll.EQNXTDZ($A$1,$B27,AU$1,$B$1)</f>
        <v>34.61</v>
      </c>
      <c r="AV27">
        <f>_xll.EQNXTDZ($A$1,$B27,AV$1,$B$1)</f>
        <v>38.56</v>
      </c>
      <c r="AW27">
        <f>_xll.EQNXTDZ($A$1,$B27,AW$1,$B$1)</f>
        <v>33.25</v>
      </c>
      <c r="AX27">
        <f>_xll.EQNXTDZ($A$1,$B27,AX$1,$B$1)</f>
        <v>36.18</v>
      </c>
      <c r="AY27">
        <f>_xll.EQNXTDZ($A$1,$B27,AY$1,$B$1)</f>
        <v>45.27</v>
      </c>
      <c r="AZ27">
        <f>_xll.EQNXTDZ($A$1,$B27,AZ$1,$B$1)</f>
        <v>50.14</v>
      </c>
      <c r="BA27">
        <f>_xll.EQNXTDZ($A$1,$B27,BA$1,$B$1)</f>
        <v>45.14</v>
      </c>
      <c r="BB27">
        <f>_xll.EQNXTDZ($A$1,$B27,BB$1,$B$1)</f>
        <v>61.59</v>
      </c>
      <c r="BC27">
        <f>_xll.EQNXTDZ($A$1,$B27,BC$1,$B$1)</f>
        <v>61.64</v>
      </c>
      <c r="BD27">
        <f>_xll.EQNXTDZ($A$1,$B27,BD$1,$B$1)</f>
        <v>73.81</v>
      </c>
      <c r="BE27">
        <f>_xll.EQNXTDZ($A$1,$B27,BE$1,$B$1)</f>
        <v>56.74</v>
      </c>
      <c r="BF27">
        <f>_xll.EQNXTDZ($A$1,$B27,BF$1,$B$1)</f>
        <v>77.88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4.5540000000000003</v>
      </c>
      <c r="P28">
        <f>_xll.EQNXTDZ($A$1,$B28,P$1,$B$1)</f>
        <v>4.0179999999999998</v>
      </c>
      <c r="Q28">
        <f>_xll.EQNXTDZ($A$1,$B28,Q$1,$B$1)</f>
        <v>4.6379999999999999</v>
      </c>
      <c r="R28">
        <f>_xll.EQNXTDZ($A$1,$B28,R$1,$B$1)</f>
        <v>5.0270000000000001</v>
      </c>
      <c r="S28">
        <f>_xll.EQNXTDZ($A$1,$B28,S$1,$B$1)</f>
        <v>4.1319999999999997</v>
      </c>
      <c r="T28">
        <f>_xll.EQNXTDZ($A$1,$B28,T$1,$B$1)</f>
        <v>4.3250000000000002</v>
      </c>
      <c r="U28">
        <f>_xll.EQNXTDZ($A$1,$B28,U$1,$B$1)</f>
        <v>4.6639999999999997</v>
      </c>
      <c r="V28">
        <f>_xll.EQNXTDZ($A$1,$B28,V$1,$B$1)</f>
        <v>4.93</v>
      </c>
      <c r="W28">
        <f>_xll.EQNXTDZ($A$1,$B28,W$1,$B$1)</f>
        <v>4.42</v>
      </c>
      <c r="X28">
        <f>_xll.EQNXTDZ($A$1,$B28,X$1,$B$1)</f>
        <v>4.9400000000000004</v>
      </c>
      <c r="Y28">
        <f>_xll.EQNXTDZ($A$1,$B28,Y$1,$B$1)</f>
        <v>5.14</v>
      </c>
      <c r="Z28">
        <f>_xll.EQNXTDZ($A$1,$B28,Z$1,$B$1)</f>
        <v>5.6</v>
      </c>
      <c r="AA28">
        <f>_xll.EQNXTDZ($A$1,$B28,AA$1,$B$1)</f>
        <v>5.68</v>
      </c>
      <c r="AB28">
        <f>_xll.EQNXTDZ($A$1,$B28,AB$1,$B$1)</f>
        <v>6.61</v>
      </c>
      <c r="AC28">
        <f>_xll.EQNXTDZ($A$1,$B28,AC$1,$B$1)</f>
        <v>6.89</v>
      </c>
      <c r="AD28">
        <f>_xll.EQNXTDZ($A$1,$B28,AD$1,$B$1)</f>
        <v>6.99</v>
      </c>
      <c r="AE28">
        <f>_xll.EQNXTDZ($A$1,$B28,AE$1,$B$1)</f>
        <v>7.35</v>
      </c>
      <c r="AF28">
        <f>_xll.EQNXTDZ($A$1,$B28,AF$1,$B$1)</f>
        <v>8.23</v>
      </c>
      <c r="AG28">
        <f>_xll.EQNXTDZ($A$1,$B28,AG$1,$B$1)</f>
        <v>7.84</v>
      </c>
      <c r="AH28">
        <f>_xll.EQNXTDZ($A$1,$B28,AH$1,$B$1)</f>
        <v>8.49</v>
      </c>
      <c r="AI28">
        <f>_xll.EQNXTDZ($A$1,$B28,AI$1,$B$1)</f>
        <v>6.97</v>
      </c>
      <c r="AJ28">
        <f>_xll.EQNXTDZ($A$1,$B28,AJ$1,$B$1)</f>
        <v>7.64</v>
      </c>
      <c r="AK28">
        <f>_xll.EQNXTDZ($A$1,$B28,AK$1,$B$1)</f>
        <v>7.84</v>
      </c>
      <c r="AL28">
        <f>_xll.EQNXTDZ($A$1,$B28,AL$1,$B$1)</f>
        <v>7.81</v>
      </c>
      <c r="AM28">
        <f>_xll.EQNXTDZ($A$1,$B28,AM$1,$B$1)</f>
        <v>7.29</v>
      </c>
      <c r="AN28">
        <f>_xll.EQNXTDZ($A$1,$B28,AN$1,$B$1)</f>
        <v>8.16</v>
      </c>
      <c r="AO28">
        <f>_xll.EQNXTDZ($A$1,$B28,AO$1,$B$1)</f>
        <v>8.8000000000000007</v>
      </c>
      <c r="AP28">
        <f>_xll.EQNXTDZ($A$1,$B28,AP$1,$B$1)</f>
        <v>9.67</v>
      </c>
      <c r="AQ28">
        <f>_xll.EQNXTDZ($A$1,$B28,AQ$1,$B$1)</f>
        <v>8.61</v>
      </c>
      <c r="AR28">
        <f>_xll.EQNXTDZ($A$1,$B28,AR$1,$B$1)</f>
        <v>9.15</v>
      </c>
      <c r="AS28">
        <f>_xll.EQNXTDZ($A$1,$B28,AS$1,$B$1)</f>
        <v>10.15</v>
      </c>
      <c r="AT28">
        <f>_xll.EQNXTDZ($A$1,$B28,AT$1,$B$1)</f>
        <v>10.8</v>
      </c>
      <c r="AU28">
        <f>_xll.EQNXTDZ($A$1,$B28,AU$1,$B$1)</f>
        <v>9.83</v>
      </c>
      <c r="AV28">
        <f>_xll.EQNXTDZ($A$1,$B28,AV$1,$B$1)</f>
        <v>10.65</v>
      </c>
      <c r="AW28">
        <f>_xll.EQNXTDZ($A$1,$B28,AW$1,$B$1)</f>
        <v>13.47</v>
      </c>
      <c r="AX28">
        <f>_xll.EQNXTDZ($A$1,$B28,AX$1,$B$1)</f>
        <v>13.06</v>
      </c>
      <c r="AY28">
        <f>_xll.EQNXTDZ($A$1,$B28,AY$1,$B$1)</f>
        <v>11.36</v>
      </c>
      <c r="AZ28">
        <f>_xll.EQNXTDZ($A$1,$B28,AZ$1,$B$1)</f>
        <v>13.07</v>
      </c>
      <c r="BA28">
        <f>_xll.EQNXTDZ($A$1,$B28,BA$1,$B$1)</f>
        <v>17.059999999999999</v>
      </c>
      <c r="BB28">
        <f>_xll.EQNXTDZ($A$1,$B28,BB$1,$B$1)</f>
        <v>13.77</v>
      </c>
      <c r="BC28">
        <f>_xll.EQNXTDZ($A$1,$B28,BC$1,$B$1)</f>
        <v>11.41</v>
      </c>
      <c r="BD28">
        <f>_xll.EQNXTDZ($A$1,$B28,BD$1,$B$1)</f>
        <v>11.51</v>
      </c>
      <c r="BE28">
        <f>_xll.EQNXTDZ($A$1,$B28,BE$1,$B$1)</f>
        <v>21.63</v>
      </c>
      <c r="BF28">
        <f>_xll.EQNXTDZ($A$1,$B28,BF$1,$B$1)</f>
        <v>14.03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5.8390000000000004</v>
      </c>
      <c r="P29">
        <f>_xll.EQNXTDZ($A$1,$B29,P$1,$B$1)</f>
        <v>8.6449999999999996</v>
      </c>
      <c r="Q29">
        <f>_xll.EQNXTDZ($A$1,$B29,Q$1,$B$1)</f>
        <v>7.6310000000000002</v>
      </c>
      <c r="R29">
        <f>_xll.EQNXTDZ($A$1,$B29,R$1,$B$1)</f>
        <v>7.8890000000000002</v>
      </c>
      <c r="S29">
        <f>_xll.EQNXTDZ($A$1,$B29,S$1,$B$1)</f>
        <v>8.73</v>
      </c>
      <c r="T29">
        <f>_xll.EQNXTDZ($A$1,$B29,T$1,$B$1)</f>
        <v>11.43</v>
      </c>
      <c r="U29">
        <f>_xll.EQNXTDZ($A$1,$B29,U$1,$B$1)</f>
        <v>9.3780000000000001</v>
      </c>
      <c r="V29">
        <f>_xll.EQNXTDZ($A$1,$B29,V$1,$B$1)</f>
        <v>9.3030000000000008</v>
      </c>
      <c r="W29">
        <f>_xll.EQNXTDZ($A$1,$B29,W$1,$B$1)</f>
        <v>12.62</v>
      </c>
      <c r="X29">
        <f>_xll.EQNXTDZ($A$1,$B29,X$1,$B$1)</f>
        <v>9.5500000000000007</v>
      </c>
      <c r="Y29">
        <f>_xll.EQNXTDZ($A$1,$B29,Y$1,$B$1)</f>
        <v>12.34</v>
      </c>
      <c r="Z29">
        <f>_xll.EQNXTDZ($A$1,$B29,Z$1,$B$1)</f>
        <v>17.21</v>
      </c>
      <c r="AA29">
        <f>_xll.EQNXTDZ($A$1,$B29,AA$1,$B$1)</f>
        <v>14.23</v>
      </c>
      <c r="AB29">
        <f>_xll.EQNXTDZ($A$1,$B29,AB$1,$B$1)</f>
        <v>13.86</v>
      </c>
      <c r="AC29">
        <f>_xll.EQNXTDZ($A$1,$B29,AC$1,$B$1)</f>
        <v>11.84</v>
      </c>
      <c r="AD29">
        <f>_xll.EQNXTDZ($A$1,$B29,AD$1,$B$1)</f>
        <v>12.99</v>
      </c>
      <c r="AE29">
        <f>_xll.EQNXTDZ($A$1,$B29,AE$1,$B$1)</f>
        <v>12.86</v>
      </c>
      <c r="AF29">
        <f>_xll.EQNXTDZ($A$1,$B29,AF$1,$B$1)</f>
        <v>11</v>
      </c>
      <c r="AG29">
        <f>_xll.EQNXTDZ($A$1,$B29,AG$1,$B$1)</f>
        <v>8.99</v>
      </c>
      <c r="AH29">
        <f>_xll.EQNXTDZ($A$1,$B29,AH$1,$B$1)</f>
        <v>19.16</v>
      </c>
      <c r="AI29">
        <f>_xll.EQNXTDZ($A$1,$B29,AI$1,$B$1)</f>
        <v>1.9</v>
      </c>
      <c r="AJ29">
        <f>_xll.EQNXTDZ($A$1,$B29,AJ$1,$B$1)</f>
        <v>15.81</v>
      </c>
      <c r="AK29">
        <f>_xll.EQNXTDZ($A$1,$B29,AK$1,$B$1)</f>
        <v>11.73</v>
      </c>
      <c r="AL29">
        <f>_xll.EQNXTDZ($A$1,$B29,AL$1,$B$1)</f>
        <v>9.8800000000000008</v>
      </c>
      <c r="AM29">
        <f>_xll.EQNXTDZ($A$1,$B29,AM$1,$B$1)</f>
        <v>17.940000000000001</v>
      </c>
      <c r="AN29">
        <f>_xll.EQNXTDZ($A$1,$B29,AN$1,$B$1)</f>
        <v>17.71</v>
      </c>
      <c r="AO29">
        <f>_xll.EQNXTDZ($A$1,$B29,AO$1,$B$1)</f>
        <v>7.2</v>
      </c>
      <c r="AP29">
        <f>_xll.EQNXTDZ($A$1,$B29,AP$1,$B$1)</f>
        <v>8.7799999999999994</v>
      </c>
      <c r="AQ29">
        <f>_xll.EQNXTDZ($A$1,$B29,AQ$1,$B$1)</f>
        <v>6.28</v>
      </c>
      <c r="AR29">
        <f>_xll.EQNXTDZ($A$1,$B29,AR$1,$B$1)</f>
        <v>8.18</v>
      </c>
      <c r="AS29">
        <f>_xll.EQNXTDZ($A$1,$B29,AS$1,$B$1)</f>
        <v>5.0199999999999996</v>
      </c>
      <c r="AT29">
        <f>_xll.EQNXTDZ($A$1,$B29,AT$1,$B$1)</f>
        <v>4.75</v>
      </c>
      <c r="AU29">
        <f>_xll.EQNXTDZ($A$1,$B29,AU$1,$B$1)</f>
        <v>7.65</v>
      </c>
      <c r="AV29">
        <f>_xll.EQNXTDZ($A$1,$B29,AV$1,$B$1)</f>
        <v>7.94</v>
      </c>
      <c r="AW29">
        <f>_xll.EQNXTDZ($A$1,$B29,AW$1,$B$1)</f>
        <v>5.17</v>
      </c>
      <c r="AX29">
        <f>_xll.EQNXTDZ($A$1,$B29,AX$1,$B$1)</f>
        <v>5.72</v>
      </c>
      <c r="AY29">
        <f>_xll.EQNXTDZ($A$1,$B29,AY$1,$B$1)</f>
        <v>9.61</v>
      </c>
      <c r="AZ29">
        <f>_xll.EQNXTDZ($A$1,$B29,AZ$1,$B$1)</f>
        <v>10.36</v>
      </c>
      <c r="BA29">
        <f>_xll.EQNXTDZ($A$1,$B29,BA$1,$B$1)</f>
        <v>8.9700000000000006</v>
      </c>
      <c r="BB29">
        <f>_xll.EQNXTDZ($A$1,$B29,BB$1,$B$1)</f>
        <v>25.62</v>
      </c>
      <c r="BC29">
        <f>_xll.EQNXTDZ($A$1,$B29,BC$1,$B$1)</f>
        <v>12.19</v>
      </c>
      <c r="BD29">
        <f>_xll.EQNXTDZ($A$1,$B29,BD$1,$B$1)</f>
        <v>14.77</v>
      </c>
      <c r="BE29">
        <f>_xll.EQNXTDZ($A$1,$B29,BE$1,$B$1)</f>
        <v>7.34</v>
      </c>
      <c r="BF29">
        <f>_xll.EQNXTDZ($A$1,$B29,BF$1,$B$1)</f>
        <v>15.73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10.815</v>
      </c>
      <c r="P30">
        <f>_xll.EQNXTDZ($A$1,$B30,P$1,$B$1)</f>
        <v>16.236000000000001</v>
      </c>
      <c r="Q30">
        <f>_xll.EQNXTDZ($A$1,$B30,Q$1,$B$1)</f>
        <v>10.814</v>
      </c>
      <c r="R30">
        <f>_xll.EQNXTDZ($A$1,$B30,R$1,$B$1)</f>
        <v>13.936</v>
      </c>
      <c r="S30">
        <f>_xll.EQNXTDZ($A$1,$B30,S$1,$B$1)</f>
        <v>17.077999999999999</v>
      </c>
      <c r="T30">
        <f>_xll.EQNXTDZ($A$1,$B30,T$1,$B$1)</f>
        <v>1.171</v>
      </c>
      <c r="U30">
        <f>_xll.EQNXTDZ($A$1,$B30,U$1,$B$1)</f>
        <v>9.1809999999999992</v>
      </c>
      <c r="V30">
        <f>_xll.EQNXTDZ($A$1,$B30,V$1,$B$1)</f>
        <v>15.404</v>
      </c>
      <c r="W30">
        <f>_xll.EQNXTDZ($A$1,$B30,W$1,$B$1)</f>
        <v>22.01</v>
      </c>
      <c r="X30">
        <f>_xll.EQNXTDZ($A$1,$B30,X$1,$B$1)</f>
        <v>24.66</v>
      </c>
      <c r="Y30">
        <f>_xll.EQNXTDZ($A$1,$B30,Y$1,$B$1)</f>
        <v>21.47</v>
      </c>
      <c r="Z30">
        <f>_xll.EQNXTDZ($A$1,$B30,Z$1,$B$1)</f>
        <v>25.13</v>
      </c>
      <c r="AA30">
        <f>_xll.EQNXTDZ($A$1,$B30,AA$1,$B$1)</f>
        <v>23.44</v>
      </c>
      <c r="AB30">
        <f>_xll.EQNXTDZ($A$1,$B30,AB$1,$B$1)</f>
        <v>24.81</v>
      </c>
      <c r="AC30">
        <f>_xll.EQNXTDZ($A$1,$B30,AC$1,$B$1)</f>
        <v>19.98</v>
      </c>
      <c r="AD30">
        <f>_xll.EQNXTDZ($A$1,$B30,AD$1,$B$1)</f>
        <v>16.25</v>
      </c>
      <c r="AE30">
        <f>_xll.EQNXTDZ($A$1,$B30,AE$1,$B$1)</f>
        <v>27.29</v>
      </c>
      <c r="AF30">
        <f>_xll.EQNXTDZ($A$1,$B30,AF$1,$B$1)</f>
        <v>34.78</v>
      </c>
      <c r="AG30">
        <f>_xll.EQNXTDZ($A$1,$B30,AG$1,$B$1)</f>
        <v>27.41</v>
      </c>
      <c r="AH30">
        <f>_xll.EQNXTDZ($A$1,$B30,AH$1,$B$1)</f>
        <v>-1.5800000000000101</v>
      </c>
      <c r="AI30">
        <f>_xll.EQNXTDZ($A$1,$B30,AI$1,$B$1)</f>
        <v>0.49000000000000099</v>
      </c>
      <c r="AJ30">
        <f>_xll.EQNXTDZ($A$1,$B30,AJ$1,$B$1)</f>
        <v>43.1</v>
      </c>
      <c r="AK30">
        <f>_xll.EQNXTDZ($A$1,$B30,AK$1,$B$1)</f>
        <v>32.33</v>
      </c>
      <c r="AL30">
        <f>_xll.EQNXTDZ($A$1,$B30,AL$1,$B$1)</f>
        <v>37.57</v>
      </c>
      <c r="AM30">
        <f>_xll.EQNXTDZ($A$1,$B30,AM$1,$B$1)</f>
        <v>55.87</v>
      </c>
      <c r="AN30">
        <f>_xll.EQNXTDZ($A$1,$B30,AN$1,$B$1)</f>
        <v>77.92</v>
      </c>
      <c r="AO30">
        <f>_xll.EQNXTDZ($A$1,$B30,AO$1,$B$1)</f>
        <v>21.7</v>
      </c>
      <c r="AP30">
        <f>_xll.EQNXTDZ($A$1,$B30,AP$1,$B$1)</f>
        <v>20.72</v>
      </c>
      <c r="AQ30">
        <f>_xll.EQNXTDZ($A$1,$B30,AQ$1,$B$1)</f>
        <v>21.47</v>
      </c>
      <c r="AR30">
        <f>_xll.EQNXTDZ($A$1,$B30,AR$1,$B$1)</f>
        <v>15.33</v>
      </c>
      <c r="AS30">
        <f>_xll.EQNXTDZ($A$1,$B30,AS$1,$B$1)</f>
        <v>14.21</v>
      </c>
      <c r="AT30">
        <f>_xll.EQNXTDZ($A$1,$B30,AT$1,$B$1)</f>
        <v>12.17</v>
      </c>
      <c r="AU30">
        <f>_xll.EQNXTDZ($A$1,$B30,AU$1,$B$1)</f>
        <v>17.13</v>
      </c>
      <c r="AV30">
        <f>_xll.EQNXTDZ($A$1,$B30,AV$1,$B$1)</f>
        <v>19.97</v>
      </c>
      <c r="AW30">
        <f>_xll.EQNXTDZ($A$1,$B30,AW$1,$B$1)</f>
        <v>14.61</v>
      </c>
      <c r="AX30">
        <f>_xll.EQNXTDZ($A$1,$B30,AX$1,$B$1)</f>
        <v>17.399999999999999</v>
      </c>
      <c r="AY30">
        <f>_xll.EQNXTDZ($A$1,$B30,AY$1,$B$1)</f>
        <v>24.3</v>
      </c>
      <c r="AZ30">
        <f>_xll.EQNXTDZ($A$1,$B30,AZ$1,$B$1)</f>
        <v>26.71</v>
      </c>
      <c r="BA30">
        <f>_xll.EQNXTDZ($A$1,$B30,BA$1,$B$1)</f>
        <v>19.11</v>
      </c>
      <c r="BB30">
        <f>_xll.EQNXTDZ($A$1,$B30,BB$1,$B$1)</f>
        <v>22.2</v>
      </c>
      <c r="BC30">
        <f>_xll.EQNXTDZ($A$1,$B30,BC$1,$B$1)</f>
        <v>38.04</v>
      </c>
      <c r="BD30">
        <f>_xll.EQNXTDZ($A$1,$B30,BD$1,$B$1)</f>
        <v>47.53</v>
      </c>
      <c r="BE30">
        <f>_xll.EQNXTDZ($A$1,$B30,BE$1,$B$1)</f>
        <v>27.77</v>
      </c>
      <c r="BF30">
        <f>_xll.EQNXTDZ($A$1,$B30,BF$1,$B$1)</f>
        <v>48.12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0.94899999999999995</v>
      </c>
      <c r="P34">
        <f>_xll.EQNXTDZ($A$1,$B34,P$1,$B$1)</f>
        <v>0.33100000000000002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0.02</v>
      </c>
      <c r="AT34">
        <f>_xll.EQNXTDZ($A$1,$B34,AT$1,$B$1)</f>
        <v>0.11</v>
      </c>
      <c r="AU34">
        <f>_xll.EQNXTDZ($A$1,$B34,AU$1,$B$1)</f>
        <v>0.05</v>
      </c>
      <c r="AV34">
        <f>_xll.EQNXTDZ($A$1,$B34,AV$1,$B$1)</f>
        <v>0.01</v>
      </c>
      <c r="AW34">
        <f>_xll.EQNXTDZ($A$1,$B34,AW$1,$B$1)</f>
        <v>0.61</v>
      </c>
      <c r="AX34">
        <f>_xll.EQNXTDZ($A$1,$B34,AX$1,$B$1)</f>
        <v>0.6</v>
      </c>
      <c r="AY34">
        <f>_xll.EQNXTDZ($A$1,$B34,AY$1,$B$1)</f>
        <v>0.23</v>
      </c>
      <c r="AZ34">
        <f>_xll.EQNXTDZ($A$1,$B34,AZ$1,$B$1)</f>
        <v>0.25</v>
      </c>
      <c r="BA34">
        <f>_xll.EQNXTDZ($A$1,$B34,BA$1,$B$1)</f>
        <v>0.16</v>
      </c>
      <c r="BB34">
        <f>_xll.EQNXTDZ($A$1,$B34,BB$1,$B$1)</f>
        <v>0.13</v>
      </c>
      <c r="BC34">
        <f>_xll.EQNXTDZ($A$1,$B34,BC$1,$B$1)</f>
        <v>0.64</v>
      </c>
      <c r="BD34">
        <f>_xll.EQNXTDZ($A$1,$B34,BD$1,$B$1)</f>
        <v>0.18</v>
      </c>
      <c r="BE34">
        <f>_xll.EQNXTDZ($A$1,$B34,BE$1,$B$1)</f>
        <v>0.96</v>
      </c>
      <c r="BF34">
        <f>_xll.EQNXTDZ($A$1,$B34,BF$1,$B$1)</f>
        <v>-1.59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-0.04</v>
      </c>
      <c r="AB35">
        <f>_xll.EQNXTDZ($A$1,$B35,AB$1,$B$1)</f>
        <v>0.45</v>
      </c>
      <c r="AC35">
        <f>_xll.EQNXTDZ($A$1,$B35,AC$1,$B$1)</f>
        <v>0.17</v>
      </c>
      <c r="AD35">
        <f>_xll.EQNXTDZ($A$1,$B35,AD$1,$B$1)</f>
        <v>0.08</v>
      </c>
      <c r="AE35">
        <f>_xll.EQNXTDZ($A$1,$B35,AE$1,$B$1)</f>
        <v>0.18</v>
      </c>
      <c r="AF35">
        <f>_xll.EQNXTDZ($A$1,$B35,AF$1,$B$1)</f>
        <v>0.27</v>
      </c>
      <c r="AG35">
        <f>_xll.EQNXTDZ($A$1,$B35,AG$1,$B$1)</f>
        <v>0.08</v>
      </c>
      <c r="AH35">
        <f>_xll.EQNXTDZ($A$1,$B35,AH$1,$B$1)</f>
        <v>-0.02</v>
      </c>
      <c r="AI35">
        <f>_xll.EQNXTDZ($A$1,$B35,AI$1,$B$1)</f>
        <v>-0.26</v>
      </c>
      <c r="AJ35">
        <f>_xll.EQNXTDZ($A$1,$B35,AJ$1,$B$1)</f>
        <v>-0.05</v>
      </c>
      <c r="AK35">
        <f>_xll.EQNXTDZ($A$1,$B35,AK$1,$B$1)</f>
        <v>0.06</v>
      </c>
      <c r="AL35">
        <f>_xll.EQNXTDZ($A$1,$B35,AL$1,$B$1)</f>
        <v>0.18</v>
      </c>
      <c r="AM35">
        <f>_xll.EQNXTDZ($A$1,$B35,AM$1,$B$1)</f>
        <v>-0.28999999999999998</v>
      </c>
      <c r="AN35">
        <f>_xll.EQNXTDZ($A$1,$B35,AN$1,$B$1)</f>
        <v>-0.19</v>
      </c>
      <c r="AO35">
        <f>_xll.EQNXTDZ($A$1,$B35,AO$1,$B$1)</f>
        <v>-0.2</v>
      </c>
      <c r="AP35">
        <f>_xll.EQNXTDZ($A$1,$B35,AP$1,$B$1)</f>
        <v>0.52</v>
      </c>
      <c r="AQ35">
        <f>_xll.EQNXTDZ($A$1,$B35,AQ$1,$B$1)</f>
        <v>0.26</v>
      </c>
      <c r="AR35">
        <f>_xll.EQNXTDZ($A$1,$B35,AR$1,$B$1)</f>
        <v>0.1</v>
      </c>
      <c r="AS35">
        <f>_xll.EQNXTDZ($A$1,$B35,AS$1,$B$1)</f>
        <v>0.49</v>
      </c>
      <c r="AT35">
        <f>_xll.EQNXTDZ($A$1,$B35,AT$1,$B$1)</f>
        <v>0.32</v>
      </c>
      <c r="AU35">
        <f>_xll.EQNXTDZ($A$1,$B35,AU$1,$B$1)</f>
        <v>0.12</v>
      </c>
      <c r="AV35">
        <f>_xll.EQNXTDZ($A$1,$B35,AV$1,$B$1)</f>
        <v>0.36</v>
      </c>
      <c r="AW35">
        <f>_xll.EQNXTDZ($A$1,$B35,AW$1,$B$1)</f>
        <v>0.13</v>
      </c>
      <c r="AX35">
        <f>_xll.EQNXTDZ($A$1,$B35,AX$1,$B$1)</f>
        <v>-0.22</v>
      </c>
      <c r="AY35">
        <f>_xll.EQNXTDZ($A$1,$B35,AY$1,$B$1)</f>
        <v>-0.36</v>
      </c>
      <c r="AZ35">
        <f>_xll.EQNXTDZ($A$1,$B35,AZ$1,$B$1)</f>
        <v>-0.28999999999999998</v>
      </c>
      <c r="BA35">
        <f>_xll.EQNXTDZ($A$1,$B35,BA$1,$B$1)</f>
        <v>-0.16</v>
      </c>
      <c r="BB35">
        <f>_xll.EQNXTDZ($A$1,$B35,BB$1,$B$1)</f>
        <v>-0.63</v>
      </c>
      <c r="BC35">
        <f>_xll.EQNXTDZ($A$1,$B35,BC$1,$B$1)</f>
        <v>0.25</v>
      </c>
      <c r="BD35">
        <f>_xll.EQNXTDZ($A$1,$B35,BD$1,$B$1)</f>
        <v>0.28000000000000003</v>
      </c>
      <c r="BE35">
        <f>_xll.EQNXTDZ($A$1,$B35,BE$1,$B$1)</f>
        <v>0.28000000000000003</v>
      </c>
      <c r="BF35">
        <f>_xll.EQNXTDZ($A$1,$B35,BF$1,$B$1)</f>
        <v>0.57999999999999996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11.763999999999999</v>
      </c>
      <c r="P38">
        <f>_xll.EQNXTDZ($A$1,$B38,P$1,$B$1)</f>
        <v>16.567</v>
      </c>
      <c r="Q38">
        <f>_xll.EQNXTDZ($A$1,$B38,Q$1,$B$1)</f>
        <v>10.814</v>
      </c>
      <c r="R38">
        <f>_xll.EQNXTDZ($A$1,$B38,R$1,$B$1)</f>
        <v>13.936</v>
      </c>
      <c r="S38">
        <f>_xll.EQNXTDZ($A$1,$B38,S$1,$B$1)</f>
        <v>17.077999999999999</v>
      </c>
      <c r="T38">
        <f>_xll.EQNXTDZ($A$1,$B38,T$1,$B$1)</f>
        <v>1.171</v>
      </c>
      <c r="U38">
        <f>_xll.EQNXTDZ($A$1,$B38,U$1,$B$1)</f>
        <v>9.1809999999999992</v>
      </c>
      <c r="V38">
        <f>_xll.EQNXTDZ($A$1,$B38,V$1,$B$1)</f>
        <v>15.404</v>
      </c>
      <c r="W38">
        <f>_xll.EQNXTDZ($A$1,$B38,W$1,$B$1)</f>
        <v>22.01</v>
      </c>
      <c r="X38">
        <f>_xll.EQNXTDZ($A$1,$B38,X$1,$B$1)</f>
        <v>24.66</v>
      </c>
      <c r="Y38">
        <f>_xll.EQNXTDZ($A$1,$B38,Y$1,$B$1)</f>
        <v>21.47</v>
      </c>
      <c r="Z38">
        <f>_xll.EQNXTDZ($A$1,$B38,Z$1,$B$1)</f>
        <v>25.13</v>
      </c>
      <c r="AA38">
        <f>_xll.EQNXTDZ($A$1,$B38,AA$1,$B$1)</f>
        <v>23.4</v>
      </c>
      <c r="AB38">
        <f>_xll.EQNXTDZ($A$1,$B38,AB$1,$B$1)</f>
        <v>25.26</v>
      </c>
      <c r="AC38">
        <f>_xll.EQNXTDZ($A$1,$B38,AC$1,$B$1)</f>
        <v>20.149999999999999</v>
      </c>
      <c r="AD38">
        <f>_xll.EQNXTDZ($A$1,$B38,AD$1,$B$1)</f>
        <v>16.329999999999998</v>
      </c>
      <c r="AE38">
        <f>_xll.EQNXTDZ($A$1,$B38,AE$1,$B$1)</f>
        <v>27.47</v>
      </c>
      <c r="AF38">
        <f>_xll.EQNXTDZ($A$1,$B38,AF$1,$B$1)</f>
        <v>35.049999999999997</v>
      </c>
      <c r="AG38">
        <f>_xll.EQNXTDZ($A$1,$B38,AG$1,$B$1)</f>
        <v>27.49</v>
      </c>
      <c r="AH38">
        <f>_xll.EQNXTDZ($A$1,$B38,AH$1,$B$1)</f>
        <v>-1.6</v>
      </c>
      <c r="AI38">
        <f>_xll.EQNXTDZ($A$1,$B38,AI$1,$B$1)</f>
        <v>0.23</v>
      </c>
      <c r="AJ38">
        <f>_xll.EQNXTDZ($A$1,$B38,AJ$1,$B$1)</f>
        <v>43.05</v>
      </c>
      <c r="AK38">
        <f>_xll.EQNXTDZ($A$1,$B38,AK$1,$B$1)</f>
        <v>32.39</v>
      </c>
      <c r="AL38">
        <f>_xll.EQNXTDZ($A$1,$B38,AL$1,$B$1)</f>
        <v>37.75</v>
      </c>
      <c r="AM38">
        <f>_xll.EQNXTDZ($A$1,$B38,AM$1,$B$1)</f>
        <v>55.58</v>
      </c>
      <c r="AN38">
        <f>_xll.EQNXTDZ($A$1,$B38,AN$1,$B$1)</f>
        <v>77.73</v>
      </c>
      <c r="AO38">
        <f>_xll.EQNXTDZ($A$1,$B38,AO$1,$B$1)</f>
        <v>21.5</v>
      </c>
      <c r="AP38">
        <f>_xll.EQNXTDZ($A$1,$B38,AP$1,$B$1)</f>
        <v>21.24</v>
      </c>
      <c r="AQ38">
        <f>_xll.EQNXTDZ($A$1,$B38,AQ$1,$B$1)</f>
        <v>21.73</v>
      </c>
      <c r="AR38">
        <f>_xll.EQNXTDZ($A$1,$B38,AR$1,$B$1)</f>
        <v>15.43</v>
      </c>
      <c r="AS38">
        <f>_xll.EQNXTDZ($A$1,$B38,AS$1,$B$1)</f>
        <v>14.72</v>
      </c>
      <c r="AT38">
        <f>_xll.EQNXTDZ($A$1,$B38,AT$1,$B$1)</f>
        <v>12.6</v>
      </c>
      <c r="AU38">
        <f>_xll.EQNXTDZ($A$1,$B38,AU$1,$B$1)</f>
        <v>17.3</v>
      </c>
      <c r="AV38">
        <f>_xll.EQNXTDZ($A$1,$B38,AV$1,$B$1)</f>
        <v>20.34</v>
      </c>
      <c r="AW38">
        <f>_xll.EQNXTDZ($A$1,$B38,AW$1,$B$1)</f>
        <v>15.35</v>
      </c>
      <c r="AX38">
        <f>_xll.EQNXTDZ($A$1,$B38,AX$1,$B$1)</f>
        <v>17.78</v>
      </c>
      <c r="AY38">
        <f>_xll.EQNXTDZ($A$1,$B38,AY$1,$B$1)</f>
        <v>24.17</v>
      </c>
      <c r="AZ38">
        <f>_xll.EQNXTDZ($A$1,$B38,AZ$1,$B$1)</f>
        <v>26.67</v>
      </c>
      <c r="BA38">
        <f>_xll.EQNXTDZ($A$1,$B38,BA$1,$B$1)</f>
        <v>19.11</v>
      </c>
      <c r="BB38">
        <f>_xll.EQNXTDZ($A$1,$B38,BB$1,$B$1)</f>
        <v>21.7</v>
      </c>
      <c r="BC38">
        <f>_xll.EQNXTDZ($A$1,$B38,BC$1,$B$1)</f>
        <v>38.93</v>
      </c>
      <c r="BD38">
        <f>_xll.EQNXTDZ($A$1,$B38,BD$1,$B$1)</f>
        <v>47.99</v>
      </c>
      <c r="BE38">
        <f>_xll.EQNXTDZ($A$1,$B38,BE$1,$B$1)</f>
        <v>29.01</v>
      </c>
      <c r="BF38">
        <f>_xll.EQNXTDZ($A$1,$B38,BF$1,$B$1)</f>
        <v>47.11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0.104</v>
      </c>
      <c r="T40">
        <f>_xll.EQNXTDZ($A$1,$B40,T$1,$B$1)</f>
        <v>0.01</v>
      </c>
      <c r="U40">
        <f>_xll.EQNXTDZ($A$1,$B40,U$1,$B$1)</f>
        <v>1.2999999999999999E-2</v>
      </c>
      <c r="V40">
        <f>_xll.EQNXTDZ($A$1,$B40,V$1,$B$1)</f>
        <v>1.7999999999999999E-2</v>
      </c>
      <c r="W40">
        <f>_xll.EQNXTDZ($A$1,$B40,W$1,$B$1)</f>
        <v>0.09</v>
      </c>
      <c r="X40">
        <f>_xll.EQNXTDZ($A$1,$B40,X$1,$B$1)</f>
        <v>0.01</v>
      </c>
      <c r="Y40">
        <f>_xll.EQNXTDZ($A$1,$B40,Y$1,$B$1)</f>
        <v>0.16</v>
      </c>
      <c r="Z40">
        <f>_xll.EQNXTDZ($A$1,$B40,Z$1,$B$1)</f>
        <v>0.03</v>
      </c>
      <c r="AA40">
        <f>_xll.EQNXTDZ($A$1,$B40,AA$1,$B$1)</f>
        <v>0.1</v>
      </c>
      <c r="AB40">
        <f>_xll.EQNXTDZ($A$1,$B40,AB$1,$B$1)</f>
        <v>7.0000000000000007E-2</v>
      </c>
      <c r="AC40">
        <f>_xll.EQNXTDZ($A$1,$B40,AC$1,$B$1)</f>
        <v>-0.09</v>
      </c>
      <c r="AD40">
        <f>_xll.EQNXTDZ($A$1,$B40,AD$1,$B$1)</f>
        <v>0.03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  <c r="AH40">
        <f>_xll.EQNXTDZ($A$1,$B40,AH$1,$B$1)</f>
        <v>0.12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0</v>
      </c>
      <c r="AL40">
        <f>_xll.EQNXTDZ($A$1,$B40,AL$1,$B$1)</f>
        <v>-1.39</v>
      </c>
      <c r="AM40">
        <f>_xll.EQNXTDZ($A$1,$B40,AM$1,$B$1)</f>
        <v>-0.17</v>
      </c>
      <c r="AN40">
        <f>_xll.EQNXTDZ($A$1,$B40,AN$1,$B$1)</f>
        <v>-0.06</v>
      </c>
      <c r="AO40">
        <f>_xll.EQNXTDZ($A$1,$B40,AO$1,$B$1)</f>
        <v>0</v>
      </c>
      <c r="AP40">
        <f>_xll.EQNXTDZ($A$1,$B40,AP$1,$B$1)</f>
        <v>0.22</v>
      </c>
      <c r="AQ40">
        <f>_xll.EQNXTDZ($A$1,$B40,AQ$1,$B$1)</f>
        <v>0.21</v>
      </c>
      <c r="AR40">
        <f>_xll.EQNXTDZ($A$1,$B40,AR$1,$B$1)</f>
        <v>0.1</v>
      </c>
      <c r="AS40">
        <f>_xll.EQNXTDZ($A$1,$B40,AS$1,$B$1)</f>
        <v>0</v>
      </c>
      <c r="AT40">
        <f>_xll.EQNXTDZ($A$1,$B40,AT$1,$B$1)</f>
        <v>1.22</v>
      </c>
      <c r="AU40">
        <f>_xll.EQNXTDZ($A$1,$B40,AU$1,$B$1)</f>
        <v>0.15</v>
      </c>
      <c r="AV40">
        <f>_xll.EQNXTDZ($A$1,$B40,AV$1,$B$1)</f>
        <v>0.08</v>
      </c>
      <c r="AW40">
        <f>_xll.EQNXTDZ($A$1,$B40,AW$1,$B$1)</f>
        <v>0</v>
      </c>
      <c r="AX40">
        <f>_xll.EQNXTDZ($A$1,$B40,AX$1,$B$1)</f>
        <v>0.06</v>
      </c>
      <c r="AY40">
        <f>_xll.EQNXTDZ($A$1,$B40,AY$1,$B$1)</f>
        <v>-0.47</v>
      </c>
      <c r="AZ40">
        <f>_xll.EQNXTDZ($A$1,$B40,AZ$1,$B$1)</f>
        <v>-0.04</v>
      </c>
      <c r="BA40">
        <f>_xll.EQNXTDZ($A$1,$B40,BA$1,$B$1)</f>
        <v>-0.01</v>
      </c>
      <c r="BB40">
        <f>_xll.EQNXTDZ($A$1,$B40,BB$1,$B$1)</f>
        <v>-0.23</v>
      </c>
      <c r="BC40">
        <f>_xll.EQNXTDZ($A$1,$B40,BC$1,$B$1)</f>
        <v>-0.23</v>
      </c>
      <c r="BD40">
        <f>_xll.EQNXTDZ($A$1,$B40,BD$1,$B$1)</f>
        <v>0.09</v>
      </c>
      <c r="BE40">
        <f>_xll.EQNXTDZ($A$1,$B40,BE$1,$B$1)</f>
        <v>-0.14000000000000001</v>
      </c>
      <c r="BF40">
        <f>_xll.EQNXTDZ($A$1,$B40,BF$1,$B$1)</f>
        <v>0.66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11.763999999999999</v>
      </c>
      <c r="P41">
        <f>_xll.EQNXTDZ($A$1,$B41,P$1,$B$1)</f>
        <v>16.567</v>
      </c>
      <c r="Q41">
        <f>_xll.EQNXTDZ($A$1,$B41,Q$1,$B$1)</f>
        <v>10.814</v>
      </c>
      <c r="R41">
        <f>_xll.EQNXTDZ($A$1,$B41,R$1,$B$1)</f>
        <v>13.936</v>
      </c>
      <c r="S41">
        <f>_xll.EQNXTDZ($A$1,$B41,S$1,$B$1)</f>
        <v>17.181999999999999</v>
      </c>
      <c r="T41">
        <f>_xll.EQNXTDZ($A$1,$B41,T$1,$B$1)</f>
        <v>1.181</v>
      </c>
      <c r="U41">
        <f>_xll.EQNXTDZ($A$1,$B41,U$1,$B$1)</f>
        <v>9.1940000000000008</v>
      </c>
      <c r="V41">
        <f>_xll.EQNXTDZ($A$1,$B41,V$1,$B$1)</f>
        <v>15.422000000000001</v>
      </c>
      <c r="W41">
        <f>_xll.EQNXTDZ($A$1,$B41,W$1,$B$1)</f>
        <v>22.1</v>
      </c>
      <c r="X41">
        <f>_xll.EQNXTDZ($A$1,$B41,X$1,$B$1)</f>
        <v>24.67</v>
      </c>
      <c r="Y41">
        <f>_xll.EQNXTDZ($A$1,$B41,Y$1,$B$1)</f>
        <v>21.63</v>
      </c>
      <c r="Z41">
        <f>_xll.EQNXTDZ($A$1,$B41,Z$1,$B$1)</f>
        <v>25.16</v>
      </c>
      <c r="AA41">
        <f>_xll.EQNXTDZ($A$1,$B41,AA$1,$B$1)</f>
        <v>23.5</v>
      </c>
      <c r="AB41">
        <f>_xll.EQNXTDZ($A$1,$B41,AB$1,$B$1)</f>
        <v>25.33</v>
      </c>
      <c r="AC41">
        <f>_xll.EQNXTDZ($A$1,$B41,AC$1,$B$1)</f>
        <v>20.059999999999999</v>
      </c>
      <c r="AD41">
        <f>_xll.EQNXTDZ($A$1,$B41,AD$1,$B$1)</f>
        <v>16.36</v>
      </c>
      <c r="AE41">
        <f>_xll.EQNXTDZ($A$1,$B41,AE$1,$B$1)</f>
        <v>27.47</v>
      </c>
      <c r="AF41">
        <f>_xll.EQNXTDZ($A$1,$B41,AF$1,$B$1)</f>
        <v>35.049999999999997</v>
      </c>
      <c r="AG41">
        <f>_xll.EQNXTDZ($A$1,$B41,AG$1,$B$1)</f>
        <v>27.49</v>
      </c>
      <c r="AH41">
        <f>_xll.EQNXTDZ($A$1,$B41,AH$1,$B$1)</f>
        <v>-1.48</v>
      </c>
      <c r="AI41">
        <f>_xll.EQNXTDZ($A$1,$B41,AI$1,$B$1)</f>
        <v>0.23</v>
      </c>
      <c r="AJ41">
        <f>_xll.EQNXTDZ($A$1,$B41,AJ$1,$B$1)</f>
        <v>43.05</v>
      </c>
      <c r="AK41">
        <f>_xll.EQNXTDZ($A$1,$B41,AK$1,$B$1)</f>
        <v>32.39</v>
      </c>
      <c r="AL41">
        <f>_xll.EQNXTDZ($A$1,$B41,AL$1,$B$1)</f>
        <v>36.36</v>
      </c>
      <c r="AM41">
        <f>_xll.EQNXTDZ($A$1,$B41,AM$1,$B$1)</f>
        <v>55.41</v>
      </c>
      <c r="AN41">
        <f>_xll.EQNXTDZ($A$1,$B41,AN$1,$B$1)</f>
        <v>77.67</v>
      </c>
      <c r="AO41">
        <f>_xll.EQNXTDZ($A$1,$B41,AO$1,$B$1)</f>
        <v>21.5</v>
      </c>
      <c r="AP41">
        <f>_xll.EQNXTDZ($A$1,$B41,AP$1,$B$1)</f>
        <v>21.46</v>
      </c>
      <c r="AQ41">
        <f>_xll.EQNXTDZ($A$1,$B41,AQ$1,$B$1)</f>
        <v>21.94</v>
      </c>
      <c r="AR41">
        <f>_xll.EQNXTDZ($A$1,$B41,AR$1,$B$1)</f>
        <v>15.53</v>
      </c>
      <c r="AS41">
        <f>_xll.EQNXTDZ($A$1,$B41,AS$1,$B$1)</f>
        <v>14.72</v>
      </c>
      <c r="AT41">
        <f>_xll.EQNXTDZ($A$1,$B41,AT$1,$B$1)</f>
        <v>13.73</v>
      </c>
      <c r="AU41">
        <f>_xll.EQNXTDZ($A$1,$B41,AU$1,$B$1)</f>
        <v>17.45</v>
      </c>
      <c r="AV41">
        <f>_xll.EQNXTDZ($A$1,$B41,AV$1,$B$1)</f>
        <v>20.420000000000002</v>
      </c>
      <c r="AW41">
        <f>_xll.EQNXTDZ($A$1,$B41,AW$1,$B$1)</f>
        <v>15.35</v>
      </c>
      <c r="AX41">
        <f>_xll.EQNXTDZ($A$1,$B41,AX$1,$B$1)</f>
        <v>17.260000000000002</v>
      </c>
      <c r="AY41">
        <f>_xll.EQNXTDZ($A$1,$B41,AY$1,$B$1)</f>
        <v>23.7</v>
      </c>
      <c r="AZ41">
        <f>_xll.EQNXTDZ($A$1,$B41,AZ$1,$B$1)</f>
        <v>26.63</v>
      </c>
      <c r="BA41">
        <f>_xll.EQNXTDZ($A$1,$B41,BA$1,$B$1)</f>
        <v>19.100000000000001</v>
      </c>
      <c r="BB41">
        <f>_xll.EQNXTDZ($A$1,$B41,BB$1,$B$1)</f>
        <v>21.47</v>
      </c>
      <c r="BC41">
        <f>_xll.EQNXTDZ($A$1,$B41,BC$1,$B$1)</f>
        <v>38.700000000000003</v>
      </c>
      <c r="BD41">
        <f>_xll.EQNXTDZ($A$1,$B41,BD$1,$B$1)</f>
        <v>48.08</v>
      </c>
      <c r="BE41">
        <f>_xll.EQNXTDZ($A$1,$B41,BE$1,$B$1)</f>
        <v>28.87</v>
      </c>
      <c r="BF41">
        <f>_xll.EQNXTDZ($A$1,$B41,BF$1,$B$1)</f>
        <v>47.77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11.763999999999999</v>
      </c>
      <c r="P42">
        <f>_xll.EQNXTDZ($A$1,$B42,P$1,$B$1)</f>
        <v>16.567</v>
      </c>
      <c r="Q42">
        <f>_xll.EQNXTDZ($A$1,$B42,Q$1,$B$1)</f>
        <v>10.814</v>
      </c>
      <c r="R42">
        <f>_xll.EQNXTDZ($A$1,$B42,R$1,$B$1)</f>
        <v>13.936</v>
      </c>
      <c r="S42">
        <f>_xll.EQNXTDZ($A$1,$B42,S$1,$B$1)</f>
        <v>17.077999999999999</v>
      </c>
      <c r="T42">
        <f>_xll.EQNXTDZ($A$1,$B42,T$1,$B$1)</f>
        <v>1.171</v>
      </c>
      <c r="U42">
        <f>_xll.EQNXTDZ($A$1,$B42,U$1,$B$1)</f>
        <v>9.1809999999999992</v>
      </c>
      <c r="V42">
        <f>_xll.EQNXTDZ($A$1,$B42,V$1,$B$1)</f>
        <v>15.404</v>
      </c>
      <c r="W42">
        <f>_xll.EQNXTDZ($A$1,$B42,W$1,$B$1)</f>
        <v>22.01</v>
      </c>
      <c r="X42">
        <f>_xll.EQNXTDZ($A$1,$B42,X$1,$B$1)</f>
        <v>24.66</v>
      </c>
      <c r="Y42">
        <f>_xll.EQNXTDZ($A$1,$B42,Y$1,$B$1)</f>
        <v>21.47</v>
      </c>
      <c r="Z42">
        <f>_xll.EQNXTDZ($A$1,$B42,Z$1,$B$1)</f>
        <v>25.13</v>
      </c>
      <c r="AA42">
        <f>_xll.EQNXTDZ($A$1,$B42,AA$1,$B$1)</f>
        <v>23.4</v>
      </c>
      <c r="AB42">
        <f>_xll.EQNXTDZ($A$1,$B42,AB$1,$B$1)</f>
        <v>25.26</v>
      </c>
      <c r="AC42">
        <f>_xll.EQNXTDZ($A$1,$B42,AC$1,$B$1)</f>
        <v>20.149999999999999</v>
      </c>
      <c r="AD42">
        <f>_xll.EQNXTDZ($A$1,$B42,AD$1,$B$1)</f>
        <v>16.329999999999998</v>
      </c>
      <c r="AE42">
        <f>_xll.EQNXTDZ($A$1,$B42,AE$1,$B$1)</f>
        <v>27.47</v>
      </c>
      <c r="AF42">
        <f>_xll.EQNXTDZ($A$1,$B42,AF$1,$B$1)</f>
        <v>35.049999999999997</v>
      </c>
      <c r="AG42">
        <f>_xll.EQNXTDZ($A$1,$B42,AG$1,$B$1)</f>
        <v>27.49</v>
      </c>
      <c r="AH42">
        <f>_xll.EQNXTDZ($A$1,$B42,AH$1,$B$1)</f>
        <v>-1.6</v>
      </c>
      <c r="AI42">
        <f>_xll.EQNXTDZ($A$1,$B42,AI$1,$B$1)</f>
        <v>0.23</v>
      </c>
      <c r="AJ42">
        <f>_xll.EQNXTDZ($A$1,$B42,AJ$1,$B$1)</f>
        <v>43.05</v>
      </c>
      <c r="AK42">
        <f>_xll.EQNXTDZ($A$1,$B42,AK$1,$B$1)</f>
        <v>32.39</v>
      </c>
      <c r="AL42">
        <f>_xll.EQNXTDZ($A$1,$B42,AL$1,$B$1)</f>
        <v>37.75</v>
      </c>
      <c r="AM42">
        <f>_xll.EQNXTDZ($A$1,$B42,AM$1,$B$1)</f>
        <v>55.58</v>
      </c>
      <c r="AN42">
        <f>_xll.EQNXTDZ($A$1,$B42,AN$1,$B$1)</f>
        <v>77.73</v>
      </c>
      <c r="AO42">
        <f>_xll.EQNXTDZ($A$1,$B42,AO$1,$B$1)</f>
        <v>21.5</v>
      </c>
      <c r="AP42">
        <f>_xll.EQNXTDZ($A$1,$B42,AP$1,$B$1)</f>
        <v>21.24</v>
      </c>
      <c r="AQ42">
        <f>_xll.EQNXTDZ($A$1,$B42,AQ$1,$B$1)</f>
        <v>21.73</v>
      </c>
      <c r="AR42">
        <f>_xll.EQNXTDZ($A$1,$B42,AR$1,$B$1)</f>
        <v>15.43</v>
      </c>
      <c r="AS42">
        <f>_xll.EQNXTDZ($A$1,$B42,AS$1,$B$1)</f>
        <v>14.72</v>
      </c>
      <c r="AT42">
        <f>_xll.EQNXTDZ($A$1,$B42,AT$1,$B$1)</f>
        <v>12.6</v>
      </c>
      <c r="AU42">
        <f>_xll.EQNXTDZ($A$1,$B42,AU$1,$B$1)</f>
        <v>17.3</v>
      </c>
      <c r="AV42">
        <f>_xll.EQNXTDZ($A$1,$B42,AV$1,$B$1)</f>
        <v>20.34</v>
      </c>
      <c r="AW42">
        <f>_xll.EQNXTDZ($A$1,$B42,AW$1,$B$1)</f>
        <v>15.35</v>
      </c>
      <c r="AX42">
        <f>_xll.EQNXTDZ($A$1,$B42,AX$1,$B$1)</f>
        <v>17.78</v>
      </c>
      <c r="AY42">
        <f>_xll.EQNXTDZ($A$1,$B42,AY$1,$B$1)</f>
        <v>24.17</v>
      </c>
      <c r="AZ42">
        <f>_xll.EQNXTDZ($A$1,$B42,AZ$1,$B$1)</f>
        <v>26.67</v>
      </c>
      <c r="BA42">
        <f>_xll.EQNXTDZ($A$1,$B42,BA$1,$B$1)</f>
        <v>19.11</v>
      </c>
      <c r="BB42">
        <f>_xll.EQNXTDZ($A$1,$B42,BB$1,$B$1)</f>
        <v>21.7</v>
      </c>
      <c r="BC42">
        <f>_xll.EQNXTDZ($A$1,$B42,BC$1,$B$1)</f>
        <v>38.93</v>
      </c>
      <c r="BD42">
        <f>_xll.EQNXTDZ($A$1,$B42,BD$1,$B$1)</f>
        <v>47.99</v>
      </c>
      <c r="BE42">
        <f>_xll.EQNXTDZ($A$1,$B42,BE$1,$B$1)</f>
        <v>29.01</v>
      </c>
      <c r="BF42">
        <f>_xll.EQNXTDZ($A$1,$B42,BF$1,$B$1)</f>
        <v>47.11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50.536000000000001</v>
      </c>
      <c r="P45">
        <f>_xll.EQNXTDZ($A$1,$B45,P$1,$B$1)</f>
        <v>50.536000000000001</v>
      </c>
      <c r="Q45">
        <f>_xll.EQNXTDZ($A$1,$B45,Q$1,$B$1)</f>
        <v>53.723999999999997</v>
      </c>
      <c r="R45">
        <f>_xll.EQNXTDZ($A$1,$B45,R$1,$B$1)</f>
        <v>53.723999999999997</v>
      </c>
      <c r="S45">
        <f>_xll.EQNXTDZ($A$1,$B45,S$1,$B$1)</f>
        <v>53.69</v>
      </c>
      <c r="T45">
        <f>_xll.EQNXTDZ($A$1,$B45,T$1,$B$1)</f>
        <v>53.69</v>
      </c>
      <c r="U45">
        <f>_xll.EQNXTDZ($A$1,$B45,U$1,$B$1)</f>
        <v>53.69</v>
      </c>
      <c r="V45">
        <f>_xll.EQNXTDZ($A$1,$B45,V$1,$B$1)</f>
        <v>53.69</v>
      </c>
      <c r="W45">
        <f>_xll.EQNXTDZ($A$1,$B45,W$1,$B$1)</f>
        <v>53.72</v>
      </c>
      <c r="X45">
        <f>_xll.EQNXTDZ($A$1,$B45,X$1,$B$1)</f>
        <v>53.72</v>
      </c>
      <c r="Y45">
        <f>_xll.EQNXTDZ($A$1,$B45,Y$1,$B$1)</f>
        <v>53.72</v>
      </c>
      <c r="Z45">
        <f>_xll.EQNXTDZ($A$1,$B45,Z$1,$B$1)</f>
        <v>53.72</v>
      </c>
      <c r="AA45">
        <f>_xll.EQNXTDZ($A$1,$B45,AA$1,$B$1)</f>
        <v>53.72</v>
      </c>
      <c r="AB45">
        <f>_xll.EQNXTDZ($A$1,$B45,AB$1,$B$1)</f>
        <v>53.59</v>
      </c>
      <c r="AC45">
        <f>_xll.EQNXTDZ($A$1,$B45,AC$1,$B$1)</f>
        <v>52.8</v>
      </c>
      <c r="AD45">
        <f>_xll.EQNXTDZ($A$1,$B45,AD$1,$B$1)</f>
        <v>52.8</v>
      </c>
      <c r="AE45">
        <f>_xll.EQNXTDZ($A$1,$B45,AE$1,$B$1)</f>
        <v>52.8</v>
      </c>
      <c r="AF45">
        <f>_xll.EQNXTDZ($A$1,$B45,AF$1,$B$1)</f>
        <v>52.8</v>
      </c>
      <c r="AG45">
        <f>_xll.EQNXTDZ($A$1,$B45,AG$1,$B$1)</f>
        <v>52.84</v>
      </c>
      <c r="AH45">
        <f>_xll.EQNXTDZ($A$1,$B45,AH$1,$B$1)</f>
        <v>52.84</v>
      </c>
      <c r="AI45">
        <f>_xll.EQNXTDZ($A$1,$B45,AI$1,$B$1)</f>
        <v>52.84</v>
      </c>
      <c r="AJ45">
        <f>_xll.EQNXTDZ($A$1,$B45,AJ$1,$B$1)</f>
        <v>52.84</v>
      </c>
      <c r="AK45">
        <f>_xll.EQNXTDZ($A$1,$B45,AK$1,$B$1)</f>
        <v>52.87</v>
      </c>
      <c r="AL45">
        <f>_xll.EQNXTDZ($A$1,$B45,AL$1,$B$1)</f>
        <v>52.9</v>
      </c>
      <c r="AM45">
        <f>_xll.EQNXTDZ($A$1,$B45,AM$1,$B$1)</f>
        <v>52.87</v>
      </c>
      <c r="AN45">
        <f>_xll.EQNXTDZ($A$1,$B45,AN$1,$B$1)</f>
        <v>52.87</v>
      </c>
      <c r="AO45">
        <f>_xll.EQNXTDZ($A$1,$B45,AO$1,$B$1)</f>
        <v>52.9</v>
      </c>
      <c r="AP45">
        <f>_xll.EQNXTDZ($A$1,$B45,AP$1,$B$1)</f>
        <v>52.9</v>
      </c>
      <c r="AQ45">
        <f>_xll.EQNXTDZ($A$1,$B45,AQ$1,$B$1)</f>
        <v>52.9</v>
      </c>
      <c r="AR45">
        <f>_xll.EQNXTDZ($A$1,$B45,AR$1,$B$1)</f>
        <v>52.93</v>
      </c>
      <c r="AS45">
        <f>_xll.EQNXTDZ($A$1,$B45,AS$1,$B$1)</f>
        <v>52.93</v>
      </c>
      <c r="AT45">
        <f>_xll.EQNXTDZ($A$1,$B45,AT$1,$B$1)</f>
        <v>52.93</v>
      </c>
      <c r="AU45">
        <f>_xll.EQNXTDZ($A$1,$B45,AU$1,$B$1)</f>
        <v>52.93</v>
      </c>
      <c r="AV45">
        <f>_xll.EQNXTDZ($A$1,$B45,AV$1,$B$1)</f>
        <v>52.93</v>
      </c>
      <c r="AW45">
        <f>_xll.EQNXTDZ($A$1,$B45,AW$1,$B$1)</f>
        <v>52.95</v>
      </c>
      <c r="AX45">
        <f>_xll.EQNXTDZ($A$1,$B45,AX$1,$B$1)</f>
        <v>52.95</v>
      </c>
      <c r="AY45">
        <f>_xll.EQNXTDZ($A$1,$B45,AY$1,$B$1)</f>
        <v>52.95</v>
      </c>
      <c r="AZ45">
        <f>_xll.EQNXTDZ($A$1,$B45,AZ$1,$B$1)</f>
        <v>52.95</v>
      </c>
      <c r="BA45">
        <f>_xll.EQNXTDZ($A$1,$B45,BA$1,$B$1)</f>
        <v>52.99</v>
      </c>
      <c r="BB45">
        <f>_xll.EQNXTDZ($A$1,$B45,BB$1,$B$1)</f>
        <v>52.99</v>
      </c>
      <c r="BC45">
        <f>_xll.EQNXTDZ($A$1,$B45,BC$1,$B$1)</f>
        <v>52.99</v>
      </c>
      <c r="BD45">
        <f>_xll.EQNXTDZ($A$1,$B45,BD$1,$B$1)</f>
        <v>52.99</v>
      </c>
      <c r="BE45">
        <f>_xll.EQNXTDZ($A$1,$B45,BE$1,$B$1)</f>
        <v>159.16</v>
      </c>
      <c r="BF45">
        <f>_xll.EQNXTDZ($A$1,$B45,BF$1,$B$1)</f>
        <v>159.16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190.566666666667</v>
      </c>
      <c r="T48" s="55">
        <f>_xll.EQNXTDZ($A$1,$B48,T$5)</f>
        <v>204.85</v>
      </c>
      <c r="U48" s="55">
        <f>_xll.EQNXTDZ($A$1,$B48,U$5)</f>
        <v>230.15</v>
      </c>
      <c r="V48" s="55">
        <f>_xll.EQNXTDZ($A$1,$B48,V$5)</f>
        <v>238.566666666667</v>
      </c>
      <c r="W48" s="55">
        <f>_xll.EQNXTDZ($A$1,$B48,W$5)</f>
        <v>242.916666666667</v>
      </c>
      <c r="X48" s="55">
        <f>_xll.EQNXTDZ($A$1,$B48,X$5)</f>
        <v>229.416666666667</v>
      </c>
      <c r="Y48" s="55">
        <f>_xll.EQNXTDZ($A$1,$B48,Y$5)</f>
        <v>229.933333333333</v>
      </c>
      <c r="Z48" s="55">
        <f>_xll.EQNXTDZ($A$1,$B48,Z$5)</f>
        <v>200.38333333333301</v>
      </c>
      <c r="AA48" s="55">
        <f>_xll.EQNXTDZ($A$1,$B48,AA$5)</f>
        <v>192.2</v>
      </c>
      <c r="AB48" s="55">
        <f>_xll.EQNXTDZ($A$1,$B48,AB$5)</f>
        <v>214.98333333333301</v>
      </c>
      <c r="AC48" s="55">
        <f>_xll.EQNXTDZ($A$1,$B48,AC$5)</f>
        <v>175.71666666666701</v>
      </c>
      <c r="AD48" s="55">
        <f>_xll.EQNXTDZ($A$1,$B48,AD$5)</f>
        <v>176.833333333333</v>
      </c>
      <c r="AE48" s="55">
        <f>_xll.EQNXTDZ($A$1,$B48,AE$5)</f>
        <v>157.21666666666701</v>
      </c>
      <c r="AF48" s="55">
        <f>_xll.EQNXTDZ($A$1,$B48,AF$5)</f>
        <v>171.78333333333299</v>
      </c>
      <c r="AG48" s="55">
        <f>_xll.EQNXTDZ($A$1,$B48,AG$5)</f>
        <v>182.3</v>
      </c>
      <c r="AH48" s="55">
        <f>_xll.EQNXTDZ($A$1,$B48,AH$5)</f>
        <v>165.183333333333</v>
      </c>
      <c r="AI48" s="55">
        <f>_xll.EQNXTDZ($A$1,$B48,AI$5)</f>
        <v>168.666666666667</v>
      </c>
      <c r="AJ48" s="55">
        <f>_xll.EQNXTDZ($A$1,$B48,AJ$5)</f>
        <v>252.8</v>
      </c>
      <c r="AK48" s="55">
        <f>_xll.EQNXTDZ($A$1,$B48,AK$5)</f>
        <v>304.46666666666698</v>
      </c>
      <c r="AL48" s="55">
        <f>_xll.EQNXTDZ($A$1,$B48,AL$5)</f>
        <v>300.98333333333301</v>
      </c>
      <c r="AM48" s="55">
        <f>_xll.EQNXTDZ($A$1,$B48,AM$5)</f>
        <v>437.85</v>
      </c>
      <c r="AN48" s="55">
        <f>_xll.EQNXTDZ($A$1,$B48,AN$5)</f>
        <v>388.65</v>
      </c>
      <c r="AO48" s="55">
        <f>_xll.EQNXTDZ($A$1,$B48,AO$5)</f>
        <v>368.51666666666699</v>
      </c>
      <c r="AP48" s="55">
        <f>_xll.EQNXTDZ($A$1,$B48,AP$5)</f>
        <v>257.91666666666703</v>
      </c>
      <c r="AQ48" s="55">
        <f>_xll.EQNXTDZ($A$1,$B48,AQ$5)</f>
        <v>207.083333333333</v>
      </c>
      <c r="AR48" s="55">
        <f>_xll.EQNXTDZ($A$1,$B48,AR$5)</f>
        <v>233.166666666667</v>
      </c>
      <c r="AS48" s="55">
        <f>_xll.EQNXTDZ($A$1,$B48,AS$5)</f>
        <v>205.96666666666701</v>
      </c>
      <c r="AT48" s="55">
        <f>_xll.EQNXTDZ($A$1,$B48,AT$5)</f>
        <v>143.23333333333301</v>
      </c>
      <c r="AU48" s="55">
        <f>_xll.EQNXTDZ($A$1,$B48,AU$5)</f>
        <v>172.63333333333301</v>
      </c>
      <c r="AV48" s="55">
        <f>_xll.EQNXTDZ($A$1,$B48,AV$5)</f>
        <v>189.78333333333299</v>
      </c>
      <c r="AW48" s="55">
        <f>_xll.EQNXTDZ($A$1,$B48,AW$5)</f>
        <v>214.5</v>
      </c>
      <c r="AX48" s="55">
        <f>_xll.EQNXTDZ($A$1,$B48,AX$5)</f>
        <v>197.4</v>
      </c>
      <c r="AY48" s="55">
        <f>_xll.EQNXTDZ($A$1,$B48,AY$5)</f>
        <v>211.38333333333301</v>
      </c>
      <c r="AZ48" s="55">
        <f>_xll.EQNXTDZ($A$1,$B48,AZ$5)</f>
        <v>270.566666666667</v>
      </c>
      <c r="BA48" s="55">
        <f>_xll.EQNXTDZ($A$1,$B48,BA$5)</f>
        <v>304.83333333333297</v>
      </c>
      <c r="BB48" s="55">
        <f>_xll.EQNXTDZ($A$1,$B48,BB$5)</f>
        <v>226.73333333333301</v>
      </c>
      <c r="BC48" s="55">
        <f>_xll.EQNXTDZ($A$1,$B48,BC$5)</f>
        <v>330.05</v>
      </c>
      <c r="BD48" s="55">
        <f>_xll.EQNXTDZ($A$1,$B48,BD$5)</f>
        <v>386.71666666666698</v>
      </c>
      <c r="BE48" s="55">
        <f>_xll.EQNXTDZ($A$1,$B48,BE$5)</f>
        <v>446</v>
      </c>
      <c r="BF48" s="55">
        <f>_xll.EQNXTDZ($A$1,$B48,BF$5)</f>
        <v>349.75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63.96</v>
      </c>
      <c r="T49" s="55">
        <f>_xll.EQNXTDZ($A$1,$B49,T$5)</f>
        <v>63.96</v>
      </c>
      <c r="U49" s="55">
        <f>_xll.EQNXTDZ($A$1,$B49,U$5)</f>
        <v>63.96</v>
      </c>
      <c r="V49" s="55">
        <f>_xll.EQNXTDZ($A$1,$B49,V$5)</f>
        <v>63.96</v>
      </c>
      <c r="W49" s="55">
        <f>_xll.EQNXTDZ($A$1,$B49,W$5)</f>
        <v>63.96</v>
      </c>
      <c r="X49" s="55">
        <f>_xll.EQNXTDZ($A$1,$B49,X$5)</f>
        <v>63.96</v>
      </c>
      <c r="Y49" s="55">
        <f>_xll.EQNXTDZ($A$1,$B49,Y$5)</f>
        <v>63.96</v>
      </c>
      <c r="Z49" s="55">
        <f>_xll.EQNXTDZ($A$1,$B49,Z$5)</f>
        <v>63.96</v>
      </c>
      <c r="AA49" s="55">
        <f>_xll.EQNXTDZ($A$1,$B49,AA$5)</f>
        <v>63.96</v>
      </c>
      <c r="AB49" s="55">
        <f>_xll.EQNXTDZ($A$1,$B49,AB$5)</f>
        <v>63.96</v>
      </c>
      <c r="AC49" s="55">
        <f>_xll.EQNXTDZ($A$1,$B49,AC$5)</f>
        <v>65.12</v>
      </c>
      <c r="AD49" s="55">
        <f>_xll.EQNXTDZ($A$1,$B49,AD$5)</f>
        <v>65.709999999999994</v>
      </c>
      <c r="AE49" s="55">
        <f>_xll.EQNXTDZ($A$1,$B49,AE$5)</f>
        <v>65.95</v>
      </c>
      <c r="AF49" s="55">
        <f>_xll.EQNXTDZ($A$1,$B49,AF$5)</f>
        <v>66.06</v>
      </c>
      <c r="AG49" s="55">
        <f>_xll.EQNXTDZ($A$1,$B49,AG$5)</f>
        <v>66.010000000000005</v>
      </c>
      <c r="AH49" s="55">
        <f>_xll.EQNXTDZ($A$1,$B49,AH$5)</f>
        <v>66.010000000000005</v>
      </c>
      <c r="AI49" s="55">
        <f>_xll.EQNXTDZ($A$1,$B49,AI$5)</f>
        <v>66.040000000000006</v>
      </c>
      <c r="AJ49" s="55">
        <f>_xll.EQNXTDZ($A$1,$B49,AJ$5)</f>
        <v>66.11</v>
      </c>
      <c r="AK49" s="55">
        <f>_xll.EQNXTDZ($A$1,$B49,AK$5)</f>
        <v>66.14</v>
      </c>
      <c r="AL49" s="55">
        <f>_xll.EQNXTDZ($A$1,$B49,AL$5)</f>
        <v>66.14</v>
      </c>
      <c r="AM49" s="55">
        <f>_xll.EQNXTDZ($A$1,$B49,AM$5)</f>
        <v>66.14</v>
      </c>
      <c r="AN49" s="55">
        <f>_xll.EQNXTDZ($A$1,$B49,AN$5)</f>
        <v>71.22</v>
      </c>
      <c r="AO49" s="55">
        <f>_xll.EQNXTDZ($A$1,$B49,AO$5)</f>
        <v>71.180000000000007</v>
      </c>
      <c r="AP49" s="55">
        <f>_xll.EQNXTDZ($A$1,$B49,AP$5)</f>
        <v>71.180000000000007</v>
      </c>
      <c r="AQ49" s="55">
        <f>_xll.EQNXTDZ($A$1,$B49,AQ$5)</f>
        <v>71.180000000000007</v>
      </c>
      <c r="AR49" s="55">
        <f>_xll.EQNXTDZ($A$1,$B49,AR$5)</f>
        <v>71.14</v>
      </c>
      <c r="AS49" s="55">
        <f>_xll.EQNXTDZ($A$1,$B49,AS$5)</f>
        <v>71.14</v>
      </c>
      <c r="AT49" s="55">
        <f>_xll.EQNXTDZ($A$1,$B49,AT$5)</f>
        <v>71.14</v>
      </c>
      <c r="AU49" s="55">
        <f>_xll.EQNXTDZ($A$1,$B49,AU$5)</f>
        <v>71.14</v>
      </c>
      <c r="AV49" s="55">
        <f>_xll.EQNXTDZ($A$1,$B49,AV$5)</f>
        <v>71.14</v>
      </c>
      <c r="AW49" s="55">
        <f>_xll.EQNXTDZ($A$1,$B49,AW$5)</f>
        <v>71.11</v>
      </c>
      <c r="AX49" s="55">
        <f>_xll.EQNXTDZ($A$1,$B49,AX$5)</f>
        <v>71.11</v>
      </c>
      <c r="AY49" s="55">
        <f>_xll.EQNXTDZ($A$1,$B49,AY$5)</f>
        <v>71.11</v>
      </c>
      <c r="AZ49" s="55">
        <f>_xll.EQNXTDZ($A$1,$B49,AZ$5)</f>
        <v>71.11</v>
      </c>
      <c r="BA49" s="55">
        <f>_xll.EQNXTDZ($A$1,$B49,BA$5)</f>
        <v>71.06</v>
      </c>
      <c r="BB49" s="55">
        <f>_xll.EQNXTDZ($A$1,$B49,BB$5)</f>
        <v>71.06</v>
      </c>
      <c r="BC49" s="55">
        <f>_xll.EQNXTDZ($A$1,$B49,BC$5)</f>
        <v>71.06</v>
      </c>
      <c r="BD49" s="55">
        <f>_xll.EQNXTDZ($A$1,$B49,BD$5)</f>
        <v>71.06</v>
      </c>
      <c r="BE49" s="55">
        <f>_xll.EQNXTDZ($A$1,$B49,BE$5)</f>
        <v>60.93</v>
      </c>
      <c r="BF49" s="55">
        <f>_xll.EQNXTDZ($A$1,$B49,BF$5)</f>
        <v>60.92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100</v>
      </c>
      <c r="AO50" s="55">
        <f>_xll.EQNXTDZ($A$1,$B50,AO$5)</f>
        <v>100</v>
      </c>
      <c r="AP50" s="55">
        <f>_xll.EQNXTDZ($A$1,$B50,AP$5)</f>
        <v>100</v>
      </c>
      <c r="AQ50" s="55">
        <f>_xll.EQNXTDZ($A$1,$B50,AQ$5)</f>
        <v>100</v>
      </c>
      <c r="AR50" s="55">
        <f>_xll.EQNXTDZ($A$1,$B50,AR$5)</f>
        <v>100</v>
      </c>
      <c r="AS50" s="55">
        <f>_xll.EQNXTDZ($A$1,$B50,AS$5)</f>
        <v>100</v>
      </c>
      <c r="AT50" s="55">
        <f>_xll.EQNXTDZ($A$1,$B50,AT$5)</f>
        <v>100</v>
      </c>
      <c r="AU50" s="55">
        <f>_xll.EQNXTDZ($A$1,$B50,AU$5)</f>
        <v>100</v>
      </c>
      <c r="AV50" s="55">
        <f>_xll.EQNXTDZ($A$1,$B50,AV$5)</f>
        <v>100</v>
      </c>
      <c r="AW50" s="55">
        <f>_xll.EQNXTDZ($A$1,$B50,AW$5)</f>
        <v>100</v>
      </c>
      <c r="AX50" s="55">
        <f>_xll.EQNXTDZ($A$1,$B50,AX$5)</f>
        <v>100</v>
      </c>
      <c r="AY50" s="55">
        <f>_xll.EQNXTDZ($A$1,$B50,AY$5)</f>
        <v>100</v>
      </c>
      <c r="AZ50" s="55">
        <f>_xll.EQNXTDZ($A$1,$B50,AZ$5)</f>
        <v>100</v>
      </c>
      <c r="BA50" s="55">
        <f>_xll.EQNXTDZ($A$1,$B50,BA$5)</f>
        <v>100</v>
      </c>
      <c r="BB50" s="55">
        <f>_xll.EQNXTDZ($A$1,$B50,BB$5)</f>
        <v>100</v>
      </c>
      <c r="BC50" s="55">
        <f>_xll.EQNXTDZ($A$1,$B50,BC$5)</f>
        <v>100</v>
      </c>
      <c r="BD50" s="55">
        <f>_xll.EQNXTDZ($A$1,$B50,BD$5)</f>
        <v>85.84</v>
      </c>
      <c r="BE50" s="55">
        <f>_xll.EQNXTDZ($A$1,$B50,BE$5)</f>
        <v>100</v>
      </c>
      <c r="BF50" s="55">
        <f>_xll.EQNXTDZ($A$1,$B50,BF$5)</f>
        <v>100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202112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202212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53.723999999999997</v>
      </c>
      <c r="S56" s="55">
        <f>_xll.EQNXTDZ($A$1,$B56,S$5,$B$1)</f>
        <v>0</v>
      </c>
      <c r="T56" s="55">
        <f>_xll.EQNXTDZ($A$1,$B56,T$5,$B$1)</f>
        <v>53.723999999999997</v>
      </c>
      <c r="U56" s="55">
        <f>_xll.EQNXTDZ($A$1,$B56,U$5,$B$1)</f>
        <v>0</v>
      </c>
      <c r="V56" s="55">
        <f>_xll.EQNXTDZ($A$1,$B56,V$5,$B$1)</f>
        <v>53.69</v>
      </c>
      <c r="W56" s="55">
        <f>_xll.EQNXTDZ($A$1,$B56,W$5,$B$1)</f>
        <v>0</v>
      </c>
      <c r="X56" s="55">
        <f>_xll.EQNXTDZ($A$1,$B56,X$5,$B$1)</f>
        <v>53.722999999999999</v>
      </c>
      <c r="Y56" s="55">
        <f>_xll.EQNXTDZ($A$1,$B56,Y$5,$B$1)</f>
        <v>0</v>
      </c>
      <c r="Z56" s="55">
        <f>_xll.EQNXTDZ($A$1,$B56,Z$5,$B$1)</f>
        <v>53.72</v>
      </c>
      <c r="AA56" s="55">
        <f>_xll.EQNXTDZ($A$1,$B56,AA$5,$B$1)</f>
        <v>0</v>
      </c>
      <c r="AB56" s="55">
        <f>_xll.EQNXTDZ($A$1,$B56,AB$5,$B$1)</f>
        <v>53.59</v>
      </c>
      <c r="AC56" s="55">
        <f>_xll.EQNXTDZ($A$1,$B56,AC$5,$B$1)</f>
        <v>0</v>
      </c>
      <c r="AD56" s="55">
        <f>_xll.EQNXTDZ($A$1,$B56,AD$5,$B$1)</f>
        <v>52.79</v>
      </c>
      <c r="AE56" s="55">
        <f>_xll.EQNXTDZ($A$1,$B56,AE$5,$B$1)</f>
        <v>0</v>
      </c>
      <c r="AF56" s="55">
        <f>_xll.EQNXTDZ($A$1,$B56,AF$5,$B$1)</f>
        <v>52.8</v>
      </c>
      <c r="AG56" s="55">
        <f>_xll.EQNXTDZ($A$1,$B56,AG$5,$B$1)</f>
        <v>0</v>
      </c>
      <c r="AH56" s="55">
        <f>_xll.EQNXTDZ($A$1,$B56,AH$5,$B$1)</f>
        <v>52.84</v>
      </c>
      <c r="AI56" s="55">
        <f>_xll.EQNXTDZ($A$1,$B56,AI$5,$B$1)</f>
        <v>0</v>
      </c>
      <c r="AJ56" s="55">
        <f>_xll.EQNXTDZ($A$1,$B56,AJ$5,$B$1)</f>
        <v>52.83</v>
      </c>
      <c r="AK56" s="55">
        <f>_xll.EQNXTDZ($A$1,$B56,AK$5,$B$1)</f>
        <v>0</v>
      </c>
      <c r="AL56" s="55">
        <f>_xll.EQNXTDZ($A$1,$B56,AL$5,$B$1)</f>
        <v>52.87</v>
      </c>
      <c r="AM56" s="55">
        <f>_xll.EQNXTDZ($A$1,$B56,AM$5,$B$1)</f>
        <v>0</v>
      </c>
      <c r="AN56" s="55">
        <f>_xll.EQNXTDZ($A$1,$B56,AN$5,$B$1)</f>
        <v>52.87</v>
      </c>
      <c r="AO56" s="55">
        <f>_xll.EQNXTDZ($A$1,$B56,AO$5,$B$1)</f>
        <v>52.9</v>
      </c>
      <c r="AP56" s="55">
        <f>_xll.EQNXTDZ($A$1,$B56,AP$5,$B$1)</f>
        <v>52.9</v>
      </c>
      <c r="AQ56" s="55">
        <f>_xll.EQNXTDZ($A$1,$B56,AQ$5,$B$1)</f>
        <v>0</v>
      </c>
      <c r="AR56" s="55">
        <f>_xll.EQNXTDZ($A$1,$B56,AR$5,$B$1)</f>
        <v>52.93</v>
      </c>
      <c r="AS56" s="55">
        <f>_xll.EQNXTDZ($A$1,$B56,AS$5,$B$1)</f>
        <v>52.91</v>
      </c>
      <c r="AT56" s="55">
        <f>_xll.EQNXTDZ($A$1,$B56,AT$5,$B$1)</f>
        <v>52.93</v>
      </c>
      <c r="AU56" s="55">
        <f>_xll.EQNXTDZ($A$1,$B56,AU$5,$B$1)</f>
        <v>0</v>
      </c>
      <c r="AV56" s="55">
        <f>_xll.EQNXTDZ($A$1,$B56,AV$5,$B$1)</f>
        <v>52.93</v>
      </c>
      <c r="AW56" s="55">
        <f>_xll.EQNXTDZ($A$1,$B56,AW$5,$B$1)</f>
        <v>0</v>
      </c>
      <c r="AX56" s="55">
        <f>_xll.EQNXTDZ($A$1,$B56,AX$5,$B$1)</f>
        <v>52.95</v>
      </c>
      <c r="AY56" s="55">
        <f>_xll.EQNXTDZ($A$1,$B56,AY$5,$B$1)</f>
        <v>0</v>
      </c>
      <c r="AZ56" s="55">
        <f>_xll.EQNXTDZ($A$1,$B56,AZ$5,$B$1)</f>
        <v>52.95</v>
      </c>
      <c r="BA56" s="55">
        <f>_xll.EQNXTDZ($A$1,$B56,BA$5,$B$1)</f>
        <v>0</v>
      </c>
      <c r="BB56" s="55">
        <f>_xll.EQNXTDZ($A$1,$B56,BB$5,$B$1)</f>
        <v>52.99</v>
      </c>
      <c r="BC56" s="55">
        <f>_xll.EQNXTDZ($A$1,$B56,BC$5,$B$1)</f>
        <v>0</v>
      </c>
      <c r="BD56" s="55">
        <f>_xll.EQNXTDZ($A$1,$B56,BD$5,$B$1)</f>
        <v>52.99</v>
      </c>
      <c r="BE56" s="55">
        <f>_xll.EQNXTDZ($A$1,$B56,BE$5,$B$1)</f>
        <v>0</v>
      </c>
      <c r="BF56" s="55">
        <f>_xll.EQNXTDZ($A$1,$B56,BF$5,$B$1)</f>
        <v>159.16999999999999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0.03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311.88600000000002</v>
      </c>
      <c r="S58" s="55">
        <f>_xll.EQNXTDZ($A$1,$B58,S$5,$B$1)</f>
        <v>0</v>
      </c>
      <c r="T58" s="55">
        <f>_xll.EQNXTDZ($A$1,$B58,T$5,$B$1)</f>
        <v>349.61799999999999</v>
      </c>
      <c r="U58" s="55">
        <f>_xll.EQNXTDZ($A$1,$B58,U$5,$B$1)</f>
        <v>0</v>
      </c>
      <c r="V58" s="55">
        <f>_xll.EQNXTDZ($A$1,$B58,V$5,$B$1)</f>
        <v>354.11799999999999</v>
      </c>
      <c r="W58" s="55">
        <f>_xll.EQNXTDZ($A$1,$B58,W$5,$B$1)</f>
        <v>0</v>
      </c>
      <c r="X58" s="55">
        <f>_xll.EQNXTDZ($A$1,$B58,X$5,$B$1)</f>
        <v>372.10599999999999</v>
      </c>
      <c r="Y58" s="55">
        <f>_xll.EQNXTDZ($A$1,$B58,Y$5,$B$1)</f>
        <v>0</v>
      </c>
      <c r="Z58" s="55">
        <f>_xll.EQNXTDZ($A$1,$B58,Z$5,$B$1)</f>
        <v>389.57</v>
      </c>
      <c r="AA58" s="55">
        <f>_xll.EQNXTDZ($A$1,$B58,AA$5,$B$1)</f>
        <v>0</v>
      </c>
      <c r="AB58" s="55">
        <f>_xll.EQNXTDZ($A$1,$B58,AB$5,$B$1)</f>
        <v>397.76</v>
      </c>
      <c r="AC58" s="55">
        <f>_xll.EQNXTDZ($A$1,$B58,AC$5,$B$1)</f>
        <v>0</v>
      </c>
      <c r="AD58" s="55">
        <f>_xll.EQNXTDZ($A$1,$B58,AD$5,$B$1)</f>
        <v>382.33</v>
      </c>
      <c r="AE58" s="55">
        <f>_xll.EQNXTDZ($A$1,$B58,AE$5,$B$1)</f>
        <v>0</v>
      </c>
      <c r="AF58" s="55">
        <f>_xll.EQNXTDZ($A$1,$B58,AF$5,$B$1)</f>
        <v>318.63</v>
      </c>
      <c r="AG58" s="55">
        <f>_xll.EQNXTDZ($A$1,$B58,AG$5,$B$1)</f>
        <v>0</v>
      </c>
      <c r="AH58" s="55">
        <f>_xll.EQNXTDZ($A$1,$B58,AH$5,$B$1)</f>
        <v>313.82</v>
      </c>
      <c r="AI58" s="55">
        <f>_xll.EQNXTDZ($A$1,$B58,AI$5,$B$1)</f>
        <v>0</v>
      </c>
      <c r="AJ58" s="55">
        <f>_xll.EQNXTDZ($A$1,$B58,AJ$5,$B$1)</f>
        <v>368.65</v>
      </c>
      <c r="AK58" s="55">
        <f>_xll.EQNXTDZ($A$1,$B58,AK$5,$B$1)</f>
        <v>0</v>
      </c>
      <c r="AL58" s="55">
        <f>_xll.EQNXTDZ($A$1,$B58,AL$5,$B$1)</f>
        <v>374.4</v>
      </c>
      <c r="AM58" s="55">
        <f>_xll.EQNXTDZ($A$1,$B58,AM$5,$B$1)</f>
        <v>0</v>
      </c>
      <c r="AN58" s="55">
        <f>_xll.EQNXTDZ($A$1,$B58,AN$5,$B$1)</f>
        <v>429.52</v>
      </c>
      <c r="AO58" s="55">
        <f>_xll.EQNXTDZ($A$1,$B58,AO$5,$B$1)</f>
        <v>451.5</v>
      </c>
      <c r="AP58" s="55">
        <f>_xll.EQNXTDZ($A$1,$B58,AP$5,$B$1)</f>
        <v>473.67</v>
      </c>
      <c r="AQ58" s="55">
        <f>_xll.EQNXTDZ($A$1,$B58,AQ$5,$B$1)</f>
        <v>0</v>
      </c>
      <c r="AR58" s="55">
        <f>_xll.EQNXTDZ($A$1,$B58,AR$5,$B$1)</f>
        <v>439.69</v>
      </c>
      <c r="AS58" s="55">
        <f>_xll.EQNXTDZ($A$1,$B58,AS$5,$B$1)</f>
        <v>460.83</v>
      </c>
      <c r="AT58" s="55">
        <f>_xll.EQNXTDZ($A$1,$B58,AT$5,$B$1)</f>
        <v>481.37</v>
      </c>
      <c r="AU58" s="55">
        <f>_xll.EQNXTDZ($A$1,$B58,AU$5,$B$1)</f>
        <v>0</v>
      </c>
      <c r="AV58" s="55">
        <f>_xll.EQNXTDZ($A$1,$B58,AV$5,$B$1)</f>
        <v>433.32</v>
      </c>
      <c r="AW58" s="55">
        <f>_xll.EQNXTDZ($A$1,$B58,AW$5,$B$1)</f>
        <v>0</v>
      </c>
      <c r="AX58" s="55">
        <f>_xll.EQNXTDZ($A$1,$B58,AX$5,$B$1)</f>
        <v>473.82</v>
      </c>
      <c r="AY58" s="55">
        <f>_xll.EQNXTDZ($A$1,$B58,AY$5,$B$1)</f>
        <v>0</v>
      </c>
      <c r="AZ58" s="55">
        <f>_xll.EQNXTDZ($A$1,$B58,AZ$5,$B$1)</f>
        <v>435.21</v>
      </c>
      <c r="BA58" s="55">
        <f>_xll.EQNXTDZ($A$1,$B58,BA$5,$B$1)</f>
        <v>0</v>
      </c>
      <c r="BB58" s="55">
        <f>_xll.EQNXTDZ($A$1,$B58,BB$5,$B$1)</f>
        <v>493.76</v>
      </c>
      <c r="BC58" s="55">
        <f>_xll.EQNXTDZ($A$1,$B58,BC$5,$B$1)</f>
        <v>0</v>
      </c>
      <c r="BD58" s="55">
        <f>_xll.EQNXTDZ($A$1,$B58,BD$5,$B$1)</f>
        <v>481.22</v>
      </c>
      <c r="BE58" s="55">
        <f>_xll.EQNXTDZ($A$1,$B58,BE$5,$B$1)</f>
        <v>0</v>
      </c>
      <c r="BF58" s="55">
        <f>_xll.EQNXTDZ($A$1,$B58,BF$5,$B$1)</f>
        <v>426.33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365.61</v>
      </c>
      <c r="S59" s="55">
        <f>_xll.EQNXTDZ($A$1,$B59,S$5,$B$1)</f>
        <v>0</v>
      </c>
      <c r="T59" s="55">
        <f>_xll.EQNXTDZ($A$1,$B59,T$5,$B$1)</f>
        <v>403.34199999999998</v>
      </c>
      <c r="U59" s="55">
        <f>_xll.EQNXTDZ($A$1,$B59,U$5,$B$1)</f>
        <v>0</v>
      </c>
      <c r="V59" s="55">
        <f>_xll.EQNXTDZ($A$1,$B59,V$5,$B$1)</f>
        <v>407.80799999999999</v>
      </c>
      <c r="W59" s="55">
        <f>_xll.EQNXTDZ($A$1,$B59,W$5,$B$1)</f>
        <v>0</v>
      </c>
      <c r="X59" s="55">
        <f>_xll.EQNXTDZ($A$1,$B59,X$5,$B$1)</f>
        <v>425.82900000000001</v>
      </c>
      <c r="Y59" s="55">
        <f>_xll.EQNXTDZ($A$1,$B59,Y$5,$B$1)</f>
        <v>0</v>
      </c>
      <c r="Z59" s="55">
        <f>_xll.EQNXTDZ($A$1,$B59,Z$5,$B$1)</f>
        <v>443.29</v>
      </c>
      <c r="AA59" s="55">
        <f>_xll.EQNXTDZ($A$1,$B59,AA$5,$B$1)</f>
        <v>0</v>
      </c>
      <c r="AB59" s="55">
        <f>_xll.EQNXTDZ($A$1,$B59,AB$5,$B$1)</f>
        <v>451.35</v>
      </c>
      <c r="AC59" s="55">
        <f>_xll.EQNXTDZ($A$1,$B59,AC$5,$B$1)</f>
        <v>0</v>
      </c>
      <c r="AD59" s="55">
        <f>_xll.EQNXTDZ($A$1,$B59,AD$5,$B$1)</f>
        <v>435.12</v>
      </c>
      <c r="AE59" s="55">
        <f>_xll.EQNXTDZ($A$1,$B59,AE$5,$B$1)</f>
        <v>0</v>
      </c>
      <c r="AF59" s="55">
        <f>_xll.EQNXTDZ($A$1,$B59,AF$5,$B$1)</f>
        <v>371.43</v>
      </c>
      <c r="AG59" s="55">
        <f>_xll.EQNXTDZ($A$1,$B59,AG$5,$B$1)</f>
        <v>0</v>
      </c>
      <c r="AH59" s="55">
        <f>_xll.EQNXTDZ($A$1,$B59,AH$5,$B$1)</f>
        <v>366.66</v>
      </c>
      <c r="AI59" s="55">
        <f>_xll.EQNXTDZ($A$1,$B59,AI$5,$B$1)</f>
        <v>0</v>
      </c>
      <c r="AJ59" s="55">
        <f>_xll.EQNXTDZ($A$1,$B59,AJ$5,$B$1)</f>
        <v>421.48</v>
      </c>
      <c r="AK59" s="55">
        <f>_xll.EQNXTDZ($A$1,$B59,AK$5,$B$1)</f>
        <v>0</v>
      </c>
      <c r="AL59" s="55">
        <f>_xll.EQNXTDZ($A$1,$B59,AL$5,$B$1)</f>
        <v>427.27</v>
      </c>
      <c r="AM59" s="55">
        <f>_xll.EQNXTDZ($A$1,$B59,AM$5,$B$1)</f>
        <v>0</v>
      </c>
      <c r="AN59" s="55">
        <f>_xll.EQNXTDZ($A$1,$B59,AN$5,$B$1)</f>
        <v>482.42</v>
      </c>
      <c r="AO59" s="55">
        <f>_xll.EQNXTDZ($A$1,$B59,AO$5,$B$1)</f>
        <v>504.4</v>
      </c>
      <c r="AP59" s="55">
        <f>_xll.EQNXTDZ($A$1,$B59,AP$5,$B$1)</f>
        <v>526.57000000000005</v>
      </c>
      <c r="AQ59" s="55">
        <f>_xll.EQNXTDZ($A$1,$B59,AQ$5,$B$1)</f>
        <v>0</v>
      </c>
      <c r="AR59" s="55">
        <f>_xll.EQNXTDZ($A$1,$B59,AR$5,$B$1)</f>
        <v>492.62</v>
      </c>
      <c r="AS59" s="55">
        <f>_xll.EQNXTDZ($A$1,$B59,AS$5,$B$1)</f>
        <v>513.74</v>
      </c>
      <c r="AT59" s="55">
        <f>_xll.EQNXTDZ($A$1,$B59,AT$5,$B$1)</f>
        <v>534.29999999999995</v>
      </c>
      <c r="AU59" s="55">
        <f>_xll.EQNXTDZ($A$1,$B59,AU$5,$B$1)</f>
        <v>0</v>
      </c>
      <c r="AV59" s="55">
        <f>_xll.EQNXTDZ($A$1,$B59,AV$5,$B$1)</f>
        <v>486.25</v>
      </c>
      <c r="AW59" s="55">
        <f>_xll.EQNXTDZ($A$1,$B59,AW$5,$B$1)</f>
        <v>0</v>
      </c>
      <c r="AX59" s="55">
        <f>_xll.EQNXTDZ($A$1,$B59,AX$5,$B$1)</f>
        <v>526.77</v>
      </c>
      <c r="AY59" s="55">
        <f>_xll.EQNXTDZ($A$1,$B59,AY$5,$B$1)</f>
        <v>0</v>
      </c>
      <c r="AZ59" s="55">
        <f>_xll.EQNXTDZ($A$1,$B59,AZ$5,$B$1)</f>
        <v>488.16</v>
      </c>
      <c r="BA59" s="55">
        <f>_xll.EQNXTDZ($A$1,$B59,BA$5,$B$1)</f>
        <v>0</v>
      </c>
      <c r="BB59" s="55">
        <f>_xll.EQNXTDZ($A$1,$B59,BB$5,$B$1)</f>
        <v>546.75</v>
      </c>
      <c r="BC59" s="55">
        <f>_xll.EQNXTDZ($A$1,$B59,BC$5,$B$1)</f>
        <v>0</v>
      </c>
      <c r="BD59" s="55">
        <f>_xll.EQNXTDZ($A$1,$B59,BD$5,$B$1)</f>
        <v>534.21</v>
      </c>
      <c r="BE59" s="55">
        <f>_xll.EQNXTDZ($A$1,$B59,BE$5,$B$1)</f>
        <v>0</v>
      </c>
      <c r="BF59" s="55">
        <f>_xll.EQNXTDZ($A$1,$B59,BF$5,$B$1)</f>
        <v>585.5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0.56000000000000005</v>
      </c>
      <c r="AT60" s="55">
        <f>_xll.EQNXTDZ($A$1,$B60,AT$5,$B$1)</f>
        <v>0.92</v>
      </c>
      <c r="AU60" s="55">
        <f>_xll.EQNXTDZ($A$1,$B60,AU$5,$B$1)</f>
        <v>0</v>
      </c>
      <c r="AV60" s="55">
        <f>_xll.EQNXTDZ($A$1,$B60,AV$5,$B$1)</f>
        <v>1.39</v>
      </c>
      <c r="AW60" s="55">
        <f>_xll.EQNXTDZ($A$1,$B60,AW$5,$B$1)</f>
        <v>0</v>
      </c>
      <c r="AX60" s="55">
        <f>_xll.EQNXTDZ($A$1,$B60,AX$5,$B$1)</f>
        <v>0.86</v>
      </c>
      <c r="AY60" s="55">
        <f>_xll.EQNXTDZ($A$1,$B60,AY$5,$B$1)</f>
        <v>0</v>
      </c>
      <c r="AZ60" s="55">
        <f>_xll.EQNXTDZ($A$1,$B60,AZ$5,$B$1)</f>
        <v>0.51</v>
      </c>
      <c r="BA60" s="55">
        <f>_xll.EQNXTDZ($A$1,$B60,BA$5,$B$1)</f>
        <v>0</v>
      </c>
      <c r="BB60" s="55">
        <f>_xll.EQNXTDZ($A$1,$B60,BB$5,$B$1)</f>
        <v>0.3</v>
      </c>
      <c r="BC60" s="55">
        <f>_xll.EQNXTDZ($A$1,$B60,BC$5,$B$1)</f>
        <v>0</v>
      </c>
      <c r="BD60" s="55">
        <f>_xll.EQNXTDZ($A$1,$B60,BD$5,$B$1)</f>
        <v>-0.1</v>
      </c>
      <c r="BE60" s="55">
        <f>_xll.EQNXTDZ($A$1,$B60,BE$5,$B$1)</f>
        <v>0</v>
      </c>
      <c r="BF60" s="55">
        <f>_xll.EQNXTDZ($A$1,$B60,BF$5,$B$1)</f>
        <v>0.52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9.2520000000000007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9.93</v>
      </c>
      <c r="AC61" s="55">
        <f>_xll.EQNXTDZ($A$1,$B61,AC$5,$B$1)</f>
        <v>0</v>
      </c>
      <c r="AD61" s="55">
        <f>_xll.EQNXTDZ($A$1,$B61,AD$5,$B$1)</f>
        <v>2.5</v>
      </c>
      <c r="AE61" s="55">
        <f>_xll.EQNXTDZ($A$1,$B61,AE$5,$B$1)</f>
        <v>0</v>
      </c>
      <c r="AF61" s="55">
        <f>_xll.EQNXTDZ($A$1,$B61,AF$5,$B$1)</f>
        <v>2.61</v>
      </c>
      <c r="AG61" s="55">
        <f>_xll.EQNXTDZ($A$1,$B61,AG$5,$B$1)</f>
        <v>0</v>
      </c>
      <c r="AH61" s="55">
        <f>_xll.EQNXTDZ($A$1,$B61,AH$5,$B$1)</f>
        <v>2.5</v>
      </c>
      <c r="AI61" s="55">
        <f>_xll.EQNXTDZ($A$1,$B61,AI$5,$B$1)</f>
        <v>0</v>
      </c>
      <c r="AJ61" s="55">
        <f>_xll.EQNXTDZ($A$1,$B61,AJ$5,$B$1)</f>
        <v>2.61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15.41</v>
      </c>
      <c r="AW61" s="55">
        <f>_xll.EQNXTDZ($A$1,$B61,AW$5,$B$1)</f>
        <v>0</v>
      </c>
      <c r="AX61" s="55">
        <f>_xll.EQNXTDZ($A$1,$B61,AX$5,$B$1)</f>
        <v>10.91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9.2520000000000007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9.93</v>
      </c>
      <c r="AC63" s="55">
        <f>_xll.EQNXTDZ($A$1,$B63,AC$5,$B$1)</f>
        <v>0</v>
      </c>
      <c r="AD63" s="55">
        <f>_xll.EQNXTDZ($A$1,$B63,AD$5,$B$1)</f>
        <v>2.5</v>
      </c>
      <c r="AE63" s="55">
        <f>_xll.EQNXTDZ($A$1,$B63,AE$5,$B$1)</f>
        <v>0</v>
      </c>
      <c r="AF63" s="55">
        <f>_xll.EQNXTDZ($A$1,$B63,AF$5,$B$1)</f>
        <v>2.61</v>
      </c>
      <c r="AG63" s="55">
        <f>_xll.EQNXTDZ($A$1,$B63,AG$5,$B$1)</f>
        <v>0</v>
      </c>
      <c r="AH63" s="55">
        <f>_xll.EQNXTDZ($A$1,$B63,AH$5,$B$1)</f>
        <v>2.5</v>
      </c>
      <c r="AI63" s="55">
        <f>_xll.EQNXTDZ($A$1,$B63,AI$5,$B$1)</f>
        <v>0</v>
      </c>
      <c r="AJ63" s="55">
        <f>_xll.EQNXTDZ($A$1,$B63,AJ$5,$B$1)</f>
        <v>2.61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15.41</v>
      </c>
      <c r="AW63" s="55">
        <f>_xll.EQNXTDZ($A$1,$B63,AW$5,$B$1)</f>
        <v>0</v>
      </c>
      <c r="AX63" s="55">
        <f>_xll.EQNXTDZ($A$1,$B63,AX$5,$B$1)</f>
        <v>10.91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5.835</v>
      </c>
      <c r="S64" s="55">
        <f>_xll.EQNXTDZ($A$1,$B64,S$5,$B$1)</f>
        <v>0</v>
      </c>
      <c r="T64" s="55">
        <f>_xll.EQNXTDZ($A$1,$B64,T$5,$B$1)</f>
        <v>6.617</v>
      </c>
      <c r="U64" s="55">
        <f>_xll.EQNXTDZ($A$1,$B64,U$5,$B$1)</f>
        <v>0</v>
      </c>
      <c r="V64" s="55">
        <f>_xll.EQNXTDZ($A$1,$B64,V$5,$B$1)</f>
        <v>7.25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10.08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9.7899999999999991</v>
      </c>
      <c r="AE64" s="55">
        <f>_xll.EQNXTDZ($A$1,$B64,AE$5,$B$1)</f>
        <v>0</v>
      </c>
      <c r="AF64" s="55">
        <f>_xll.EQNXTDZ($A$1,$B64,AF$5,$B$1)</f>
        <v>11.27</v>
      </c>
      <c r="AG64" s="55">
        <f>_xll.EQNXTDZ($A$1,$B64,AG$5,$B$1)</f>
        <v>0</v>
      </c>
      <c r="AH64" s="55">
        <f>_xll.EQNXTDZ($A$1,$B64,AH$5,$B$1)</f>
        <v>5.69</v>
      </c>
      <c r="AI64" s="55">
        <f>_xll.EQNXTDZ($A$1,$B64,AI$5,$B$1)</f>
        <v>0</v>
      </c>
      <c r="AJ64" s="55">
        <f>_xll.EQNXTDZ($A$1,$B64,AJ$5,$B$1)</f>
        <v>9.08</v>
      </c>
      <c r="AK64" s="55">
        <f>_xll.EQNXTDZ($A$1,$B64,AK$5,$B$1)</f>
        <v>0</v>
      </c>
      <c r="AL64" s="55">
        <f>_xll.EQNXTDZ($A$1,$B64,AL$5,$B$1)</f>
        <v>5.45</v>
      </c>
      <c r="AM64" s="55">
        <f>_xll.EQNXTDZ($A$1,$B64,AM$5,$B$1)</f>
        <v>0</v>
      </c>
      <c r="AN64" s="55">
        <f>_xll.EQNXTDZ($A$1,$B64,AN$5,$B$1)</f>
        <v>17.95</v>
      </c>
      <c r="AO64" s="55">
        <f>_xll.EQNXTDZ($A$1,$B64,AO$5,$B$1)</f>
        <v>17.2</v>
      </c>
      <c r="AP64" s="55">
        <f>_xll.EQNXTDZ($A$1,$B64,AP$5,$B$1)</f>
        <v>15.7</v>
      </c>
      <c r="AQ64" s="55">
        <f>_xll.EQNXTDZ($A$1,$B64,AQ$5,$B$1)</f>
        <v>0</v>
      </c>
      <c r="AR64" s="55">
        <f>_xll.EQNXTDZ($A$1,$B64,AR$5,$B$1)</f>
        <v>11.69</v>
      </c>
      <c r="AS64" s="55">
        <f>_xll.EQNXTDZ($A$1,$B64,AS$5,$B$1)</f>
        <v>13.59</v>
      </c>
      <c r="AT64" s="55">
        <f>_xll.EQNXTDZ($A$1,$B64,AT$5,$B$1)</f>
        <v>16.12</v>
      </c>
      <c r="AU64" s="55">
        <f>_xll.EQNXTDZ($A$1,$B64,AU$5,$B$1)</f>
        <v>0</v>
      </c>
      <c r="AV64" s="55">
        <f>_xll.EQNXTDZ($A$1,$B64,AV$5,$B$1)</f>
        <v>15.34</v>
      </c>
      <c r="AW64" s="55">
        <f>_xll.EQNXTDZ($A$1,$B64,AW$5,$B$1)</f>
        <v>0</v>
      </c>
      <c r="AX64" s="55">
        <f>_xll.EQNXTDZ($A$1,$B64,AX$5,$B$1)</f>
        <v>11.8</v>
      </c>
      <c r="AY64" s="55">
        <f>_xll.EQNXTDZ($A$1,$B64,AY$5,$B$1)</f>
        <v>0</v>
      </c>
      <c r="AZ64" s="55">
        <f>_xll.EQNXTDZ($A$1,$B64,AZ$5,$B$1)</f>
        <v>9.9600000000000009</v>
      </c>
      <c r="BA64" s="55">
        <f>_xll.EQNXTDZ($A$1,$B64,BA$5,$B$1)</f>
        <v>0</v>
      </c>
      <c r="BB64" s="55">
        <f>_xll.EQNXTDZ($A$1,$B64,BB$5,$B$1)</f>
        <v>16.920000000000002</v>
      </c>
      <c r="BC64" s="55">
        <f>_xll.EQNXTDZ($A$1,$B64,BC$5,$B$1)</f>
        <v>0</v>
      </c>
      <c r="BD64" s="55">
        <f>_xll.EQNXTDZ($A$1,$B64,BD$5,$B$1)</f>
        <v>16.87</v>
      </c>
      <c r="BE64" s="55">
        <f>_xll.EQNXTDZ($A$1,$B64,BE$5,$B$1)</f>
        <v>0</v>
      </c>
      <c r="BF64" s="55">
        <f>_xll.EQNXTDZ($A$1,$B64,BF$5,$B$1)</f>
        <v>39.18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6.8230000000000004</v>
      </c>
      <c r="S66" s="55">
        <f>_xll.EQNXTDZ($A$1,$B66,S$5,$B$1)</f>
        <v>0</v>
      </c>
      <c r="T66" s="55">
        <f>_xll.EQNXTDZ($A$1,$B66,T$5,$B$1)</f>
        <v>6.7809999999999997</v>
      </c>
      <c r="U66" s="55">
        <f>_xll.EQNXTDZ($A$1,$B66,U$5,$B$1)</f>
        <v>0</v>
      </c>
      <c r="V66" s="55">
        <f>_xll.EQNXTDZ($A$1,$B66,V$5,$B$1)</f>
        <v>5.1520000000000001</v>
      </c>
      <c r="W66" s="55">
        <f>_xll.EQNXTDZ($A$1,$B66,W$5,$B$1)</f>
        <v>0</v>
      </c>
      <c r="X66" s="55">
        <f>_xll.EQNXTDZ($A$1,$B66,X$5,$B$1)</f>
        <v>3.9809999999999999</v>
      </c>
      <c r="Y66" s="55">
        <f>_xll.EQNXTDZ($A$1,$B66,Y$5,$B$1)</f>
        <v>0</v>
      </c>
      <c r="Z66" s="55">
        <f>_xll.EQNXTDZ($A$1,$B66,Z$5,$B$1)</f>
        <v>5.33</v>
      </c>
      <c r="AA66" s="55">
        <f>_xll.EQNXTDZ($A$1,$B66,AA$5,$B$1)</f>
        <v>0</v>
      </c>
      <c r="AB66" s="55">
        <f>_xll.EQNXTDZ($A$1,$B66,AB$5,$B$1)</f>
        <v>4.33</v>
      </c>
      <c r="AC66" s="55">
        <f>_xll.EQNXTDZ($A$1,$B66,AC$5,$B$1)</f>
        <v>0</v>
      </c>
      <c r="AD66" s="55">
        <f>_xll.EQNXTDZ($A$1,$B66,AD$5,$B$1)</f>
        <v>6.72</v>
      </c>
      <c r="AE66" s="55">
        <f>_xll.EQNXTDZ($A$1,$B66,AE$5,$B$1)</f>
        <v>0</v>
      </c>
      <c r="AF66" s="55">
        <f>_xll.EQNXTDZ($A$1,$B66,AF$5,$B$1)</f>
        <v>7.03</v>
      </c>
      <c r="AG66" s="55">
        <f>_xll.EQNXTDZ($A$1,$B66,AG$5,$B$1)</f>
        <v>0</v>
      </c>
      <c r="AH66" s="55">
        <f>_xll.EQNXTDZ($A$1,$B66,AH$5,$B$1)</f>
        <v>8.16</v>
      </c>
      <c r="AI66" s="55">
        <f>_xll.EQNXTDZ($A$1,$B66,AI$5,$B$1)</f>
        <v>0</v>
      </c>
      <c r="AJ66" s="55">
        <f>_xll.EQNXTDZ($A$1,$B66,AJ$5,$B$1)</f>
        <v>10.46</v>
      </c>
      <c r="AK66" s="55">
        <f>_xll.EQNXTDZ($A$1,$B66,AK$5,$B$1)</f>
        <v>0</v>
      </c>
      <c r="AL66" s="55">
        <f>_xll.EQNXTDZ($A$1,$B66,AL$5,$B$1)</f>
        <v>13.58</v>
      </c>
      <c r="AM66" s="55">
        <f>_xll.EQNXTDZ($A$1,$B66,AM$5,$B$1)</f>
        <v>0</v>
      </c>
      <c r="AN66" s="55">
        <f>_xll.EQNXTDZ($A$1,$B66,AN$5,$B$1)</f>
        <v>11.22</v>
      </c>
      <c r="AO66" s="55">
        <f>_xll.EQNXTDZ($A$1,$B66,AO$5,$B$1)</f>
        <v>4.7</v>
      </c>
      <c r="AP66" s="55">
        <f>_xll.EQNXTDZ($A$1,$B66,AP$5,$B$1)</f>
        <v>0.27</v>
      </c>
      <c r="AQ66" s="55">
        <f>_xll.EQNXTDZ($A$1,$B66,AQ$5,$B$1)</f>
        <v>0</v>
      </c>
      <c r="AR66" s="55">
        <f>_xll.EQNXTDZ($A$1,$B66,AR$5,$B$1)</f>
        <v>0.16</v>
      </c>
      <c r="AS66" s="55">
        <f>_xll.EQNXTDZ($A$1,$B66,AS$5,$B$1)</f>
        <v>0.16</v>
      </c>
      <c r="AT66" s="55">
        <f>_xll.EQNXTDZ($A$1,$B66,AT$5,$B$1)</f>
        <v>3.3</v>
      </c>
      <c r="AU66" s="55">
        <f>_xll.EQNXTDZ($A$1,$B66,AU$5,$B$1)</f>
        <v>0</v>
      </c>
      <c r="AV66" s="55">
        <f>_xll.EQNXTDZ($A$1,$B66,AV$5,$B$1)</f>
        <v>5.67</v>
      </c>
      <c r="AW66" s="55">
        <f>_xll.EQNXTDZ($A$1,$B66,AW$5,$B$1)</f>
        <v>0</v>
      </c>
      <c r="AX66" s="55">
        <f>_xll.EQNXTDZ($A$1,$B66,AX$5,$B$1)</f>
        <v>3.06</v>
      </c>
      <c r="AY66" s="55">
        <f>_xll.EQNXTDZ($A$1,$B66,AY$5,$B$1)</f>
        <v>0</v>
      </c>
      <c r="AZ66" s="55">
        <f>_xll.EQNXTDZ($A$1,$B66,AZ$5,$B$1)</f>
        <v>3.62</v>
      </c>
      <c r="BA66" s="55">
        <f>_xll.EQNXTDZ($A$1,$B66,BA$5,$B$1)</f>
        <v>0</v>
      </c>
      <c r="BB66" s="55">
        <f>_xll.EQNXTDZ($A$1,$B66,BB$5,$B$1)</f>
        <v>6.94</v>
      </c>
      <c r="BC66" s="55">
        <f>_xll.EQNXTDZ($A$1,$B66,BC$5,$B$1)</f>
        <v>0</v>
      </c>
      <c r="BD66" s="55">
        <f>_xll.EQNXTDZ($A$1,$B66,BD$5,$B$1)</f>
        <v>7.16</v>
      </c>
      <c r="BE66" s="55">
        <f>_xll.EQNXTDZ($A$1,$B66,BE$5,$B$1)</f>
        <v>0</v>
      </c>
      <c r="BF66" s="55">
        <f>_xll.EQNXTDZ($A$1,$B66,BF$5,$B$1)</f>
        <v>12.11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378.26799999999997</v>
      </c>
      <c r="S67" s="55">
        <f>_xll.EQNXTDZ($A$1,$B67,S$5,$B$1)</f>
        <v>0</v>
      </c>
      <c r="T67" s="55">
        <f>_xll.EQNXTDZ($A$1,$B67,T$5,$B$1)</f>
        <v>416.74</v>
      </c>
      <c r="U67" s="55">
        <f>_xll.EQNXTDZ($A$1,$B67,U$5,$B$1)</f>
        <v>0</v>
      </c>
      <c r="V67" s="55">
        <f>_xll.EQNXTDZ($A$1,$B67,V$5,$B$1)</f>
        <v>420.21</v>
      </c>
      <c r="W67" s="55">
        <f>_xll.EQNXTDZ($A$1,$B67,W$5,$B$1)</f>
        <v>0</v>
      </c>
      <c r="X67" s="55">
        <f>_xll.EQNXTDZ($A$1,$B67,X$5,$B$1)</f>
        <v>439.06200000000001</v>
      </c>
      <c r="Y67" s="55">
        <f>_xll.EQNXTDZ($A$1,$B67,Y$5,$B$1)</f>
        <v>0</v>
      </c>
      <c r="Z67" s="55">
        <f>_xll.EQNXTDZ($A$1,$B67,Z$5,$B$1)</f>
        <v>458.7</v>
      </c>
      <c r="AA67" s="55">
        <f>_xll.EQNXTDZ($A$1,$B67,AA$5,$B$1)</f>
        <v>0</v>
      </c>
      <c r="AB67" s="55">
        <f>_xll.EQNXTDZ($A$1,$B67,AB$5,$B$1)</f>
        <v>465.61</v>
      </c>
      <c r="AC67" s="55">
        <f>_xll.EQNXTDZ($A$1,$B67,AC$5,$B$1)</f>
        <v>0</v>
      </c>
      <c r="AD67" s="55">
        <f>_xll.EQNXTDZ($A$1,$B67,AD$5,$B$1)</f>
        <v>454.13</v>
      </c>
      <c r="AE67" s="55">
        <f>_xll.EQNXTDZ($A$1,$B67,AE$5,$B$1)</f>
        <v>0</v>
      </c>
      <c r="AF67" s="55">
        <f>_xll.EQNXTDZ($A$1,$B67,AF$5,$B$1)</f>
        <v>392.34</v>
      </c>
      <c r="AG67" s="55">
        <f>_xll.EQNXTDZ($A$1,$B67,AG$5,$B$1)</f>
        <v>0</v>
      </c>
      <c r="AH67" s="55">
        <f>_xll.EQNXTDZ($A$1,$B67,AH$5,$B$1)</f>
        <v>383.01</v>
      </c>
      <c r="AI67" s="55">
        <f>_xll.EQNXTDZ($A$1,$B67,AI$5,$B$1)</f>
        <v>0</v>
      </c>
      <c r="AJ67" s="55">
        <f>_xll.EQNXTDZ($A$1,$B67,AJ$5,$B$1)</f>
        <v>443.63</v>
      </c>
      <c r="AK67" s="55">
        <f>_xll.EQNXTDZ($A$1,$B67,AK$5,$B$1)</f>
        <v>0</v>
      </c>
      <c r="AL67" s="55">
        <f>_xll.EQNXTDZ($A$1,$B67,AL$5,$B$1)</f>
        <v>446.3</v>
      </c>
      <c r="AM67" s="55">
        <f>_xll.EQNXTDZ($A$1,$B67,AM$5,$B$1)</f>
        <v>0</v>
      </c>
      <c r="AN67" s="55">
        <f>_xll.EQNXTDZ($A$1,$B67,AN$5,$B$1)</f>
        <v>511.59</v>
      </c>
      <c r="AO67" s="55">
        <f>_xll.EQNXTDZ($A$1,$B67,AO$5,$B$1)</f>
        <v>526.29999999999995</v>
      </c>
      <c r="AP67" s="55">
        <f>_xll.EQNXTDZ($A$1,$B67,AP$5,$B$1)</f>
        <v>542.54</v>
      </c>
      <c r="AQ67" s="55">
        <f>_xll.EQNXTDZ($A$1,$B67,AQ$5,$B$1)</f>
        <v>0</v>
      </c>
      <c r="AR67" s="55">
        <f>_xll.EQNXTDZ($A$1,$B67,AR$5,$B$1)</f>
        <v>504.47</v>
      </c>
      <c r="AS67" s="55">
        <f>_xll.EQNXTDZ($A$1,$B67,AS$5,$B$1)</f>
        <v>528.04999999999995</v>
      </c>
      <c r="AT67" s="55">
        <f>_xll.EQNXTDZ($A$1,$B67,AT$5,$B$1)</f>
        <v>554.64</v>
      </c>
      <c r="AU67" s="55">
        <f>_xll.EQNXTDZ($A$1,$B67,AU$5,$B$1)</f>
        <v>0</v>
      </c>
      <c r="AV67" s="55">
        <f>_xll.EQNXTDZ($A$1,$B67,AV$5,$B$1)</f>
        <v>524.05999999999995</v>
      </c>
      <c r="AW67" s="55">
        <f>_xll.EQNXTDZ($A$1,$B67,AW$5,$B$1)</f>
        <v>0</v>
      </c>
      <c r="AX67" s="55">
        <f>_xll.EQNXTDZ($A$1,$B67,AX$5,$B$1)</f>
        <v>553.4</v>
      </c>
      <c r="AY67" s="55">
        <f>_xll.EQNXTDZ($A$1,$B67,AY$5,$B$1)</f>
        <v>0</v>
      </c>
      <c r="AZ67" s="55">
        <f>_xll.EQNXTDZ($A$1,$B67,AZ$5,$B$1)</f>
        <v>502.25</v>
      </c>
      <c r="BA67" s="55">
        <f>_xll.EQNXTDZ($A$1,$B67,BA$5,$B$1)</f>
        <v>0</v>
      </c>
      <c r="BB67" s="55">
        <f>_xll.EQNXTDZ($A$1,$B67,BB$5,$B$1)</f>
        <v>570.91</v>
      </c>
      <c r="BC67" s="55">
        <f>_xll.EQNXTDZ($A$1,$B67,BC$5,$B$1)</f>
        <v>0</v>
      </c>
      <c r="BD67" s="55">
        <f>_xll.EQNXTDZ($A$1,$B67,BD$5,$B$1)</f>
        <v>558.14</v>
      </c>
      <c r="BE67" s="55">
        <f>_xll.EQNXTDZ($A$1,$B67,BE$5,$B$1)</f>
        <v>0</v>
      </c>
      <c r="BF67" s="55">
        <f>_xll.EQNXTDZ($A$1,$B67,BF$5,$B$1)</f>
        <v>637.30999999999995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152.62</v>
      </c>
      <c r="S68" s="55">
        <f>_xll.EQNXTDZ($A$1,$B68,S$5,$B$1)</f>
        <v>0</v>
      </c>
      <c r="T68" s="55">
        <f>_xll.EQNXTDZ($A$1,$B68,T$5,$B$1)</f>
        <v>158.55099999999999</v>
      </c>
      <c r="U68" s="55">
        <f>_xll.EQNXTDZ($A$1,$B68,U$5,$B$1)</f>
        <v>0</v>
      </c>
      <c r="V68" s="55">
        <f>_xll.EQNXTDZ($A$1,$B68,V$5,$B$1)</f>
        <v>151.81100000000001</v>
      </c>
      <c r="W68" s="55">
        <f>_xll.EQNXTDZ($A$1,$B68,W$5,$B$1)</f>
        <v>0</v>
      </c>
      <c r="X68" s="55">
        <f>_xll.EQNXTDZ($A$1,$B68,X$5,$B$1)</f>
        <v>156.11500000000001</v>
      </c>
      <c r="Y68" s="55">
        <f>_xll.EQNXTDZ($A$1,$B68,Y$5,$B$1)</f>
        <v>0</v>
      </c>
      <c r="Z68" s="55">
        <f>_xll.EQNXTDZ($A$1,$B68,Z$5,$B$1)</f>
        <v>191.89</v>
      </c>
      <c r="AA68" s="55">
        <f>_xll.EQNXTDZ($A$1,$B68,AA$5,$B$1)</f>
        <v>0</v>
      </c>
      <c r="AB68" s="55">
        <f>_xll.EQNXTDZ($A$1,$B68,AB$5,$B$1)</f>
        <v>181.43</v>
      </c>
      <c r="AC68" s="55">
        <f>_xll.EQNXTDZ($A$1,$B68,AC$5,$B$1)</f>
        <v>0</v>
      </c>
      <c r="AD68" s="55">
        <f>_xll.EQNXTDZ($A$1,$B68,AD$5,$B$1)</f>
        <v>187.44</v>
      </c>
      <c r="AE68" s="55">
        <f>_xll.EQNXTDZ($A$1,$B68,AE$5,$B$1)</f>
        <v>0</v>
      </c>
      <c r="AF68" s="55">
        <f>_xll.EQNXTDZ($A$1,$B68,AF$5,$B$1)</f>
        <v>166.11</v>
      </c>
      <c r="AG68" s="55">
        <f>_xll.EQNXTDZ($A$1,$B68,AG$5,$B$1)</f>
        <v>0</v>
      </c>
      <c r="AH68" s="55">
        <f>_xll.EQNXTDZ($A$1,$B68,AH$5,$B$1)</f>
        <v>144.12</v>
      </c>
      <c r="AI68" s="55">
        <f>_xll.EQNXTDZ($A$1,$B68,AI$5,$B$1)</f>
        <v>0</v>
      </c>
      <c r="AJ68" s="55">
        <f>_xll.EQNXTDZ($A$1,$B68,AJ$5,$B$1)</f>
        <v>146.33000000000001</v>
      </c>
      <c r="AK68" s="55">
        <f>_xll.EQNXTDZ($A$1,$B68,AK$5,$B$1)</f>
        <v>0</v>
      </c>
      <c r="AL68" s="55">
        <f>_xll.EQNXTDZ($A$1,$B68,AL$5,$B$1)</f>
        <v>130.28</v>
      </c>
      <c r="AM68" s="55">
        <f>_xll.EQNXTDZ($A$1,$B68,AM$5,$B$1)</f>
        <v>0</v>
      </c>
      <c r="AN68" s="55">
        <f>_xll.EQNXTDZ($A$1,$B68,AN$5,$B$1)</f>
        <v>135.59</v>
      </c>
      <c r="AO68" s="55">
        <f>_xll.EQNXTDZ($A$1,$B68,AO$5,$B$1)</f>
        <v>144.6</v>
      </c>
      <c r="AP68" s="55">
        <f>_xll.EQNXTDZ($A$1,$B68,AP$5,$B$1)</f>
        <v>150.41999999999999</v>
      </c>
      <c r="AQ68" s="55">
        <f>_xll.EQNXTDZ($A$1,$B68,AQ$5,$B$1)</f>
        <v>0</v>
      </c>
      <c r="AR68" s="55">
        <f>_xll.EQNXTDZ($A$1,$B68,AR$5,$B$1)</f>
        <v>145.66999999999999</v>
      </c>
      <c r="AS68" s="55">
        <f>_xll.EQNXTDZ($A$1,$B68,AS$5,$B$1)</f>
        <v>143.9</v>
      </c>
      <c r="AT68" s="55">
        <f>_xll.EQNXTDZ($A$1,$B68,AT$5,$B$1)</f>
        <v>158.22999999999999</v>
      </c>
      <c r="AU68" s="55">
        <f>_xll.EQNXTDZ($A$1,$B68,AU$5,$B$1)</f>
        <v>0</v>
      </c>
      <c r="AV68" s="55">
        <f>_xll.EQNXTDZ($A$1,$B68,AV$5,$B$1)</f>
        <v>157.21</v>
      </c>
      <c r="AW68" s="55">
        <f>_xll.EQNXTDZ($A$1,$B68,AW$5,$B$1)</f>
        <v>0</v>
      </c>
      <c r="AX68" s="55">
        <f>_xll.EQNXTDZ($A$1,$B68,AX$5,$B$1)</f>
        <v>169.13</v>
      </c>
      <c r="AY68" s="55">
        <f>_xll.EQNXTDZ($A$1,$B68,AY$5,$B$1)</f>
        <v>0</v>
      </c>
      <c r="AZ68" s="55">
        <f>_xll.EQNXTDZ($A$1,$B68,AZ$5,$B$1)</f>
        <v>158.88999999999999</v>
      </c>
      <c r="BA68" s="55">
        <f>_xll.EQNXTDZ($A$1,$B68,BA$5,$B$1)</f>
        <v>0</v>
      </c>
      <c r="BB68" s="55">
        <f>_xll.EQNXTDZ($A$1,$B68,BB$5,$B$1)</f>
        <v>153.55000000000001</v>
      </c>
      <c r="BC68" s="55">
        <f>_xll.EQNXTDZ($A$1,$B68,BC$5,$B$1)</f>
        <v>0</v>
      </c>
      <c r="BD68" s="55">
        <f>_xll.EQNXTDZ($A$1,$B68,BD$5,$B$1)</f>
        <v>157.11000000000001</v>
      </c>
      <c r="BE68" s="55">
        <f>_xll.EQNXTDZ($A$1,$B68,BE$5,$B$1)</f>
        <v>0</v>
      </c>
      <c r="BF68" s="55">
        <f>_xll.EQNXTDZ($A$1,$B68,BF$5,$B$1)</f>
        <v>148.57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152.62</v>
      </c>
      <c r="S71" s="55">
        <f>_xll.EQNXTDZ($A$1,$B71,S$5,$B$1)</f>
        <v>0</v>
      </c>
      <c r="T71" s="55">
        <f>_xll.EQNXTDZ($A$1,$B71,T$5,$B$1)</f>
        <v>158.55099999999999</v>
      </c>
      <c r="U71" s="55">
        <f>_xll.EQNXTDZ($A$1,$B71,U$5,$B$1)</f>
        <v>0</v>
      </c>
      <c r="V71" s="55">
        <f>_xll.EQNXTDZ($A$1,$B71,V$5,$B$1)</f>
        <v>151.81100000000001</v>
      </c>
      <c r="W71" s="55">
        <f>_xll.EQNXTDZ($A$1,$B71,W$5,$B$1)</f>
        <v>0</v>
      </c>
      <c r="X71" s="55">
        <f>_xll.EQNXTDZ($A$1,$B71,X$5,$B$1)</f>
        <v>156.11500000000001</v>
      </c>
      <c r="Y71" s="55">
        <f>_xll.EQNXTDZ($A$1,$B71,Y$5,$B$1)</f>
        <v>0</v>
      </c>
      <c r="Z71" s="55">
        <f>_xll.EQNXTDZ($A$1,$B71,Z$5,$B$1)</f>
        <v>191.89</v>
      </c>
      <c r="AA71" s="55">
        <f>_xll.EQNXTDZ($A$1,$B71,AA$5,$B$1)</f>
        <v>0</v>
      </c>
      <c r="AB71" s="55">
        <f>_xll.EQNXTDZ($A$1,$B71,AB$5,$B$1)</f>
        <v>181.43</v>
      </c>
      <c r="AC71" s="55">
        <f>_xll.EQNXTDZ($A$1,$B71,AC$5,$B$1)</f>
        <v>0</v>
      </c>
      <c r="AD71" s="55">
        <f>_xll.EQNXTDZ($A$1,$B71,AD$5,$B$1)</f>
        <v>187.44</v>
      </c>
      <c r="AE71" s="55">
        <f>_xll.EQNXTDZ($A$1,$B71,AE$5,$B$1)</f>
        <v>0</v>
      </c>
      <c r="AF71" s="55">
        <f>_xll.EQNXTDZ($A$1,$B71,AF$5,$B$1)</f>
        <v>166.11</v>
      </c>
      <c r="AG71" s="55">
        <f>_xll.EQNXTDZ($A$1,$B71,AG$5,$B$1)</f>
        <v>0</v>
      </c>
      <c r="AH71" s="55">
        <f>_xll.EQNXTDZ($A$1,$B71,AH$5,$B$1)</f>
        <v>144.12</v>
      </c>
      <c r="AI71" s="55">
        <f>_xll.EQNXTDZ($A$1,$B71,AI$5,$B$1)</f>
        <v>0</v>
      </c>
      <c r="AJ71" s="55">
        <f>_xll.EQNXTDZ($A$1,$B71,AJ$5,$B$1)</f>
        <v>146.33000000000001</v>
      </c>
      <c r="AK71" s="55">
        <f>_xll.EQNXTDZ($A$1,$B71,AK$5,$B$1)</f>
        <v>0</v>
      </c>
      <c r="AL71" s="55">
        <f>_xll.EQNXTDZ($A$1,$B71,AL$5,$B$1)</f>
        <v>130.28</v>
      </c>
      <c r="AM71" s="55">
        <f>_xll.EQNXTDZ($A$1,$B71,AM$5,$B$1)</f>
        <v>0</v>
      </c>
      <c r="AN71" s="55">
        <f>_xll.EQNXTDZ($A$1,$B71,AN$5,$B$1)</f>
        <v>135.59</v>
      </c>
      <c r="AO71" s="55">
        <f>_xll.EQNXTDZ($A$1,$B71,AO$5,$B$1)</f>
        <v>144.6</v>
      </c>
      <c r="AP71" s="55">
        <f>_xll.EQNXTDZ($A$1,$B71,AP$5,$B$1)</f>
        <v>150.41999999999999</v>
      </c>
      <c r="AQ71" s="55">
        <f>_xll.EQNXTDZ($A$1,$B71,AQ$5,$B$1)</f>
        <v>0</v>
      </c>
      <c r="AR71" s="55">
        <f>_xll.EQNXTDZ($A$1,$B71,AR$5,$B$1)</f>
        <v>145.66999999999999</v>
      </c>
      <c r="AS71" s="55">
        <f>_xll.EQNXTDZ($A$1,$B71,AS$5,$B$1)</f>
        <v>143.9</v>
      </c>
      <c r="AT71" s="55">
        <f>_xll.EQNXTDZ($A$1,$B71,AT$5,$B$1)</f>
        <v>158.22999999999999</v>
      </c>
      <c r="AU71" s="55">
        <f>_xll.EQNXTDZ($A$1,$B71,AU$5,$B$1)</f>
        <v>0</v>
      </c>
      <c r="AV71" s="55">
        <f>_xll.EQNXTDZ($A$1,$B71,AV$5,$B$1)</f>
        <v>157.21</v>
      </c>
      <c r="AW71" s="55">
        <f>_xll.EQNXTDZ($A$1,$B71,AW$5,$B$1)</f>
        <v>0</v>
      </c>
      <c r="AX71" s="55">
        <f>_xll.EQNXTDZ($A$1,$B71,AX$5,$B$1)</f>
        <v>169.13</v>
      </c>
      <c r="AY71" s="55">
        <f>_xll.EQNXTDZ($A$1,$B71,AY$5,$B$1)</f>
        <v>0</v>
      </c>
      <c r="AZ71" s="55">
        <f>_xll.EQNXTDZ($A$1,$B71,AZ$5,$B$1)</f>
        <v>158.88999999999999</v>
      </c>
      <c r="BA71" s="55">
        <f>_xll.EQNXTDZ($A$1,$B71,BA$5,$B$1)</f>
        <v>0</v>
      </c>
      <c r="BB71" s="55">
        <f>_xll.EQNXTDZ($A$1,$B71,BB$5,$B$1)</f>
        <v>153.55000000000001</v>
      </c>
      <c r="BC71" s="55">
        <f>_xll.EQNXTDZ($A$1,$B71,BC$5,$B$1)</f>
        <v>0</v>
      </c>
      <c r="BD71" s="55">
        <f>_xll.EQNXTDZ($A$1,$B71,BD$5,$B$1)</f>
        <v>157.11000000000001</v>
      </c>
      <c r="BE71" s="55">
        <f>_xll.EQNXTDZ($A$1,$B71,BE$5,$B$1)</f>
        <v>0</v>
      </c>
      <c r="BF71" s="55">
        <f>_xll.EQNXTDZ($A$1,$B71,BF$5,$B$1)</f>
        <v>148.57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106.858</v>
      </c>
      <c r="S72" s="55">
        <f>_xll.EQNXTDZ($A$1,$B72,S$5,$B$1)</f>
        <v>0</v>
      </c>
      <c r="T72" s="55">
        <f>_xll.EQNXTDZ($A$1,$B72,T$5,$B$1)</f>
        <v>106.858</v>
      </c>
      <c r="U72" s="55">
        <f>_xll.EQNXTDZ($A$1,$B72,U$5,$B$1)</f>
        <v>0</v>
      </c>
      <c r="V72" s="55">
        <f>_xll.EQNXTDZ($A$1,$B72,V$5,$B$1)</f>
        <v>106.858</v>
      </c>
      <c r="W72" s="55">
        <f>_xll.EQNXTDZ($A$1,$B72,W$5,$B$1)</f>
        <v>0</v>
      </c>
      <c r="X72" s="55">
        <f>_xll.EQNXTDZ($A$1,$B72,X$5,$B$1)</f>
        <v>106.858</v>
      </c>
      <c r="Y72" s="55">
        <f>_xll.EQNXTDZ($A$1,$B72,Y$5,$B$1)</f>
        <v>0</v>
      </c>
      <c r="Z72" s="55">
        <f>_xll.EQNXTDZ($A$1,$B72,Z$5,$B$1)</f>
        <v>106.86</v>
      </c>
      <c r="AA72" s="55">
        <f>_xll.EQNXTDZ($A$1,$B72,AA$5,$B$1)</f>
        <v>0</v>
      </c>
      <c r="AB72" s="55">
        <f>_xll.EQNXTDZ($A$1,$B72,AB$5,$B$1)</f>
        <v>106.86</v>
      </c>
      <c r="AC72" s="55">
        <f>_xll.EQNXTDZ($A$1,$B72,AC$5,$B$1)</f>
        <v>0</v>
      </c>
      <c r="AD72" s="55">
        <f>_xll.EQNXTDZ($A$1,$B72,AD$5,$B$1)</f>
        <v>106.86</v>
      </c>
      <c r="AE72" s="55">
        <f>_xll.EQNXTDZ($A$1,$B72,AE$5,$B$1)</f>
        <v>0</v>
      </c>
      <c r="AF72" s="55">
        <f>_xll.EQNXTDZ($A$1,$B72,AF$5,$B$1)</f>
        <v>106.86</v>
      </c>
      <c r="AG72" s="55">
        <f>_xll.EQNXTDZ($A$1,$B72,AG$5,$B$1)</f>
        <v>0</v>
      </c>
      <c r="AH72" s="55">
        <f>_xll.EQNXTDZ($A$1,$B72,AH$5,$B$1)</f>
        <v>100.28</v>
      </c>
      <c r="AI72" s="55">
        <f>_xll.EQNXTDZ($A$1,$B72,AI$5,$B$1)</f>
        <v>0</v>
      </c>
      <c r="AJ72" s="55">
        <f>_xll.EQNXTDZ($A$1,$B72,AJ$5,$B$1)</f>
        <v>100.28</v>
      </c>
      <c r="AK72" s="55">
        <f>_xll.EQNXTDZ($A$1,$B72,AK$5,$B$1)</f>
        <v>0</v>
      </c>
      <c r="AL72" s="55">
        <f>_xll.EQNXTDZ($A$1,$B72,AL$5,$B$1)</f>
        <v>100.28</v>
      </c>
      <c r="AM72" s="55">
        <f>_xll.EQNXTDZ($A$1,$B72,AM$5,$B$1)</f>
        <v>0</v>
      </c>
      <c r="AN72" s="55">
        <f>_xll.EQNXTDZ($A$1,$B72,AN$5,$B$1)</f>
        <v>100.28</v>
      </c>
      <c r="AO72" s="55">
        <f>_xll.EQNXTDZ($A$1,$B72,AO$5,$B$1)</f>
        <v>100.3</v>
      </c>
      <c r="AP72" s="55">
        <f>_xll.EQNXTDZ($A$1,$B72,AP$5,$B$1)</f>
        <v>100.28</v>
      </c>
      <c r="AQ72" s="55">
        <f>_xll.EQNXTDZ($A$1,$B72,AQ$5,$B$1)</f>
        <v>0</v>
      </c>
      <c r="AR72" s="55">
        <f>_xll.EQNXTDZ($A$1,$B72,AR$5,$B$1)</f>
        <v>100.28</v>
      </c>
      <c r="AS72" s="55">
        <f>_xll.EQNXTDZ($A$1,$B72,AS$5,$B$1)</f>
        <v>100.28</v>
      </c>
      <c r="AT72" s="55">
        <f>_xll.EQNXTDZ($A$1,$B72,AT$5,$B$1)</f>
        <v>100.28</v>
      </c>
      <c r="AU72" s="55">
        <f>_xll.EQNXTDZ($A$1,$B72,AU$5,$B$1)</f>
        <v>0</v>
      </c>
      <c r="AV72" s="55">
        <f>_xll.EQNXTDZ($A$1,$B72,AV$5,$B$1)</f>
        <v>100.28</v>
      </c>
      <c r="AW72" s="55">
        <f>_xll.EQNXTDZ($A$1,$B72,AW$5,$B$1)</f>
        <v>0</v>
      </c>
      <c r="AX72" s="55">
        <f>_xll.EQNXTDZ($A$1,$B72,AX$5,$B$1)</f>
        <v>104.03</v>
      </c>
      <c r="AY72" s="55">
        <f>_xll.EQNXTDZ($A$1,$B72,AY$5,$B$1)</f>
        <v>0</v>
      </c>
      <c r="AZ72" s="55">
        <f>_xll.EQNXTDZ($A$1,$B72,AZ$5,$B$1)</f>
        <v>105.25</v>
      </c>
      <c r="BA72" s="55">
        <f>_xll.EQNXTDZ($A$1,$B72,BA$5,$B$1)</f>
        <v>0</v>
      </c>
      <c r="BB72" s="55">
        <f>_xll.EQNXTDZ($A$1,$B72,BB$5,$B$1)</f>
        <v>108.21</v>
      </c>
      <c r="BC72" s="55">
        <f>_xll.EQNXTDZ($A$1,$B72,BC$5,$B$1)</f>
        <v>0</v>
      </c>
      <c r="BD72" s="55">
        <f>_xll.EQNXTDZ($A$1,$B72,BD$5,$B$1)</f>
        <v>108.21</v>
      </c>
      <c r="BE72" s="55">
        <f>_xll.EQNXTDZ($A$1,$B72,BE$5,$B$1)</f>
        <v>0</v>
      </c>
      <c r="BF72" s="55">
        <f>_xll.EQNXTDZ($A$1,$B72,BF$5,$B$1)</f>
        <v>108.21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1.018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17.448</v>
      </c>
      <c r="W74" s="55">
        <f>_xll.EQNXTDZ($A$1,$B74,W$5,$B$1)</f>
        <v>0</v>
      </c>
      <c r="X74" s="55">
        <f>_xll.EQNXTDZ($A$1,$B74,X$5,$B$1)</f>
        <v>15.337999999999999</v>
      </c>
      <c r="Y74" s="55">
        <f>_xll.EQNXTDZ($A$1,$B74,Y$5,$B$1)</f>
        <v>0</v>
      </c>
      <c r="Z74" s="55">
        <f>_xll.EQNXTDZ($A$1,$B74,Z$5,$B$1)</f>
        <v>0</v>
      </c>
      <c r="AA74" s="55">
        <f>_xll.EQNXTDZ($A$1,$B74,AA$5,$B$1)</f>
        <v>0</v>
      </c>
      <c r="AB74" s="55">
        <f>_xll.EQNXTDZ($A$1,$B74,AB$5,$B$1)</f>
        <v>12.73</v>
      </c>
      <c r="AC74" s="55">
        <f>_xll.EQNXTDZ($A$1,$B74,AC$5,$B$1)</f>
        <v>0</v>
      </c>
      <c r="AD74" s="55">
        <f>_xll.EQNXTDZ($A$1,$B74,AD$5,$B$1)</f>
        <v>1.47</v>
      </c>
      <c r="AE74" s="55">
        <f>_xll.EQNXTDZ($A$1,$B74,AE$5,$B$1)</f>
        <v>0</v>
      </c>
      <c r="AF74" s="55">
        <f>_xll.EQNXTDZ($A$1,$B74,AF$5,$B$1)</f>
        <v>0</v>
      </c>
      <c r="AG74" s="55">
        <f>_xll.EQNXTDZ($A$1,$B74,AG$5,$B$1)</f>
        <v>0</v>
      </c>
      <c r="AH74" s="55">
        <f>_xll.EQNXTDZ($A$1,$B74,AH$5,$B$1)</f>
        <v>4.93</v>
      </c>
      <c r="AI74" s="55">
        <f>_xll.EQNXTDZ($A$1,$B74,AI$5,$B$1)</f>
        <v>0</v>
      </c>
      <c r="AJ74" s="55">
        <f>_xll.EQNXTDZ($A$1,$B74,AJ$5,$B$1)</f>
        <v>2.73</v>
      </c>
      <c r="AK74" s="55">
        <f>_xll.EQNXTDZ($A$1,$B74,AK$5,$B$1)</f>
        <v>0</v>
      </c>
      <c r="AL74" s="55">
        <f>_xll.EQNXTDZ($A$1,$B74,AL$5,$B$1)</f>
        <v>8.2799999999999994</v>
      </c>
      <c r="AM74" s="55">
        <f>_xll.EQNXTDZ($A$1,$B74,AM$5,$B$1)</f>
        <v>0</v>
      </c>
      <c r="AN74" s="55">
        <f>_xll.EQNXTDZ($A$1,$B74,AN$5,$B$1)</f>
        <v>7.46</v>
      </c>
      <c r="AO74" s="55">
        <f>_xll.EQNXTDZ($A$1,$B74,AO$5,$B$1)</f>
        <v>6.9</v>
      </c>
      <c r="AP74" s="55">
        <f>_xll.EQNXTDZ($A$1,$B74,AP$5,$B$1)</f>
        <v>2.95</v>
      </c>
      <c r="AQ74" s="55">
        <f>_xll.EQNXTDZ($A$1,$B74,AQ$5,$B$1)</f>
        <v>0</v>
      </c>
      <c r="AR74" s="55">
        <f>_xll.EQNXTDZ($A$1,$B74,AR$5,$B$1)</f>
        <v>4.88</v>
      </c>
      <c r="AS74" s="55">
        <f>_xll.EQNXTDZ($A$1,$B74,AS$5,$B$1)</f>
        <v>17.16</v>
      </c>
      <c r="AT74" s="55">
        <f>_xll.EQNXTDZ($A$1,$B74,AT$5,$B$1)</f>
        <v>1.61</v>
      </c>
      <c r="AU74" s="55">
        <f>_xll.EQNXTDZ($A$1,$B74,AU$5,$B$1)</f>
        <v>0</v>
      </c>
      <c r="AV74" s="55">
        <f>_xll.EQNXTDZ($A$1,$B74,AV$5,$B$1)</f>
        <v>2.83</v>
      </c>
      <c r="AW74" s="55">
        <f>_xll.EQNXTDZ($A$1,$B74,AW$5,$B$1)</f>
        <v>0</v>
      </c>
      <c r="AX74" s="55">
        <f>_xll.EQNXTDZ($A$1,$B74,AX$5,$B$1)</f>
        <v>2.5499999999999998</v>
      </c>
      <c r="AY74" s="55">
        <f>_xll.EQNXTDZ($A$1,$B74,AY$5,$B$1)</f>
        <v>0</v>
      </c>
      <c r="AZ74" s="55">
        <f>_xll.EQNXTDZ($A$1,$B74,AZ$5,$B$1)</f>
        <v>0.6</v>
      </c>
      <c r="BA74" s="55">
        <f>_xll.EQNXTDZ($A$1,$B74,BA$5,$B$1)</f>
        <v>0</v>
      </c>
      <c r="BB74" s="55">
        <f>_xll.EQNXTDZ($A$1,$B74,BB$5,$B$1)</f>
        <v>14.15</v>
      </c>
      <c r="BC74" s="55">
        <f>_xll.EQNXTDZ($A$1,$B74,BC$5,$B$1)</f>
        <v>0</v>
      </c>
      <c r="BD74" s="55">
        <f>_xll.EQNXTDZ($A$1,$B74,BD$5,$B$1)</f>
        <v>3.05</v>
      </c>
      <c r="BE74" s="55">
        <f>_xll.EQNXTDZ($A$1,$B74,BE$5,$B$1)</f>
        <v>0</v>
      </c>
      <c r="BF74" s="55">
        <f>_xll.EQNXTDZ($A$1,$B74,BF$5,$B$1)</f>
        <v>3.06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1.615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1.7390000000000001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20.41</v>
      </c>
      <c r="AC77" s="55">
        <f>_xll.EQNXTDZ($A$1,$B77,AC$5,$B$1)</f>
        <v>0</v>
      </c>
      <c r="AD77" s="55">
        <f>_xll.EQNXTDZ($A$1,$B77,AD$5,$B$1)</f>
        <v>20.66</v>
      </c>
      <c r="AE77" s="55">
        <f>_xll.EQNXTDZ($A$1,$B77,AE$5,$B$1)</f>
        <v>0</v>
      </c>
      <c r="AF77" s="55">
        <f>_xll.EQNXTDZ($A$1,$B77,AF$5,$B$1)</f>
        <v>21.11</v>
      </c>
      <c r="AG77" s="55">
        <f>_xll.EQNXTDZ($A$1,$B77,AG$5,$B$1)</f>
        <v>0</v>
      </c>
      <c r="AH77" s="55">
        <f>_xll.EQNXTDZ($A$1,$B77,AH$5,$B$1)</f>
        <v>21.17</v>
      </c>
      <c r="AI77" s="55">
        <f>_xll.EQNXTDZ($A$1,$B77,AI$5,$B$1)</f>
        <v>0</v>
      </c>
      <c r="AJ77" s="55">
        <f>_xll.EQNXTDZ($A$1,$B77,AJ$5,$B$1)</f>
        <v>20.86</v>
      </c>
      <c r="AK77" s="55">
        <f>_xll.EQNXTDZ($A$1,$B77,AK$5,$B$1)</f>
        <v>0</v>
      </c>
      <c r="AL77" s="55">
        <f>_xll.EQNXTDZ($A$1,$B77,AL$5,$B$1)</f>
        <v>21.1</v>
      </c>
      <c r="AM77" s="55">
        <f>_xll.EQNXTDZ($A$1,$B77,AM$5,$B$1)</f>
        <v>0</v>
      </c>
      <c r="AN77" s="55">
        <f>_xll.EQNXTDZ($A$1,$B77,AN$5,$B$1)</f>
        <v>20.62</v>
      </c>
      <c r="AO77" s="55">
        <f>_xll.EQNXTDZ($A$1,$B77,AO$5,$B$1)</f>
        <v>20.399999999999999</v>
      </c>
      <c r="AP77" s="55">
        <f>_xll.EQNXTDZ($A$1,$B77,AP$5,$B$1)</f>
        <v>20.92</v>
      </c>
      <c r="AQ77" s="55">
        <f>_xll.EQNXTDZ($A$1,$B77,AQ$5,$B$1)</f>
        <v>0</v>
      </c>
      <c r="AR77" s="55">
        <f>_xll.EQNXTDZ($A$1,$B77,AR$5,$B$1)</f>
        <v>21.28</v>
      </c>
      <c r="AS77" s="55">
        <f>_xll.EQNXTDZ($A$1,$B77,AS$5,$B$1)</f>
        <v>21.77</v>
      </c>
      <c r="AT77" s="55">
        <f>_xll.EQNXTDZ($A$1,$B77,AT$5,$B$1)</f>
        <v>22.1</v>
      </c>
      <c r="AU77" s="55">
        <f>_xll.EQNXTDZ($A$1,$B77,AU$5,$B$1)</f>
        <v>0</v>
      </c>
      <c r="AV77" s="55">
        <f>_xll.EQNXTDZ($A$1,$B77,AV$5,$B$1)</f>
        <v>22.58</v>
      </c>
      <c r="AW77" s="55">
        <f>_xll.EQNXTDZ($A$1,$B77,AW$5,$B$1)</f>
        <v>0</v>
      </c>
      <c r="AX77" s="55">
        <f>_xll.EQNXTDZ($A$1,$B77,AX$5,$B$1)</f>
        <v>25.62</v>
      </c>
      <c r="AY77" s="55">
        <f>_xll.EQNXTDZ($A$1,$B77,AY$5,$B$1)</f>
        <v>0</v>
      </c>
      <c r="AZ77" s="55">
        <f>_xll.EQNXTDZ($A$1,$B77,AZ$5,$B$1)</f>
        <v>24.97</v>
      </c>
      <c r="BA77" s="55">
        <f>_xll.EQNXTDZ($A$1,$B77,BA$5,$B$1)</f>
        <v>0</v>
      </c>
      <c r="BB77" s="55">
        <f>_xll.EQNXTDZ($A$1,$B77,BB$5,$B$1)</f>
        <v>24.17</v>
      </c>
      <c r="BC77" s="55">
        <f>_xll.EQNXTDZ($A$1,$B77,BC$5,$B$1)</f>
        <v>0</v>
      </c>
      <c r="BD77" s="55">
        <f>_xll.EQNXTDZ($A$1,$B77,BD$5,$B$1)</f>
        <v>24.28</v>
      </c>
      <c r="BE77" s="55">
        <f>_xll.EQNXTDZ($A$1,$B77,BE$5,$B$1)</f>
        <v>0</v>
      </c>
      <c r="BF77" s="55">
        <f>_xll.EQNXTDZ($A$1,$B77,BF$5,$B$1)</f>
        <v>25.14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10.603999999999999</v>
      </c>
      <c r="S78" s="55">
        <f>_xll.EQNXTDZ($A$1,$B78,S$5,$B$1)</f>
        <v>0</v>
      </c>
      <c r="T78" s="55">
        <f>_xll.EQNXTDZ($A$1,$B78,T$5,$B$1)</f>
        <v>14.17</v>
      </c>
      <c r="U78" s="55">
        <f>_xll.EQNXTDZ($A$1,$B78,U$5,$B$1)</f>
        <v>0</v>
      </c>
      <c r="V78" s="55">
        <f>_xll.EQNXTDZ($A$1,$B78,V$5,$B$1)</f>
        <v>0.628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3.31</v>
      </c>
      <c r="AA78" s="55">
        <f>_xll.EQNXTDZ($A$1,$B78,AA$5,$B$1)</f>
        <v>0</v>
      </c>
      <c r="AB78" s="55">
        <f>_xll.EQNXTDZ($A$1,$B78,AB$5,$B$1)</f>
        <v>2.38</v>
      </c>
      <c r="AC78" s="55">
        <f>_xll.EQNXTDZ($A$1,$B78,AC$5,$B$1)</f>
        <v>0</v>
      </c>
      <c r="AD78" s="55">
        <f>_xll.EQNXTDZ($A$1,$B78,AD$5,$B$1)</f>
        <v>4.1900000000000004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4.26</v>
      </c>
      <c r="AI78" s="55">
        <f>_xll.EQNXTDZ($A$1,$B78,AI$5,$B$1)</f>
        <v>0</v>
      </c>
      <c r="AJ78" s="55">
        <f>_xll.EQNXTDZ($A$1,$B78,AJ$5,$B$1)</f>
        <v>4.51</v>
      </c>
      <c r="AK78" s="55">
        <f>_xll.EQNXTDZ($A$1,$B78,AK$5,$B$1)</f>
        <v>0</v>
      </c>
      <c r="AL78" s="55">
        <f>_xll.EQNXTDZ($A$1,$B78,AL$5,$B$1)</f>
        <v>2.89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7.7619999999999996</v>
      </c>
      <c r="W79" s="55">
        <f>_xll.EQNXTDZ($A$1,$B79,W$5,$B$1)</f>
        <v>0</v>
      </c>
      <c r="X79" s="55">
        <f>_xll.EQNXTDZ($A$1,$B79,X$5,$B$1)</f>
        <v>10.726000000000001</v>
      </c>
      <c r="Y79" s="55">
        <f>_xll.EQNXTDZ($A$1,$B79,Y$5,$B$1)</f>
        <v>0</v>
      </c>
      <c r="Z79" s="55">
        <f>_xll.EQNXTDZ($A$1,$B79,Z$5,$B$1)</f>
        <v>29.31</v>
      </c>
      <c r="AA79" s="55">
        <f>_xll.EQNXTDZ($A$1,$B79,AA$5,$B$1)</f>
        <v>0</v>
      </c>
      <c r="AB79" s="55">
        <f>_xll.EQNXTDZ($A$1,$B79,AB$5,$B$1)</f>
        <v>9.8000000000000007</v>
      </c>
      <c r="AC79" s="55">
        <f>_xll.EQNXTDZ($A$1,$B79,AC$5,$B$1)</f>
        <v>0</v>
      </c>
      <c r="AD79" s="55">
        <f>_xll.EQNXTDZ($A$1,$B79,AD$5,$B$1)</f>
        <v>12.94</v>
      </c>
      <c r="AE79" s="55">
        <f>_xll.EQNXTDZ($A$1,$B79,AE$5,$B$1)</f>
        <v>0</v>
      </c>
      <c r="AF79" s="55">
        <f>_xll.EQNXTDZ($A$1,$B79,AF$5,$B$1)</f>
        <v>29.66</v>
      </c>
      <c r="AG79" s="55">
        <f>_xll.EQNXTDZ($A$1,$B79,AG$5,$B$1)</f>
        <v>0</v>
      </c>
      <c r="AH79" s="55">
        <f>_xll.EQNXTDZ($A$1,$B79,AH$5,$B$1)</f>
        <v>41.84</v>
      </c>
      <c r="AI79" s="55">
        <f>_xll.EQNXTDZ($A$1,$B79,AI$5,$B$1)</f>
        <v>0</v>
      </c>
      <c r="AJ79" s="55">
        <f>_xll.EQNXTDZ($A$1,$B79,AJ$5,$B$1)</f>
        <v>44.87</v>
      </c>
      <c r="AK79" s="55">
        <f>_xll.EQNXTDZ($A$1,$B79,AK$5,$B$1)</f>
        <v>0</v>
      </c>
      <c r="AL79" s="55">
        <f>_xll.EQNXTDZ($A$1,$B79,AL$5,$B$1)</f>
        <v>39.200000000000003</v>
      </c>
      <c r="AM79" s="55">
        <f>_xll.EQNXTDZ($A$1,$B79,AM$5,$B$1)</f>
        <v>0</v>
      </c>
      <c r="AN79" s="55">
        <f>_xll.EQNXTDZ($A$1,$B79,AN$5,$B$1)</f>
        <v>56.83</v>
      </c>
      <c r="AO79" s="55">
        <f>_xll.EQNXTDZ($A$1,$B79,AO$5,$B$1)</f>
        <v>58</v>
      </c>
      <c r="AP79" s="55">
        <f>_xll.EQNXTDZ($A$1,$B79,AP$5,$B$1)</f>
        <v>56.58</v>
      </c>
      <c r="AQ79" s="55">
        <f>_xll.EQNXTDZ($A$1,$B79,AQ$5,$B$1)</f>
        <v>0</v>
      </c>
      <c r="AR79" s="55">
        <f>_xll.EQNXTDZ($A$1,$B79,AR$5,$B$1)</f>
        <v>54.67</v>
      </c>
      <c r="AS79" s="55">
        <f>_xll.EQNXTDZ($A$1,$B79,AS$5,$B$1)</f>
        <v>62.02</v>
      </c>
      <c r="AT79" s="55">
        <f>_xll.EQNXTDZ($A$1,$B79,AT$5,$B$1)</f>
        <v>65.290000000000006</v>
      </c>
      <c r="AU79" s="55">
        <f>_xll.EQNXTDZ($A$1,$B79,AU$5,$B$1)</f>
        <v>0</v>
      </c>
      <c r="AV79" s="55">
        <f>_xll.EQNXTDZ($A$1,$B79,AV$5,$B$1)</f>
        <v>87.43</v>
      </c>
      <c r="AW79" s="55">
        <f>_xll.EQNXTDZ($A$1,$B79,AW$5,$B$1)</f>
        <v>0</v>
      </c>
      <c r="AX79" s="55">
        <f>_xll.EQNXTDZ($A$1,$B79,AX$5,$B$1)</f>
        <v>49.22</v>
      </c>
      <c r="AY79" s="55">
        <f>_xll.EQNXTDZ($A$1,$B79,AY$5,$B$1)</f>
        <v>0</v>
      </c>
      <c r="AZ79" s="55">
        <f>_xll.EQNXTDZ($A$1,$B79,AZ$5,$B$1)</f>
        <v>45.21</v>
      </c>
      <c r="BA79" s="55">
        <f>_xll.EQNXTDZ($A$1,$B79,BA$5,$B$1)</f>
        <v>0</v>
      </c>
      <c r="BB79" s="55">
        <f>_xll.EQNXTDZ($A$1,$B79,BB$5,$B$1)</f>
        <v>46.42</v>
      </c>
      <c r="BC79" s="55">
        <f>_xll.EQNXTDZ($A$1,$B79,BC$5,$B$1)</f>
        <v>0</v>
      </c>
      <c r="BD79" s="55">
        <f>_xll.EQNXTDZ($A$1,$B79,BD$5,$B$1)</f>
        <v>51.1</v>
      </c>
      <c r="BE79" s="55">
        <f>_xll.EQNXTDZ($A$1,$B79,BE$5,$B$1)</f>
        <v>0</v>
      </c>
      <c r="BF79" s="55">
        <f>_xll.EQNXTDZ($A$1,$B79,BF$5,$B$1)</f>
        <v>74.290000000000006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91.631</v>
      </c>
      <c r="S80" s="55">
        <f>_xll.EQNXTDZ($A$1,$B80,S$5,$B$1)</f>
        <v>0</v>
      </c>
      <c r="T80" s="55">
        <f>_xll.EQNXTDZ($A$1,$B80,T$5,$B$1)</f>
        <v>107.273</v>
      </c>
      <c r="U80" s="55">
        <f>_xll.EQNXTDZ($A$1,$B80,U$5,$B$1)</f>
        <v>0</v>
      </c>
      <c r="V80" s="55">
        <f>_xll.EQNXTDZ($A$1,$B80,V$5,$B$1)</f>
        <v>104.15900000000001</v>
      </c>
      <c r="W80" s="55">
        <f>_xll.EQNXTDZ($A$1,$B80,W$5,$B$1)</f>
        <v>0</v>
      </c>
      <c r="X80" s="55">
        <f>_xll.EQNXTDZ($A$1,$B80,X$5,$B$1)</f>
        <v>127.735</v>
      </c>
      <c r="Y80" s="55">
        <f>_xll.EQNXTDZ($A$1,$B80,Y$5,$B$1)</f>
        <v>0</v>
      </c>
      <c r="Z80" s="55">
        <f>_xll.EQNXTDZ($A$1,$B80,Z$5,$B$1)</f>
        <v>100.1</v>
      </c>
      <c r="AA80" s="55">
        <f>_xll.EQNXTDZ($A$1,$B80,AA$5,$B$1)</f>
        <v>0</v>
      </c>
      <c r="AB80" s="55">
        <f>_xll.EQNXTDZ($A$1,$B80,AB$5,$B$1)</f>
        <v>32.49</v>
      </c>
      <c r="AC80" s="55">
        <f>_xll.EQNXTDZ($A$1,$B80,AC$5,$B$1)</f>
        <v>0</v>
      </c>
      <c r="AD80" s="55">
        <f>_xll.EQNXTDZ($A$1,$B80,AD$5,$B$1)</f>
        <v>74.64</v>
      </c>
      <c r="AE80" s="55">
        <f>_xll.EQNXTDZ($A$1,$B80,AE$5,$B$1)</f>
        <v>0</v>
      </c>
      <c r="AF80" s="55">
        <f>_xll.EQNXTDZ($A$1,$B80,AF$5,$B$1)</f>
        <v>17.920000000000002</v>
      </c>
      <c r="AG80" s="55">
        <f>_xll.EQNXTDZ($A$1,$B80,AG$5,$B$1)</f>
        <v>0</v>
      </c>
      <c r="AH80" s="55">
        <f>_xll.EQNXTDZ($A$1,$B80,AH$5,$B$1)</f>
        <v>69.03</v>
      </c>
      <c r="AI80" s="55">
        <f>_xll.EQNXTDZ($A$1,$B80,AI$5,$B$1)</f>
        <v>0</v>
      </c>
      <c r="AJ80" s="55">
        <f>_xll.EQNXTDZ($A$1,$B80,AJ$5,$B$1)</f>
        <v>79.010000000000005</v>
      </c>
      <c r="AK80" s="55">
        <f>_xll.EQNXTDZ($A$1,$B80,AK$5,$B$1)</f>
        <v>0</v>
      </c>
      <c r="AL80" s="55">
        <f>_xll.EQNXTDZ($A$1,$B80,AL$5,$B$1)</f>
        <v>104.49</v>
      </c>
      <c r="AM80" s="55">
        <f>_xll.EQNXTDZ($A$1,$B80,AM$5,$B$1)</f>
        <v>0</v>
      </c>
      <c r="AN80" s="55">
        <f>_xll.EQNXTDZ($A$1,$B80,AN$5,$B$1)</f>
        <v>104.82</v>
      </c>
      <c r="AO80" s="55">
        <f>_xll.EQNXTDZ($A$1,$B80,AO$5,$B$1)</f>
        <v>109.4</v>
      </c>
      <c r="AP80" s="55">
        <f>_xll.EQNXTDZ($A$1,$B80,AP$5,$B$1)</f>
        <v>125.21</v>
      </c>
      <c r="AQ80" s="55">
        <f>_xll.EQNXTDZ($A$1,$B80,AQ$5,$B$1)</f>
        <v>0</v>
      </c>
      <c r="AR80" s="55">
        <f>_xll.EQNXTDZ($A$1,$B80,AR$5,$B$1)</f>
        <v>81.02</v>
      </c>
      <c r="AS80" s="55">
        <f>_xll.EQNXTDZ($A$1,$B80,AS$5,$B$1)</f>
        <v>101.65</v>
      </c>
      <c r="AT80" s="55">
        <f>_xll.EQNXTDZ($A$1,$B80,AT$5,$B$1)</f>
        <v>122.3</v>
      </c>
      <c r="AU80" s="55">
        <f>_xll.EQNXTDZ($A$1,$B80,AU$5,$B$1)</f>
        <v>0</v>
      </c>
      <c r="AV80" s="55">
        <f>_xll.EQNXTDZ($A$1,$B80,AV$5,$B$1)</f>
        <v>74.58</v>
      </c>
      <c r="AW80" s="55">
        <f>_xll.EQNXTDZ($A$1,$B80,AW$5,$B$1)</f>
        <v>0</v>
      </c>
      <c r="AX80" s="55">
        <f>_xll.EQNXTDZ($A$1,$B80,AX$5,$B$1)</f>
        <v>136.75</v>
      </c>
      <c r="AY80" s="55">
        <f>_xll.EQNXTDZ($A$1,$B80,AY$5,$B$1)</f>
        <v>0</v>
      </c>
      <c r="AZ80" s="55">
        <f>_xll.EQNXTDZ($A$1,$B80,AZ$5,$B$1)</f>
        <v>83.51</v>
      </c>
      <c r="BA80" s="55">
        <f>_xll.EQNXTDZ($A$1,$B80,BA$5,$B$1)</f>
        <v>0</v>
      </c>
      <c r="BB80" s="55">
        <f>_xll.EQNXTDZ($A$1,$B80,BB$5,$B$1)</f>
        <v>137.36000000000001</v>
      </c>
      <c r="BC80" s="55">
        <f>_xll.EQNXTDZ($A$1,$B80,BC$5,$B$1)</f>
        <v>0</v>
      </c>
      <c r="BD80" s="55">
        <f>_xll.EQNXTDZ($A$1,$B80,BD$5,$B$1)</f>
        <v>121.61</v>
      </c>
      <c r="BE80" s="55">
        <f>_xll.EQNXTDZ($A$1,$B80,BE$5,$B$1)</f>
        <v>0</v>
      </c>
      <c r="BF80" s="55">
        <f>_xll.EQNXTDZ($A$1,$B80,BF$5,$B$1)</f>
        <v>151.5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10.717000000000001</v>
      </c>
      <c r="S81" s="55">
        <f>_xll.EQNXTDZ($A$1,$B81,S$5,$B$1)</f>
        <v>0</v>
      </c>
      <c r="T81" s="55">
        <f>_xll.EQNXTDZ($A$1,$B81,T$5,$B$1)</f>
        <v>13.715</v>
      </c>
      <c r="U81" s="55">
        <f>_xll.EQNXTDZ($A$1,$B81,U$5,$B$1)</f>
        <v>0</v>
      </c>
      <c r="V81" s="55">
        <f>_xll.EQNXTDZ($A$1,$B81,V$5,$B$1)</f>
        <v>14.497999999999999</v>
      </c>
      <c r="W81" s="55">
        <f>_xll.EQNXTDZ($A$1,$B81,W$5,$B$1)</f>
        <v>0</v>
      </c>
      <c r="X81" s="55">
        <f>_xll.EQNXTDZ($A$1,$B81,X$5,$B$1)</f>
        <v>16.779</v>
      </c>
      <c r="Y81" s="55">
        <f>_xll.EQNXTDZ($A$1,$B81,Y$5,$B$1)</f>
        <v>0</v>
      </c>
      <c r="Z81" s="55">
        <f>_xll.EQNXTDZ($A$1,$B81,Z$5,$B$1)</f>
        <v>17.05</v>
      </c>
      <c r="AA81" s="55">
        <f>_xll.EQNXTDZ($A$1,$B81,AA$5,$B$1)</f>
        <v>0</v>
      </c>
      <c r="AB81" s="55">
        <f>_xll.EQNXTDZ($A$1,$B81,AB$5,$B$1)</f>
        <v>21.95</v>
      </c>
      <c r="AC81" s="55">
        <f>_xll.EQNXTDZ($A$1,$B81,AC$5,$B$1)</f>
        <v>0</v>
      </c>
      <c r="AD81" s="55">
        <f>_xll.EQNXTDZ($A$1,$B81,AD$5,$B$1)</f>
        <v>18.079999999999998</v>
      </c>
      <c r="AE81" s="55">
        <f>_xll.EQNXTDZ($A$1,$B81,AE$5,$B$1)</f>
        <v>0</v>
      </c>
      <c r="AF81" s="55">
        <f>_xll.EQNXTDZ($A$1,$B81,AF$5,$B$1)</f>
        <v>23.18</v>
      </c>
      <c r="AG81" s="55">
        <f>_xll.EQNXTDZ($A$1,$B81,AG$5,$B$1)</f>
        <v>0</v>
      </c>
      <c r="AH81" s="55">
        <f>_xll.EQNXTDZ($A$1,$B81,AH$5,$B$1)</f>
        <v>20.62</v>
      </c>
      <c r="AI81" s="55">
        <f>_xll.EQNXTDZ($A$1,$B81,AI$5,$B$1)</f>
        <v>0</v>
      </c>
      <c r="AJ81" s="55">
        <f>_xll.EQNXTDZ($A$1,$B81,AJ$5,$B$1)</f>
        <v>26.99</v>
      </c>
      <c r="AK81" s="55">
        <f>_xll.EQNXTDZ($A$1,$B81,AK$5,$B$1)</f>
        <v>0</v>
      </c>
      <c r="AL81" s="55">
        <f>_xll.EQNXTDZ($A$1,$B81,AL$5,$B$1)</f>
        <v>23.36</v>
      </c>
      <c r="AM81" s="55">
        <f>_xll.EQNXTDZ($A$1,$B81,AM$5,$B$1)</f>
        <v>0</v>
      </c>
      <c r="AN81" s="55">
        <f>_xll.EQNXTDZ($A$1,$B81,AN$5,$B$1)</f>
        <v>21.32</v>
      </c>
      <c r="AO81" s="55">
        <f>_xll.EQNXTDZ($A$1,$B81,AO$5,$B$1)</f>
        <v>21.2</v>
      </c>
      <c r="AP81" s="55">
        <f>_xll.EQNXTDZ($A$1,$B81,AP$5,$B$1)</f>
        <v>24.53</v>
      </c>
      <c r="AQ81" s="55">
        <f>_xll.EQNXTDZ($A$1,$B81,AQ$5,$B$1)</f>
        <v>0</v>
      </c>
      <c r="AR81" s="55">
        <f>_xll.EQNXTDZ($A$1,$B81,AR$5,$B$1)</f>
        <v>26.81</v>
      </c>
      <c r="AS81" s="55">
        <f>_xll.EQNXTDZ($A$1,$B81,AS$5,$B$1)</f>
        <v>24.89</v>
      </c>
      <c r="AT81" s="55">
        <f>_xll.EQNXTDZ($A$1,$B81,AT$5,$B$1)</f>
        <v>27.67</v>
      </c>
      <c r="AU81" s="55">
        <f>_xll.EQNXTDZ($A$1,$B81,AU$5,$B$1)</f>
        <v>0</v>
      </c>
      <c r="AV81" s="55">
        <f>_xll.EQNXTDZ($A$1,$B81,AV$5,$B$1)</f>
        <v>32.28</v>
      </c>
      <c r="AW81" s="55">
        <f>_xll.EQNXTDZ($A$1,$B81,AW$5,$B$1)</f>
        <v>0</v>
      </c>
      <c r="AX81" s="55">
        <f>_xll.EQNXTDZ($A$1,$B81,AX$5,$B$1)</f>
        <v>47.52</v>
      </c>
      <c r="AY81" s="55">
        <f>_xll.EQNXTDZ($A$1,$B81,AY$5,$B$1)</f>
        <v>0</v>
      </c>
      <c r="AZ81" s="55">
        <f>_xll.EQNXTDZ($A$1,$B81,AZ$5,$B$1)</f>
        <v>44.07</v>
      </c>
      <c r="BA81" s="55">
        <f>_xll.EQNXTDZ($A$1,$B81,BA$5,$B$1)</f>
        <v>0</v>
      </c>
      <c r="BB81" s="55">
        <f>_xll.EQNXTDZ($A$1,$B81,BB$5,$B$1)</f>
        <v>46.54</v>
      </c>
      <c r="BC81" s="55">
        <f>_xll.EQNXTDZ($A$1,$B81,BC$5,$B$1)</f>
        <v>0</v>
      </c>
      <c r="BD81" s="55">
        <f>_xll.EQNXTDZ($A$1,$B81,BD$5,$B$1)</f>
        <v>37.92</v>
      </c>
      <c r="BE81" s="55">
        <f>_xll.EQNXTDZ($A$1,$B81,BE$5,$B$1)</f>
        <v>0</v>
      </c>
      <c r="BF81" s="55">
        <f>_xll.EQNXTDZ($A$1,$B81,BF$5,$B$1)</f>
        <v>48.46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7.5049999999999999</v>
      </c>
      <c r="S82" s="55">
        <f>_xll.EQNXTDZ($A$1,$B82,S$5,$B$1)</f>
        <v>0</v>
      </c>
      <c r="T82" s="55">
        <f>_xll.EQNXTDZ($A$1,$B82,T$5,$B$1)</f>
        <v>8.3680000000000003</v>
      </c>
      <c r="U82" s="55">
        <f>_xll.EQNXTDZ($A$1,$B82,U$5,$B$1)</f>
        <v>0</v>
      </c>
      <c r="V82" s="55">
        <f>_xll.EQNXTDZ($A$1,$B82,V$5,$B$1)</f>
        <v>6.2750000000000004</v>
      </c>
      <c r="W82" s="55">
        <f>_xll.EQNXTDZ($A$1,$B82,W$5,$B$1)</f>
        <v>0</v>
      </c>
      <c r="X82" s="55">
        <f>_xll.EQNXTDZ($A$1,$B82,X$5,$B$1)</f>
        <v>7.609</v>
      </c>
      <c r="Y82" s="55">
        <f>_xll.EQNXTDZ($A$1,$B82,Y$5,$B$1)</f>
        <v>0</v>
      </c>
      <c r="Z82" s="55">
        <f>_xll.EQNXTDZ($A$1,$B82,Z$5,$B$1)</f>
        <v>9.84</v>
      </c>
      <c r="AA82" s="55">
        <f>_xll.EQNXTDZ($A$1,$B82,AA$5,$B$1)</f>
        <v>0</v>
      </c>
      <c r="AB82" s="55">
        <f>_xll.EQNXTDZ($A$1,$B82,AB$5,$B$1)</f>
        <v>12.98</v>
      </c>
      <c r="AC82" s="55">
        <f>_xll.EQNXTDZ($A$1,$B82,AC$5,$B$1)</f>
        <v>0</v>
      </c>
      <c r="AD82" s="55">
        <f>_xll.EQNXTDZ($A$1,$B82,AD$5,$B$1)</f>
        <v>12.16</v>
      </c>
      <c r="AE82" s="55">
        <f>_xll.EQNXTDZ($A$1,$B82,AE$5,$B$1)</f>
        <v>0</v>
      </c>
      <c r="AF82" s="55">
        <f>_xll.EQNXTDZ($A$1,$B82,AF$5,$B$1)</f>
        <v>16.23</v>
      </c>
      <c r="AG82" s="55">
        <f>_xll.EQNXTDZ($A$1,$B82,AG$5,$B$1)</f>
        <v>0</v>
      </c>
      <c r="AH82" s="55">
        <f>_xll.EQNXTDZ($A$1,$B82,AH$5,$B$1)</f>
        <v>16.559999999999999</v>
      </c>
      <c r="AI82" s="55">
        <f>_xll.EQNXTDZ($A$1,$B82,AI$5,$B$1)</f>
        <v>0</v>
      </c>
      <c r="AJ82" s="55">
        <f>_xll.EQNXTDZ($A$1,$B82,AJ$5,$B$1)</f>
        <v>38.06</v>
      </c>
      <c r="AK82" s="55">
        <f>_xll.EQNXTDZ($A$1,$B82,AK$5,$B$1)</f>
        <v>0</v>
      </c>
      <c r="AL82" s="55">
        <f>_xll.EQNXTDZ($A$1,$B82,AL$5,$B$1)</f>
        <v>44.68</v>
      </c>
      <c r="AM82" s="55">
        <f>_xll.EQNXTDZ($A$1,$B82,AM$5,$B$1)</f>
        <v>0</v>
      </c>
      <c r="AN82" s="55">
        <f>_xll.EQNXTDZ($A$1,$B82,AN$5,$B$1)</f>
        <v>109.79</v>
      </c>
      <c r="AO82" s="55">
        <f>_xll.EQNXTDZ($A$1,$B82,AO$5,$B$1)</f>
        <v>107.6</v>
      </c>
      <c r="AP82" s="55">
        <f>_xll.EQNXTDZ($A$1,$B82,AP$5,$B$1)</f>
        <v>93.2</v>
      </c>
      <c r="AQ82" s="55">
        <f>_xll.EQNXTDZ($A$1,$B82,AQ$5,$B$1)</f>
        <v>0</v>
      </c>
      <c r="AR82" s="55">
        <f>_xll.EQNXTDZ($A$1,$B82,AR$5,$B$1)</f>
        <v>89.61</v>
      </c>
      <c r="AS82" s="55">
        <f>_xll.EQNXTDZ($A$1,$B82,AS$5,$B$1)</f>
        <v>89.13</v>
      </c>
      <c r="AT82" s="55">
        <f>_xll.EQNXTDZ($A$1,$B82,AT$5,$B$1)</f>
        <v>85.12</v>
      </c>
      <c r="AU82" s="55">
        <f>_xll.EQNXTDZ($A$1,$B82,AU$5,$B$1)</f>
        <v>0</v>
      </c>
      <c r="AV82" s="55">
        <f>_xll.EQNXTDZ($A$1,$B82,AV$5,$B$1)</f>
        <v>55.36</v>
      </c>
      <c r="AW82" s="55">
        <f>_xll.EQNXTDZ($A$1,$B82,AW$5,$B$1)</f>
        <v>0</v>
      </c>
      <c r="AX82" s="55">
        <f>_xll.EQNXTDZ($A$1,$B82,AX$5,$B$1)</f>
        <v>43.47</v>
      </c>
      <c r="AY82" s="55">
        <f>_xll.EQNXTDZ($A$1,$B82,AY$5,$B$1)</f>
        <v>0</v>
      </c>
      <c r="AZ82" s="55">
        <f>_xll.EQNXTDZ($A$1,$B82,AZ$5,$B$1)</f>
        <v>47.93</v>
      </c>
      <c r="BA82" s="55">
        <f>_xll.EQNXTDZ($A$1,$B82,BA$5,$B$1)</f>
        <v>0</v>
      </c>
      <c r="BB82" s="55">
        <f>_xll.EQNXTDZ($A$1,$B82,BB$5,$B$1)</f>
        <v>73</v>
      </c>
      <c r="BC82" s="55">
        <f>_xll.EQNXTDZ($A$1,$B82,BC$5,$B$1)</f>
        <v>0</v>
      </c>
      <c r="BD82" s="55">
        <f>_xll.EQNXTDZ($A$1,$B82,BD$5,$B$1)</f>
        <v>75.489999999999995</v>
      </c>
      <c r="BE82" s="55">
        <f>_xll.EQNXTDZ($A$1,$B82,BE$5,$B$1)</f>
        <v>0</v>
      </c>
      <c r="BF82" s="55">
        <f>_xll.EQNXTDZ($A$1,$B82,BF$5,$B$1)</f>
        <v>73.88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10.295</v>
      </c>
      <c r="S83" s="55">
        <f>_xll.EQNXTDZ($A$1,$B83,S$5,$B$1)</f>
        <v>0</v>
      </c>
      <c r="T83" s="55">
        <f>_xll.EQNXTDZ($A$1,$B83,T$5,$B$1)</f>
        <v>10.679</v>
      </c>
      <c r="U83" s="55">
        <f>_xll.EQNXTDZ($A$1,$B83,U$5,$B$1)</f>
        <v>0</v>
      </c>
      <c r="V83" s="55">
        <f>_xll.EQNXTDZ($A$1,$B83,V$5,$B$1)</f>
        <v>11.794</v>
      </c>
      <c r="W83" s="55">
        <f>_xll.EQNXTDZ($A$1,$B83,W$5,$B$1)</f>
        <v>0</v>
      </c>
      <c r="X83" s="55">
        <f>_xll.EQNXTDZ($A$1,$B83,X$5,$B$1)</f>
        <v>8.7919999999999998</v>
      </c>
      <c r="Y83" s="55">
        <f>_xll.EQNXTDZ($A$1,$B83,Y$5,$B$1)</f>
        <v>0</v>
      </c>
      <c r="Z83" s="55">
        <f>_xll.EQNXTDZ($A$1,$B83,Z$5,$B$1)</f>
        <v>11.86</v>
      </c>
      <c r="AA83" s="55">
        <f>_xll.EQNXTDZ($A$1,$B83,AA$5,$B$1)</f>
        <v>0</v>
      </c>
      <c r="AB83" s="55">
        <f>_xll.EQNXTDZ($A$1,$B83,AB$5,$B$1)</f>
        <v>55.75</v>
      </c>
      <c r="AC83" s="55">
        <f>_xll.EQNXTDZ($A$1,$B83,AC$5,$B$1)</f>
        <v>0</v>
      </c>
      <c r="AD83" s="55">
        <f>_xll.EQNXTDZ($A$1,$B83,AD$5,$B$1)</f>
        <v>9.6</v>
      </c>
      <c r="AE83" s="55">
        <f>_xll.EQNXTDZ($A$1,$B83,AE$5,$B$1)</f>
        <v>0</v>
      </c>
      <c r="AF83" s="55">
        <f>_xll.EQNXTDZ($A$1,$B83,AF$5,$B$1)</f>
        <v>25.88</v>
      </c>
      <c r="AG83" s="55">
        <f>_xll.EQNXTDZ($A$1,$B83,AG$5,$B$1)</f>
        <v>0</v>
      </c>
      <c r="AH83" s="55">
        <f>_xll.EQNXTDZ($A$1,$B83,AH$5,$B$1)</f>
        <v>11.07</v>
      </c>
      <c r="AI83" s="55">
        <f>_xll.EQNXTDZ($A$1,$B83,AI$5,$B$1)</f>
        <v>0</v>
      </c>
      <c r="AJ83" s="55">
        <f>_xll.EQNXTDZ($A$1,$B83,AJ$5,$B$1)</f>
        <v>9.02</v>
      </c>
      <c r="AK83" s="55">
        <f>_xll.EQNXTDZ($A$1,$B83,AK$5,$B$1)</f>
        <v>0</v>
      </c>
      <c r="AL83" s="55">
        <f>_xll.EQNXTDZ($A$1,$B83,AL$5,$B$1)</f>
        <v>15.73</v>
      </c>
      <c r="AM83" s="55">
        <f>_xll.EQNXTDZ($A$1,$B83,AM$5,$B$1)</f>
        <v>0</v>
      </c>
      <c r="AN83" s="55">
        <f>_xll.EQNXTDZ($A$1,$B83,AN$5,$B$1)</f>
        <v>6.46</v>
      </c>
      <c r="AO83" s="55">
        <f>_xll.EQNXTDZ($A$1,$B83,AO$5,$B$1)</f>
        <v>7.7</v>
      </c>
      <c r="AP83" s="55">
        <f>_xll.EQNXTDZ($A$1,$B83,AP$5,$B$1)</f>
        <v>13.91</v>
      </c>
      <c r="AQ83" s="55">
        <f>_xll.EQNXTDZ($A$1,$B83,AQ$5,$B$1)</f>
        <v>0</v>
      </c>
      <c r="AR83" s="55">
        <f>_xll.EQNXTDZ($A$1,$B83,AR$5,$B$1)</f>
        <v>23.8</v>
      </c>
      <c r="AS83" s="55">
        <f>_xll.EQNXTDZ($A$1,$B83,AS$5,$B$1)</f>
        <v>18.47</v>
      </c>
      <c r="AT83" s="55">
        <f>_xll.EQNXTDZ($A$1,$B83,AT$5,$B$1)</f>
        <v>28.47</v>
      </c>
      <c r="AU83" s="55">
        <f>_xll.EQNXTDZ($A$1,$B83,AU$5,$B$1)</f>
        <v>0</v>
      </c>
      <c r="AV83" s="55">
        <f>_xll.EQNXTDZ($A$1,$B83,AV$5,$B$1)</f>
        <v>24.76</v>
      </c>
      <c r="AW83" s="55">
        <f>_xll.EQNXTDZ($A$1,$B83,AW$5,$B$1)</f>
        <v>0</v>
      </c>
      <c r="AX83" s="55">
        <f>_xll.EQNXTDZ($A$1,$B83,AX$5,$B$1)</f>
        <v>39.89</v>
      </c>
      <c r="AY83" s="55">
        <f>_xll.EQNXTDZ($A$1,$B83,AY$5,$B$1)</f>
        <v>0</v>
      </c>
      <c r="AZ83" s="55">
        <f>_xll.EQNXTDZ($A$1,$B83,AZ$5,$B$1)</f>
        <v>54.05</v>
      </c>
      <c r="BA83" s="55">
        <f>_xll.EQNXTDZ($A$1,$B83,BA$5,$B$1)</f>
        <v>0</v>
      </c>
      <c r="BB83" s="55">
        <f>_xll.EQNXTDZ($A$1,$B83,BB$5,$B$1)</f>
        <v>54.48</v>
      </c>
      <c r="BC83" s="55">
        <f>_xll.EQNXTDZ($A$1,$B83,BC$5,$B$1)</f>
        <v>0</v>
      </c>
      <c r="BD83" s="55">
        <f>_xll.EQNXTDZ($A$1,$B83,BD$5,$B$1)</f>
        <v>70.8</v>
      </c>
      <c r="BE83" s="55">
        <f>_xll.EQNXTDZ($A$1,$B83,BE$5,$B$1)</f>
        <v>0</v>
      </c>
      <c r="BF83" s="55">
        <f>_xll.EQNXTDZ($A$1,$B83,BF$5,$B$1)</f>
        <v>68.16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6.56</v>
      </c>
      <c r="S84" s="55">
        <f>_xll.EQNXTDZ($A$1,$B84,S$5,$B$1)</f>
        <v>0</v>
      </c>
      <c r="T84" s="55">
        <f>_xll.EQNXTDZ($A$1,$B84,T$5,$B$1)</f>
        <v>6.7000000000000004E-2</v>
      </c>
      <c r="U84" s="55">
        <f>_xll.EQNXTDZ($A$1,$B84,U$5,$B$1)</f>
        <v>0</v>
      </c>
      <c r="V84" s="55">
        <f>_xll.EQNXTDZ($A$1,$B84,V$5,$B$1)</f>
        <v>5.8259999999999996</v>
      </c>
      <c r="W84" s="55">
        <f>_xll.EQNXTDZ($A$1,$B84,W$5,$B$1)</f>
        <v>0</v>
      </c>
      <c r="X84" s="55">
        <f>_xll.EQNXTDZ($A$1,$B84,X$5,$B$1)</f>
        <v>3.4159999999999999</v>
      </c>
      <c r="Y84" s="55">
        <f>_xll.EQNXTDZ($A$1,$B84,Y$5,$B$1)</f>
        <v>0</v>
      </c>
      <c r="Z84" s="55">
        <f>_xll.EQNXTDZ($A$1,$B84,Z$5,$B$1)</f>
        <v>3.53</v>
      </c>
      <c r="AA84" s="55">
        <f>_xll.EQNXTDZ($A$1,$B84,AA$5,$B$1)</f>
        <v>0</v>
      </c>
      <c r="AB84" s="55">
        <f>_xll.EQNXTDZ($A$1,$B84,AB$5,$B$1)</f>
        <v>28.12</v>
      </c>
      <c r="AC84" s="55">
        <f>_xll.EQNXTDZ($A$1,$B84,AC$5,$B$1)</f>
        <v>0</v>
      </c>
      <c r="AD84" s="55">
        <f>_xll.EQNXTDZ($A$1,$B84,AD$5,$B$1)</f>
        <v>21.47</v>
      </c>
      <c r="AE84" s="55">
        <f>_xll.EQNXTDZ($A$1,$B84,AE$5,$B$1)</f>
        <v>0</v>
      </c>
      <c r="AF84" s="55">
        <f>_xll.EQNXTDZ($A$1,$B84,AF$5,$B$1)</f>
        <v>37.1</v>
      </c>
      <c r="AG84" s="55">
        <f>_xll.EQNXTDZ($A$1,$B84,AG$5,$B$1)</f>
        <v>0</v>
      </c>
      <c r="AH84" s="55">
        <f>_xll.EQNXTDZ($A$1,$B84,AH$5,$B$1)</f>
        <v>34.31</v>
      </c>
      <c r="AI84" s="55">
        <f>_xll.EQNXTDZ($A$1,$B84,AI$5,$B$1)</f>
        <v>0</v>
      </c>
      <c r="AJ84" s="55">
        <f>_xll.EQNXTDZ($A$1,$B84,AJ$5,$B$1)</f>
        <v>38.46</v>
      </c>
      <c r="AK84" s="55">
        <f>_xll.EQNXTDZ($A$1,$B84,AK$5,$B$1)</f>
        <v>0</v>
      </c>
      <c r="AL84" s="55">
        <f>_xll.EQNXTDZ($A$1,$B84,AL$5,$B$1)</f>
        <v>49.27</v>
      </c>
      <c r="AM84" s="55">
        <f>_xll.EQNXTDZ($A$1,$B84,AM$5,$B$1)</f>
        <v>0</v>
      </c>
      <c r="AN84" s="55">
        <f>_xll.EQNXTDZ($A$1,$B84,AN$5,$B$1)</f>
        <v>12.24</v>
      </c>
      <c r="AO84" s="55">
        <f>_xll.EQNXTDZ($A$1,$B84,AO$5,$B$1)</f>
        <v>10.6</v>
      </c>
      <c r="AP84" s="55">
        <f>_xll.EQNXTDZ($A$1,$B84,AP$5,$B$1)</f>
        <v>13.11</v>
      </c>
      <c r="AQ84" s="55">
        <f>_xll.EQNXTDZ($A$1,$B84,AQ$5,$B$1)</f>
        <v>0</v>
      </c>
      <c r="AR84" s="55">
        <f>_xll.EQNXTDZ($A$1,$B84,AR$5,$B$1)</f>
        <v>15.19</v>
      </c>
      <c r="AS84" s="55">
        <f>_xll.EQNXTDZ($A$1,$B84,AS$5,$B$1)</f>
        <v>11.66</v>
      </c>
      <c r="AT84" s="55">
        <f>_xll.EQNXTDZ($A$1,$B84,AT$5,$B$1)</f>
        <v>9.3800000000000008</v>
      </c>
      <c r="AU84" s="55">
        <f>_xll.EQNXTDZ($A$1,$B84,AU$5,$B$1)</f>
        <v>0</v>
      </c>
      <c r="AV84" s="55">
        <f>_xll.EQNXTDZ($A$1,$B84,AV$5,$B$1)</f>
        <v>22.08</v>
      </c>
      <c r="AW84" s="55">
        <f>_xll.EQNXTDZ($A$1,$B84,AW$5,$B$1)</f>
        <v>0</v>
      </c>
      <c r="AX84" s="55">
        <f>_xll.EQNXTDZ($A$1,$B84,AX$5,$B$1)</f>
        <v>10.88</v>
      </c>
      <c r="AY84" s="55">
        <f>_xll.EQNXTDZ($A$1,$B84,AY$5,$B$1)</f>
        <v>0</v>
      </c>
      <c r="AZ84" s="55">
        <f>_xll.EQNXTDZ($A$1,$B84,AZ$5,$B$1)</f>
        <v>15.27</v>
      </c>
      <c r="BA84" s="55">
        <f>_xll.EQNXTDZ($A$1,$B84,BA$5,$B$1)</f>
        <v>0</v>
      </c>
      <c r="BB84" s="55">
        <f>_xll.EQNXTDZ($A$1,$B84,BB$5,$B$1)</f>
        <v>26.34</v>
      </c>
      <c r="BC84" s="55">
        <f>_xll.EQNXTDZ($A$1,$B84,BC$5,$B$1)</f>
        <v>0</v>
      </c>
      <c r="BD84" s="55">
        <f>_xll.EQNXTDZ($A$1,$B84,BD$5,$B$1)</f>
        <v>17.739999999999998</v>
      </c>
      <c r="BE84" s="55">
        <f>_xll.EQNXTDZ($A$1,$B84,BE$5,$B$1)</f>
        <v>0</v>
      </c>
      <c r="BF84" s="55">
        <f>_xll.EQNXTDZ($A$1,$B84,BF$5,$B$1)</f>
        <v>30.29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7.6950000000000003</v>
      </c>
      <c r="S85" s="55">
        <f>_xll.EQNXTDZ($A$1,$B85,S$5,$B$1)</f>
        <v>0</v>
      </c>
      <c r="T85" s="55">
        <f>_xll.EQNXTDZ($A$1,$B85,T$5,$B$1)</f>
        <v>18.756</v>
      </c>
      <c r="U85" s="55">
        <f>_xll.EQNXTDZ($A$1,$B85,U$5,$B$1)</f>
        <v>0</v>
      </c>
      <c r="V85" s="55">
        <f>_xll.EQNXTDZ($A$1,$B85,V$5,$B$1)</f>
        <v>6.9820000000000002</v>
      </c>
      <c r="W85" s="55">
        <f>_xll.EQNXTDZ($A$1,$B85,W$5,$B$1)</f>
        <v>0</v>
      </c>
      <c r="X85" s="55">
        <f>_xll.EQNXTDZ($A$1,$B85,X$5,$B$1)</f>
        <v>2.0110000000000001</v>
      </c>
      <c r="Y85" s="55">
        <f>_xll.EQNXTDZ($A$1,$B85,Y$5,$B$1)</f>
        <v>0</v>
      </c>
      <c r="Z85" s="55">
        <f>_xll.EQNXTDZ($A$1,$B85,Z$5,$B$1)</f>
        <v>0.02</v>
      </c>
      <c r="AA85" s="55">
        <f>_xll.EQNXTDZ($A$1,$B85,AA$5,$B$1)</f>
        <v>0</v>
      </c>
      <c r="AB85" s="55">
        <f>_xll.EQNXTDZ($A$1,$B85,AB$5,$B$1)</f>
        <v>0.71</v>
      </c>
      <c r="AC85" s="55">
        <f>_xll.EQNXTDZ($A$1,$B85,AC$5,$B$1)</f>
        <v>0</v>
      </c>
      <c r="AD85" s="55">
        <f>_xll.EQNXTDZ($A$1,$B85,AD$5,$B$1)</f>
        <v>7.0000000000000007E-2</v>
      </c>
      <c r="AE85" s="55">
        <f>_xll.EQNXTDZ($A$1,$B85,AE$5,$B$1)</f>
        <v>0</v>
      </c>
      <c r="AF85" s="55">
        <f>_xll.EQNXTDZ($A$1,$B85,AF$5,$B$1)</f>
        <v>0.05</v>
      </c>
      <c r="AG85" s="55">
        <f>_xll.EQNXTDZ($A$1,$B85,AG$5,$B$1)</f>
        <v>0</v>
      </c>
      <c r="AH85" s="55">
        <f>_xll.EQNXTDZ($A$1,$B85,AH$5,$B$1)</f>
        <v>0.66</v>
      </c>
      <c r="AI85" s="55">
        <f>_xll.EQNXTDZ($A$1,$B85,AI$5,$B$1)</f>
        <v>0</v>
      </c>
      <c r="AJ85" s="55">
        <f>_xll.EQNXTDZ($A$1,$B85,AJ$5,$B$1)</f>
        <v>0.75</v>
      </c>
      <c r="AK85" s="55">
        <f>_xll.EQNXTDZ($A$1,$B85,AK$5,$B$1)</f>
        <v>0</v>
      </c>
      <c r="AL85" s="55">
        <f>_xll.EQNXTDZ($A$1,$B85,AL$5,$B$1)</f>
        <v>0.6</v>
      </c>
      <c r="AM85" s="55">
        <f>_xll.EQNXTDZ($A$1,$B85,AM$5,$B$1)</f>
        <v>0</v>
      </c>
      <c r="AN85" s="55">
        <f>_xll.EQNXTDZ($A$1,$B85,AN$5,$B$1)</f>
        <v>0.05</v>
      </c>
      <c r="AO85" s="55">
        <f>_xll.EQNXTDZ($A$1,$B85,AO$5,$B$1)</f>
        <v>0.1</v>
      </c>
      <c r="AP85" s="55">
        <f>_xll.EQNXTDZ($A$1,$B85,AP$5,$B$1)</f>
        <v>0.06</v>
      </c>
      <c r="AQ85" s="55">
        <f>_xll.EQNXTDZ($A$1,$B85,AQ$5,$B$1)</f>
        <v>0</v>
      </c>
      <c r="AR85" s="55">
        <f>_xll.EQNXTDZ($A$1,$B85,AR$5,$B$1)</f>
        <v>0.01</v>
      </c>
      <c r="AS85" s="55">
        <f>_xll.EQNXTDZ($A$1,$B85,AS$5,$B$1)</f>
        <v>0.01</v>
      </c>
      <c r="AT85" s="55">
        <f>_xll.EQNXTDZ($A$1,$B85,AT$5,$B$1)</f>
        <v>0</v>
      </c>
      <c r="AU85" s="55">
        <f>_xll.EQNXTDZ($A$1,$B85,AU$5,$B$1)</f>
        <v>0</v>
      </c>
      <c r="AV85" s="55">
        <f>_xll.EQNXTDZ($A$1,$B85,AV$5,$B$1)</f>
        <v>0</v>
      </c>
      <c r="AW85" s="55">
        <f>_xll.EQNXTDZ($A$1,$B85,AW$5,$B$1)</f>
        <v>0</v>
      </c>
      <c r="AX85" s="55">
        <f>_xll.EQNXTDZ($A$1,$B85,AX$5,$B$1)</f>
        <v>0</v>
      </c>
      <c r="AY85" s="55">
        <f>_xll.EQNXTDZ($A$1,$B85,AY$5,$B$1)</f>
        <v>0</v>
      </c>
      <c r="AZ85" s="55">
        <f>_xll.EQNXTDZ($A$1,$B85,AZ$5,$B$1)</f>
        <v>0</v>
      </c>
      <c r="BA85" s="55">
        <f>_xll.EQNXTDZ($A$1,$B85,BA$5,$B$1)</f>
        <v>0</v>
      </c>
      <c r="BB85" s="55">
        <f>_xll.EQNXTDZ($A$1,$B85,BB$5,$B$1)</f>
        <v>0</v>
      </c>
      <c r="BC85" s="55">
        <f>_xll.EQNXTDZ($A$1,$B85,BC$5,$B$1)</f>
        <v>0</v>
      </c>
      <c r="BD85" s="55">
        <f>_xll.EQNXTDZ($A$1,$B85,BD$5,$B$1)</f>
        <v>0</v>
      </c>
      <c r="BE85" s="55">
        <f>_xll.EQNXTDZ($A$1,$B85,BE$5,$B$1)</f>
        <v>0</v>
      </c>
      <c r="BF85" s="55">
        <f>_xll.EQNXTDZ($A$1,$B85,BF$5,$B$1)</f>
        <v>0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134.40299999999999</v>
      </c>
      <c r="S86" s="55">
        <f>_xll.EQNXTDZ($A$1,$B86,S$5,$B$1)</f>
        <v>0</v>
      </c>
      <c r="T86" s="55">
        <f>_xll.EQNXTDZ($A$1,$B86,T$5,$B$1)</f>
        <v>158.858</v>
      </c>
      <c r="U86" s="55">
        <f>_xll.EQNXTDZ($A$1,$B86,U$5,$B$1)</f>
        <v>0</v>
      </c>
      <c r="V86" s="55">
        <f>_xll.EQNXTDZ($A$1,$B86,V$5,$B$1)</f>
        <v>149.53399999999999</v>
      </c>
      <c r="W86" s="55">
        <f>_xll.EQNXTDZ($A$1,$B86,W$5,$B$1)</f>
        <v>0</v>
      </c>
      <c r="X86" s="55">
        <f>_xll.EQNXTDZ($A$1,$B86,X$5,$B$1)</f>
        <v>166.34200000000001</v>
      </c>
      <c r="Y86" s="55">
        <f>_xll.EQNXTDZ($A$1,$B86,Y$5,$B$1)</f>
        <v>0</v>
      </c>
      <c r="Z86" s="55">
        <f>_xll.EQNXTDZ($A$1,$B86,Z$5,$B$1)</f>
        <v>142.4</v>
      </c>
      <c r="AA86" s="55">
        <f>_xll.EQNXTDZ($A$1,$B86,AA$5,$B$1)</f>
        <v>0</v>
      </c>
      <c r="AB86" s="55">
        <f>_xll.EQNXTDZ($A$1,$B86,AB$5,$B$1)</f>
        <v>152</v>
      </c>
      <c r="AC86" s="55">
        <f>_xll.EQNXTDZ($A$1,$B86,AC$5,$B$1)</f>
        <v>0</v>
      </c>
      <c r="AD86" s="55">
        <f>_xll.EQNXTDZ($A$1,$B86,AD$5,$B$1)</f>
        <v>136.02000000000001</v>
      </c>
      <c r="AE86" s="55">
        <f>_xll.EQNXTDZ($A$1,$B86,AE$5,$B$1)</f>
        <v>0</v>
      </c>
      <c r="AF86" s="55">
        <f>_xll.EQNXTDZ($A$1,$B86,AF$5,$B$1)</f>
        <v>120.36</v>
      </c>
      <c r="AG86" s="55">
        <f>_xll.EQNXTDZ($A$1,$B86,AG$5,$B$1)</f>
        <v>0</v>
      </c>
      <c r="AH86" s="55">
        <f>_xll.EQNXTDZ($A$1,$B86,AH$5,$B$1)</f>
        <v>152.25</v>
      </c>
      <c r="AI86" s="55">
        <f>_xll.EQNXTDZ($A$1,$B86,AI$5,$B$1)</f>
        <v>0</v>
      </c>
      <c r="AJ86" s="55">
        <f>_xll.EQNXTDZ($A$1,$B86,AJ$5,$B$1)</f>
        <v>192.29</v>
      </c>
      <c r="AK86" s="55">
        <f>_xll.EQNXTDZ($A$1,$B86,AK$5,$B$1)</f>
        <v>0</v>
      </c>
      <c r="AL86" s="55">
        <f>_xll.EQNXTDZ($A$1,$B86,AL$5,$B$1)</f>
        <v>238.13</v>
      </c>
      <c r="AM86" s="55">
        <f>_xll.EQNXTDZ($A$1,$B86,AM$5,$B$1)</f>
        <v>0</v>
      </c>
      <c r="AN86" s="55">
        <f>_xll.EQNXTDZ($A$1,$B86,AN$5,$B$1)</f>
        <v>254.68</v>
      </c>
      <c r="AO86" s="55">
        <f>_xll.EQNXTDZ($A$1,$B86,AO$5,$B$1)</f>
        <v>256.60000000000002</v>
      </c>
      <c r="AP86" s="55">
        <f>_xll.EQNXTDZ($A$1,$B86,AP$5,$B$1)</f>
        <v>270.02</v>
      </c>
      <c r="AQ86" s="55">
        <f>_xll.EQNXTDZ($A$1,$B86,AQ$5,$B$1)</f>
        <v>0</v>
      </c>
      <c r="AR86" s="55">
        <f>_xll.EQNXTDZ($A$1,$B86,AR$5,$B$1)</f>
        <v>236.44</v>
      </c>
      <c r="AS86" s="55">
        <f>_xll.EQNXTDZ($A$1,$B86,AS$5,$B$1)</f>
        <v>245.81</v>
      </c>
      <c r="AT86" s="55">
        <f>_xll.EQNXTDZ($A$1,$B86,AT$5,$B$1)</f>
        <v>272.94</v>
      </c>
      <c r="AU86" s="55">
        <f>_xll.EQNXTDZ($A$1,$B86,AU$5,$B$1)</f>
        <v>0</v>
      </c>
      <c r="AV86" s="55">
        <f>_xll.EQNXTDZ($A$1,$B86,AV$5,$B$1)</f>
        <v>209.06</v>
      </c>
      <c r="AW86" s="55">
        <f>_xll.EQNXTDZ($A$1,$B86,AW$5,$B$1)</f>
        <v>0</v>
      </c>
      <c r="AX86" s="55">
        <f>_xll.EQNXTDZ($A$1,$B86,AX$5,$B$1)</f>
        <v>278.51</v>
      </c>
      <c r="AY86" s="55">
        <f>_xll.EQNXTDZ($A$1,$B86,AY$5,$B$1)</f>
        <v>0</v>
      </c>
      <c r="AZ86" s="55">
        <f>_xll.EQNXTDZ($A$1,$B86,AZ$5,$B$1)</f>
        <v>244.83</v>
      </c>
      <c r="BA86" s="55">
        <f>_xll.EQNXTDZ($A$1,$B86,BA$5,$B$1)</f>
        <v>0</v>
      </c>
      <c r="BB86" s="55">
        <f>_xll.EQNXTDZ($A$1,$B86,BB$5,$B$1)</f>
        <v>337.72</v>
      </c>
      <c r="BC86" s="55">
        <f>_xll.EQNXTDZ($A$1,$B86,BC$5,$B$1)</f>
        <v>0</v>
      </c>
      <c r="BD86" s="55">
        <f>_xll.EQNXTDZ($A$1,$B86,BD$5,$B$1)</f>
        <v>323.56</v>
      </c>
      <c r="BE86" s="55">
        <f>_xll.EQNXTDZ($A$1,$B86,BE$5,$B$1)</f>
        <v>0</v>
      </c>
      <c r="BF86" s="55">
        <f>_xll.EQNXTDZ($A$1,$B86,BF$5,$B$1)</f>
        <v>372.29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0.59199999999999997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0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0</v>
      </c>
      <c r="AQ88" s="55">
        <f>_xll.EQNXTDZ($A$1,$B88,AQ$5,$B$1)</f>
        <v>0</v>
      </c>
      <c r="AR88" s="55">
        <f>_xll.EQNXTDZ($A$1,$B88,AR$5,$B$1)</f>
        <v>0</v>
      </c>
      <c r="AS88" s="55">
        <f>_xll.EQNXTDZ($A$1,$B88,AS$5,$B$1)</f>
        <v>0</v>
      </c>
      <c r="AT88" s="55">
        <f>_xll.EQNXTDZ($A$1,$B88,AT$5,$B$1)</f>
        <v>0</v>
      </c>
      <c r="AU88" s="55">
        <f>_xll.EQNXTDZ($A$1,$B88,AU$5,$B$1)</f>
        <v>0</v>
      </c>
      <c r="AV88" s="55">
        <f>_xll.EQNXTDZ($A$1,$B88,AV$5,$B$1)</f>
        <v>8.5</v>
      </c>
      <c r="AW88" s="55">
        <f>_xll.EQNXTDZ($A$1,$B88,AW$5,$B$1)</f>
        <v>0</v>
      </c>
      <c r="AX88" s="55">
        <f>_xll.EQNXTDZ($A$1,$B88,AX$5,$B$1)</f>
        <v>10.69</v>
      </c>
      <c r="AY88" s="55">
        <f>_xll.EQNXTDZ($A$1,$B88,AY$5,$B$1)</f>
        <v>0</v>
      </c>
      <c r="AZ88" s="55">
        <f>_xll.EQNXTDZ($A$1,$B88,AZ$5,$B$1)</f>
        <v>0.12</v>
      </c>
      <c r="BA88" s="55">
        <f>_xll.EQNXTDZ($A$1,$B88,BA$5,$B$1)</f>
        <v>0</v>
      </c>
      <c r="BB88" s="55">
        <f>_xll.EQNXTDZ($A$1,$B88,BB$5,$B$1)</f>
        <v>0</v>
      </c>
      <c r="BC88" s="55">
        <f>_xll.EQNXTDZ($A$1,$B88,BC$5,$B$1)</f>
        <v>0</v>
      </c>
      <c r="BD88" s="55">
        <f>_xll.EQNXTDZ($A$1,$B88,BD$5,$B$1)</f>
        <v>0</v>
      </c>
      <c r="BE88" s="55">
        <f>_xll.EQNXTDZ($A$1,$B88,BE$5,$B$1)</f>
        <v>0</v>
      </c>
      <c r="BF88" s="55">
        <f>_xll.EQNXTDZ($A$1,$B88,BF$5,$B$1)</f>
        <v>0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2.024</v>
      </c>
      <c r="S89" s="55">
        <f>_xll.EQNXTDZ($A$1,$B89,S$5,$B$1)</f>
        <v>0</v>
      </c>
      <c r="T89" s="55">
        <f>_xll.EQNXTDZ($A$1,$B89,T$5,$B$1)</f>
        <v>0.90100000000000002</v>
      </c>
      <c r="U89" s="55">
        <f>_xll.EQNXTDZ($A$1,$B89,U$5,$B$1)</f>
        <v>0</v>
      </c>
      <c r="V89" s="55">
        <f>_xll.EQNXTDZ($A$1,$B89,V$5,$B$1)</f>
        <v>1.296</v>
      </c>
      <c r="W89" s="55">
        <f>_xll.EQNXTDZ($A$1,$B89,W$5,$B$1)</f>
        <v>0</v>
      </c>
      <c r="X89" s="55">
        <f>_xll.EQNXTDZ($A$1,$B89,X$5,$B$1)</f>
        <v>5.266</v>
      </c>
      <c r="Y89" s="55">
        <f>_xll.EQNXTDZ($A$1,$B89,Y$5,$B$1)</f>
        <v>0</v>
      </c>
      <c r="Z89" s="55">
        <f>_xll.EQNXTDZ($A$1,$B89,Z$5,$B$1)</f>
        <v>6.59</v>
      </c>
      <c r="AA89" s="55">
        <f>_xll.EQNXTDZ($A$1,$B89,AA$5,$B$1)</f>
        <v>0</v>
      </c>
      <c r="AB89" s="55">
        <f>_xll.EQNXTDZ($A$1,$B89,AB$5,$B$1)</f>
        <v>1.44</v>
      </c>
      <c r="AC89" s="55">
        <f>_xll.EQNXTDZ($A$1,$B89,AC$5,$B$1)</f>
        <v>0</v>
      </c>
      <c r="AD89" s="55">
        <f>_xll.EQNXTDZ($A$1,$B89,AD$5,$B$1)</f>
        <v>7.51</v>
      </c>
      <c r="AE89" s="55">
        <f>_xll.EQNXTDZ($A$1,$B89,AE$5,$B$1)</f>
        <v>0</v>
      </c>
      <c r="AF89" s="55">
        <f>_xll.EQNXTDZ($A$1,$B89,AF$5,$B$1)</f>
        <v>8.57</v>
      </c>
      <c r="AG89" s="55">
        <f>_xll.EQNXTDZ($A$1,$B89,AG$5,$B$1)</f>
        <v>0</v>
      </c>
      <c r="AH89" s="55">
        <f>_xll.EQNXTDZ($A$1,$B89,AH$5,$B$1)</f>
        <v>21.86</v>
      </c>
      <c r="AI89" s="55">
        <f>_xll.EQNXTDZ($A$1,$B89,AI$5,$B$1)</f>
        <v>0</v>
      </c>
      <c r="AJ89" s="55">
        <f>_xll.EQNXTDZ($A$1,$B89,AJ$5,$B$1)</f>
        <v>21.33</v>
      </c>
      <c r="AK89" s="55">
        <f>_xll.EQNXTDZ($A$1,$B89,AK$5,$B$1)</f>
        <v>0</v>
      </c>
      <c r="AL89" s="55">
        <f>_xll.EQNXTDZ($A$1,$B89,AL$5,$B$1)</f>
        <v>25.01</v>
      </c>
      <c r="AM89" s="55">
        <f>_xll.EQNXTDZ($A$1,$B89,AM$5,$B$1)</f>
        <v>0</v>
      </c>
      <c r="AN89" s="55">
        <f>_xll.EQNXTDZ($A$1,$B89,AN$5,$B$1)</f>
        <v>18.010000000000002</v>
      </c>
      <c r="AO89" s="55">
        <f>_xll.EQNXTDZ($A$1,$B89,AO$5,$B$1)</f>
        <v>17.399999999999999</v>
      </c>
      <c r="AP89" s="55">
        <f>_xll.EQNXTDZ($A$1,$B89,AP$5,$B$1)</f>
        <v>16.53</v>
      </c>
      <c r="AQ89" s="55">
        <f>_xll.EQNXTDZ($A$1,$B89,AQ$5,$B$1)</f>
        <v>0</v>
      </c>
      <c r="AR89" s="55">
        <f>_xll.EQNXTDZ($A$1,$B89,AR$5,$B$1)</f>
        <v>18.809999999999999</v>
      </c>
      <c r="AS89" s="55">
        <f>_xll.EQNXTDZ($A$1,$B89,AS$5,$B$1)</f>
        <v>32.130000000000003</v>
      </c>
      <c r="AT89" s="55">
        <f>_xll.EQNXTDZ($A$1,$B89,AT$5,$B$1)</f>
        <v>23.99</v>
      </c>
      <c r="AU89" s="55">
        <f>_xll.EQNXTDZ($A$1,$B89,AU$5,$B$1)</f>
        <v>0</v>
      </c>
      <c r="AV89" s="55">
        <f>_xll.EQNXTDZ($A$1,$B89,AV$5,$B$1)</f>
        <v>17.809999999999999</v>
      </c>
      <c r="AW89" s="55">
        <f>_xll.EQNXTDZ($A$1,$B89,AW$5,$B$1)</f>
        <v>0</v>
      </c>
      <c r="AX89" s="55">
        <f>_xll.EQNXTDZ($A$1,$B89,AX$5,$B$1)</f>
        <v>40.11</v>
      </c>
      <c r="AY89" s="55">
        <f>_xll.EQNXTDZ($A$1,$B89,AY$5,$B$1)</f>
        <v>0</v>
      </c>
      <c r="AZ89" s="55">
        <f>_xll.EQNXTDZ($A$1,$B89,AZ$5,$B$1)</f>
        <v>45.72</v>
      </c>
      <c r="BA89" s="55">
        <f>_xll.EQNXTDZ($A$1,$B89,BA$5,$B$1)</f>
        <v>0</v>
      </c>
      <c r="BB89" s="55">
        <f>_xll.EQNXTDZ($A$1,$B89,BB$5,$B$1)</f>
        <v>76.209999999999994</v>
      </c>
      <c r="BC89" s="55">
        <f>_xll.EQNXTDZ($A$1,$B89,BC$5,$B$1)</f>
        <v>0</v>
      </c>
      <c r="BD89" s="55">
        <f>_xll.EQNXTDZ($A$1,$B89,BD$5,$B$1)</f>
        <v>66.010000000000005</v>
      </c>
      <c r="BE89" s="55">
        <f>_xll.EQNXTDZ($A$1,$B89,BE$5,$B$1)</f>
        <v>0</v>
      </c>
      <c r="BF89" s="55">
        <f>_xll.EQNXTDZ($A$1,$B89,BF$5,$B$1)</f>
        <v>65.37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10.398</v>
      </c>
      <c r="S91" s="55">
        <f>_xll.EQNXTDZ($A$1,$B91,S$5,$B$1)</f>
        <v>0</v>
      </c>
      <c r="T91" s="55">
        <f>_xll.EQNXTDZ($A$1,$B91,T$5,$B$1)</f>
        <v>18.800999999999998</v>
      </c>
      <c r="U91" s="55">
        <f>_xll.EQNXTDZ($A$1,$B91,U$5,$B$1)</f>
        <v>0</v>
      </c>
      <c r="V91" s="55">
        <f>_xll.EQNXTDZ($A$1,$B91,V$5,$B$1)</f>
        <v>15.332000000000001</v>
      </c>
      <c r="W91" s="55">
        <f>_xll.EQNXTDZ($A$1,$B91,W$5,$B$1)</f>
        <v>0</v>
      </c>
      <c r="X91" s="55">
        <f>_xll.EQNXTDZ($A$1,$B91,X$5,$B$1)</f>
        <v>14.933999999999999</v>
      </c>
      <c r="Y91" s="55">
        <f>_xll.EQNXTDZ($A$1,$B91,Y$5,$B$1)</f>
        <v>0</v>
      </c>
      <c r="Z91" s="55">
        <f>_xll.EQNXTDZ($A$1,$B91,Z$5,$B$1)</f>
        <v>12.57</v>
      </c>
      <c r="AA91" s="55">
        <f>_xll.EQNXTDZ($A$1,$B91,AA$5,$B$1)</f>
        <v>0</v>
      </c>
      <c r="AB91" s="55">
        <f>_xll.EQNXTDZ($A$1,$B91,AB$5,$B$1)</f>
        <v>21.97</v>
      </c>
      <c r="AC91" s="55">
        <f>_xll.EQNXTDZ($A$1,$B91,AC$5,$B$1)</f>
        <v>0</v>
      </c>
      <c r="AD91" s="55">
        <f>_xll.EQNXTDZ($A$1,$B91,AD$5,$B$1)</f>
        <v>11.61</v>
      </c>
      <c r="AE91" s="55">
        <f>_xll.EQNXTDZ($A$1,$B91,AE$5,$B$1)</f>
        <v>0</v>
      </c>
      <c r="AF91" s="55">
        <f>_xll.EQNXTDZ($A$1,$B91,AF$5,$B$1)</f>
        <v>46.55</v>
      </c>
      <c r="AG91" s="55">
        <f>_xll.EQNXTDZ($A$1,$B91,AG$5,$B$1)</f>
        <v>0</v>
      </c>
      <c r="AH91" s="55">
        <f>_xll.EQNXTDZ($A$1,$B91,AH$5,$B$1)</f>
        <v>58.82</v>
      </c>
      <c r="AI91" s="55">
        <f>_xll.EQNXTDZ($A$1,$B91,AI$5,$B$1)</f>
        <v>0</v>
      </c>
      <c r="AJ91" s="55">
        <f>_xll.EQNXTDZ($A$1,$B91,AJ$5,$B$1)</f>
        <v>54.19</v>
      </c>
      <c r="AK91" s="55">
        <f>_xll.EQNXTDZ($A$1,$B91,AK$5,$B$1)</f>
        <v>0</v>
      </c>
      <c r="AL91" s="55">
        <f>_xll.EQNXTDZ($A$1,$B91,AL$5,$B$1)</f>
        <v>66.7</v>
      </c>
      <c r="AM91" s="55">
        <f>_xll.EQNXTDZ($A$1,$B91,AM$5,$B$1)</f>
        <v>0</v>
      </c>
      <c r="AN91" s="55">
        <f>_xll.EQNXTDZ($A$1,$B91,AN$5,$B$1)</f>
        <v>50.44</v>
      </c>
      <c r="AO91" s="55">
        <f>_xll.EQNXTDZ($A$1,$B91,AO$5,$B$1)</f>
        <v>44.2</v>
      </c>
      <c r="AP91" s="55">
        <f>_xll.EQNXTDZ($A$1,$B91,AP$5,$B$1)</f>
        <v>41.3</v>
      </c>
      <c r="AQ91" s="55">
        <f>_xll.EQNXTDZ($A$1,$B91,AQ$5,$B$1)</f>
        <v>0</v>
      </c>
      <c r="AR91" s="55">
        <f>_xll.EQNXTDZ($A$1,$B91,AR$5,$B$1)</f>
        <v>39.799999999999997</v>
      </c>
      <c r="AS91" s="55">
        <f>_xll.EQNXTDZ($A$1,$B91,AS$5,$B$1)</f>
        <v>31.24</v>
      </c>
      <c r="AT91" s="55">
        <f>_xll.EQNXTDZ($A$1,$B91,AT$5,$B$1)</f>
        <v>49.07</v>
      </c>
      <c r="AU91" s="55">
        <f>_xll.EQNXTDZ($A$1,$B91,AU$5,$B$1)</f>
        <v>0</v>
      </c>
      <c r="AV91" s="55">
        <f>_xll.EQNXTDZ($A$1,$B91,AV$5,$B$1)</f>
        <v>41.38</v>
      </c>
      <c r="AW91" s="55">
        <f>_xll.EQNXTDZ($A$1,$B91,AW$5,$B$1)</f>
        <v>0</v>
      </c>
      <c r="AX91" s="55">
        <f>_xll.EQNXTDZ($A$1,$B91,AX$5,$B$1)</f>
        <v>36.869999999999997</v>
      </c>
      <c r="AY91" s="55">
        <f>_xll.EQNXTDZ($A$1,$B91,AY$5,$B$1)</f>
        <v>0</v>
      </c>
      <c r="AZ91" s="55">
        <f>_xll.EQNXTDZ($A$1,$B91,AZ$5,$B$1)</f>
        <v>45</v>
      </c>
      <c r="BA91" s="55">
        <f>_xll.EQNXTDZ($A$1,$B91,BA$5,$B$1)</f>
        <v>0</v>
      </c>
      <c r="BB91" s="55">
        <f>_xll.EQNXTDZ($A$1,$B91,BB$5,$B$1)</f>
        <v>44.63</v>
      </c>
      <c r="BC91" s="55">
        <f>_xll.EQNXTDZ($A$1,$B91,BC$5,$B$1)</f>
        <v>0</v>
      </c>
      <c r="BD91" s="55">
        <f>_xll.EQNXTDZ($A$1,$B91,BD$5,$B$1)</f>
        <v>55.07</v>
      </c>
      <c r="BE91" s="55">
        <f>_xll.EQNXTDZ($A$1,$B91,BE$5,$B$1)</f>
        <v>0</v>
      </c>
      <c r="BF91" s="55">
        <f>_xll.EQNXTDZ($A$1,$B91,BF$5,$B$1)</f>
        <v>43.08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18.984000000000002</v>
      </c>
      <c r="S92" s="55">
        <f>_xll.EQNXTDZ($A$1,$B92,S$5,$B$1)</f>
        <v>0</v>
      </c>
      <c r="T92" s="55">
        <f>_xll.EQNXTDZ($A$1,$B92,T$5,$B$1)</f>
        <v>5.109</v>
      </c>
      <c r="U92" s="55">
        <f>_xll.EQNXTDZ($A$1,$B92,U$5,$B$1)</f>
        <v>0</v>
      </c>
      <c r="V92" s="55">
        <f>_xll.EQNXTDZ($A$1,$B92,V$5,$B$1)</f>
        <v>0.99</v>
      </c>
      <c r="W92" s="55">
        <f>_xll.EQNXTDZ($A$1,$B92,W$5,$B$1)</f>
        <v>0</v>
      </c>
      <c r="X92" s="55">
        <f>_xll.EQNXTDZ($A$1,$B92,X$5,$B$1)</f>
        <v>0.86</v>
      </c>
      <c r="Y92" s="55">
        <f>_xll.EQNXTDZ($A$1,$B92,Y$5,$B$1)</f>
        <v>0</v>
      </c>
      <c r="Z92" s="55">
        <f>_xll.EQNXTDZ($A$1,$B92,Z$5,$B$1)</f>
        <v>1.1399999999999999</v>
      </c>
      <c r="AA92" s="55">
        <f>_xll.EQNXTDZ($A$1,$B92,AA$5,$B$1)</f>
        <v>0</v>
      </c>
      <c r="AB92" s="55">
        <f>_xll.EQNXTDZ($A$1,$B92,AB$5,$B$1)</f>
        <v>1.54</v>
      </c>
      <c r="AC92" s="55">
        <f>_xll.EQNXTDZ($A$1,$B92,AC$5,$B$1)</f>
        <v>0</v>
      </c>
      <c r="AD92" s="55">
        <f>_xll.EQNXTDZ($A$1,$B92,AD$5,$B$1)</f>
        <v>1.47</v>
      </c>
      <c r="AE92" s="55">
        <f>_xll.EQNXTDZ($A$1,$B92,AE$5,$B$1)</f>
        <v>0</v>
      </c>
      <c r="AF92" s="55">
        <f>_xll.EQNXTDZ($A$1,$B92,AF$5,$B$1)</f>
        <v>1.89</v>
      </c>
      <c r="AG92" s="55">
        <f>_xll.EQNXTDZ($A$1,$B92,AG$5,$B$1)</f>
        <v>0</v>
      </c>
      <c r="AH92" s="55">
        <f>_xll.EQNXTDZ($A$1,$B92,AH$5,$B$1)</f>
        <v>1.01</v>
      </c>
      <c r="AI92" s="55">
        <f>_xll.EQNXTDZ($A$1,$B92,AI$5,$B$1)</f>
        <v>0</v>
      </c>
      <c r="AJ92" s="55">
        <f>_xll.EQNXTDZ($A$1,$B92,AJ$5,$B$1)</f>
        <v>0</v>
      </c>
      <c r="AK92" s="55">
        <f>_xll.EQNXTDZ($A$1,$B92,AK$5,$B$1)</f>
        <v>0</v>
      </c>
      <c r="AL92" s="55">
        <f>_xll.EQNXTDZ($A$1,$B92,AL$5,$B$1)</f>
        <v>3.39</v>
      </c>
      <c r="AM92" s="55">
        <f>_xll.EQNXTDZ($A$1,$B92,AM$5,$B$1)</f>
        <v>0</v>
      </c>
      <c r="AN92" s="55">
        <f>_xll.EQNXTDZ($A$1,$B92,AN$5,$B$1)</f>
        <v>1.53</v>
      </c>
      <c r="AO92" s="55">
        <f>_xll.EQNXTDZ($A$1,$B92,AO$5,$B$1)</f>
        <v>7.1</v>
      </c>
      <c r="AP92" s="55">
        <f>_xll.EQNXTDZ($A$1,$B92,AP$5,$B$1)</f>
        <v>6.69</v>
      </c>
      <c r="AQ92" s="55">
        <f>_xll.EQNXTDZ($A$1,$B92,AQ$5,$B$1)</f>
        <v>0</v>
      </c>
      <c r="AR92" s="55">
        <f>_xll.EQNXTDZ($A$1,$B92,AR$5,$B$1)</f>
        <v>7</v>
      </c>
      <c r="AS92" s="55">
        <f>_xll.EQNXTDZ($A$1,$B92,AS$5,$B$1)</f>
        <v>7.76</v>
      </c>
      <c r="AT92" s="55">
        <f>_xll.EQNXTDZ($A$1,$B92,AT$5,$B$1)</f>
        <v>4.04</v>
      </c>
      <c r="AU92" s="55">
        <f>_xll.EQNXTDZ($A$1,$B92,AU$5,$B$1)</f>
        <v>0</v>
      </c>
      <c r="AV92" s="55">
        <f>_xll.EQNXTDZ($A$1,$B92,AV$5,$B$1)</f>
        <v>0.94</v>
      </c>
      <c r="AW92" s="55">
        <f>_xll.EQNXTDZ($A$1,$B92,AW$5,$B$1)</f>
        <v>0</v>
      </c>
      <c r="AX92" s="55">
        <f>_xll.EQNXTDZ($A$1,$B92,AX$5,$B$1)</f>
        <v>2.81</v>
      </c>
      <c r="AY92" s="55">
        <f>_xll.EQNXTDZ($A$1,$B92,AY$5,$B$1)</f>
        <v>0</v>
      </c>
      <c r="AZ92" s="55">
        <f>_xll.EQNXTDZ($A$1,$B92,AZ$5,$B$1)</f>
        <v>4</v>
      </c>
      <c r="BA92" s="55">
        <f>_xll.EQNXTDZ($A$1,$B92,BA$5,$B$1)</f>
        <v>0</v>
      </c>
      <c r="BB92" s="55">
        <f>_xll.EQNXTDZ($A$1,$B92,BB$5,$B$1)</f>
        <v>1</v>
      </c>
      <c r="BC92" s="55">
        <f>_xll.EQNXTDZ($A$1,$B92,BC$5,$B$1)</f>
        <v>0</v>
      </c>
      <c r="BD92" s="55">
        <f>_xll.EQNXTDZ($A$1,$B92,BD$5,$B$1)</f>
        <v>0.99</v>
      </c>
      <c r="BE92" s="55">
        <f>_xll.EQNXTDZ($A$1,$B92,BE$5,$B$1)</f>
        <v>0</v>
      </c>
      <c r="BF92" s="55">
        <f>_xll.EQNXTDZ($A$1,$B92,BF$5,$B$1)</f>
        <v>1.46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31.405999999999999</v>
      </c>
      <c r="S93" s="55">
        <f>_xll.EQNXTDZ($A$1,$B93,S$5,$B$1)</f>
        <v>0</v>
      </c>
      <c r="T93" s="55">
        <f>_xll.EQNXTDZ($A$1,$B93,T$5,$B$1)</f>
        <v>24.811</v>
      </c>
      <c r="U93" s="55">
        <f>_xll.EQNXTDZ($A$1,$B93,U$5,$B$1)</f>
        <v>0</v>
      </c>
      <c r="V93" s="55">
        <f>_xll.EQNXTDZ($A$1,$B93,V$5,$B$1)</f>
        <v>17.617999999999999</v>
      </c>
      <c r="W93" s="55">
        <f>_xll.EQNXTDZ($A$1,$B93,W$5,$B$1)</f>
        <v>0</v>
      </c>
      <c r="X93" s="55">
        <f>_xll.EQNXTDZ($A$1,$B93,X$5,$B$1)</f>
        <v>21.652000000000001</v>
      </c>
      <c r="Y93" s="55">
        <f>_xll.EQNXTDZ($A$1,$B93,Y$5,$B$1)</f>
        <v>0</v>
      </c>
      <c r="Z93" s="55">
        <f>_xll.EQNXTDZ($A$1,$B93,Z$5,$B$1)</f>
        <v>20.3</v>
      </c>
      <c r="AA93" s="55">
        <f>_xll.EQNXTDZ($A$1,$B93,AA$5,$B$1)</f>
        <v>0</v>
      </c>
      <c r="AB93" s="55">
        <f>_xll.EQNXTDZ($A$1,$B93,AB$5,$B$1)</f>
        <v>24.95</v>
      </c>
      <c r="AC93" s="55">
        <f>_xll.EQNXTDZ($A$1,$B93,AC$5,$B$1)</f>
        <v>0</v>
      </c>
      <c r="AD93" s="55">
        <f>_xll.EQNXTDZ($A$1,$B93,AD$5,$B$1)</f>
        <v>20.59</v>
      </c>
      <c r="AE93" s="55">
        <f>_xll.EQNXTDZ($A$1,$B93,AE$5,$B$1)</f>
        <v>0</v>
      </c>
      <c r="AF93" s="55">
        <f>_xll.EQNXTDZ($A$1,$B93,AF$5,$B$1)</f>
        <v>57.01</v>
      </c>
      <c r="AG93" s="55">
        <f>_xll.EQNXTDZ($A$1,$B93,AG$5,$B$1)</f>
        <v>0</v>
      </c>
      <c r="AH93" s="55">
        <f>_xll.EQNXTDZ($A$1,$B93,AH$5,$B$1)</f>
        <v>81.69</v>
      </c>
      <c r="AI93" s="55">
        <f>_xll.EQNXTDZ($A$1,$B93,AI$5,$B$1)</f>
        <v>0</v>
      </c>
      <c r="AJ93" s="55">
        <f>_xll.EQNXTDZ($A$1,$B93,AJ$5,$B$1)</f>
        <v>75.52</v>
      </c>
      <c r="AK93" s="55">
        <f>_xll.EQNXTDZ($A$1,$B93,AK$5,$B$1)</f>
        <v>0</v>
      </c>
      <c r="AL93" s="55">
        <f>_xll.EQNXTDZ($A$1,$B93,AL$5,$B$1)</f>
        <v>95.1</v>
      </c>
      <c r="AM93" s="55">
        <f>_xll.EQNXTDZ($A$1,$B93,AM$5,$B$1)</f>
        <v>0</v>
      </c>
      <c r="AN93" s="55">
        <f>_xll.EQNXTDZ($A$1,$B93,AN$5,$B$1)</f>
        <v>69.98</v>
      </c>
      <c r="AO93" s="55">
        <f>_xll.EQNXTDZ($A$1,$B93,AO$5,$B$1)</f>
        <v>68.7</v>
      </c>
      <c r="AP93" s="55">
        <f>_xll.EQNXTDZ($A$1,$B93,AP$5,$B$1)</f>
        <v>64.52</v>
      </c>
      <c r="AQ93" s="55">
        <f>_xll.EQNXTDZ($A$1,$B93,AQ$5,$B$1)</f>
        <v>0</v>
      </c>
      <c r="AR93" s="55">
        <f>_xll.EQNXTDZ($A$1,$B93,AR$5,$B$1)</f>
        <v>65.61</v>
      </c>
      <c r="AS93" s="55">
        <f>_xll.EQNXTDZ($A$1,$B93,AS$5,$B$1)</f>
        <v>71.13</v>
      </c>
      <c r="AT93" s="55">
        <f>_xll.EQNXTDZ($A$1,$B93,AT$5,$B$1)</f>
        <v>77.099999999999994</v>
      </c>
      <c r="AU93" s="55">
        <f>_xll.EQNXTDZ($A$1,$B93,AU$5,$B$1)</f>
        <v>0</v>
      </c>
      <c r="AV93" s="55">
        <f>_xll.EQNXTDZ($A$1,$B93,AV$5,$B$1)</f>
        <v>68.63</v>
      </c>
      <c r="AW93" s="55">
        <f>_xll.EQNXTDZ($A$1,$B93,AW$5,$B$1)</f>
        <v>0</v>
      </c>
      <c r="AX93" s="55">
        <f>_xll.EQNXTDZ($A$1,$B93,AX$5,$B$1)</f>
        <v>90.48</v>
      </c>
      <c r="AY93" s="55">
        <f>_xll.EQNXTDZ($A$1,$B93,AY$5,$B$1)</f>
        <v>0</v>
      </c>
      <c r="AZ93" s="55">
        <f>_xll.EQNXTDZ($A$1,$B93,AZ$5,$B$1)</f>
        <v>94.84</v>
      </c>
      <c r="BA93" s="55">
        <f>_xll.EQNXTDZ($A$1,$B93,BA$5,$B$1)</f>
        <v>0</v>
      </c>
      <c r="BB93" s="55">
        <f>_xll.EQNXTDZ($A$1,$B93,BB$5,$B$1)</f>
        <v>121.84</v>
      </c>
      <c r="BC93" s="55">
        <f>_xll.EQNXTDZ($A$1,$B93,BC$5,$B$1)</f>
        <v>0</v>
      </c>
      <c r="BD93" s="55">
        <f>_xll.EQNXTDZ($A$1,$B93,BD$5,$B$1)</f>
        <v>122.07</v>
      </c>
      <c r="BE93" s="55">
        <f>_xll.EQNXTDZ($A$1,$B93,BE$5,$B$1)</f>
        <v>0</v>
      </c>
      <c r="BF93" s="55">
        <f>_xll.EQNXTDZ($A$1,$B93,BF$5,$B$1)</f>
        <v>109.91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102.997</v>
      </c>
      <c r="S94" s="55">
        <f>_xll.EQNXTDZ($A$1,$B94,S$5,$B$1)</f>
        <v>0</v>
      </c>
      <c r="T94" s="55">
        <f>_xll.EQNXTDZ($A$1,$B94,T$5,$B$1)</f>
        <v>134.047</v>
      </c>
      <c r="U94" s="55">
        <f>_xll.EQNXTDZ($A$1,$B94,U$5,$B$1)</f>
        <v>0</v>
      </c>
      <c r="V94" s="55">
        <f>_xll.EQNXTDZ($A$1,$B94,V$5,$B$1)</f>
        <v>131.916</v>
      </c>
      <c r="W94" s="55">
        <f>_xll.EQNXTDZ($A$1,$B94,W$5,$B$1)</f>
        <v>0</v>
      </c>
      <c r="X94" s="55">
        <f>_xll.EQNXTDZ($A$1,$B94,X$5,$B$1)</f>
        <v>144.69</v>
      </c>
      <c r="Y94" s="55">
        <f>_xll.EQNXTDZ($A$1,$B94,Y$5,$B$1)</f>
        <v>0</v>
      </c>
      <c r="Z94" s="55">
        <f>_xll.EQNXTDZ($A$1,$B94,Z$5,$B$1)</f>
        <v>122.1</v>
      </c>
      <c r="AA94" s="55">
        <f>_xll.EQNXTDZ($A$1,$B94,AA$5,$B$1)</f>
        <v>0</v>
      </c>
      <c r="AB94" s="55">
        <f>_xll.EQNXTDZ($A$1,$B94,AB$5,$B$1)</f>
        <v>127.05</v>
      </c>
      <c r="AC94" s="55">
        <f>_xll.EQNXTDZ($A$1,$B94,AC$5,$B$1)</f>
        <v>0</v>
      </c>
      <c r="AD94" s="55">
        <f>_xll.EQNXTDZ($A$1,$B94,AD$5,$B$1)</f>
        <v>115.43</v>
      </c>
      <c r="AE94" s="55">
        <f>_xll.EQNXTDZ($A$1,$B94,AE$5,$B$1)</f>
        <v>0</v>
      </c>
      <c r="AF94" s="55">
        <f>_xll.EQNXTDZ($A$1,$B94,AF$5,$B$1)</f>
        <v>63.35</v>
      </c>
      <c r="AG94" s="55">
        <f>_xll.EQNXTDZ($A$1,$B94,AG$5,$B$1)</f>
        <v>0</v>
      </c>
      <c r="AH94" s="55">
        <f>_xll.EQNXTDZ($A$1,$B94,AH$5,$B$1)</f>
        <v>70.56</v>
      </c>
      <c r="AI94" s="55">
        <f>_xll.EQNXTDZ($A$1,$B94,AI$5,$B$1)</f>
        <v>0</v>
      </c>
      <c r="AJ94" s="55">
        <f>_xll.EQNXTDZ($A$1,$B94,AJ$5,$B$1)</f>
        <v>116.77</v>
      </c>
      <c r="AK94" s="55">
        <f>_xll.EQNXTDZ($A$1,$B94,AK$5,$B$1)</f>
        <v>0</v>
      </c>
      <c r="AL94" s="55">
        <f>_xll.EQNXTDZ($A$1,$B94,AL$5,$B$1)</f>
        <v>143.03</v>
      </c>
      <c r="AM94" s="55">
        <f>_xll.EQNXTDZ($A$1,$B94,AM$5,$B$1)</f>
        <v>0</v>
      </c>
      <c r="AN94" s="55">
        <f>_xll.EQNXTDZ($A$1,$B94,AN$5,$B$1)</f>
        <v>184.7</v>
      </c>
      <c r="AO94" s="55">
        <f>_xll.EQNXTDZ($A$1,$B94,AO$5,$B$1)</f>
        <v>187.9</v>
      </c>
      <c r="AP94" s="55">
        <f>_xll.EQNXTDZ($A$1,$B94,AP$5,$B$1)</f>
        <v>205.5</v>
      </c>
      <c r="AQ94" s="55">
        <f>_xll.EQNXTDZ($A$1,$B94,AQ$5,$B$1)</f>
        <v>0</v>
      </c>
      <c r="AR94" s="55">
        <f>_xll.EQNXTDZ($A$1,$B94,AR$5,$B$1)</f>
        <v>170.83</v>
      </c>
      <c r="AS94" s="55">
        <f>_xll.EQNXTDZ($A$1,$B94,AS$5,$B$1)</f>
        <v>174.68</v>
      </c>
      <c r="AT94" s="55">
        <f>_xll.EQNXTDZ($A$1,$B94,AT$5,$B$1)</f>
        <v>195.84</v>
      </c>
      <c r="AU94" s="55">
        <f>_xll.EQNXTDZ($A$1,$B94,AU$5,$B$1)</f>
        <v>0</v>
      </c>
      <c r="AV94" s="55">
        <f>_xll.EQNXTDZ($A$1,$B94,AV$5,$B$1)</f>
        <v>140.43</v>
      </c>
      <c r="AW94" s="55">
        <f>_xll.EQNXTDZ($A$1,$B94,AW$5,$B$1)</f>
        <v>0</v>
      </c>
      <c r="AX94" s="55">
        <f>_xll.EQNXTDZ($A$1,$B94,AX$5,$B$1)</f>
        <v>188.03</v>
      </c>
      <c r="AY94" s="55">
        <f>_xll.EQNXTDZ($A$1,$B94,AY$5,$B$1)</f>
        <v>0</v>
      </c>
      <c r="AZ94" s="55">
        <f>_xll.EQNXTDZ($A$1,$B94,AZ$5,$B$1)</f>
        <v>149.99</v>
      </c>
      <c r="BA94" s="55">
        <f>_xll.EQNXTDZ($A$1,$B94,BA$5,$B$1)</f>
        <v>0</v>
      </c>
      <c r="BB94" s="55">
        <f>_xll.EQNXTDZ($A$1,$B94,BB$5,$B$1)</f>
        <v>215.88</v>
      </c>
      <c r="BC94" s="55">
        <f>_xll.EQNXTDZ($A$1,$B94,BC$5,$B$1)</f>
        <v>0</v>
      </c>
      <c r="BD94" s="55">
        <f>_xll.EQNXTDZ($A$1,$B94,BD$5,$B$1)</f>
        <v>201.49</v>
      </c>
      <c r="BE94" s="55">
        <f>_xll.EQNXTDZ($A$1,$B94,BE$5,$B$1)</f>
        <v>0</v>
      </c>
      <c r="BF94" s="55">
        <f>_xll.EQNXTDZ($A$1,$B94,BF$5,$B$1)</f>
        <v>262.38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2.556</v>
      </c>
      <c r="S96" s="55">
        <f>_xll.EQNXTDZ($A$1,$B96,S$5,$B$1)</f>
        <v>0</v>
      </c>
      <c r="T96" s="55">
        <f>_xll.EQNXTDZ($A$1,$B96,T$5,$B$1)</f>
        <v>3.1139999999999999</v>
      </c>
      <c r="U96" s="55">
        <f>_xll.EQNXTDZ($A$1,$B96,U$5,$B$1)</f>
        <v>0</v>
      </c>
      <c r="V96" s="55">
        <f>_xll.EQNXTDZ($A$1,$B96,V$5,$B$1)</f>
        <v>3.7879999999999998</v>
      </c>
      <c r="W96" s="55">
        <f>_xll.EQNXTDZ($A$1,$B96,W$5,$B$1)</f>
        <v>0</v>
      </c>
      <c r="X96" s="55">
        <f>_xll.EQNXTDZ($A$1,$B96,X$5,$B$1)</f>
        <v>3.5950000000000002</v>
      </c>
      <c r="Y96" s="55">
        <f>_xll.EQNXTDZ($A$1,$B96,Y$5,$B$1)</f>
        <v>0</v>
      </c>
      <c r="Z96" s="55">
        <f>_xll.EQNXTDZ($A$1,$B96,Z$5,$B$1)</f>
        <v>5.2309999999999999</v>
      </c>
      <c r="AA96" s="55">
        <f>_xll.EQNXTDZ($A$1,$B96,AA$5,$B$1)</f>
        <v>0</v>
      </c>
      <c r="AB96" s="55">
        <f>_xll.EQNXTDZ($A$1,$B96,AB$5,$B$1)</f>
        <v>4.95</v>
      </c>
      <c r="AC96" s="55">
        <f>_xll.EQNXTDZ($A$1,$B96,AC$5,$B$1)</f>
        <v>0</v>
      </c>
      <c r="AD96" s="55">
        <f>_xll.EQNXTDZ($A$1,$B96,AD$5,$B$1)</f>
        <v>5.14</v>
      </c>
      <c r="AE96" s="55">
        <f>_xll.EQNXTDZ($A$1,$B96,AE$5,$B$1)</f>
        <v>0</v>
      </c>
      <c r="AF96" s="55">
        <f>_xll.EQNXTDZ($A$1,$B96,AF$5,$B$1)</f>
        <v>5.25</v>
      </c>
      <c r="AG96" s="55">
        <f>_xll.EQNXTDZ($A$1,$B96,AG$5,$B$1)</f>
        <v>0</v>
      </c>
      <c r="AH96" s="55">
        <f>_xll.EQNXTDZ($A$1,$B96,AH$5,$B$1)</f>
        <v>-4.1500000000000004</v>
      </c>
      <c r="AI96" s="55">
        <f>_xll.EQNXTDZ($A$1,$B96,AI$5,$B$1)</f>
        <v>0</v>
      </c>
      <c r="AJ96" s="55">
        <f>_xll.EQNXTDZ($A$1,$B96,AJ$5,$B$1)</f>
        <v>7.29</v>
      </c>
      <c r="AK96" s="55">
        <f>_xll.EQNXTDZ($A$1,$B96,AK$5,$B$1)</f>
        <v>0</v>
      </c>
      <c r="AL96" s="55">
        <f>_xll.EQNXTDZ($A$1,$B96,AL$5,$B$1)</f>
        <v>1.24</v>
      </c>
      <c r="AM96" s="55">
        <f>_xll.EQNXTDZ($A$1,$B96,AM$5,$B$1)</f>
        <v>0</v>
      </c>
      <c r="AN96" s="55">
        <f>_xll.EQNXTDZ($A$1,$B96,AN$5,$B$1)</f>
        <v>6.11</v>
      </c>
      <c r="AO96" s="55">
        <f>_xll.EQNXTDZ($A$1,$B96,AO$5,$B$1)</f>
        <v>8.1999999999999993</v>
      </c>
      <c r="AP96" s="55">
        <f>_xll.EQNXTDZ($A$1,$B96,AP$5,$B$1)</f>
        <v>5.89</v>
      </c>
      <c r="AQ96" s="55">
        <f>_xll.EQNXTDZ($A$1,$B96,AQ$5,$B$1)</f>
        <v>0</v>
      </c>
      <c r="AR96" s="55">
        <f>_xll.EQNXTDZ($A$1,$B96,AR$5,$B$1)</f>
        <v>6.86</v>
      </c>
      <c r="AS96" s="55">
        <f>_xll.EQNXTDZ($A$1,$B96,AS$5,$B$1)</f>
        <v>8.24</v>
      </c>
      <c r="AT96" s="55">
        <f>_xll.EQNXTDZ($A$1,$B96,AT$5,$B$1)</f>
        <v>11.29</v>
      </c>
      <c r="AU96" s="55">
        <f>_xll.EQNXTDZ($A$1,$B96,AU$5,$B$1)</f>
        <v>0</v>
      </c>
      <c r="AV96" s="55">
        <f>_xll.EQNXTDZ($A$1,$B96,AV$5,$B$1)</f>
        <v>13.3</v>
      </c>
      <c r="AW96" s="55">
        <f>_xll.EQNXTDZ($A$1,$B96,AW$5,$B$1)</f>
        <v>0</v>
      </c>
      <c r="AX96" s="55">
        <f>_xll.EQNXTDZ($A$1,$B96,AX$5,$B$1)</f>
        <v>14.82</v>
      </c>
      <c r="AY96" s="55">
        <f>_xll.EQNXTDZ($A$1,$B96,AY$5,$B$1)</f>
        <v>0</v>
      </c>
      <c r="AZ96" s="55">
        <f>_xll.EQNXTDZ($A$1,$B96,AZ$5,$B$1)</f>
        <v>17.34</v>
      </c>
      <c r="BA96" s="55">
        <f>_xll.EQNXTDZ($A$1,$B96,BA$5,$B$1)</f>
        <v>0</v>
      </c>
      <c r="BB96" s="55">
        <f>_xll.EQNXTDZ($A$1,$B96,BB$5,$B$1)</f>
        <v>8.5299999999999994</v>
      </c>
      <c r="BC96" s="55">
        <f>_xll.EQNXTDZ($A$1,$B96,BC$5,$B$1)</f>
        <v>0</v>
      </c>
      <c r="BD96" s="55">
        <f>_xll.EQNXTDZ($A$1,$B96,BD$5,$B$1)</f>
        <v>12.9</v>
      </c>
      <c r="BE96" s="55">
        <f>_xll.EQNXTDZ($A$1,$B96,BE$5,$B$1)</f>
        <v>0</v>
      </c>
      <c r="BF96" s="55">
        <f>_xll.EQNXTDZ($A$1,$B96,BF$5,$B$1)</f>
        <v>15.66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378.26799999999997</v>
      </c>
      <c r="S97" s="55">
        <f>_xll.EQNXTDZ($A$1,$B97,S$5,$B$1)</f>
        <v>0</v>
      </c>
      <c r="T97" s="55">
        <f>_xll.EQNXTDZ($A$1,$B97,T$5,$B$1)</f>
        <v>416.74</v>
      </c>
      <c r="U97" s="55">
        <f>_xll.EQNXTDZ($A$1,$B97,U$5,$B$1)</f>
        <v>0</v>
      </c>
      <c r="V97" s="55">
        <f>_xll.EQNXTDZ($A$1,$B97,V$5,$B$1)</f>
        <v>420.21100000000001</v>
      </c>
      <c r="W97" s="55">
        <f>_xll.EQNXTDZ($A$1,$B97,W$5,$B$1)</f>
        <v>0</v>
      </c>
      <c r="X97" s="55">
        <f>_xll.EQNXTDZ($A$1,$B97,X$5,$B$1)</f>
        <v>439.06099999999998</v>
      </c>
      <c r="Y97" s="55">
        <f>_xll.EQNXTDZ($A$1,$B97,Y$5,$B$1)</f>
        <v>0</v>
      </c>
      <c r="Z97" s="55">
        <f>_xll.EQNXTDZ($A$1,$B97,Z$5,$B$1)</f>
        <v>458.70100000000002</v>
      </c>
      <c r="AA97" s="55">
        <f>_xll.EQNXTDZ($A$1,$B97,AA$5,$B$1)</f>
        <v>0</v>
      </c>
      <c r="AB97" s="55">
        <f>_xll.EQNXTDZ($A$1,$B97,AB$5,$B$1)</f>
        <v>465.61</v>
      </c>
      <c r="AC97" s="55">
        <f>_xll.EQNXTDZ($A$1,$B97,AC$5,$B$1)</f>
        <v>0</v>
      </c>
      <c r="AD97" s="55">
        <f>_xll.EQNXTDZ($A$1,$B97,AD$5,$B$1)</f>
        <v>454.13</v>
      </c>
      <c r="AE97" s="55">
        <f>_xll.EQNXTDZ($A$1,$B97,AE$5,$B$1)</f>
        <v>0</v>
      </c>
      <c r="AF97" s="55">
        <f>_xll.EQNXTDZ($A$1,$B97,AF$5,$B$1)</f>
        <v>392.34</v>
      </c>
      <c r="AG97" s="55">
        <f>_xll.EQNXTDZ($A$1,$B97,AG$5,$B$1)</f>
        <v>0</v>
      </c>
      <c r="AH97" s="55">
        <f>_xll.EQNXTDZ($A$1,$B97,AH$5,$B$1)</f>
        <v>383.01</v>
      </c>
      <c r="AI97" s="55">
        <f>_xll.EQNXTDZ($A$1,$B97,AI$5,$B$1)</f>
        <v>0</v>
      </c>
      <c r="AJ97" s="55">
        <f>_xll.EQNXTDZ($A$1,$B97,AJ$5,$B$1)</f>
        <v>443.64</v>
      </c>
      <c r="AK97" s="55">
        <f>_xll.EQNXTDZ($A$1,$B97,AK$5,$B$1)</f>
        <v>0</v>
      </c>
      <c r="AL97" s="55">
        <f>_xll.EQNXTDZ($A$1,$B97,AL$5,$B$1)</f>
        <v>446.3</v>
      </c>
      <c r="AM97" s="55">
        <f>_xll.EQNXTDZ($A$1,$B97,AM$5,$B$1)</f>
        <v>0</v>
      </c>
      <c r="AN97" s="55">
        <f>_xll.EQNXTDZ($A$1,$B97,AN$5,$B$1)</f>
        <v>511.59</v>
      </c>
      <c r="AO97" s="55">
        <f>_xll.EQNXTDZ($A$1,$B97,AO$5,$B$1)</f>
        <v>526.29999999999995</v>
      </c>
      <c r="AP97" s="55">
        <f>_xll.EQNXTDZ($A$1,$B97,AP$5,$B$1)</f>
        <v>542.54</v>
      </c>
      <c r="AQ97" s="55">
        <f>_xll.EQNXTDZ($A$1,$B97,AQ$5,$B$1)</f>
        <v>0</v>
      </c>
      <c r="AR97" s="55">
        <f>_xll.EQNXTDZ($A$1,$B97,AR$5,$B$1)</f>
        <v>504.47</v>
      </c>
      <c r="AS97" s="55">
        <f>_xll.EQNXTDZ($A$1,$B97,AS$5,$B$1)</f>
        <v>528.04999999999995</v>
      </c>
      <c r="AT97" s="55">
        <f>_xll.EQNXTDZ($A$1,$B97,AT$5,$B$1)</f>
        <v>554.64</v>
      </c>
      <c r="AU97" s="55">
        <f>_xll.EQNXTDZ($A$1,$B97,AU$5,$B$1)</f>
        <v>0</v>
      </c>
      <c r="AV97" s="55">
        <f>_xll.EQNXTDZ($A$1,$B97,AV$5,$B$1)</f>
        <v>524.05999999999995</v>
      </c>
      <c r="AW97" s="55">
        <f>_xll.EQNXTDZ($A$1,$B97,AW$5,$B$1)</f>
        <v>0</v>
      </c>
      <c r="AX97" s="55">
        <f>_xll.EQNXTDZ($A$1,$B97,AX$5,$B$1)</f>
        <v>553.4</v>
      </c>
      <c r="AY97" s="55">
        <f>_xll.EQNXTDZ($A$1,$B97,AY$5,$B$1)</f>
        <v>0</v>
      </c>
      <c r="AZ97" s="55">
        <f>_xll.EQNXTDZ($A$1,$B97,AZ$5,$B$1)</f>
        <v>502.25</v>
      </c>
      <c r="BA97" s="55">
        <f>_xll.EQNXTDZ($A$1,$B97,BA$5,$B$1)</f>
        <v>0</v>
      </c>
      <c r="BB97" s="55">
        <f>_xll.EQNXTDZ($A$1,$B97,BB$5,$B$1)</f>
        <v>570.91</v>
      </c>
      <c r="BC97" s="55">
        <f>_xll.EQNXTDZ($A$1,$B97,BC$5,$B$1)</f>
        <v>0</v>
      </c>
      <c r="BD97" s="55">
        <f>_xll.EQNXTDZ($A$1,$B97,BD$5,$B$1)</f>
        <v>558.14</v>
      </c>
      <c r="BE97" s="55">
        <f>_xll.EQNXTDZ($A$1,$B97,BE$5,$B$1)</f>
        <v>0</v>
      </c>
      <c r="BF97" s="55">
        <f>_xll.EQNXTDZ($A$1,$B97,BF$5,$B$1)</f>
        <v>637.30999999999995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218764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Thyrocare Technologies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33.754413999999997</v>
      </c>
      <c r="J6" s="100">
        <f>_xll.EQNXTDZ($A$1,$B6,J$1,$B$1)</f>
        <v>44.410636199999999</v>
      </c>
      <c r="K6" s="100">
        <f>_xll.EQNXTDZ($A$1,$B6,K$1,$B$1)</f>
        <v>45.278377300000002</v>
      </c>
      <c r="L6" s="100">
        <f>_xll.EQNXTDZ($A$1,$B6,L$1,$B$1)</f>
        <v>58.3431049</v>
      </c>
      <c r="M6" s="100">
        <f>_xll.EQNXTDZ($A$1,$B6,M$1,$B$1)</f>
        <v>77.864999999999995</v>
      </c>
      <c r="N6" s="100">
        <f>_xll.EQNXTDZ($A$1,$B6,N$1,$B$1)</f>
        <v>109.07599999999999</v>
      </c>
      <c r="O6" s="100">
        <f>_xll.EQNXTDZ($A$1,$B6,O$1,$B$1)</f>
        <v>134.261</v>
      </c>
      <c r="P6" s="100">
        <f>_xll.EQNXTDZ($A$1,$B6,P$1,$B$1)</f>
        <v>149.97800000000001</v>
      </c>
      <c r="Q6" s="100">
        <f>_xll.EQNXTDZ($A$1,$B6,Q$1,$B$1)</f>
        <v>182.958</v>
      </c>
      <c r="R6" s="100">
        <f>_xll.EQNXTDZ($A$1,$B6,R$1,$B$1)</f>
        <v>240.965</v>
      </c>
      <c r="S6" s="100">
        <f>_xll.EQNXTDZ($A$1,$B6,S$1,$B$1)</f>
        <v>304.387</v>
      </c>
      <c r="T6" s="100">
        <f>_xll.EQNXTDZ($A$1,$B6,T$1,$B$1)</f>
        <v>356.32</v>
      </c>
      <c r="U6" s="100">
        <f>_xll.EQNXTDZ($A$1,$B6,U$1,$B$1)</f>
        <v>402.91</v>
      </c>
      <c r="V6" s="100">
        <f>_xll.EQNXTDZ($A$1,$B6,V$1,$B$1)</f>
        <v>434.26</v>
      </c>
      <c r="W6" s="100">
        <f>_xll.EQNXTDZ($A$1,$B6,W$1,$B$1)</f>
        <v>494.62</v>
      </c>
      <c r="X6" s="100">
        <f>_xll.EQNXTDZ($A$1,$B6,X$1,$B$1)</f>
        <v>588.86</v>
      </c>
      <c r="Y6" s="100">
        <f>_xll.EQNXTDZ($A$1,$B6,Y$1,$B$1)</f>
        <v>526.66999999999996</v>
      </c>
      <c r="Z6" s="100">
        <f>_xll.EQNXTDZ($A$1,$B6,Z$1,$B$1)</f>
        <v>571.88</v>
      </c>
      <c r="AA6" s="100">
        <f>_xll.EQNXTDZ($A$1,$B6,AA$1,$B$1)</f>
        <v>687.35</v>
      </c>
      <c r="AB6" s="100">
        <f>_xll.EQNXTDZ($A$1,$B6,AB$1,$B$1)</f>
        <v>829.04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33.754413999999997</v>
      </c>
      <c r="J10" s="100">
        <f>_xll.EQNXTDZ($A$1,$B10,J$1,$B$1)</f>
        <v>44.410636199999999</v>
      </c>
      <c r="K10" s="100">
        <f>_xll.EQNXTDZ($A$1,$B10,K$1,$B$1)</f>
        <v>45.278377300000002</v>
      </c>
      <c r="L10" s="100">
        <f>_xll.EQNXTDZ($A$1,$B10,L$1,$B$1)</f>
        <v>58.3431049</v>
      </c>
      <c r="M10" s="100">
        <f>_xll.EQNXTDZ($A$1,$B10,M$1,$B$1)</f>
        <v>77.864999999999995</v>
      </c>
      <c r="N10" s="100">
        <f>_xll.EQNXTDZ($A$1,$B10,N$1,$B$1)</f>
        <v>109.07599999999999</v>
      </c>
      <c r="O10" s="100">
        <f>_xll.EQNXTDZ($A$1,$B10,O$1,$B$1)</f>
        <v>134.261</v>
      </c>
      <c r="P10" s="100">
        <f>_xll.EQNXTDZ($A$1,$B10,P$1,$B$1)</f>
        <v>149.97800000000001</v>
      </c>
      <c r="Q10" s="100">
        <f>_xll.EQNXTDZ($A$1,$B10,Q$1,$B$1)</f>
        <v>182.958</v>
      </c>
      <c r="R10" s="100">
        <f>_xll.EQNXTDZ($A$1,$B10,R$1,$B$1)</f>
        <v>240.965</v>
      </c>
      <c r="S10" s="100">
        <f>_xll.EQNXTDZ($A$1,$B10,S$1,$B$1)</f>
        <v>304.387</v>
      </c>
      <c r="T10" s="100">
        <f>_xll.EQNXTDZ($A$1,$B10,T$1,$B$1)</f>
        <v>356.32</v>
      </c>
      <c r="U10" s="100">
        <f>_xll.EQNXTDZ($A$1,$B10,U$1,$B$1)</f>
        <v>402.91</v>
      </c>
      <c r="V10" s="100">
        <f>_xll.EQNXTDZ($A$1,$B10,V$1,$B$1)</f>
        <v>434.26</v>
      </c>
      <c r="W10" s="100">
        <f>_xll.EQNXTDZ($A$1,$B10,W$1,$B$1)</f>
        <v>494.62</v>
      </c>
      <c r="X10" s="100">
        <f>_xll.EQNXTDZ($A$1,$B10,X$1,$B$1)</f>
        <v>588.86</v>
      </c>
      <c r="Y10" s="100">
        <f>_xll.EQNXTDZ($A$1,$B10,Y$1,$B$1)</f>
        <v>526.66999999999996</v>
      </c>
      <c r="Z10" s="100">
        <f>_xll.EQNXTDZ($A$1,$B10,Z$1,$B$1)</f>
        <v>571.88</v>
      </c>
      <c r="AA10" s="100">
        <f>_xll.EQNXTDZ($A$1,$B10,AA$1,$B$1)</f>
        <v>687.35</v>
      </c>
      <c r="AB10" s="100">
        <f>_xll.EQNXTDZ($A$1,$B10,AB$1,$B$1)</f>
        <v>829.04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-0.51800000000000002</v>
      </c>
      <c r="N11" s="100">
        <f>_xll.EQNXTDZ($A$1,$B11,N$1,$B$1)</f>
        <v>0.36099999999999999</v>
      </c>
      <c r="O11" s="100">
        <f>_xll.EQNXTDZ($A$1,$B11,O$1,$B$1)</f>
        <v>-4.2000000000000003E-2</v>
      </c>
      <c r="P11" s="100">
        <f>_xll.EQNXTDZ($A$1,$B11,P$1,$B$1)</f>
        <v>-9.6000000000000002E-2</v>
      </c>
      <c r="Q11" s="100">
        <f>_xll.EQNXTDZ($A$1,$B11,Q$1,$B$1)</f>
        <v>-0.10299999999999999</v>
      </c>
      <c r="R11" s="100">
        <f>_xll.EQNXTDZ($A$1,$B11,R$1,$B$1)</f>
        <v>0.68200000000000005</v>
      </c>
      <c r="S11" s="100">
        <f>_xll.EQNXTDZ($A$1,$B11,S$1,$B$1)</f>
        <v>-0.36</v>
      </c>
      <c r="T11" s="100">
        <f>_xll.EQNXTDZ($A$1,$B11,T$1,$B$1)</f>
        <v>0.37</v>
      </c>
      <c r="U11" s="100">
        <f>_xll.EQNXTDZ($A$1,$B11,U$1,$B$1)</f>
        <v>-0.26</v>
      </c>
      <c r="V11" s="100">
        <f>_xll.EQNXTDZ($A$1,$B11,V$1,$B$1)</f>
        <v>-0.08</v>
      </c>
      <c r="W11" s="100">
        <f>_xll.EQNXTDZ($A$1,$B11,W$1,$B$1)</f>
        <v>0.04</v>
      </c>
      <c r="X11" s="100">
        <f>_xll.EQNXTDZ($A$1,$B11,X$1,$B$1)</f>
        <v>-0.88</v>
      </c>
      <c r="Y11" s="100">
        <f>_xll.EQNXTDZ($A$1,$B11,Y$1,$B$1)</f>
        <v>0.2</v>
      </c>
      <c r="Z11" s="100">
        <f>_xll.EQNXTDZ($A$1,$B11,Z$1,$B$1)</f>
        <v>-0.28000000000000003</v>
      </c>
      <c r="AA11" s="100">
        <f>_xll.EQNXTDZ($A$1,$B11,AA$1,$B$1)</f>
        <v>0.81</v>
      </c>
      <c r="AB11" s="100">
        <f>_xll.EQNXTDZ($A$1,$B11,AB$1,$B$1)</f>
        <v>-0.24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11.5097299</v>
      </c>
      <c r="J12" s="100">
        <f>_xll.EQNXTDZ($A$1,$B12,J$1,$B$1)</f>
        <v>11.130099700000001</v>
      </c>
      <c r="K12" s="100">
        <f>_xll.EQNXTDZ($A$1,$B12,K$1,$B$1)</f>
        <v>16.1211491</v>
      </c>
      <c r="L12" s="100">
        <f>_xll.EQNXTDZ($A$1,$B12,L$1,$B$1)</f>
        <v>18.8814253</v>
      </c>
      <c r="M12" s="100">
        <f>_xll.EQNXTDZ($A$1,$B12,M$1,$B$1)</f>
        <v>23.956</v>
      </c>
      <c r="N12" s="100">
        <f>_xll.EQNXTDZ($A$1,$B12,N$1,$B$1)</f>
        <v>28.706</v>
      </c>
      <c r="O12" s="100">
        <f>_xll.EQNXTDZ($A$1,$B12,O$1,$B$1)</f>
        <v>35.633000000000003</v>
      </c>
      <c r="P12" s="100">
        <f>_xll.EQNXTDZ($A$1,$B12,P$1,$B$1)</f>
        <v>42.606000000000002</v>
      </c>
      <c r="Q12" s="100">
        <f>_xll.EQNXTDZ($A$1,$B12,Q$1,$B$1)</f>
        <v>55.932000000000002</v>
      </c>
      <c r="R12" s="100">
        <f>_xll.EQNXTDZ($A$1,$B12,R$1,$B$1)</f>
        <v>69.674999999999997</v>
      </c>
      <c r="S12" s="100">
        <f>_xll.EQNXTDZ($A$1,$B12,S$1,$B$1)</f>
        <v>81.784000000000006</v>
      </c>
      <c r="T12" s="100">
        <f>_xll.EQNXTDZ($A$1,$B12,T$1,$B$1)</f>
        <v>94.61</v>
      </c>
      <c r="U12" s="100">
        <f>_xll.EQNXTDZ($A$1,$B12,U$1,$B$1)</f>
        <v>110.79</v>
      </c>
      <c r="V12" s="100">
        <f>_xll.EQNXTDZ($A$1,$B12,V$1,$B$1)</f>
        <v>117.17</v>
      </c>
      <c r="W12" s="100">
        <f>_xll.EQNXTDZ($A$1,$B12,W$1,$B$1)</f>
        <v>163.86</v>
      </c>
      <c r="X12" s="100">
        <f>_xll.EQNXTDZ($A$1,$B12,X$1,$B$1)</f>
        <v>170.57</v>
      </c>
      <c r="Y12" s="100">
        <f>_xll.EQNXTDZ($A$1,$B12,Y$1,$B$1)</f>
        <v>163.03</v>
      </c>
      <c r="Z12" s="100">
        <f>_xll.EQNXTDZ($A$1,$B12,Z$1,$B$1)</f>
        <v>166.98</v>
      </c>
      <c r="AA12" s="100">
        <f>_xll.EQNXTDZ($A$1,$B12,AA$1,$B$1)</f>
        <v>190.27</v>
      </c>
      <c r="AB12" s="100">
        <f>_xll.EQNXTDZ($A$1,$B12,AB$1,$B$1)</f>
        <v>219.8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0.39171440000000002</v>
      </c>
      <c r="J13" s="100">
        <f>_xll.EQNXTDZ($A$1,$B13,J$1,$B$1)</f>
        <v>0.36457109999999998</v>
      </c>
      <c r="K13" s="100">
        <f>_xll.EQNXTDZ($A$1,$B13,K$1,$B$1)</f>
        <v>0.44457770000000002</v>
      </c>
      <c r="L13" s="100">
        <f>_xll.EQNXTDZ($A$1,$B13,L$1,$B$1)</f>
        <v>0.4731804</v>
      </c>
      <c r="M13" s="100">
        <f>_xll.EQNXTDZ($A$1,$B13,M$1,$B$1)</f>
        <v>0.80700000000000005</v>
      </c>
      <c r="N13" s="100">
        <f>_xll.EQNXTDZ($A$1,$B13,N$1,$B$1)</f>
        <v>2.0619999999999998</v>
      </c>
      <c r="O13" s="100">
        <f>_xll.EQNXTDZ($A$1,$B13,O$1,$B$1)</f>
        <v>1.9159999999999999</v>
      </c>
      <c r="P13" s="100">
        <f>_xll.EQNXTDZ($A$1,$B13,P$1,$B$1)</f>
        <v>2.613</v>
      </c>
      <c r="Q13" s="100">
        <f>_xll.EQNXTDZ($A$1,$B13,Q$1,$B$1)</f>
        <v>3.9510000000000001</v>
      </c>
      <c r="R13" s="100">
        <f>_xll.EQNXTDZ($A$1,$B13,R$1,$B$1)</f>
        <v>5.3209999999999997</v>
      </c>
      <c r="S13" s="100">
        <f>_xll.EQNXTDZ($A$1,$B13,S$1,$B$1)</f>
        <v>6.3529999999999998</v>
      </c>
      <c r="T13" s="100">
        <f>_xll.EQNXTDZ($A$1,$B13,T$1,$B$1)</f>
        <v>6.68</v>
      </c>
      <c r="U13" s="100">
        <f>_xll.EQNXTDZ($A$1,$B13,U$1,$B$1)</f>
        <v>7.77</v>
      </c>
      <c r="V13" s="100">
        <f>_xll.EQNXTDZ($A$1,$B13,V$1,$B$1)</f>
        <v>8.69</v>
      </c>
      <c r="W13" s="100">
        <f>_xll.EQNXTDZ($A$1,$B13,W$1,$B$1)</f>
        <v>7.64</v>
      </c>
      <c r="X13" s="100">
        <f>_xll.EQNXTDZ($A$1,$B13,X$1,$B$1)</f>
        <v>8.4</v>
      </c>
      <c r="Y13" s="100">
        <f>_xll.EQNXTDZ($A$1,$B13,Y$1,$B$1)</f>
        <v>10.7</v>
      </c>
      <c r="Z13" s="100">
        <f>_xll.EQNXTDZ($A$1,$B13,Z$1,$B$1)</f>
        <v>10.15</v>
      </c>
      <c r="AA13" s="100">
        <f>_xll.EQNXTDZ($A$1,$B13,AA$1,$B$1)</f>
        <v>11.52</v>
      </c>
      <c r="AB13" s="100">
        <f>_xll.EQNXTDZ($A$1,$B13,AB$1,$B$1)</f>
        <v>11.26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1.5794923999999999</v>
      </c>
      <c r="J14" s="100">
        <f>_xll.EQNXTDZ($A$1,$B14,J$1,$B$1)</f>
        <v>1.7314282000000001</v>
      </c>
      <c r="K14" s="100">
        <f>_xll.EQNXTDZ($A$1,$B14,K$1,$B$1)</f>
        <v>2.4461108999999999</v>
      </c>
      <c r="L14" s="100">
        <f>_xll.EQNXTDZ($A$1,$B14,L$1,$B$1)</f>
        <v>3.4255765</v>
      </c>
      <c r="M14" s="100">
        <f>_xll.EQNXTDZ($A$1,$B14,M$1,$B$1)</f>
        <v>5.3079999999999998</v>
      </c>
      <c r="N14" s="100">
        <f>_xll.EQNXTDZ($A$1,$B14,N$1,$B$1)</f>
        <v>7.12</v>
      </c>
      <c r="O14" s="100">
        <f>_xll.EQNXTDZ($A$1,$B14,O$1,$B$1)</f>
        <v>9.0280000000000005</v>
      </c>
      <c r="P14" s="100">
        <f>_xll.EQNXTDZ($A$1,$B14,P$1,$B$1)</f>
        <v>12.087999999999999</v>
      </c>
      <c r="Q14" s="100">
        <f>_xll.EQNXTDZ($A$1,$B14,Q$1,$B$1)</f>
        <v>17.481000000000002</v>
      </c>
      <c r="R14" s="100">
        <f>_xll.EQNXTDZ($A$1,$B14,R$1,$B$1)</f>
        <v>25.698</v>
      </c>
      <c r="S14" s="100">
        <f>_xll.EQNXTDZ($A$1,$B14,S$1,$B$1)</f>
        <v>32</v>
      </c>
      <c r="T14" s="100">
        <f>_xll.EQNXTDZ($A$1,$B14,T$1,$B$1)</f>
        <v>35.340000000000003</v>
      </c>
      <c r="U14" s="100">
        <f>_xll.EQNXTDZ($A$1,$B14,U$1,$B$1)</f>
        <v>43.35</v>
      </c>
      <c r="V14" s="100">
        <f>_xll.EQNXTDZ($A$1,$B14,V$1,$B$1)</f>
        <v>48.92</v>
      </c>
      <c r="W14" s="100">
        <f>_xll.EQNXTDZ($A$1,$B14,W$1,$B$1)</f>
        <v>58.07</v>
      </c>
      <c r="X14" s="100">
        <f>_xll.EQNXTDZ($A$1,$B14,X$1,$B$1)</f>
        <v>61.13</v>
      </c>
      <c r="Y14" s="100">
        <f>_xll.EQNXTDZ($A$1,$B14,Y$1,$B$1)</f>
        <v>106.15</v>
      </c>
      <c r="Z14" s="100">
        <f>_xll.EQNXTDZ($A$1,$B14,Z$1,$B$1)</f>
        <v>107.86</v>
      </c>
      <c r="AA14" s="100">
        <f>_xll.EQNXTDZ($A$1,$B14,AA$1,$B$1)</f>
        <v>126.77</v>
      </c>
      <c r="AB14" s="100">
        <f>_xll.EQNXTDZ($A$1,$B14,AB$1,$B$1)</f>
        <v>138.06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0.34543230000000003</v>
      </c>
      <c r="J15" s="100">
        <f>_xll.EQNXTDZ($A$1,$B15,J$1,$B$1)</f>
        <v>0.4266916</v>
      </c>
      <c r="K15" s="100">
        <f>_xll.EQNXTDZ($A$1,$B15,K$1,$B$1)</f>
        <v>1.3074039</v>
      </c>
      <c r="L15" s="100">
        <f>_xll.EQNXTDZ($A$1,$B15,L$1,$B$1)</f>
        <v>1.9332598999999999</v>
      </c>
      <c r="M15" s="100">
        <f>_xll.EQNXTDZ($A$1,$B15,M$1,$B$1)</f>
        <v>2.6760000000000002</v>
      </c>
      <c r="N15" s="100">
        <f>_xll.EQNXTDZ($A$1,$B15,N$1,$B$1)</f>
        <v>3.254</v>
      </c>
      <c r="O15" s="100">
        <f>_xll.EQNXTDZ($A$1,$B15,O$1,$B$1)</f>
        <v>4.2240000000000002</v>
      </c>
      <c r="P15" s="100">
        <f>_xll.EQNXTDZ($A$1,$B15,P$1,$B$1)</f>
        <v>3.6509999999999998</v>
      </c>
      <c r="Q15" s="100">
        <f>_xll.EQNXTDZ($A$1,$B15,Q$1,$B$1)</f>
        <v>4.2089999999999996</v>
      </c>
      <c r="R15" s="100">
        <f>_xll.EQNXTDZ($A$1,$B15,R$1,$B$1)</f>
        <v>5.8090000000000002</v>
      </c>
      <c r="S15" s="100">
        <f>_xll.EQNXTDZ($A$1,$B15,S$1,$B$1)</f>
        <v>6.8440000000000003</v>
      </c>
      <c r="T15" s="100">
        <f>_xll.EQNXTDZ($A$1,$B15,T$1,$B$1)</f>
        <v>5.34</v>
      </c>
      <c r="U15" s="100">
        <f>_xll.EQNXTDZ($A$1,$B15,U$1,$B$1)</f>
        <v>8.2899999999999991</v>
      </c>
      <c r="V15" s="100">
        <f>_xll.EQNXTDZ($A$1,$B15,V$1,$B$1)</f>
        <v>9.91</v>
      </c>
      <c r="W15" s="100">
        <f>_xll.EQNXTDZ($A$1,$B15,W$1,$B$1)</f>
        <v>9.66</v>
      </c>
      <c r="X15" s="100">
        <f>_xll.EQNXTDZ($A$1,$B15,X$1,$B$1)</f>
        <v>14.72</v>
      </c>
      <c r="Y15" s="100">
        <f>_xll.EQNXTDZ($A$1,$B15,Y$1,$B$1)</f>
        <v>19.440000000000001</v>
      </c>
      <c r="Z15" s="100">
        <f>_xll.EQNXTDZ($A$1,$B15,Z$1,$B$1)</f>
        <v>61.81</v>
      </c>
      <c r="AA15" s="100">
        <f>_xll.EQNXTDZ($A$1,$B15,AA$1,$B$1)</f>
        <v>79.02</v>
      </c>
      <c r="AB15" s="100">
        <f>_xll.EQNXTDZ($A$1,$B15,AB$1,$B$1)</f>
        <v>97.18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2.8398175999999999</v>
      </c>
      <c r="J17" s="100">
        <f>_xll.EQNXTDZ($A$1,$B17,J$1,$B$1)</f>
        <v>2.7391027000000001</v>
      </c>
      <c r="K17" s="100">
        <f>_xll.EQNXTDZ($A$1,$B17,K$1,$B$1)</f>
        <v>2.7500152999999998</v>
      </c>
      <c r="L17" s="100">
        <f>_xll.EQNXTDZ($A$1,$B17,L$1,$B$1)</f>
        <v>3.5098430999999999</v>
      </c>
      <c r="M17" s="100">
        <f>_xll.EQNXTDZ($A$1,$B17,M$1,$B$1)</f>
        <v>3.544</v>
      </c>
      <c r="N17" s="100">
        <f>_xll.EQNXTDZ($A$1,$B17,N$1,$B$1)</f>
        <v>9.1509999999999998</v>
      </c>
      <c r="O17" s="100">
        <f>_xll.EQNXTDZ($A$1,$B17,O$1,$B$1)</f>
        <v>13.21</v>
      </c>
      <c r="P17" s="100">
        <f>_xll.EQNXTDZ($A$1,$B17,P$1,$B$1)</f>
        <v>11.932</v>
      </c>
      <c r="Q17" s="100">
        <f>_xll.EQNXTDZ($A$1,$B17,Q$1,$B$1)</f>
        <v>17.440999999999999</v>
      </c>
      <c r="R17" s="100">
        <f>_xll.EQNXTDZ($A$1,$B17,R$1,$B$1)</f>
        <v>27.349</v>
      </c>
      <c r="S17" s="100">
        <f>_xll.EQNXTDZ($A$1,$B17,S$1,$B$1)</f>
        <v>44.500999999999998</v>
      </c>
      <c r="T17" s="100">
        <f>_xll.EQNXTDZ($A$1,$B17,T$1,$B$1)</f>
        <v>43.83</v>
      </c>
      <c r="U17" s="100">
        <f>_xll.EQNXTDZ($A$1,$B17,U$1,$B$1)</f>
        <v>50.35</v>
      </c>
      <c r="V17" s="100">
        <f>_xll.EQNXTDZ($A$1,$B17,V$1,$B$1)</f>
        <v>43.56</v>
      </c>
      <c r="W17" s="100">
        <f>_xll.EQNXTDZ($A$1,$B17,W$1,$B$1)</f>
        <v>52.62</v>
      </c>
      <c r="X17" s="100">
        <f>_xll.EQNXTDZ($A$1,$B17,X$1,$B$1)</f>
        <v>62.39</v>
      </c>
      <c r="Y17" s="100">
        <f>_xll.EQNXTDZ($A$1,$B17,Y$1,$B$1)</f>
        <v>72.709999999999994</v>
      </c>
      <c r="Z17" s="100">
        <f>_xll.EQNXTDZ($A$1,$B17,Z$1,$B$1)</f>
        <v>42.74</v>
      </c>
      <c r="AA17" s="100">
        <f>_xll.EQNXTDZ($A$1,$B17,AA$1,$B$1)</f>
        <v>63.27</v>
      </c>
      <c r="AB17" s="100">
        <f>_xll.EQNXTDZ($A$1,$B17,AB$1,$B$1)</f>
        <v>71.34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15.603578000000001</v>
      </c>
      <c r="J18" s="100">
        <f>_xll.EQNXTDZ($A$1,$B18,J$1,$B$1)</f>
        <v>2.1726960000000002</v>
      </c>
      <c r="K18" s="100">
        <f>_xll.EQNXTDZ($A$1,$B18,K$1,$B$1)</f>
        <v>9.8325230000000001</v>
      </c>
      <c r="L18" s="100">
        <f>_xll.EQNXTDZ($A$1,$B18,L$1,$B$1)</f>
        <v>1.9639659</v>
      </c>
      <c r="M18" s="100">
        <f>_xll.EQNXTDZ($A$1,$B18,M$1,$B$1)</f>
        <v>6.2329999999999997</v>
      </c>
      <c r="N18" s="100">
        <f>_xll.EQNXTDZ($A$1,$B18,N$1,$B$1)</f>
        <v>9.2929999999999993</v>
      </c>
      <c r="O18" s="100">
        <f>_xll.EQNXTDZ($A$1,$B18,O$1,$B$1)</f>
        <v>6.5739999999999998</v>
      </c>
      <c r="P18" s="100">
        <f>_xll.EQNXTDZ($A$1,$B18,P$1,$B$1)</f>
        <v>8.0489999999999995</v>
      </c>
      <c r="Q18" s="100">
        <f>_xll.EQNXTDZ($A$1,$B18,Q$1,$B$1)</f>
        <v>9.7799999999999994</v>
      </c>
      <c r="R18" s="100">
        <f>_xll.EQNXTDZ($A$1,$B18,R$1,$B$1)</f>
        <v>10.254</v>
      </c>
      <c r="S18" s="100">
        <f>_xll.EQNXTDZ($A$1,$B18,S$1,$B$1)</f>
        <v>13.922000000000001</v>
      </c>
      <c r="T18" s="100">
        <f>_xll.EQNXTDZ($A$1,$B18,T$1,$B$1)</f>
        <v>19.87</v>
      </c>
      <c r="U18" s="100">
        <f>_xll.EQNXTDZ($A$1,$B18,U$1,$B$1)</f>
        <v>23.98</v>
      </c>
      <c r="V18" s="100">
        <f>_xll.EQNXTDZ($A$1,$B18,V$1,$B$1)</f>
        <v>23.51</v>
      </c>
      <c r="W18" s="100">
        <f>_xll.EQNXTDZ($A$1,$B18,W$1,$B$1)</f>
        <v>23.89</v>
      </c>
      <c r="X18" s="100">
        <f>_xll.EQNXTDZ($A$1,$B18,X$1,$B$1)</f>
        <v>21.3</v>
      </c>
      <c r="Y18" s="100">
        <f>_xll.EQNXTDZ($A$1,$B18,Y$1,$B$1)</f>
        <v>19.190000000000001</v>
      </c>
      <c r="Z18" s="100">
        <f>_xll.EQNXTDZ($A$1,$B18,Z$1,$B$1)</f>
        <v>30.49</v>
      </c>
      <c r="AA18" s="100">
        <f>_xll.EQNXTDZ($A$1,$B18,AA$1,$B$1)</f>
        <v>19.41</v>
      </c>
      <c r="AB18" s="100">
        <f>_xll.EQNXTDZ($A$1,$B18,AB$1,$B$1)</f>
        <v>27.47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1.9440900000000001E-2</v>
      </c>
      <c r="J19" s="100">
        <f>_xll.EQNXTDZ($A$1,$B19,J$1,$B$1)</f>
        <v>6.9334999999999994E-2</v>
      </c>
      <c r="K19" s="100">
        <f>_xll.EQNXTDZ($A$1,$B19,K$1,$B$1)</f>
        <v>0.31898310000000002</v>
      </c>
      <c r="L19" s="100">
        <f>_xll.EQNXTDZ($A$1,$B19,L$1,$B$1)</f>
        <v>0.36967830000000002</v>
      </c>
      <c r="M19" s="100">
        <f>_xll.EQNXTDZ($A$1,$B19,M$1,$B$1)</f>
        <v>0.19900000000000001</v>
      </c>
      <c r="N19" s="100">
        <f>_xll.EQNXTDZ($A$1,$B19,N$1,$B$1)</f>
        <v>6.2E-2</v>
      </c>
      <c r="O19" s="100">
        <f>_xll.EQNXTDZ($A$1,$B19,O$1,$B$1)</f>
        <v>0.157</v>
      </c>
      <c r="P19" s="100">
        <f>_xll.EQNXTDZ($A$1,$B19,P$1,$B$1)</f>
        <v>0.29399999999999998</v>
      </c>
      <c r="Q19" s="100">
        <f>_xll.EQNXTDZ($A$1,$B19,Q$1,$B$1)</f>
        <v>1.595</v>
      </c>
      <c r="R19" s="100">
        <f>_xll.EQNXTDZ($A$1,$B19,R$1,$B$1)</f>
        <v>2.1280000000000001</v>
      </c>
      <c r="S19" s="100">
        <f>_xll.EQNXTDZ($A$1,$B19,S$1,$B$1)</f>
        <v>3.964</v>
      </c>
      <c r="T19" s="100">
        <f>_xll.EQNXTDZ($A$1,$B19,T$1,$B$1)</f>
        <v>5.56</v>
      </c>
      <c r="U19" s="100">
        <f>_xll.EQNXTDZ($A$1,$B19,U$1,$B$1)</f>
        <v>4.41</v>
      </c>
      <c r="V19" s="100">
        <f>_xll.EQNXTDZ($A$1,$B19,V$1,$B$1)</f>
        <v>9.01</v>
      </c>
      <c r="W19" s="100">
        <f>_xll.EQNXTDZ($A$1,$B19,W$1,$B$1)</f>
        <v>7.58</v>
      </c>
      <c r="X19" s="100">
        <f>_xll.EQNXTDZ($A$1,$B19,X$1,$B$1)</f>
        <v>15.5</v>
      </c>
      <c r="Y19" s="100">
        <f>_xll.EQNXTDZ($A$1,$B19,Y$1,$B$1)</f>
        <v>12.72</v>
      </c>
      <c r="Z19" s="100">
        <f>_xll.EQNXTDZ($A$1,$B19,Z$1,$B$1)</f>
        <v>13.37</v>
      </c>
      <c r="AA19" s="100">
        <f>_xll.EQNXTDZ($A$1,$B19,AA$1,$B$1)</f>
        <v>5.72</v>
      </c>
      <c r="AB19" s="100">
        <f>_xll.EQNXTDZ($A$1,$B19,AB$1,$B$1)</f>
        <v>18.239999999999998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32.289205500000001</v>
      </c>
      <c r="J21" s="100">
        <f>_xll.EQNXTDZ($A$1,$B21,J$1,$B$1)</f>
        <v>18.6339243</v>
      </c>
      <c r="K21" s="100">
        <f>_xll.EQNXTDZ($A$1,$B21,K$1,$B$1)</f>
        <v>33.220762999999998</v>
      </c>
      <c r="L21" s="100">
        <f>_xll.EQNXTDZ($A$1,$B21,L$1,$B$1)</f>
        <v>30.556929400000001</v>
      </c>
      <c r="M21" s="100">
        <f>_xll.EQNXTDZ($A$1,$B21,M$1,$B$1)</f>
        <v>42.204999999999998</v>
      </c>
      <c r="N21" s="100">
        <f>_xll.EQNXTDZ($A$1,$B21,N$1,$B$1)</f>
        <v>60.009</v>
      </c>
      <c r="O21" s="100">
        <f>_xll.EQNXTDZ($A$1,$B21,O$1,$B$1)</f>
        <v>70.7</v>
      </c>
      <c r="P21" s="100">
        <f>_xll.EQNXTDZ($A$1,$B21,P$1,$B$1)</f>
        <v>81.137</v>
      </c>
      <c r="Q21" s="100">
        <f>_xll.EQNXTDZ($A$1,$B21,Q$1,$B$1)</f>
        <v>110.286</v>
      </c>
      <c r="R21" s="100">
        <f>_xll.EQNXTDZ($A$1,$B21,R$1,$B$1)</f>
        <v>146.916</v>
      </c>
      <c r="S21" s="100">
        <f>_xll.EQNXTDZ($A$1,$B21,S$1,$B$1)</f>
        <v>189.00800000000001</v>
      </c>
      <c r="T21" s="100">
        <f>_xll.EQNXTDZ($A$1,$B21,T$1,$B$1)</f>
        <v>211.6</v>
      </c>
      <c r="U21" s="100">
        <f>_xll.EQNXTDZ($A$1,$B21,U$1,$B$1)</f>
        <v>248.68</v>
      </c>
      <c r="V21" s="100">
        <f>_xll.EQNXTDZ($A$1,$B21,V$1,$B$1)</f>
        <v>260.69</v>
      </c>
      <c r="W21" s="100">
        <f>_xll.EQNXTDZ($A$1,$B21,W$1,$B$1)</f>
        <v>323.36</v>
      </c>
      <c r="X21" s="100">
        <f>_xll.EQNXTDZ($A$1,$B21,X$1,$B$1)</f>
        <v>353.13</v>
      </c>
      <c r="Y21" s="100">
        <f>_xll.EQNXTDZ($A$1,$B21,Y$1,$B$1)</f>
        <v>404.14</v>
      </c>
      <c r="Z21" s="100">
        <f>_xll.EQNXTDZ($A$1,$B21,Z$1,$B$1)</f>
        <v>433.12</v>
      </c>
      <c r="AA21" s="100">
        <f>_xll.EQNXTDZ($A$1,$B21,AA$1,$B$1)</f>
        <v>496.79</v>
      </c>
      <c r="AB21" s="100">
        <f>_xll.EQNXTDZ($A$1,$B21,AB$1,$B$1)</f>
        <v>583.11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1.4652084999999999</v>
      </c>
      <c r="J22" s="100">
        <f>_xll.EQNXTDZ($A$1,$B22,J$1,$B$1)</f>
        <v>25.776711899999999</v>
      </c>
      <c r="K22" s="100">
        <f>_xll.EQNXTDZ($A$1,$B22,K$1,$B$1)</f>
        <v>12.057614299999999</v>
      </c>
      <c r="L22" s="100">
        <f>_xll.EQNXTDZ($A$1,$B22,L$1,$B$1)</f>
        <v>27.786175499999999</v>
      </c>
      <c r="M22" s="100">
        <f>_xll.EQNXTDZ($A$1,$B22,M$1,$B$1)</f>
        <v>35.659999999999997</v>
      </c>
      <c r="N22" s="100">
        <f>_xll.EQNXTDZ($A$1,$B22,N$1,$B$1)</f>
        <v>49.067</v>
      </c>
      <c r="O22" s="100">
        <f>_xll.EQNXTDZ($A$1,$B22,O$1,$B$1)</f>
        <v>63.561</v>
      </c>
      <c r="P22" s="100">
        <f>_xll.EQNXTDZ($A$1,$B22,P$1,$B$1)</f>
        <v>68.840999999999994</v>
      </c>
      <c r="Q22" s="100">
        <f>_xll.EQNXTDZ($A$1,$B22,Q$1,$B$1)</f>
        <v>72.671999999999997</v>
      </c>
      <c r="R22" s="100">
        <f>_xll.EQNXTDZ($A$1,$B22,R$1,$B$1)</f>
        <v>94.049000000000007</v>
      </c>
      <c r="S22" s="100">
        <f>_xll.EQNXTDZ($A$1,$B22,S$1,$B$1)</f>
        <v>115.379</v>
      </c>
      <c r="T22" s="100">
        <f>_xll.EQNXTDZ($A$1,$B22,T$1,$B$1)</f>
        <v>144.72</v>
      </c>
      <c r="U22" s="100">
        <f>_xll.EQNXTDZ($A$1,$B22,U$1,$B$1)</f>
        <v>154.22999999999999</v>
      </c>
      <c r="V22" s="100">
        <f>_xll.EQNXTDZ($A$1,$B22,V$1,$B$1)</f>
        <v>173.57</v>
      </c>
      <c r="W22" s="100">
        <f>_xll.EQNXTDZ($A$1,$B22,W$1,$B$1)</f>
        <v>171.26</v>
      </c>
      <c r="X22" s="100">
        <f>_xll.EQNXTDZ($A$1,$B22,X$1,$B$1)</f>
        <v>235.73</v>
      </c>
      <c r="Y22" s="100">
        <f>_xll.EQNXTDZ($A$1,$B22,Y$1,$B$1)</f>
        <v>122.53</v>
      </c>
      <c r="Z22" s="100">
        <f>_xll.EQNXTDZ($A$1,$B22,Z$1,$B$1)</f>
        <v>138.76</v>
      </c>
      <c r="AA22" s="100">
        <f>_xll.EQNXTDZ($A$1,$B22,AA$1,$B$1)</f>
        <v>190.56</v>
      </c>
      <c r="AB22" s="100">
        <f>_xll.EQNXTDZ($A$1,$B22,AB$1,$B$1)</f>
        <v>245.93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2.8232943000000001</v>
      </c>
      <c r="J23" s="100">
        <f>_xll.EQNXTDZ($A$1,$B23,J$1,$B$1)</f>
        <v>6.6917267999999996</v>
      </c>
      <c r="K23" s="100">
        <f>_xll.EQNXTDZ($A$1,$B23,K$1,$B$1)</f>
        <v>1.1172517</v>
      </c>
      <c r="L23" s="100">
        <f>_xll.EQNXTDZ($A$1,$B23,L$1,$B$1)</f>
        <v>6.8136329</v>
      </c>
      <c r="M23" s="100">
        <f>_xll.EQNXTDZ($A$1,$B23,M$1,$B$1)</f>
        <v>3.3420000000000001</v>
      </c>
      <c r="N23" s="100">
        <f>_xll.EQNXTDZ($A$1,$B23,N$1,$B$1)</f>
        <v>5.109</v>
      </c>
      <c r="O23" s="100">
        <f>_xll.EQNXTDZ($A$1,$B23,O$1,$B$1)</f>
        <v>17.725000000000001</v>
      </c>
      <c r="P23" s="100">
        <f>_xll.EQNXTDZ($A$1,$B23,P$1,$B$1)</f>
        <v>6.5759999999999996</v>
      </c>
      <c r="Q23" s="100">
        <f>_xll.EQNXTDZ($A$1,$B23,Q$1,$B$1)</f>
        <v>8.109</v>
      </c>
      <c r="R23" s="100">
        <f>_xll.EQNXTDZ($A$1,$B23,R$1,$B$1)</f>
        <v>6.5419999999999998</v>
      </c>
      <c r="S23" s="100">
        <f>_xll.EQNXTDZ($A$1,$B23,S$1,$B$1)</f>
        <v>12.242000000000001</v>
      </c>
      <c r="T23" s="100">
        <f>_xll.EQNXTDZ($A$1,$B23,T$1,$B$1)</f>
        <v>23</v>
      </c>
      <c r="U23" s="100">
        <f>_xll.EQNXTDZ($A$1,$B23,U$1,$B$1)</f>
        <v>9.9499999999999993</v>
      </c>
      <c r="V23" s="100">
        <f>_xll.EQNXTDZ($A$1,$B23,V$1,$B$1)</f>
        <v>6.67</v>
      </c>
      <c r="W23" s="100">
        <f>_xll.EQNXTDZ($A$1,$B23,W$1,$B$1)</f>
        <v>12.43</v>
      </c>
      <c r="X23" s="100">
        <f>_xll.EQNXTDZ($A$1,$B23,X$1,$B$1)</f>
        <v>29.25</v>
      </c>
      <c r="Y23" s="100">
        <f>_xll.EQNXTDZ($A$1,$B23,Y$1,$B$1)</f>
        <v>8.42</v>
      </c>
      <c r="Z23" s="100">
        <f>_xll.EQNXTDZ($A$1,$B23,Z$1,$B$1)</f>
        <v>9.3699999999999992</v>
      </c>
      <c r="AA23" s="100">
        <f>_xll.EQNXTDZ($A$1,$B23,AA$1,$B$1)</f>
        <v>15.32</v>
      </c>
      <c r="AB23" s="100">
        <f>_xll.EQNXTDZ($A$1,$B23,AB$1,$B$1)</f>
        <v>34.270000000000003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4.2885027999999998</v>
      </c>
      <c r="J24" s="100">
        <f>_xll.EQNXTDZ($A$1,$B24,J$1,$B$1)</f>
        <v>32.4684387</v>
      </c>
      <c r="K24" s="100">
        <f>_xll.EQNXTDZ($A$1,$B24,K$1,$B$1)</f>
        <v>13.174866</v>
      </c>
      <c r="L24" s="100">
        <f>_xll.EQNXTDZ($A$1,$B24,L$1,$B$1)</f>
        <v>34.599808400000001</v>
      </c>
      <c r="M24" s="100">
        <f>_xll.EQNXTDZ($A$1,$B24,M$1,$B$1)</f>
        <v>39.002000000000002</v>
      </c>
      <c r="N24" s="100">
        <f>_xll.EQNXTDZ($A$1,$B24,N$1,$B$1)</f>
        <v>54.176000000000002</v>
      </c>
      <c r="O24" s="100">
        <f>_xll.EQNXTDZ($A$1,$B24,O$1,$B$1)</f>
        <v>81.286000000000001</v>
      </c>
      <c r="P24" s="100">
        <f>_xll.EQNXTDZ($A$1,$B24,P$1,$B$1)</f>
        <v>75.417000000000002</v>
      </c>
      <c r="Q24" s="100">
        <f>_xll.EQNXTDZ($A$1,$B24,Q$1,$B$1)</f>
        <v>80.781000000000006</v>
      </c>
      <c r="R24" s="100">
        <f>_xll.EQNXTDZ($A$1,$B24,R$1,$B$1)</f>
        <v>100.59099999999999</v>
      </c>
      <c r="S24" s="100">
        <f>_xll.EQNXTDZ($A$1,$B24,S$1,$B$1)</f>
        <v>127.621</v>
      </c>
      <c r="T24" s="100">
        <f>_xll.EQNXTDZ($A$1,$B24,T$1,$B$1)</f>
        <v>167.72</v>
      </c>
      <c r="U24" s="100">
        <f>_xll.EQNXTDZ($A$1,$B24,U$1,$B$1)</f>
        <v>164.18</v>
      </c>
      <c r="V24" s="100">
        <f>_xll.EQNXTDZ($A$1,$B24,V$1,$B$1)</f>
        <v>180.24</v>
      </c>
      <c r="W24" s="100">
        <f>_xll.EQNXTDZ($A$1,$B24,W$1,$B$1)</f>
        <v>183.69</v>
      </c>
      <c r="X24" s="100">
        <f>_xll.EQNXTDZ($A$1,$B24,X$1,$B$1)</f>
        <v>264.98</v>
      </c>
      <c r="Y24" s="100">
        <f>_xll.EQNXTDZ($A$1,$B24,Y$1,$B$1)</f>
        <v>130.94999999999999</v>
      </c>
      <c r="Z24" s="100">
        <f>_xll.EQNXTDZ($A$1,$B24,Z$1,$B$1)</f>
        <v>148.13</v>
      </c>
      <c r="AA24" s="100">
        <f>_xll.EQNXTDZ($A$1,$B24,AA$1,$B$1)</f>
        <v>205.88</v>
      </c>
      <c r="AB24" s="100">
        <f>_xll.EQNXTDZ($A$1,$B24,AB$1,$B$1)</f>
        <v>280.2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5.4201199999999998E-2</v>
      </c>
      <c r="J25" s="100">
        <f>_xll.EQNXTDZ($A$1,$B25,J$1,$B$1)</f>
        <v>6.2412200000000001E-2</v>
      </c>
      <c r="K25" s="100">
        <f>_xll.EQNXTDZ($A$1,$B25,K$1,$B$1)</f>
        <v>3.2881899999999999E-2</v>
      </c>
      <c r="L25" s="100">
        <f>_xll.EQNXTDZ($A$1,$B25,L$1,$B$1)</f>
        <v>4.3159000000000003E-2</v>
      </c>
      <c r="M25" s="100">
        <f>_xll.EQNXTDZ($A$1,$B25,M$1,$B$1)</f>
        <v>6.6000000000000003E-2</v>
      </c>
      <c r="N25" s="100">
        <f>_xll.EQNXTDZ($A$1,$B25,N$1,$B$1)</f>
        <v>7.1999999999999995E-2</v>
      </c>
      <c r="O25" s="100">
        <f>_xll.EQNXTDZ($A$1,$B25,O$1,$B$1)</f>
        <v>9.7000000000000003E-2</v>
      </c>
      <c r="P25" s="100">
        <f>_xll.EQNXTDZ($A$1,$B25,P$1,$B$1)</f>
        <v>0.16</v>
      </c>
      <c r="Q25" s="100">
        <f>_xll.EQNXTDZ($A$1,$B25,Q$1,$B$1)</f>
        <v>0.3</v>
      </c>
      <c r="R25" s="100">
        <f>_xll.EQNXTDZ($A$1,$B25,R$1,$B$1)</f>
        <v>0.55100000000000005</v>
      </c>
      <c r="S25" s="100">
        <f>_xll.EQNXTDZ($A$1,$B25,S$1,$B$1)</f>
        <v>0.46300000000000002</v>
      </c>
      <c r="T25" s="100">
        <f>_xll.EQNXTDZ($A$1,$B25,T$1,$B$1)</f>
        <v>0.44</v>
      </c>
      <c r="U25" s="100">
        <f>_xll.EQNXTDZ($A$1,$B25,U$1,$B$1)</f>
        <v>0.61</v>
      </c>
      <c r="V25" s="100">
        <f>_xll.EQNXTDZ($A$1,$B25,V$1,$B$1)</f>
        <v>1.85</v>
      </c>
      <c r="W25" s="100">
        <f>_xll.EQNXTDZ($A$1,$B25,W$1,$B$1)</f>
        <v>0.87</v>
      </c>
      <c r="X25" s="100">
        <f>_xll.EQNXTDZ($A$1,$B25,X$1,$B$1)</f>
        <v>3.21</v>
      </c>
      <c r="Y25" s="100">
        <f>_xll.EQNXTDZ($A$1,$B25,Y$1,$B$1)</f>
        <v>4.83</v>
      </c>
      <c r="Z25" s="100">
        <f>_xll.EQNXTDZ($A$1,$B25,Z$1,$B$1)</f>
        <v>5.53</v>
      </c>
      <c r="AA25" s="100">
        <f>_xll.EQNXTDZ($A$1,$B25,AA$1,$B$1)</f>
        <v>3.74</v>
      </c>
      <c r="AB25" s="100">
        <f>_xll.EQNXTDZ($A$1,$B25,AB$1,$B$1)</f>
        <v>3.96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4.2343016000000002</v>
      </c>
      <c r="J26" s="100">
        <f>_xll.EQNXTDZ($A$1,$B26,J$1,$B$1)</f>
        <v>32.406026500000003</v>
      </c>
      <c r="K26" s="100">
        <f>_xll.EQNXTDZ($A$1,$B26,K$1,$B$1)</f>
        <v>13.1419841</v>
      </c>
      <c r="L26" s="100">
        <f>_xll.EQNXTDZ($A$1,$B26,L$1,$B$1)</f>
        <v>34.556649399999998</v>
      </c>
      <c r="M26" s="100">
        <f>_xll.EQNXTDZ($A$1,$B26,M$1,$B$1)</f>
        <v>38.936</v>
      </c>
      <c r="N26" s="100">
        <f>_xll.EQNXTDZ($A$1,$B26,N$1,$B$1)</f>
        <v>54.103999999999999</v>
      </c>
      <c r="O26" s="100">
        <f>_xll.EQNXTDZ($A$1,$B26,O$1,$B$1)</f>
        <v>81.188999999999993</v>
      </c>
      <c r="P26" s="100">
        <f>_xll.EQNXTDZ($A$1,$B26,P$1,$B$1)</f>
        <v>75.257000000000005</v>
      </c>
      <c r="Q26" s="100">
        <f>_xll.EQNXTDZ($A$1,$B26,Q$1,$B$1)</f>
        <v>80.480999999999995</v>
      </c>
      <c r="R26" s="100">
        <f>_xll.EQNXTDZ($A$1,$B26,R$1,$B$1)</f>
        <v>100.04</v>
      </c>
      <c r="S26" s="100">
        <f>_xll.EQNXTDZ($A$1,$B26,S$1,$B$1)</f>
        <v>127.158</v>
      </c>
      <c r="T26" s="100">
        <f>_xll.EQNXTDZ($A$1,$B26,T$1,$B$1)</f>
        <v>167.28</v>
      </c>
      <c r="U26" s="100">
        <f>_xll.EQNXTDZ($A$1,$B26,U$1,$B$1)</f>
        <v>163.57</v>
      </c>
      <c r="V26" s="100">
        <f>_xll.EQNXTDZ($A$1,$B26,V$1,$B$1)</f>
        <v>178.39</v>
      </c>
      <c r="W26" s="100">
        <f>_xll.EQNXTDZ($A$1,$B26,W$1,$B$1)</f>
        <v>182.82</v>
      </c>
      <c r="X26" s="100">
        <f>_xll.EQNXTDZ($A$1,$B26,X$1,$B$1)</f>
        <v>261.77</v>
      </c>
      <c r="Y26" s="100">
        <f>_xll.EQNXTDZ($A$1,$B26,Y$1,$B$1)</f>
        <v>126.12</v>
      </c>
      <c r="Z26" s="100">
        <f>_xll.EQNXTDZ($A$1,$B26,Z$1,$B$1)</f>
        <v>142.6</v>
      </c>
      <c r="AA26" s="100">
        <f>_xll.EQNXTDZ($A$1,$B26,AA$1,$B$1)</f>
        <v>202.14</v>
      </c>
      <c r="AB26" s="100">
        <f>_xll.EQNXTDZ($A$1,$B26,AB$1,$B$1)</f>
        <v>276.24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0.94966980000000001</v>
      </c>
      <c r="J27" s="100">
        <f>_xll.EQNXTDZ($A$1,$B27,J$1,$B$1)</f>
        <v>1.2822612</v>
      </c>
      <c r="K27" s="100">
        <f>_xll.EQNXTDZ($A$1,$B27,K$1,$B$1)</f>
        <v>1.3697505000000001</v>
      </c>
      <c r="L27" s="100">
        <f>_xll.EQNXTDZ($A$1,$B27,L$1,$B$1)</f>
        <v>1.4215859</v>
      </c>
      <c r="M27" s="100">
        <f>_xll.EQNXTDZ($A$1,$B27,M$1,$B$1)</f>
        <v>1.3089999999999999</v>
      </c>
      <c r="N27" s="100">
        <f>_xll.EQNXTDZ($A$1,$B27,N$1,$B$1)</f>
        <v>2.0910000000000002</v>
      </c>
      <c r="O27" s="100">
        <f>_xll.EQNXTDZ($A$1,$B27,O$1,$B$1)</f>
        <v>3.3149999999999999</v>
      </c>
      <c r="P27" s="100">
        <f>_xll.EQNXTDZ($A$1,$B27,P$1,$B$1)</f>
        <v>6.3620000000000001</v>
      </c>
      <c r="Q27" s="100">
        <f>_xll.EQNXTDZ($A$1,$B27,Q$1,$B$1)</f>
        <v>12.865</v>
      </c>
      <c r="R27" s="100">
        <f>_xll.EQNXTDZ($A$1,$B27,R$1,$B$1)</f>
        <v>18.236999999999998</v>
      </c>
      <c r="S27" s="100">
        <f>_xll.EQNXTDZ($A$1,$B27,S$1,$B$1)</f>
        <v>18.050999999999998</v>
      </c>
      <c r="T27" s="100">
        <f>_xll.EQNXTDZ($A$1,$B27,T$1,$B$1)</f>
        <v>20.100000000000001</v>
      </c>
      <c r="U27" s="100">
        <f>_xll.EQNXTDZ($A$1,$B27,U$1,$B$1)</f>
        <v>26.17</v>
      </c>
      <c r="V27" s="100">
        <f>_xll.EQNXTDZ($A$1,$B27,V$1,$B$1)</f>
        <v>31.91</v>
      </c>
      <c r="W27" s="100">
        <f>_xll.EQNXTDZ($A$1,$B27,W$1,$B$1)</f>
        <v>30.28</v>
      </c>
      <c r="X27" s="100">
        <f>_xll.EQNXTDZ($A$1,$B27,X$1,$B$1)</f>
        <v>33.869999999999997</v>
      </c>
      <c r="Y27" s="100">
        <f>_xll.EQNXTDZ($A$1,$B27,Y$1,$B$1)</f>
        <v>38.71</v>
      </c>
      <c r="Z27" s="100">
        <f>_xll.EQNXTDZ($A$1,$B27,Z$1,$B$1)</f>
        <v>47.01</v>
      </c>
      <c r="AA27" s="100">
        <f>_xll.EQNXTDZ($A$1,$B27,AA$1,$B$1)</f>
        <v>55.26</v>
      </c>
      <c r="AB27" s="100">
        <f>_xll.EQNXTDZ($A$1,$B27,AB$1,$B$1)</f>
        <v>58.58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0.66</v>
      </c>
      <c r="V28" s="100">
        <f>_xll.EQNXTDZ($A$1,$B28,V$1,$B$1)</f>
        <v>0.51</v>
      </c>
      <c r="W28" s="100">
        <f>_xll.EQNXTDZ($A$1,$B28,W$1,$B$1)</f>
        <v>-7.0000000000000007E-2</v>
      </c>
      <c r="X28" s="100">
        <f>_xll.EQNXTDZ($A$1,$B28,X$1,$B$1)</f>
        <v>-0.18</v>
      </c>
      <c r="Y28" s="100">
        <f>_xll.EQNXTDZ($A$1,$B28,Y$1,$B$1)</f>
        <v>1.18</v>
      </c>
      <c r="Z28" s="100">
        <f>_xll.EQNXTDZ($A$1,$B28,Z$1,$B$1)</f>
        <v>0.39</v>
      </c>
      <c r="AA28" s="100">
        <f>_xll.EQNXTDZ($A$1,$B28,AA$1,$B$1)</f>
        <v>-1.44</v>
      </c>
      <c r="AB28" s="100">
        <f>_xll.EQNXTDZ($A$1,$B28,AB$1,$B$1)</f>
        <v>1.39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-27.433</v>
      </c>
      <c r="T29" s="100">
        <f>_xll.EQNXTDZ($A$1,$B29,T$1,$B$1)</f>
        <v>-2.19</v>
      </c>
      <c r="U29" s="100">
        <f>_xll.EQNXTDZ($A$1,$B29,U$1,$B$1)</f>
        <v>0</v>
      </c>
      <c r="V29" s="100">
        <f>_xll.EQNXTDZ($A$1,$B29,V$1,$B$1)</f>
        <v>-6.58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-6.17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0.97333510000000001</v>
      </c>
      <c r="J30" s="100">
        <f>_xll.EQNXTDZ($A$1,$B30,J$1,$B$1)</f>
        <v>9.2206065000000006</v>
      </c>
      <c r="K30" s="100">
        <f>_xll.EQNXTDZ($A$1,$B30,K$1,$B$1)</f>
        <v>4.1088893999999998</v>
      </c>
      <c r="L30" s="100">
        <f>_xll.EQNXTDZ($A$1,$B30,L$1,$B$1)</f>
        <v>9.9990962000000003</v>
      </c>
      <c r="M30" s="100">
        <f>_xll.EQNXTDZ($A$1,$B30,M$1,$B$1)</f>
        <v>12.802</v>
      </c>
      <c r="N30" s="100">
        <f>_xll.EQNXTDZ($A$1,$B30,N$1,$B$1)</f>
        <v>17.07</v>
      </c>
      <c r="O30" s="100">
        <f>_xll.EQNXTDZ($A$1,$B30,O$1,$B$1)</f>
        <v>21.055</v>
      </c>
      <c r="P30" s="100">
        <f>_xll.EQNXTDZ($A$1,$B30,P$1,$B$1)</f>
        <v>22.739000000000001</v>
      </c>
      <c r="Q30" s="100">
        <f>_xll.EQNXTDZ($A$1,$B30,Q$1,$B$1)</f>
        <v>23.577999999999999</v>
      </c>
      <c r="R30" s="100">
        <f>_xll.EQNXTDZ($A$1,$B30,R$1,$B$1)</f>
        <v>30.003</v>
      </c>
      <c r="S30" s="100">
        <f>_xll.EQNXTDZ($A$1,$B30,S$1,$B$1)</f>
        <v>38.829000000000001</v>
      </c>
      <c r="T30" s="100">
        <f>_xll.EQNXTDZ($A$1,$B30,T$1,$B$1)</f>
        <v>51.71</v>
      </c>
      <c r="U30" s="100">
        <f>_xll.EQNXTDZ($A$1,$B30,U$1,$B$1)</f>
        <v>52.92</v>
      </c>
      <c r="V30" s="100">
        <f>_xll.EQNXTDZ($A$1,$B30,V$1,$B$1)</f>
        <v>52.01</v>
      </c>
      <c r="W30" s="100">
        <f>_xll.EQNXTDZ($A$1,$B30,W$1,$B$1)</f>
        <v>39.32</v>
      </c>
      <c r="X30" s="100">
        <f>_xll.EQNXTDZ($A$1,$B30,X$1,$B$1)</f>
        <v>51.58</v>
      </c>
      <c r="Y30" s="100">
        <f>_xll.EQNXTDZ($A$1,$B30,Y$1,$B$1)</f>
        <v>24.23</v>
      </c>
      <c r="Z30" s="100">
        <f>_xll.EQNXTDZ($A$1,$B30,Z$1,$B$1)</f>
        <v>26.49</v>
      </c>
      <c r="AA30" s="100">
        <f>_xll.EQNXTDZ($A$1,$B30,AA$1,$B$1)</f>
        <v>54.69</v>
      </c>
      <c r="AB30" s="100">
        <f>_xll.EQNXTDZ($A$1,$B30,AB$1,$B$1)</f>
        <v>50.03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1.179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0.13</v>
      </c>
      <c r="Z32" s="100">
        <f>_xll.EQNXTDZ($A$1,$B32,Z$1,$B$1)</f>
        <v>1.27</v>
      </c>
      <c r="AA32" s="100">
        <f>_xll.EQNXTDZ($A$1,$B32,AA$1,$B$1)</f>
        <v>0.76</v>
      </c>
      <c r="AB32" s="100">
        <f>_xll.EQNXTDZ($A$1,$B32,AB$1,$B$1)</f>
        <v>0.19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3.4000000000000002E-2</v>
      </c>
      <c r="T34" s="100">
        <f>_xll.EQNXTDZ($A$1,$B34,T$1,$B$1)</f>
        <v>0.17</v>
      </c>
      <c r="U34" s="100">
        <f>_xll.EQNXTDZ($A$1,$B34,U$1,$B$1)</f>
        <v>0.11</v>
      </c>
      <c r="V34" s="100">
        <f>_xll.EQNXTDZ($A$1,$B34,V$1,$B$1)</f>
        <v>0.12</v>
      </c>
      <c r="W34" s="100">
        <f>_xll.EQNXTDZ($A$1,$B34,W$1,$B$1)</f>
        <v>-1.39</v>
      </c>
      <c r="X34" s="100">
        <f>_xll.EQNXTDZ($A$1,$B34,X$1,$B$1)</f>
        <v>-0.08</v>
      </c>
      <c r="Y34" s="100">
        <f>_xll.EQNXTDZ($A$1,$B34,Y$1,$B$1)</f>
        <v>1.53</v>
      </c>
      <c r="Z34" s="100">
        <f>_xll.EQNXTDZ($A$1,$B34,Z$1,$B$1)</f>
        <v>0.28999999999999998</v>
      </c>
      <c r="AA34" s="100">
        <f>_xll.EQNXTDZ($A$1,$B34,AA$1,$B$1)</f>
        <v>-0.77</v>
      </c>
      <c r="AB34" s="100">
        <f>_xll.EQNXTDZ($A$1,$B34,AB$1,$B$1)</f>
        <v>0.38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2.3112967000000002</v>
      </c>
      <c r="J35" s="100">
        <f>_xll.EQNXTDZ($A$1,$B35,J$1,$B$1)</f>
        <v>21.9031588</v>
      </c>
      <c r="K35" s="100">
        <f>_xll.EQNXTDZ($A$1,$B35,K$1,$B$1)</f>
        <v>7.6633442000000001</v>
      </c>
      <c r="L35" s="100">
        <f>_xll.EQNXTDZ($A$1,$B35,L$1,$B$1)</f>
        <v>23.135967300000001</v>
      </c>
      <c r="M35" s="100">
        <f>_xll.EQNXTDZ($A$1,$B35,M$1,$B$1)</f>
        <v>24.824999999999999</v>
      </c>
      <c r="N35" s="100">
        <f>_xll.EQNXTDZ($A$1,$B35,N$1,$B$1)</f>
        <v>34.942999999999998</v>
      </c>
      <c r="O35" s="100">
        <f>_xll.EQNXTDZ($A$1,$B35,O$1,$B$1)</f>
        <v>56.819000000000003</v>
      </c>
      <c r="P35" s="100">
        <f>_xll.EQNXTDZ($A$1,$B35,P$1,$B$1)</f>
        <v>46.155999999999999</v>
      </c>
      <c r="Q35" s="100">
        <f>_xll.EQNXTDZ($A$1,$B35,Q$1,$B$1)</f>
        <v>45.216999999999999</v>
      </c>
      <c r="R35" s="100">
        <f>_xll.EQNXTDZ($A$1,$B35,R$1,$B$1)</f>
        <v>51.8</v>
      </c>
      <c r="S35" s="100">
        <f>_xll.EQNXTDZ($A$1,$B35,S$1,$B$1)</f>
        <v>42.878999999999998</v>
      </c>
      <c r="T35" s="100">
        <f>_xll.EQNXTDZ($A$1,$B35,T$1,$B$1)</f>
        <v>93.45</v>
      </c>
      <c r="U35" s="100">
        <f>_xll.EQNXTDZ($A$1,$B35,U$1,$B$1)</f>
        <v>85.25</v>
      </c>
      <c r="V35" s="100">
        <f>_xll.EQNXTDZ($A$1,$B35,V$1,$B$1)</f>
        <v>88.52</v>
      </c>
      <c r="W35" s="100">
        <f>_xll.EQNXTDZ($A$1,$B35,W$1,$B$1)</f>
        <v>111.76</v>
      </c>
      <c r="X35" s="100">
        <f>_xll.EQNXTDZ($A$1,$B35,X$1,$B$1)</f>
        <v>176.06</v>
      </c>
      <c r="Y35" s="100">
        <f>_xll.EQNXTDZ($A$1,$B35,Y$1,$B$1)</f>
        <v>66.02</v>
      </c>
      <c r="Z35" s="100">
        <f>_xll.EQNXTDZ($A$1,$B35,Z$1,$B$1)</f>
        <v>71.05</v>
      </c>
      <c r="AA35" s="100">
        <f>_xll.EQNXTDZ($A$1,$B35,AA$1,$B$1)</f>
        <v>90.74</v>
      </c>
      <c r="AB35" s="100">
        <f>_xll.EQNXTDZ($A$1,$B35,AB$1,$B$1)</f>
        <v>163.41999999999999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10.407425</v>
      </c>
      <c r="J41" s="55">
        <f>_xll.EQNXTDZ($A$1,$B41,J$1,$B$1)</f>
        <v>10.407425</v>
      </c>
      <c r="K41" s="55">
        <f>_xll.EQNXTDZ($A$1,$B41,K$1,$B$1)</f>
        <v>11.112425</v>
      </c>
      <c r="L41" s="55">
        <f>_xll.EQNXTDZ($A$1,$B41,L$1,$B$1)</f>
        <v>10.809424999999999</v>
      </c>
      <c r="M41" s="55">
        <f>_xll.EQNXTDZ($A$1,$B41,M$1,$B$1)</f>
        <v>10.808999999999999</v>
      </c>
      <c r="N41" s="55">
        <f>_xll.EQNXTDZ($A$1,$B41,N$1,$B$1)</f>
        <v>10.808999999999999</v>
      </c>
      <c r="O41" s="55">
        <f>_xll.EQNXTDZ($A$1,$B41,O$1,$B$1)</f>
        <v>10.917999999999999</v>
      </c>
      <c r="P41" s="55">
        <f>_xll.EQNXTDZ($A$1,$B41,P$1,$B$1)</f>
        <v>10.917999999999999</v>
      </c>
      <c r="Q41" s="55">
        <f>_xll.EQNXTDZ($A$1,$B41,Q$1,$B$1)</f>
        <v>50.536000000000001</v>
      </c>
      <c r="R41" s="55">
        <f>_xll.EQNXTDZ($A$1,$B41,R$1,$B$1)</f>
        <v>53.723999999999997</v>
      </c>
      <c r="S41" s="55">
        <f>_xll.EQNXTDZ($A$1,$B41,S$1,$B$1)</f>
        <v>53.69</v>
      </c>
      <c r="T41" s="55">
        <f>_xll.EQNXTDZ($A$1,$B41,T$1,$B$1)</f>
        <v>53.72</v>
      </c>
      <c r="U41" s="55">
        <f>_xll.EQNXTDZ($A$1,$B41,U$1,$B$1)</f>
        <v>52.79</v>
      </c>
      <c r="V41" s="55">
        <f>_xll.EQNXTDZ($A$1,$B41,V$1,$B$1)</f>
        <v>52.84</v>
      </c>
      <c r="W41" s="55">
        <f>_xll.EQNXTDZ($A$1,$B41,W$1,$B$1)</f>
        <v>52.87</v>
      </c>
      <c r="X41" s="55">
        <f>_xll.EQNXTDZ($A$1,$B41,X$1,$B$1)</f>
        <v>52.9</v>
      </c>
      <c r="Y41" s="55">
        <f>_xll.EQNXTDZ($A$1,$B41,Y$1,$B$1)</f>
        <v>52.93</v>
      </c>
      <c r="Z41" s="55">
        <f>_xll.EQNXTDZ($A$1,$B41,Z$1,$B$1)</f>
        <v>52.95</v>
      </c>
      <c r="AA41" s="55">
        <f>_xll.EQNXTDZ($A$1,$B41,AA$1,$B$1)</f>
        <v>52.99</v>
      </c>
      <c r="AB41" s="55">
        <f>_xll.EQNXTDZ($A$1,$B41,AB$1,$B$1)</f>
        <v>159.16999999999999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0.81799999999999995</v>
      </c>
      <c r="R42" s="55">
        <f>_xll.EQNXTDZ($A$1,$B42,R$1,$B$1)</f>
        <v>2.5920000000000001</v>
      </c>
      <c r="S42" s="55">
        <f>_xll.EQNXTDZ($A$1,$B42,S$1,$B$1)</f>
        <v>5.0389999999999997</v>
      </c>
      <c r="T42" s="55">
        <f>_xll.EQNXTDZ($A$1,$B42,T$1,$B$1)</f>
        <v>2.82</v>
      </c>
      <c r="U42" s="55">
        <f>_xll.EQNXTDZ($A$1,$B42,U$1,$B$1)</f>
        <v>3.89</v>
      </c>
      <c r="V42" s="55">
        <f>_xll.EQNXTDZ($A$1,$B42,V$1,$B$1)</f>
        <v>3.73</v>
      </c>
      <c r="W42" s="55">
        <f>_xll.EQNXTDZ($A$1,$B42,W$1,$B$1)</f>
        <v>2.94</v>
      </c>
      <c r="X42" s="55">
        <f>_xll.EQNXTDZ($A$1,$B42,X$1,$B$1)</f>
        <v>3.44</v>
      </c>
      <c r="Y42" s="55">
        <f>_xll.EQNXTDZ($A$1,$B42,Y$1,$B$1)</f>
        <v>4.53</v>
      </c>
      <c r="Z42" s="55">
        <f>_xll.EQNXTDZ($A$1,$B42,Z$1,$B$1)</f>
        <v>4.32</v>
      </c>
      <c r="AA42" s="55">
        <f>_xll.EQNXTDZ($A$1,$B42,AA$1,$B$1)</f>
        <v>4.33</v>
      </c>
      <c r="AB42" s="55">
        <f>_xll.EQNXTDZ($A$1,$B42,AB$1,$B$1)</f>
        <v>6.73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16.519601699999999</v>
      </c>
      <c r="J43" s="55">
        <f>_xll.EQNXTDZ($A$1,$B43,J$1,$B$1)</f>
        <v>20.176686400000001</v>
      </c>
      <c r="K43" s="55">
        <f>_xll.EQNXTDZ($A$1,$B43,K$1,$B$1)</f>
        <v>46.015228700000002</v>
      </c>
      <c r="L43" s="55">
        <f>_xll.EQNXTDZ($A$1,$B43,L$1,$B$1)</f>
        <v>31.314406600000002</v>
      </c>
      <c r="M43" s="55">
        <f>_xll.EQNXTDZ($A$1,$B43,M$1,$B$1)</f>
        <v>56.723999999999997</v>
      </c>
      <c r="N43" s="55">
        <f>_xll.EQNXTDZ($A$1,$B43,N$1,$B$1)</f>
        <v>91.667000000000002</v>
      </c>
      <c r="O43" s="55">
        <f>_xll.EQNXTDZ($A$1,$B43,O$1,$B$1)</f>
        <v>149.18899999999999</v>
      </c>
      <c r="P43" s="55">
        <f>_xll.EQNXTDZ($A$1,$B43,P$1,$B$1)</f>
        <v>195.345</v>
      </c>
      <c r="Q43" s="55">
        <f>_xll.EQNXTDZ($A$1,$B43,Q$1,$B$1)</f>
        <v>225.018</v>
      </c>
      <c r="R43" s="55">
        <f>_xll.EQNXTDZ($A$1,$B43,R$1,$B$1)</f>
        <v>309.29399999999998</v>
      </c>
      <c r="S43" s="55">
        <f>_xll.EQNXTDZ($A$1,$B43,S$1,$B$1)</f>
        <v>349.07900000000001</v>
      </c>
      <c r="T43" s="55">
        <f>_xll.EQNXTDZ($A$1,$B43,T$1,$B$1)</f>
        <v>386.75</v>
      </c>
      <c r="U43" s="55">
        <f>_xll.EQNXTDZ($A$1,$B43,U$1,$B$1)</f>
        <v>378.44</v>
      </c>
      <c r="V43" s="55">
        <f>_xll.EQNXTDZ($A$1,$B43,V$1,$B$1)</f>
        <v>310.08</v>
      </c>
      <c r="W43" s="55">
        <f>_xll.EQNXTDZ($A$1,$B43,W$1,$B$1)</f>
        <v>371.47</v>
      </c>
      <c r="X43" s="55">
        <f>_xll.EQNXTDZ($A$1,$B43,X$1,$B$1)</f>
        <v>470.23</v>
      </c>
      <c r="Y43" s="55">
        <f>_xll.EQNXTDZ($A$1,$B43,Y$1,$B$1)</f>
        <v>476.84</v>
      </c>
      <c r="Z43" s="55">
        <f>_xll.EQNXTDZ($A$1,$B43,Z$1,$B$1)</f>
        <v>469.49</v>
      </c>
      <c r="AA43" s="55">
        <f>_xll.EQNXTDZ($A$1,$B43,AA$1,$B$1)</f>
        <v>489.43</v>
      </c>
      <c r="AB43" s="55">
        <f>_xll.EQNXTDZ($A$1,$B43,AB$1,$B$1)</f>
        <v>419.6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26.927026699999999</v>
      </c>
      <c r="J44" s="55">
        <f>_xll.EQNXTDZ($A$1,$B44,J$1,$B$1)</f>
        <v>30.584111400000001</v>
      </c>
      <c r="K44" s="55">
        <f>_xll.EQNXTDZ($A$1,$B44,K$1,$B$1)</f>
        <v>57.127653700000003</v>
      </c>
      <c r="L44" s="55">
        <f>_xll.EQNXTDZ($A$1,$B44,L$1,$B$1)</f>
        <v>42.123831600000003</v>
      </c>
      <c r="M44" s="55">
        <f>_xll.EQNXTDZ($A$1,$B44,M$1,$B$1)</f>
        <v>67.533000000000001</v>
      </c>
      <c r="N44" s="55">
        <f>_xll.EQNXTDZ($A$1,$B44,N$1,$B$1)</f>
        <v>102.476</v>
      </c>
      <c r="O44" s="55">
        <f>_xll.EQNXTDZ($A$1,$B44,O$1,$B$1)</f>
        <v>160.107</v>
      </c>
      <c r="P44" s="55">
        <f>_xll.EQNXTDZ($A$1,$B44,P$1,$B$1)</f>
        <v>206.26300000000001</v>
      </c>
      <c r="Q44" s="55">
        <f>_xll.EQNXTDZ($A$1,$B44,Q$1,$B$1)</f>
        <v>276.37200000000001</v>
      </c>
      <c r="R44" s="55">
        <f>_xll.EQNXTDZ($A$1,$B44,R$1,$B$1)</f>
        <v>365.61</v>
      </c>
      <c r="S44" s="55">
        <f>_xll.EQNXTDZ($A$1,$B44,S$1,$B$1)</f>
        <v>407.80799999999999</v>
      </c>
      <c r="T44" s="55">
        <f>_xll.EQNXTDZ($A$1,$B44,T$1,$B$1)</f>
        <v>443.29</v>
      </c>
      <c r="U44" s="55">
        <f>_xll.EQNXTDZ($A$1,$B44,U$1,$B$1)</f>
        <v>435.12</v>
      </c>
      <c r="V44" s="55">
        <f>_xll.EQNXTDZ($A$1,$B44,V$1,$B$1)</f>
        <v>366.65</v>
      </c>
      <c r="W44" s="55">
        <f>_xll.EQNXTDZ($A$1,$B44,W$1,$B$1)</f>
        <v>427.28</v>
      </c>
      <c r="X44" s="55">
        <f>_xll.EQNXTDZ($A$1,$B44,X$1,$B$1)</f>
        <v>526.57000000000005</v>
      </c>
      <c r="Y44" s="55">
        <f>_xll.EQNXTDZ($A$1,$B44,Y$1,$B$1)</f>
        <v>534.29999999999995</v>
      </c>
      <c r="Z44" s="55">
        <f>_xll.EQNXTDZ($A$1,$B44,Z$1,$B$1)</f>
        <v>526.76</v>
      </c>
      <c r="AA44" s="55">
        <f>_xll.EQNXTDZ($A$1,$B44,AA$1,$B$1)</f>
        <v>546.75</v>
      </c>
      <c r="AB44" s="55">
        <f>_xll.EQNXTDZ($A$1,$B44,AB$1,$B$1)</f>
        <v>585.5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36.011000000000003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0.92</v>
      </c>
      <c r="Z45" s="55">
        <f>_xll.EQNXTDZ($A$1,$B45,Z$1,$B$1)</f>
        <v>0.86</v>
      </c>
      <c r="AA45" s="55">
        <f>_xll.EQNXTDZ($A$1,$B45,AA$1,$B$1)</f>
        <v>0.3</v>
      </c>
      <c r="AB45" s="55">
        <f>_xll.EQNXTDZ($A$1,$B45,AB$1,$B$1)</f>
        <v>0.52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25</v>
      </c>
      <c r="N47" s="55">
        <f>_xll.EQNXTDZ($A$1,$B47,N$1,$B$1)</f>
        <v>25</v>
      </c>
      <c r="O47" s="55">
        <f>_xll.EQNXTDZ($A$1,$B47,O$1,$B$1)</f>
        <v>25</v>
      </c>
      <c r="P47" s="55">
        <f>_xll.EQNXTDZ($A$1,$B47,P$1,$B$1)</f>
        <v>25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0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0</v>
      </c>
      <c r="Y47" s="55">
        <f>_xll.EQNXTDZ($A$1,$B47,Y$1,$B$1)</f>
        <v>0</v>
      </c>
      <c r="Z47" s="55">
        <f>_xll.EQNXTDZ($A$1,$B47,Z$1,$B$1)</f>
        <v>10.91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25</v>
      </c>
      <c r="J48" s="55">
        <f>_xll.EQNXTDZ($A$1,$B48,J$1,$B$1)</f>
        <v>25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7.25</v>
      </c>
      <c r="T48" s="55">
        <f>_xll.EQNXTDZ($A$1,$B48,T$1,$B$1)</f>
        <v>0</v>
      </c>
      <c r="U48" s="55">
        <f>_xll.EQNXTDZ($A$1,$B48,U$1,$B$1)</f>
        <v>2.5</v>
      </c>
      <c r="V48" s="55">
        <f>_xll.EQNXTDZ($A$1,$B48,V$1,$B$1)</f>
        <v>2.5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0.32838980000000001</v>
      </c>
      <c r="J49" s="55">
        <f>_xll.EQNXTDZ($A$1,$B49,J$1,$B$1)</f>
        <v>0.25113279999999999</v>
      </c>
      <c r="K49" s="55">
        <f>_xll.EQNXTDZ($A$1,$B49,K$1,$B$1)</f>
        <v>0.18346270000000001</v>
      </c>
      <c r="L49" s="55">
        <f>_xll.EQNXTDZ($A$1,$B49,L$1,$B$1)</f>
        <v>-4.9411000000000004E-3</v>
      </c>
      <c r="M49" s="55">
        <f>_xll.EQNXTDZ($A$1,$B49,M$1,$B$1)</f>
        <v>-0.11899999999999999</v>
      </c>
      <c r="N49" s="55">
        <f>_xll.EQNXTDZ($A$1,$B49,N$1,$B$1)</f>
        <v>-0.26900000000000002</v>
      </c>
      <c r="O49" s="55">
        <f>_xll.EQNXTDZ($A$1,$B49,O$1,$B$1)</f>
        <v>7.1999999999999995E-2</v>
      </c>
      <c r="P49" s="55">
        <f>_xll.EQNXTDZ($A$1,$B49,P$1,$B$1)</f>
        <v>0.60899999999999999</v>
      </c>
      <c r="Q49" s="55">
        <f>_xll.EQNXTDZ($A$1,$B49,Q$1,$B$1)</f>
        <v>-0.86899999999999999</v>
      </c>
      <c r="R49" s="55">
        <f>_xll.EQNXTDZ($A$1,$B49,R$1,$B$1)</f>
        <v>-2.556</v>
      </c>
      <c r="S49" s="55">
        <f>_xll.EQNXTDZ($A$1,$B49,S$1,$B$1)</f>
        <v>-3.7879999999999998</v>
      </c>
      <c r="T49" s="55">
        <f>_xll.EQNXTDZ($A$1,$B49,T$1,$B$1)</f>
        <v>-5.23</v>
      </c>
      <c r="U49" s="55">
        <f>_xll.EQNXTDZ($A$1,$B49,U$1,$B$1)</f>
        <v>-5.14</v>
      </c>
      <c r="V49" s="55">
        <f>_xll.EQNXTDZ($A$1,$B49,V$1,$B$1)</f>
        <v>4.16</v>
      </c>
      <c r="W49" s="55">
        <f>_xll.EQNXTDZ($A$1,$B49,W$1,$B$1)</f>
        <v>-1.24</v>
      </c>
      <c r="X49" s="55">
        <f>_xll.EQNXTDZ($A$1,$B49,X$1,$B$1)</f>
        <v>-5.89</v>
      </c>
      <c r="Y49" s="55">
        <f>_xll.EQNXTDZ($A$1,$B49,Y$1,$B$1)</f>
        <v>-11.29</v>
      </c>
      <c r="Z49" s="55">
        <f>_xll.EQNXTDZ($A$1,$B49,Z$1,$B$1)</f>
        <v>-14.82</v>
      </c>
      <c r="AA49" s="55">
        <f>_xll.EQNXTDZ($A$1,$B49,AA$1,$B$1)</f>
        <v>-8.5299999999999994</v>
      </c>
      <c r="AB49" s="55">
        <f>_xll.EQNXTDZ($A$1,$B49,AB$1,$B$1)</f>
        <v>-15.66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3.234</v>
      </c>
      <c r="N50" s="55">
        <f>_xll.EQNXTDZ($A$1,$B50,N$1,$B$1)</f>
        <v>5.2809999999999997</v>
      </c>
      <c r="O50" s="55">
        <f>_xll.EQNXTDZ($A$1,$B50,O$1,$B$1)</f>
        <v>6.4089999999999998</v>
      </c>
      <c r="P50" s="55">
        <f>_xll.EQNXTDZ($A$1,$B50,P$1,$B$1)</f>
        <v>5.9119999999999999</v>
      </c>
      <c r="Q50" s="55">
        <f>_xll.EQNXTDZ($A$1,$B50,Q$1,$B$1)</f>
        <v>6.3780000000000001</v>
      </c>
      <c r="R50" s="55">
        <f>_xll.EQNXTDZ($A$1,$B50,R$1,$B$1)</f>
        <v>5.835</v>
      </c>
      <c r="S50" s="55">
        <f>_xll.EQNXTDZ($A$1,$B50,S$1,$B$1)</f>
        <v>0</v>
      </c>
      <c r="T50" s="55">
        <f>_xll.EQNXTDZ($A$1,$B50,T$1,$B$1)</f>
        <v>10.08</v>
      </c>
      <c r="U50" s="55">
        <f>_xll.EQNXTDZ($A$1,$B50,U$1,$B$1)</f>
        <v>9.7899999999999991</v>
      </c>
      <c r="V50" s="55">
        <f>_xll.EQNXTDZ($A$1,$B50,V$1,$B$1)</f>
        <v>5.69</v>
      </c>
      <c r="W50" s="55">
        <f>_xll.EQNXTDZ($A$1,$B50,W$1,$B$1)</f>
        <v>5.45</v>
      </c>
      <c r="X50" s="55">
        <f>_xll.EQNXTDZ($A$1,$B50,X$1,$B$1)</f>
        <v>15.7</v>
      </c>
      <c r="Y50" s="55">
        <f>_xll.EQNXTDZ($A$1,$B50,Y$1,$B$1)</f>
        <v>16.12</v>
      </c>
      <c r="Z50" s="55">
        <f>_xll.EQNXTDZ($A$1,$B50,Z$1,$B$1)</f>
        <v>11.8</v>
      </c>
      <c r="AA50" s="55">
        <f>_xll.EQNXTDZ($A$1,$B50,AA$1,$B$1)</f>
        <v>16.920000000000002</v>
      </c>
      <c r="AB50" s="55">
        <f>_xll.EQNXTDZ($A$1,$B50,AB$1,$B$1)</f>
        <v>39.18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0.65300000000000002</v>
      </c>
      <c r="N52" s="55">
        <f>_xll.EQNXTDZ($A$1,$B52,N$1,$B$1)</f>
        <v>0.88500000000000001</v>
      </c>
      <c r="O52" s="55">
        <f>_xll.EQNXTDZ($A$1,$B52,O$1,$B$1)</f>
        <v>0.97699999999999998</v>
      </c>
      <c r="P52" s="55">
        <f>_xll.EQNXTDZ($A$1,$B52,P$1,$B$1)</f>
        <v>1.5389999999999999</v>
      </c>
      <c r="Q52" s="55">
        <f>_xll.EQNXTDZ($A$1,$B52,Q$1,$B$1)</f>
        <v>3.157</v>
      </c>
      <c r="R52" s="55">
        <f>_xll.EQNXTDZ($A$1,$B52,R$1,$B$1)</f>
        <v>6.8230000000000004</v>
      </c>
      <c r="S52" s="55">
        <f>_xll.EQNXTDZ($A$1,$B52,S$1,$B$1)</f>
        <v>5.1520000000000001</v>
      </c>
      <c r="T52" s="55">
        <f>_xll.EQNXTDZ($A$1,$B52,T$1,$B$1)</f>
        <v>5.33</v>
      </c>
      <c r="U52" s="55">
        <f>_xll.EQNXTDZ($A$1,$B52,U$1,$B$1)</f>
        <v>6.72</v>
      </c>
      <c r="V52" s="55">
        <f>_xll.EQNXTDZ($A$1,$B52,V$1,$B$1)</f>
        <v>8.16</v>
      </c>
      <c r="W52" s="55">
        <f>_xll.EQNXTDZ($A$1,$B52,W$1,$B$1)</f>
        <v>13.58</v>
      </c>
      <c r="X52" s="55">
        <f>_xll.EQNXTDZ($A$1,$B52,X$1,$B$1)</f>
        <v>96.17</v>
      </c>
      <c r="Y52" s="55">
        <f>_xll.EQNXTDZ($A$1,$B52,Y$1,$B$1)</f>
        <v>143.86000000000001</v>
      </c>
      <c r="Z52" s="55">
        <f>_xll.EQNXTDZ($A$1,$B52,Z$1,$B$1)</f>
        <v>3.06</v>
      </c>
      <c r="AA52" s="55">
        <f>_xll.EQNXTDZ($A$1,$B52,AA$1,$B$1)</f>
        <v>54.76</v>
      </c>
      <c r="AB52" s="55">
        <f>_xll.EQNXTDZ($A$1,$B52,AB$1,$B$1)</f>
        <v>69.400000000000006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25.3283898</v>
      </c>
      <c r="J53" s="55">
        <f>_xll.EQNXTDZ($A$1,$B53,J$1,$B$1)</f>
        <v>25.251132800000001</v>
      </c>
      <c r="K53" s="55">
        <f>_xll.EQNXTDZ($A$1,$B53,K$1,$B$1)</f>
        <v>0.18346270000000001</v>
      </c>
      <c r="L53" s="55">
        <f>_xll.EQNXTDZ($A$1,$B53,L$1,$B$1)</f>
        <v>-4.9411000000000004E-3</v>
      </c>
      <c r="M53" s="55">
        <f>_xll.EQNXTDZ($A$1,$B53,M$1,$B$1)</f>
        <v>28.768000000000001</v>
      </c>
      <c r="N53" s="55">
        <f>_xll.EQNXTDZ($A$1,$B53,N$1,$B$1)</f>
        <v>30.896999999999998</v>
      </c>
      <c r="O53" s="55">
        <f>_xll.EQNXTDZ($A$1,$B53,O$1,$B$1)</f>
        <v>32.457999999999998</v>
      </c>
      <c r="P53" s="55">
        <f>_xll.EQNXTDZ($A$1,$B53,P$1,$B$1)</f>
        <v>33.06</v>
      </c>
      <c r="Q53" s="55">
        <f>_xll.EQNXTDZ($A$1,$B53,Q$1,$B$1)</f>
        <v>8.6660000000000004</v>
      </c>
      <c r="R53" s="55">
        <f>_xll.EQNXTDZ($A$1,$B53,R$1,$B$1)</f>
        <v>10.102</v>
      </c>
      <c r="S53" s="55">
        <f>_xll.EQNXTDZ($A$1,$B53,S$1,$B$1)</f>
        <v>8.6140000000000008</v>
      </c>
      <c r="T53" s="55">
        <f>_xll.EQNXTDZ($A$1,$B53,T$1,$B$1)</f>
        <v>10.18</v>
      </c>
      <c r="U53" s="55">
        <f>_xll.EQNXTDZ($A$1,$B53,U$1,$B$1)</f>
        <v>13.87</v>
      </c>
      <c r="V53" s="55">
        <f>_xll.EQNXTDZ($A$1,$B53,V$1,$B$1)</f>
        <v>20.51</v>
      </c>
      <c r="W53" s="55">
        <f>_xll.EQNXTDZ($A$1,$B53,W$1,$B$1)</f>
        <v>17.79</v>
      </c>
      <c r="X53" s="55">
        <f>_xll.EQNXTDZ($A$1,$B53,X$1,$B$1)</f>
        <v>105.98</v>
      </c>
      <c r="Y53" s="55">
        <f>_xll.EQNXTDZ($A$1,$B53,Y$1,$B$1)</f>
        <v>148.69</v>
      </c>
      <c r="Z53" s="55">
        <f>_xll.EQNXTDZ($A$1,$B53,Z$1,$B$1)</f>
        <v>10.95</v>
      </c>
      <c r="AA53" s="55">
        <f>_xll.EQNXTDZ($A$1,$B53,AA$1,$B$1)</f>
        <v>63.15</v>
      </c>
      <c r="AB53" s="55">
        <f>_xll.EQNXTDZ($A$1,$B53,AB$1,$B$1)</f>
        <v>92.92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3.2752748</v>
      </c>
      <c r="J54" s="55">
        <f>_xll.EQNXTDZ($A$1,$B54,J$1,$B$1)</f>
        <v>2.9756673</v>
      </c>
      <c r="K54" s="55">
        <f>_xll.EQNXTDZ($A$1,$B54,K$1,$B$1)</f>
        <v>3.9480954000000001</v>
      </c>
      <c r="L54" s="55">
        <f>_xll.EQNXTDZ($A$1,$B54,L$1,$B$1)</f>
        <v>3.2858206999999999</v>
      </c>
      <c r="M54" s="55">
        <f>_xll.EQNXTDZ($A$1,$B54,M$1,$B$1)</f>
        <v>3.5390000000000001</v>
      </c>
      <c r="N54" s="55">
        <f>_xll.EQNXTDZ($A$1,$B54,N$1,$B$1)</f>
        <v>0.55600000000000005</v>
      </c>
      <c r="O54" s="55">
        <f>_xll.EQNXTDZ($A$1,$B54,O$1,$B$1)</f>
        <v>0.20599999999999999</v>
      </c>
      <c r="P54" s="55">
        <f>_xll.EQNXTDZ($A$1,$B54,P$1,$B$1)</f>
        <v>1.514</v>
      </c>
      <c r="Q54" s="55">
        <f>_xll.EQNXTDZ($A$1,$B54,Q$1,$B$1)</f>
        <v>0.83499999999999996</v>
      </c>
      <c r="R54" s="55">
        <f>_xll.EQNXTDZ($A$1,$B54,R$1,$B$1)</f>
        <v>2.024</v>
      </c>
      <c r="S54" s="55">
        <f>_xll.EQNXTDZ($A$1,$B54,S$1,$B$1)</f>
        <v>1.296</v>
      </c>
      <c r="T54" s="55">
        <f>_xll.EQNXTDZ($A$1,$B54,T$1,$B$1)</f>
        <v>6.59</v>
      </c>
      <c r="U54" s="55">
        <f>_xll.EQNXTDZ($A$1,$B54,U$1,$B$1)</f>
        <v>7.51</v>
      </c>
      <c r="V54" s="55">
        <f>_xll.EQNXTDZ($A$1,$B54,V$1,$B$1)</f>
        <v>21.86</v>
      </c>
      <c r="W54" s="55">
        <f>_xll.EQNXTDZ($A$1,$B54,W$1,$B$1)</f>
        <v>25.01</v>
      </c>
      <c r="X54" s="55">
        <f>_xll.EQNXTDZ($A$1,$B54,X$1,$B$1)</f>
        <v>16.53</v>
      </c>
      <c r="Y54" s="55">
        <f>_xll.EQNXTDZ($A$1,$B54,Y$1,$B$1)</f>
        <v>23.99</v>
      </c>
      <c r="Z54" s="55">
        <f>_xll.EQNXTDZ($A$1,$B54,Z$1,$B$1)</f>
        <v>40.11</v>
      </c>
      <c r="AA54" s="55">
        <f>_xll.EQNXTDZ($A$1,$B54,AA$1,$B$1)</f>
        <v>76.209999999999994</v>
      </c>
      <c r="AB54" s="55">
        <f>_xll.EQNXTDZ($A$1,$B54,AB$1,$B$1)</f>
        <v>65.37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2.6960253999999999</v>
      </c>
      <c r="J55" s="55">
        <f>_xll.EQNXTDZ($A$1,$B55,J$1,$B$1)</f>
        <v>2.5565066000000001</v>
      </c>
      <c r="K55" s="55">
        <f>_xll.EQNXTDZ($A$1,$B55,K$1,$B$1)</f>
        <v>2.5683411</v>
      </c>
      <c r="L55" s="55">
        <f>_xll.EQNXTDZ($A$1,$B55,L$1,$B$1)</f>
        <v>2.9558339999999999</v>
      </c>
      <c r="M55" s="55">
        <f>_xll.EQNXTDZ($A$1,$B55,M$1,$B$1)</f>
        <v>0.72299999999999998</v>
      </c>
      <c r="N55" s="55">
        <f>_xll.EQNXTDZ($A$1,$B55,N$1,$B$1)</f>
        <v>1.8939999999999999</v>
      </c>
      <c r="O55" s="55">
        <f>_xll.EQNXTDZ($A$1,$B55,O$1,$B$1)</f>
        <v>2.6989999999999998</v>
      </c>
      <c r="P55" s="55">
        <f>_xll.EQNXTDZ($A$1,$B55,P$1,$B$1)</f>
        <v>4.4640000000000004</v>
      </c>
      <c r="Q55" s="55">
        <f>_xll.EQNXTDZ($A$1,$B55,Q$1,$B$1)</f>
        <v>4.8209999999999997</v>
      </c>
      <c r="R55" s="55">
        <f>_xll.EQNXTDZ($A$1,$B55,R$1,$B$1)</f>
        <v>10.398</v>
      </c>
      <c r="S55" s="55">
        <f>_xll.EQNXTDZ($A$1,$B55,S$1,$B$1)</f>
        <v>14.134</v>
      </c>
      <c r="T55" s="55">
        <f>_xll.EQNXTDZ($A$1,$B55,T$1,$B$1)</f>
        <v>7.51</v>
      </c>
      <c r="U55" s="55">
        <f>_xll.EQNXTDZ($A$1,$B55,U$1,$B$1)</f>
        <v>11.41</v>
      </c>
      <c r="V55" s="55">
        <f>_xll.EQNXTDZ($A$1,$B55,V$1,$B$1)</f>
        <v>58.07</v>
      </c>
      <c r="W55" s="55">
        <f>_xll.EQNXTDZ($A$1,$B55,W$1,$B$1)</f>
        <v>64.13</v>
      </c>
      <c r="X55" s="55">
        <f>_xll.EQNXTDZ($A$1,$B55,X$1,$B$1)</f>
        <v>39.86</v>
      </c>
      <c r="Y55" s="55">
        <f>_xll.EQNXTDZ($A$1,$B55,Y$1,$B$1)</f>
        <v>39.020000000000003</v>
      </c>
      <c r="Z55" s="55">
        <f>_xll.EQNXTDZ($A$1,$B55,Z$1,$B$1)</f>
        <v>44.45</v>
      </c>
      <c r="AA55" s="55">
        <f>_xll.EQNXTDZ($A$1,$B55,AA$1,$B$1)</f>
        <v>42.25</v>
      </c>
      <c r="AB55" s="55">
        <f>_xll.EQNXTDZ($A$1,$B55,AB$1,$B$1)</f>
        <v>40.700000000000003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0</v>
      </c>
      <c r="P56" s="55">
        <f>_xll.EQNXTDZ($A$1,$B56,P$1,$B$1)</f>
        <v>0</v>
      </c>
      <c r="Q56" s="55">
        <f>_xll.EQNXTDZ($A$1,$B56,Q$1,$B$1)</f>
        <v>0</v>
      </c>
      <c r="R56" s="55">
        <f>_xll.EQNXTDZ($A$1,$B56,R$1,$B$1)</f>
        <v>0</v>
      </c>
      <c r="S56" s="55">
        <f>_xll.EQNXTDZ($A$1,$B56,S$1,$B$1)</f>
        <v>0</v>
      </c>
      <c r="T56" s="55">
        <f>_xll.EQNXTDZ($A$1,$B56,T$1,$B$1)</f>
        <v>0</v>
      </c>
      <c r="U56" s="55">
        <f>_xll.EQNXTDZ($A$1,$B56,U$1,$B$1)</f>
        <v>0</v>
      </c>
      <c r="V56" s="55">
        <f>_xll.EQNXTDZ($A$1,$B56,V$1,$B$1)</f>
        <v>0</v>
      </c>
      <c r="W56" s="55">
        <f>_xll.EQNXTDZ($A$1,$B56,W$1,$B$1)</f>
        <v>0</v>
      </c>
      <c r="X56" s="55">
        <f>_xll.EQNXTDZ($A$1,$B56,X$1,$B$1)</f>
        <v>0</v>
      </c>
      <c r="Y56" s="55">
        <f>_xll.EQNXTDZ($A$1,$B56,Y$1,$B$1)</f>
        <v>0</v>
      </c>
      <c r="Z56" s="55">
        <f>_xll.EQNXTDZ($A$1,$B56,Z$1,$B$1)</f>
        <v>1.83</v>
      </c>
      <c r="AA56" s="55">
        <f>_xll.EQNXTDZ($A$1,$B56,AA$1,$B$1)</f>
        <v>0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1.6240806000000001</v>
      </c>
      <c r="J57" s="55">
        <f>_xll.EQNXTDZ($A$1,$B57,J$1,$B$1)</f>
        <v>29.1904921</v>
      </c>
      <c r="K57" s="55">
        <f>_xll.EQNXTDZ($A$1,$B57,K$1,$B$1)</f>
        <v>14.4416201</v>
      </c>
      <c r="L57" s="55">
        <f>_xll.EQNXTDZ($A$1,$B57,L$1,$B$1)</f>
        <v>23.805991800000001</v>
      </c>
      <c r="M57" s="55">
        <f>_xll.EQNXTDZ($A$1,$B57,M$1,$B$1)</f>
        <v>0.26200000000000001</v>
      </c>
      <c r="N57" s="55">
        <f>_xll.EQNXTDZ($A$1,$B57,N$1,$B$1)</f>
        <v>0.98499999999999999</v>
      </c>
      <c r="O57" s="55">
        <f>_xll.EQNXTDZ($A$1,$B57,O$1,$B$1)</f>
        <v>1.0649999999999999</v>
      </c>
      <c r="P57" s="55">
        <f>_xll.EQNXTDZ($A$1,$B57,P$1,$B$1)</f>
        <v>0.43</v>
      </c>
      <c r="Q57" s="55">
        <f>_xll.EQNXTDZ($A$1,$B57,Q$1,$B$1)</f>
        <v>1.645</v>
      </c>
      <c r="R57" s="55">
        <f>_xll.EQNXTDZ($A$1,$B57,R$1,$B$1)</f>
        <v>18.984000000000002</v>
      </c>
      <c r="S57" s="55">
        <f>_xll.EQNXTDZ($A$1,$B57,S$1,$B$1)</f>
        <v>2.1880000000000002</v>
      </c>
      <c r="T57" s="55">
        <f>_xll.EQNXTDZ($A$1,$B57,T$1,$B$1)</f>
        <v>6.2</v>
      </c>
      <c r="U57" s="55">
        <f>_xll.EQNXTDZ($A$1,$B57,U$1,$B$1)</f>
        <v>1.67</v>
      </c>
      <c r="V57" s="55">
        <f>_xll.EQNXTDZ($A$1,$B57,V$1,$B$1)</f>
        <v>1.76</v>
      </c>
      <c r="W57" s="55">
        <f>_xll.EQNXTDZ($A$1,$B57,W$1,$B$1)</f>
        <v>5.96</v>
      </c>
      <c r="X57" s="55">
        <f>_xll.EQNXTDZ($A$1,$B57,X$1,$B$1)</f>
        <v>158.87</v>
      </c>
      <c r="Y57" s="55">
        <f>_xll.EQNXTDZ($A$1,$B57,Y$1,$B$1)</f>
        <v>14.08</v>
      </c>
      <c r="Z57" s="55">
        <f>_xll.EQNXTDZ($A$1,$B57,Z$1,$B$1)</f>
        <v>4.0999999999999996</v>
      </c>
      <c r="AA57" s="55">
        <f>_xll.EQNXTDZ($A$1,$B57,AA$1,$B$1)</f>
        <v>3.38</v>
      </c>
      <c r="AB57" s="55">
        <f>_xll.EQNXTDZ($A$1,$B57,AB$1,$B$1)</f>
        <v>3.84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7.5953808</v>
      </c>
      <c r="J59" s="55">
        <f>_xll.EQNXTDZ($A$1,$B59,J$1,$B$1)</f>
        <v>34.722665999999997</v>
      </c>
      <c r="K59" s="55">
        <f>_xll.EQNXTDZ($A$1,$B59,K$1,$B$1)</f>
        <v>20.958056599999999</v>
      </c>
      <c r="L59" s="55">
        <f>_xll.EQNXTDZ($A$1,$B59,L$1,$B$1)</f>
        <v>30.047646499999999</v>
      </c>
      <c r="M59" s="55">
        <f>_xll.EQNXTDZ($A$1,$B59,M$1,$B$1)</f>
        <v>4.524</v>
      </c>
      <c r="N59" s="55">
        <f>_xll.EQNXTDZ($A$1,$B59,N$1,$B$1)</f>
        <v>3.4350000000000001</v>
      </c>
      <c r="O59" s="55">
        <f>_xll.EQNXTDZ($A$1,$B59,O$1,$B$1)</f>
        <v>3.97</v>
      </c>
      <c r="P59" s="55">
        <f>_xll.EQNXTDZ($A$1,$B59,P$1,$B$1)</f>
        <v>6.4080000000000004</v>
      </c>
      <c r="Q59" s="55">
        <f>_xll.EQNXTDZ($A$1,$B59,Q$1,$B$1)</f>
        <v>7.3010000000000002</v>
      </c>
      <c r="R59" s="55">
        <f>_xll.EQNXTDZ($A$1,$B59,R$1,$B$1)</f>
        <v>31.405999999999999</v>
      </c>
      <c r="S59" s="55">
        <f>_xll.EQNXTDZ($A$1,$B59,S$1,$B$1)</f>
        <v>17.617999999999999</v>
      </c>
      <c r="T59" s="55">
        <f>_xll.EQNXTDZ($A$1,$B59,T$1,$B$1)</f>
        <v>20.3</v>
      </c>
      <c r="U59" s="55">
        <f>_xll.EQNXTDZ($A$1,$B59,U$1,$B$1)</f>
        <v>20.59</v>
      </c>
      <c r="V59" s="55">
        <f>_xll.EQNXTDZ($A$1,$B59,V$1,$B$1)</f>
        <v>81.69</v>
      </c>
      <c r="W59" s="55">
        <f>_xll.EQNXTDZ($A$1,$B59,W$1,$B$1)</f>
        <v>95.1</v>
      </c>
      <c r="X59" s="55">
        <f>_xll.EQNXTDZ($A$1,$B59,X$1,$B$1)</f>
        <v>215.26</v>
      </c>
      <c r="Y59" s="55">
        <f>_xll.EQNXTDZ($A$1,$B59,Y$1,$B$1)</f>
        <v>77.09</v>
      </c>
      <c r="Z59" s="55">
        <f>_xll.EQNXTDZ($A$1,$B59,Z$1,$B$1)</f>
        <v>90.49</v>
      </c>
      <c r="AA59" s="55">
        <f>_xll.EQNXTDZ($A$1,$B59,AA$1,$B$1)</f>
        <v>121.84</v>
      </c>
      <c r="AB59" s="55">
        <f>_xll.EQNXTDZ($A$1,$B59,AB$1,$B$1)</f>
        <v>109.91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59.850797300000004</v>
      </c>
      <c r="J60" s="55">
        <f>_xll.EQNXTDZ($A$1,$B60,J$1,$B$1)</f>
        <v>90.557910199999995</v>
      </c>
      <c r="K60" s="55">
        <f>_xll.EQNXTDZ($A$1,$B60,K$1,$B$1)</f>
        <v>78.269172999999995</v>
      </c>
      <c r="L60" s="55">
        <f>_xll.EQNXTDZ($A$1,$B60,L$1,$B$1)</f>
        <v>72.166537000000005</v>
      </c>
      <c r="M60" s="55">
        <f>_xll.EQNXTDZ($A$1,$B60,M$1,$B$1)</f>
        <v>100.825</v>
      </c>
      <c r="N60" s="55">
        <f>_xll.EQNXTDZ($A$1,$B60,N$1,$B$1)</f>
        <v>136.80799999999999</v>
      </c>
      <c r="O60" s="55">
        <f>_xll.EQNXTDZ($A$1,$B60,O$1,$B$1)</f>
        <v>196.535</v>
      </c>
      <c r="P60" s="55">
        <f>_xll.EQNXTDZ($A$1,$B60,P$1,$B$1)</f>
        <v>245.73099999999999</v>
      </c>
      <c r="Q60" s="55">
        <f>_xll.EQNXTDZ($A$1,$B60,Q$1,$B$1)</f>
        <v>328.35</v>
      </c>
      <c r="R60" s="55">
        <f>_xll.EQNXTDZ($A$1,$B60,R$1,$B$1)</f>
        <v>407.11799999999999</v>
      </c>
      <c r="S60" s="55">
        <f>_xll.EQNXTDZ($A$1,$B60,S$1,$B$1)</f>
        <v>434.04</v>
      </c>
      <c r="T60" s="55">
        <f>_xll.EQNXTDZ($A$1,$B60,T$1,$B$1)</f>
        <v>473.77</v>
      </c>
      <c r="U60" s="55">
        <f>_xll.EQNXTDZ($A$1,$B60,U$1,$B$1)</f>
        <v>469.58</v>
      </c>
      <c r="V60" s="55">
        <f>_xll.EQNXTDZ($A$1,$B60,V$1,$B$1)</f>
        <v>468.85</v>
      </c>
      <c r="W60" s="55">
        <f>_xll.EQNXTDZ($A$1,$B60,W$1,$B$1)</f>
        <v>540.16999999999996</v>
      </c>
      <c r="X60" s="55">
        <f>_xll.EQNXTDZ($A$1,$B60,X$1,$B$1)</f>
        <v>847.81</v>
      </c>
      <c r="Y60" s="55">
        <f>_xll.EQNXTDZ($A$1,$B60,Y$1,$B$1)</f>
        <v>761</v>
      </c>
      <c r="Z60" s="55">
        <f>_xll.EQNXTDZ($A$1,$B60,Z$1,$B$1)</f>
        <v>629.05999999999995</v>
      </c>
      <c r="AA60" s="55">
        <f>_xll.EQNXTDZ($A$1,$B60,AA$1,$B$1)</f>
        <v>732.04</v>
      </c>
      <c r="AB60" s="55">
        <f>_xll.EQNXTDZ($A$1,$B60,AB$1,$B$1)</f>
        <v>788.85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17.770501899999999</v>
      </c>
      <c r="J62" s="55">
        <f>_xll.EQNXTDZ($A$1,$B62,J$1,$B$1)</f>
        <v>21.8549334</v>
      </c>
      <c r="K62" s="55">
        <f>_xll.EQNXTDZ($A$1,$B62,K$1,$B$1)</f>
        <v>25.128222999999998</v>
      </c>
      <c r="L62" s="55">
        <f>_xll.EQNXTDZ($A$1,$B62,L$1,$B$1)</f>
        <v>21.336715000000002</v>
      </c>
      <c r="M62" s="55">
        <f>_xll.EQNXTDZ($A$1,$B62,M$1,$B$1)</f>
        <v>16.402999999999999</v>
      </c>
      <c r="N62" s="55">
        <f>_xll.EQNXTDZ($A$1,$B62,N$1,$B$1)</f>
        <v>19.634</v>
      </c>
      <c r="O62" s="55">
        <f>_xll.EQNXTDZ($A$1,$B62,O$1,$B$1)</f>
        <v>75.013000000000005</v>
      </c>
      <c r="P62" s="55">
        <f>_xll.EQNXTDZ($A$1,$B62,P$1,$B$1)</f>
        <v>87.326999999999998</v>
      </c>
      <c r="Q62" s="55">
        <f>_xll.EQNXTDZ($A$1,$B62,Q$1,$B$1)</f>
        <v>237.06</v>
      </c>
      <c r="R62" s="55">
        <f>_xll.EQNXTDZ($A$1,$B62,R$1,$B$1)</f>
        <v>318.17599999999999</v>
      </c>
      <c r="S62" s="55">
        <f>_xll.EQNXTDZ($A$1,$B62,S$1,$B$1)</f>
        <v>276.72000000000003</v>
      </c>
      <c r="T62" s="55">
        <f>_xll.EQNXTDZ($A$1,$B62,T$1,$B$1)</f>
        <v>336.04</v>
      </c>
      <c r="U62" s="55">
        <f>_xll.EQNXTDZ($A$1,$B62,U$1,$B$1)</f>
        <v>355.4</v>
      </c>
      <c r="V62" s="55">
        <f>_xll.EQNXTDZ($A$1,$B62,V$1,$B$1)</f>
        <v>359.08</v>
      </c>
      <c r="W62" s="55">
        <f>_xll.EQNXTDZ($A$1,$B62,W$1,$B$1)</f>
        <v>365.93</v>
      </c>
      <c r="X62" s="55">
        <f>_xll.EQNXTDZ($A$1,$B62,X$1,$B$1)</f>
        <v>422.59</v>
      </c>
      <c r="Y62" s="55">
        <f>_xll.EQNXTDZ($A$1,$B62,Y$1,$B$1)</f>
        <v>461.1</v>
      </c>
      <c r="Z62" s="55">
        <f>_xll.EQNXTDZ($A$1,$B62,Z$1,$B$1)</f>
        <v>501.12</v>
      </c>
      <c r="AA62" s="55">
        <f>_xll.EQNXTDZ($A$1,$B62,AA$1,$B$1)</f>
        <v>542.69000000000005</v>
      </c>
      <c r="AB62" s="55">
        <f>_xll.EQNXTDZ($A$1,$B62,AB$1,$B$1)</f>
        <v>600.65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3.9537798999999998</v>
      </c>
      <c r="J63" s="55">
        <f>_xll.EQNXTDZ($A$1,$B63,J$1,$B$1)</f>
        <v>4.3166696</v>
      </c>
      <c r="K63" s="55">
        <f>_xll.EQNXTDZ($A$1,$B63,K$1,$B$1)</f>
        <v>5.5200068</v>
      </c>
      <c r="L63" s="55">
        <f>_xll.EQNXTDZ($A$1,$B63,L$1,$B$1)</f>
        <v>6.3162151</v>
      </c>
      <c r="M63" s="55">
        <f>_xll.EQNXTDZ($A$1,$B63,M$1,$B$1)</f>
        <v>0</v>
      </c>
      <c r="N63" s="55">
        <f>_xll.EQNXTDZ($A$1,$B63,N$1,$B$1)</f>
        <v>0</v>
      </c>
      <c r="O63" s="55">
        <f>_xll.EQNXTDZ($A$1,$B63,O$1,$B$1)</f>
        <v>0</v>
      </c>
      <c r="P63" s="55">
        <f>_xll.EQNXTDZ($A$1,$B63,P$1,$B$1)</f>
        <v>0</v>
      </c>
      <c r="Q63" s="55">
        <f>_xll.EQNXTDZ($A$1,$B63,Q$1,$B$1)</f>
        <v>41.05</v>
      </c>
      <c r="R63" s="55">
        <f>_xll.EQNXTDZ($A$1,$B63,R$1,$B$1)</f>
        <v>59.073</v>
      </c>
      <c r="S63" s="55">
        <f>_xll.EQNXTDZ($A$1,$B63,S$1,$B$1)</f>
        <v>18.050999999999998</v>
      </c>
      <c r="T63" s="55">
        <f>_xll.EQNXTDZ($A$1,$B63,T$1,$B$1)</f>
        <v>37.29</v>
      </c>
      <c r="U63" s="55">
        <f>_xll.EQNXTDZ($A$1,$B63,U$1,$B$1)</f>
        <v>61.1</v>
      </c>
      <c r="V63" s="55">
        <f>_xll.EQNXTDZ($A$1,$B63,V$1,$B$1)</f>
        <v>89.99</v>
      </c>
      <c r="W63" s="55">
        <f>_xll.EQNXTDZ($A$1,$B63,W$1,$B$1)</f>
        <v>112.87</v>
      </c>
      <c r="X63" s="55">
        <f>_xll.EQNXTDZ($A$1,$B63,X$1,$B$1)</f>
        <v>137.63999999999999</v>
      </c>
      <c r="Y63" s="55">
        <f>_xll.EQNXTDZ($A$1,$B63,Y$1,$B$1)</f>
        <v>167.21</v>
      </c>
      <c r="Z63" s="55">
        <f>_xll.EQNXTDZ($A$1,$B63,Z$1,$B$1)</f>
        <v>195.24</v>
      </c>
      <c r="AA63" s="55">
        <f>_xll.EQNXTDZ($A$1,$B63,AA$1,$B$1)</f>
        <v>245.48</v>
      </c>
      <c r="AB63" s="55">
        <f>_xll.EQNXTDZ($A$1,$B63,AB$1,$B$1)</f>
        <v>283.33999999999997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13.816722</v>
      </c>
      <c r="J65" s="55">
        <f>_xll.EQNXTDZ($A$1,$B65,J$1,$B$1)</f>
        <v>17.538263799999999</v>
      </c>
      <c r="K65" s="55">
        <f>_xll.EQNXTDZ($A$1,$B65,K$1,$B$1)</f>
        <v>19.608216200000001</v>
      </c>
      <c r="L65" s="55">
        <f>_xll.EQNXTDZ($A$1,$B65,L$1,$B$1)</f>
        <v>15.020499900000001</v>
      </c>
      <c r="M65" s="55">
        <f>_xll.EQNXTDZ($A$1,$B65,M$1,$B$1)</f>
        <v>16.402999999999999</v>
      </c>
      <c r="N65" s="55">
        <f>_xll.EQNXTDZ($A$1,$B65,N$1,$B$1)</f>
        <v>19.634</v>
      </c>
      <c r="O65" s="55">
        <f>_xll.EQNXTDZ($A$1,$B65,O$1,$B$1)</f>
        <v>75.013000000000005</v>
      </c>
      <c r="P65" s="55">
        <f>_xll.EQNXTDZ($A$1,$B65,P$1,$B$1)</f>
        <v>87.326999999999998</v>
      </c>
      <c r="Q65" s="55">
        <f>_xll.EQNXTDZ($A$1,$B65,Q$1,$B$1)</f>
        <v>196.01</v>
      </c>
      <c r="R65" s="55">
        <f>_xll.EQNXTDZ($A$1,$B65,R$1,$B$1)</f>
        <v>259.10300000000001</v>
      </c>
      <c r="S65" s="55">
        <f>_xll.EQNXTDZ($A$1,$B65,S$1,$B$1)</f>
        <v>258.66899999999998</v>
      </c>
      <c r="T65" s="55">
        <f>_xll.EQNXTDZ($A$1,$B65,T$1,$B$1)</f>
        <v>298.75</v>
      </c>
      <c r="U65" s="55">
        <f>_xll.EQNXTDZ($A$1,$B65,U$1,$B$1)</f>
        <v>294.3</v>
      </c>
      <c r="V65" s="55">
        <f>_xll.EQNXTDZ($A$1,$B65,V$1,$B$1)</f>
        <v>269.08999999999997</v>
      </c>
      <c r="W65" s="55">
        <f>_xll.EQNXTDZ($A$1,$B65,W$1,$B$1)</f>
        <v>253.06</v>
      </c>
      <c r="X65" s="55">
        <f>_xll.EQNXTDZ($A$1,$B65,X$1,$B$1)</f>
        <v>284.95</v>
      </c>
      <c r="Y65" s="55">
        <f>_xll.EQNXTDZ($A$1,$B65,Y$1,$B$1)</f>
        <v>293.89</v>
      </c>
      <c r="Z65" s="55">
        <f>_xll.EQNXTDZ($A$1,$B65,Z$1,$B$1)</f>
        <v>305.88</v>
      </c>
      <c r="AA65" s="55">
        <f>_xll.EQNXTDZ($A$1,$B65,AA$1,$B$1)</f>
        <v>297.20999999999998</v>
      </c>
      <c r="AB65" s="55">
        <f>_xll.EQNXTDZ($A$1,$B65,AB$1,$B$1)</f>
        <v>317.31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7.0672700000000005E-2</v>
      </c>
      <c r="J67" s="55">
        <f>_xll.EQNXTDZ($A$1,$B67,J$1,$B$1)</f>
        <v>0.1097969</v>
      </c>
      <c r="K67" s="55">
        <f>_xll.EQNXTDZ($A$1,$B67,K$1,$B$1)</f>
        <v>0</v>
      </c>
      <c r="L67" s="55">
        <f>_xll.EQNXTDZ($A$1,$B67,L$1,$B$1)</f>
        <v>0.1197387</v>
      </c>
      <c r="M67" s="55">
        <f>_xll.EQNXTDZ($A$1,$B67,M$1,$B$1)</f>
        <v>0</v>
      </c>
      <c r="N67" s="55">
        <f>_xll.EQNXTDZ($A$1,$B67,N$1,$B$1)</f>
        <v>0</v>
      </c>
      <c r="O67" s="55">
        <f>_xll.EQNXTDZ($A$1,$B67,O$1,$B$1)</f>
        <v>10.461</v>
      </c>
      <c r="P67" s="55">
        <f>_xll.EQNXTDZ($A$1,$B67,P$1,$B$1)</f>
        <v>6.4340000000000002</v>
      </c>
      <c r="Q67" s="55">
        <f>_xll.EQNXTDZ($A$1,$B67,Q$1,$B$1)</f>
        <v>5.0359999999999996</v>
      </c>
      <c r="R67" s="55">
        <f>_xll.EQNXTDZ($A$1,$B67,R$1,$B$1)</f>
        <v>1.018</v>
      </c>
      <c r="S67" s="55">
        <f>_xll.EQNXTDZ($A$1,$B67,S$1,$B$1)</f>
        <v>17.448</v>
      </c>
      <c r="T67" s="55">
        <f>_xll.EQNXTDZ($A$1,$B67,T$1,$B$1)</f>
        <v>0</v>
      </c>
      <c r="U67" s="55">
        <f>_xll.EQNXTDZ($A$1,$B67,U$1,$B$1)</f>
        <v>1.47</v>
      </c>
      <c r="V67" s="55">
        <f>_xll.EQNXTDZ($A$1,$B67,V$1,$B$1)</f>
        <v>4.93</v>
      </c>
      <c r="W67" s="55">
        <f>_xll.EQNXTDZ($A$1,$B67,W$1,$B$1)</f>
        <v>8.2799999999999994</v>
      </c>
      <c r="X67" s="55">
        <f>_xll.EQNXTDZ($A$1,$B67,X$1,$B$1)</f>
        <v>2.95</v>
      </c>
      <c r="Y67" s="55">
        <f>_xll.EQNXTDZ($A$1,$B67,Y$1,$B$1)</f>
        <v>1.61</v>
      </c>
      <c r="Z67" s="55">
        <f>_xll.EQNXTDZ($A$1,$B67,Z$1,$B$1)</f>
        <v>2.5499999999999998</v>
      </c>
      <c r="AA67" s="55">
        <f>_xll.EQNXTDZ($A$1,$B67,AA$1,$B$1)</f>
        <v>14.15</v>
      </c>
      <c r="AB67" s="55">
        <f>_xll.EQNXTDZ($A$1,$B67,AB$1,$B$1)</f>
        <v>3.07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0.51700000000000002</v>
      </c>
      <c r="R68" s="55">
        <f>_xll.EQNXTDZ($A$1,$B68,R$1,$B$1)</f>
        <v>0.375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1.4070499999999999</v>
      </c>
      <c r="J71" s="55">
        <f>_xll.EQNXTDZ($A$1,$B71,J$1,$B$1)</f>
        <v>1.4079999999999999</v>
      </c>
      <c r="K71" s="55">
        <f>_xll.EQNXTDZ($A$1,$B71,K$1,$B$1)</f>
        <v>1.4079999999999999</v>
      </c>
      <c r="L71" s="55">
        <f>_xll.EQNXTDZ($A$1,$B71,L$1,$B$1)</f>
        <v>0</v>
      </c>
      <c r="M71" s="55">
        <f>_xll.EQNXTDZ($A$1,$B71,M$1,$B$1)</f>
        <v>24</v>
      </c>
      <c r="N71" s="55">
        <f>_xll.EQNXTDZ($A$1,$B71,N$1,$B$1)</f>
        <v>24</v>
      </c>
      <c r="O71" s="55">
        <f>_xll.EQNXTDZ($A$1,$B71,O$1,$B$1)</f>
        <v>17.614999999999998</v>
      </c>
      <c r="P71" s="55">
        <f>_xll.EQNXTDZ($A$1,$B71,P$1,$B$1)</f>
        <v>17.614999999999998</v>
      </c>
      <c r="Q71" s="55">
        <f>_xll.EQNXTDZ($A$1,$B71,Q$1,$B$1)</f>
        <v>1.615</v>
      </c>
      <c r="R71" s="55">
        <f>_xll.EQNXTDZ($A$1,$B71,R$1,$B$1)</f>
        <v>1.615</v>
      </c>
      <c r="S71" s="55">
        <f>_xll.EQNXTDZ($A$1,$B71,S$1,$B$1)</f>
        <v>0</v>
      </c>
      <c r="T71" s="55">
        <f>_xll.EQNXTDZ($A$1,$B71,T$1,$B$1)</f>
        <v>20</v>
      </c>
      <c r="U71" s="55">
        <f>_xll.EQNXTDZ($A$1,$B71,U$1,$B$1)</f>
        <v>20.66</v>
      </c>
      <c r="V71" s="55">
        <f>_xll.EQNXTDZ($A$1,$B71,V$1,$B$1)</f>
        <v>21.17</v>
      </c>
      <c r="W71" s="55">
        <f>_xll.EQNXTDZ($A$1,$B71,W$1,$B$1)</f>
        <v>21.1</v>
      </c>
      <c r="X71" s="55">
        <f>_xll.EQNXTDZ($A$1,$B71,X$1,$B$1)</f>
        <v>20.92</v>
      </c>
      <c r="Y71" s="55">
        <f>_xll.EQNXTDZ($A$1,$B71,Y$1,$B$1)</f>
        <v>22.1</v>
      </c>
      <c r="Z71" s="55">
        <f>_xll.EQNXTDZ($A$1,$B71,Z$1,$B$1)</f>
        <v>25.62</v>
      </c>
      <c r="AA71" s="55">
        <f>_xll.EQNXTDZ($A$1,$B71,AA$1,$B$1)</f>
        <v>24.17</v>
      </c>
      <c r="AB71" s="55">
        <f>_xll.EQNXTDZ($A$1,$B71,AB$1,$B$1)</f>
        <v>25.14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4.4550000000000001</v>
      </c>
      <c r="N72" s="55">
        <f>_xll.EQNXTDZ($A$1,$B72,N$1,$B$1)</f>
        <v>3.3929999999999998</v>
      </c>
      <c r="O72" s="55">
        <f>_xll.EQNXTDZ($A$1,$B72,O$1,$B$1)</f>
        <v>5.3940000000000001</v>
      </c>
      <c r="P72" s="55">
        <f>_xll.EQNXTDZ($A$1,$B72,P$1,$B$1)</f>
        <v>5.6050000000000004</v>
      </c>
      <c r="Q72" s="55">
        <f>_xll.EQNXTDZ($A$1,$B72,Q$1,$B$1)</f>
        <v>14.5</v>
      </c>
      <c r="R72" s="55">
        <f>_xll.EQNXTDZ($A$1,$B72,R$1,$B$1)</f>
        <v>10.603999999999999</v>
      </c>
      <c r="S72" s="55">
        <f>_xll.EQNXTDZ($A$1,$B72,S$1,$B$1)</f>
        <v>8.2319999999999993</v>
      </c>
      <c r="T72" s="55">
        <f>_xll.EQNXTDZ($A$1,$B72,T$1,$B$1)</f>
        <v>12.69</v>
      </c>
      <c r="U72" s="55">
        <f>_xll.EQNXTDZ($A$1,$B72,U$1,$B$1)</f>
        <v>16.89</v>
      </c>
      <c r="V72" s="55">
        <f>_xll.EQNXTDZ($A$1,$B72,V$1,$B$1)</f>
        <v>18.32</v>
      </c>
      <c r="W72" s="55">
        <f>_xll.EQNXTDZ($A$1,$B72,W$1,$B$1)</f>
        <v>14.16</v>
      </c>
      <c r="X72" s="55">
        <f>_xll.EQNXTDZ($A$1,$B72,X$1,$B$1)</f>
        <v>113.48</v>
      </c>
      <c r="Y72" s="55">
        <f>_xll.EQNXTDZ($A$1,$B72,Y$1,$B$1)</f>
        <v>169.4</v>
      </c>
      <c r="Z72" s="55">
        <f>_xll.EQNXTDZ($A$1,$B72,Z$1,$B$1)</f>
        <v>15.45</v>
      </c>
      <c r="AA72" s="55">
        <f>_xll.EQNXTDZ($A$1,$B72,AA$1,$B$1)</f>
        <v>57.16</v>
      </c>
      <c r="AB72" s="55">
        <f>_xll.EQNXTDZ($A$1,$B72,AB$1,$B$1)</f>
        <v>68.790000000000006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0</v>
      </c>
      <c r="S73" s="55">
        <f>_xll.EQNXTDZ($A$1,$B73,S$1,$B$1)</f>
        <v>0.158</v>
      </c>
      <c r="T73" s="55">
        <f>_xll.EQNXTDZ($A$1,$B73,T$1,$B$1)</f>
        <v>0.23</v>
      </c>
      <c r="U73" s="55">
        <f>_xll.EQNXTDZ($A$1,$B73,U$1,$B$1)</f>
        <v>0.24</v>
      </c>
      <c r="V73" s="55">
        <f>_xll.EQNXTDZ($A$1,$B73,V$1,$B$1)</f>
        <v>3.09</v>
      </c>
      <c r="W73" s="55">
        <f>_xll.EQNXTDZ($A$1,$B73,W$1,$B$1)</f>
        <v>3.13</v>
      </c>
      <c r="X73" s="55">
        <f>_xll.EQNXTDZ($A$1,$B73,X$1,$B$1)</f>
        <v>4.75</v>
      </c>
      <c r="Y73" s="55">
        <f>_xll.EQNXTDZ($A$1,$B73,Y$1,$B$1)</f>
        <v>1.07</v>
      </c>
      <c r="Z73" s="55">
        <f>_xll.EQNXTDZ($A$1,$B73,Z$1,$B$1)</f>
        <v>1.05</v>
      </c>
      <c r="AA73" s="55">
        <f>_xll.EQNXTDZ($A$1,$B73,AA$1,$B$1)</f>
        <v>1.63</v>
      </c>
      <c r="AB73" s="55">
        <f>_xll.EQNXTDZ($A$1,$B73,AB$1,$B$1)</f>
        <v>2.25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15.2944447</v>
      </c>
      <c r="J74" s="55">
        <f>_xll.EQNXTDZ($A$1,$B74,J$1,$B$1)</f>
        <v>19.0560607</v>
      </c>
      <c r="K74" s="55">
        <f>_xll.EQNXTDZ($A$1,$B74,K$1,$B$1)</f>
        <v>21.016216199999999</v>
      </c>
      <c r="L74" s="55">
        <f>_xll.EQNXTDZ($A$1,$B74,L$1,$B$1)</f>
        <v>15.1402386</v>
      </c>
      <c r="M74" s="55">
        <f>_xll.EQNXTDZ($A$1,$B74,M$1,$B$1)</f>
        <v>44.857999999999997</v>
      </c>
      <c r="N74" s="55">
        <f>_xll.EQNXTDZ($A$1,$B74,N$1,$B$1)</f>
        <v>47.027000000000001</v>
      </c>
      <c r="O74" s="55">
        <f>_xll.EQNXTDZ($A$1,$B74,O$1,$B$1)</f>
        <v>108.483</v>
      </c>
      <c r="P74" s="55">
        <f>_xll.EQNXTDZ($A$1,$B74,P$1,$B$1)</f>
        <v>116.98099999999999</v>
      </c>
      <c r="Q74" s="55">
        <f>_xll.EQNXTDZ($A$1,$B74,Q$1,$B$1)</f>
        <v>217.678</v>
      </c>
      <c r="R74" s="55">
        <f>_xll.EQNXTDZ($A$1,$B74,R$1,$B$1)</f>
        <v>272.71499999999997</v>
      </c>
      <c r="S74" s="55">
        <f>_xll.EQNXTDZ($A$1,$B74,S$1,$B$1)</f>
        <v>284.50700000000001</v>
      </c>
      <c r="T74" s="55">
        <f>_xll.EQNXTDZ($A$1,$B74,T$1,$B$1)</f>
        <v>331.67</v>
      </c>
      <c r="U74" s="55">
        <f>_xll.EQNXTDZ($A$1,$B74,U$1,$B$1)</f>
        <v>333.56</v>
      </c>
      <c r="V74" s="55">
        <f>_xll.EQNXTDZ($A$1,$B74,V$1,$B$1)</f>
        <v>316.60000000000002</v>
      </c>
      <c r="W74" s="55">
        <f>_xll.EQNXTDZ($A$1,$B74,W$1,$B$1)</f>
        <v>299.73</v>
      </c>
      <c r="X74" s="55">
        <f>_xll.EQNXTDZ($A$1,$B74,X$1,$B$1)</f>
        <v>427.05</v>
      </c>
      <c r="Y74" s="55">
        <f>_xll.EQNXTDZ($A$1,$B74,Y$1,$B$1)</f>
        <v>488.07</v>
      </c>
      <c r="Z74" s="55">
        <f>_xll.EQNXTDZ($A$1,$B74,Z$1,$B$1)</f>
        <v>350.55</v>
      </c>
      <c r="AA74" s="55">
        <f>_xll.EQNXTDZ($A$1,$B74,AA$1,$B$1)</f>
        <v>394.32</v>
      </c>
      <c r="AB74" s="55">
        <f>_xll.EQNXTDZ($A$1,$B74,AB$1,$B$1)</f>
        <v>416.56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0.26882499999999998</v>
      </c>
      <c r="K75" s="55">
        <f>_xll.EQNXTDZ($A$1,$B75,K$1,$B$1)</f>
        <v>0.26882499999999998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59.603000000000002</v>
      </c>
      <c r="P75" s="55">
        <f>_xll.EQNXTDZ($A$1,$B75,P$1,$B$1)</f>
        <v>101.392</v>
      </c>
      <c r="Q75" s="55">
        <f>_xll.EQNXTDZ($A$1,$B75,Q$1,$B$1)</f>
        <v>84.301000000000002</v>
      </c>
      <c r="R75" s="55">
        <f>_xll.EQNXTDZ($A$1,$B75,R$1,$B$1)</f>
        <v>91.631</v>
      </c>
      <c r="S75" s="55">
        <f>_xll.EQNXTDZ($A$1,$B75,S$1,$B$1)</f>
        <v>104.15900000000001</v>
      </c>
      <c r="T75" s="55">
        <f>_xll.EQNXTDZ($A$1,$B75,T$1,$B$1)</f>
        <v>100.1</v>
      </c>
      <c r="U75" s="55">
        <f>_xll.EQNXTDZ($A$1,$B75,U$1,$B$1)</f>
        <v>74.64</v>
      </c>
      <c r="V75" s="55">
        <f>_xll.EQNXTDZ($A$1,$B75,V$1,$B$1)</f>
        <v>69.03</v>
      </c>
      <c r="W75" s="55">
        <f>_xll.EQNXTDZ($A$1,$B75,W$1,$B$1)</f>
        <v>104.49</v>
      </c>
      <c r="X75" s="55">
        <f>_xll.EQNXTDZ($A$1,$B75,X$1,$B$1)</f>
        <v>125.21</v>
      </c>
      <c r="Y75" s="55">
        <f>_xll.EQNXTDZ($A$1,$B75,Y$1,$B$1)</f>
        <v>122.3</v>
      </c>
      <c r="Z75" s="55">
        <f>_xll.EQNXTDZ($A$1,$B75,Z$1,$B$1)</f>
        <v>136.75</v>
      </c>
      <c r="AA75" s="55">
        <f>_xll.EQNXTDZ($A$1,$B75,AA$1,$B$1)</f>
        <v>137.36000000000001</v>
      </c>
      <c r="AB75" s="55">
        <f>_xll.EQNXTDZ($A$1,$B75,AB$1,$B$1)</f>
        <v>151.5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2.3098105000000002</v>
      </c>
      <c r="J76" s="55">
        <f>_xll.EQNXTDZ($A$1,$B76,J$1,$B$1)</f>
        <v>3.0263909</v>
      </c>
      <c r="K76" s="55">
        <f>_xll.EQNXTDZ($A$1,$B76,K$1,$B$1)</f>
        <v>3.4157829999999998</v>
      </c>
      <c r="L76" s="55">
        <f>_xll.EQNXTDZ($A$1,$B76,L$1,$B$1)</f>
        <v>2.4854639000000001</v>
      </c>
      <c r="M76" s="55">
        <f>_xll.EQNXTDZ($A$1,$B76,M$1,$B$1)</f>
        <v>4.0019999999999998</v>
      </c>
      <c r="N76" s="55">
        <f>_xll.EQNXTDZ($A$1,$B76,N$1,$B$1)</f>
        <v>5.0970000000000004</v>
      </c>
      <c r="O76" s="55">
        <f>_xll.EQNXTDZ($A$1,$B76,O$1,$B$1)</f>
        <v>5.2450000000000001</v>
      </c>
      <c r="P76" s="55">
        <f>_xll.EQNXTDZ($A$1,$B76,P$1,$B$1)</f>
        <v>6.2949999999999999</v>
      </c>
      <c r="Q76" s="55">
        <f>_xll.EQNXTDZ($A$1,$B76,Q$1,$B$1)</f>
        <v>7.3659999999999997</v>
      </c>
      <c r="R76" s="55">
        <f>_xll.EQNXTDZ($A$1,$B76,R$1,$B$1)</f>
        <v>10.717000000000001</v>
      </c>
      <c r="S76" s="55">
        <f>_xll.EQNXTDZ($A$1,$B76,S$1,$B$1)</f>
        <v>14.497999999999999</v>
      </c>
      <c r="T76" s="55">
        <f>_xll.EQNXTDZ($A$1,$B76,T$1,$B$1)</f>
        <v>17.05</v>
      </c>
      <c r="U76" s="55">
        <f>_xll.EQNXTDZ($A$1,$B76,U$1,$B$1)</f>
        <v>18.079999999999998</v>
      </c>
      <c r="V76" s="55">
        <f>_xll.EQNXTDZ($A$1,$B76,V$1,$B$1)</f>
        <v>20.62</v>
      </c>
      <c r="W76" s="55">
        <f>_xll.EQNXTDZ($A$1,$B76,W$1,$B$1)</f>
        <v>23.36</v>
      </c>
      <c r="X76" s="55">
        <f>_xll.EQNXTDZ($A$1,$B76,X$1,$B$1)</f>
        <v>24.53</v>
      </c>
      <c r="Y76" s="55">
        <f>_xll.EQNXTDZ($A$1,$B76,Y$1,$B$1)</f>
        <v>27.67</v>
      </c>
      <c r="Z76" s="55">
        <f>_xll.EQNXTDZ($A$1,$B76,Z$1,$B$1)</f>
        <v>47.52</v>
      </c>
      <c r="AA76" s="55">
        <f>_xll.EQNXTDZ($A$1,$B76,AA$1,$B$1)</f>
        <v>46.54</v>
      </c>
      <c r="AB76" s="55">
        <f>_xll.EQNXTDZ($A$1,$B76,AB$1,$B$1)</f>
        <v>48.46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5.5359255999999997</v>
      </c>
      <c r="J77" s="55">
        <f>_xll.EQNXTDZ($A$1,$B77,J$1,$B$1)</f>
        <v>2.4613976000000002</v>
      </c>
      <c r="K77" s="55">
        <f>_xll.EQNXTDZ($A$1,$B77,K$1,$B$1)</f>
        <v>1.4401482000000001</v>
      </c>
      <c r="L77" s="55">
        <f>_xll.EQNXTDZ($A$1,$B77,L$1,$B$1)</f>
        <v>1.7908550999999999</v>
      </c>
      <c r="M77" s="55">
        <f>_xll.EQNXTDZ($A$1,$B77,M$1,$B$1)</f>
        <v>2.9569999999999999</v>
      </c>
      <c r="N77" s="55">
        <f>_xll.EQNXTDZ($A$1,$B77,N$1,$B$1)</f>
        <v>3.4329999999999998</v>
      </c>
      <c r="O77" s="55">
        <f>_xll.EQNXTDZ($A$1,$B77,O$1,$B$1)</f>
        <v>3.3330000000000002</v>
      </c>
      <c r="P77" s="55">
        <f>_xll.EQNXTDZ($A$1,$B77,P$1,$B$1)</f>
        <v>4.9059999999999997</v>
      </c>
      <c r="Q77" s="55">
        <f>_xll.EQNXTDZ($A$1,$B77,Q$1,$B$1)</f>
        <v>4.9119999999999999</v>
      </c>
      <c r="R77" s="55">
        <f>_xll.EQNXTDZ($A$1,$B77,R$1,$B$1)</f>
        <v>7.5049999999999999</v>
      </c>
      <c r="S77" s="55">
        <f>_xll.EQNXTDZ($A$1,$B77,S$1,$B$1)</f>
        <v>6.2750000000000004</v>
      </c>
      <c r="T77" s="55">
        <f>_xll.EQNXTDZ($A$1,$B77,T$1,$B$1)</f>
        <v>9.5399999999999991</v>
      </c>
      <c r="U77" s="55">
        <f>_xll.EQNXTDZ($A$1,$B77,U$1,$B$1)</f>
        <v>12.16</v>
      </c>
      <c r="V77" s="55">
        <f>_xll.EQNXTDZ($A$1,$B77,V$1,$B$1)</f>
        <v>16.3</v>
      </c>
      <c r="W77" s="55">
        <f>_xll.EQNXTDZ($A$1,$B77,W$1,$B$1)</f>
        <v>44.68</v>
      </c>
      <c r="X77" s="55">
        <f>_xll.EQNXTDZ($A$1,$B77,X$1,$B$1)</f>
        <v>93.2</v>
      </c>
      <c r="Y77" s="55">
        <f>_xll.EQNXTDZ($A$1,$B77,Y$1,$B$1)</f>
        <v>85.11</v>
      </c>
      <c r="Z77" s="55">
        <f>_xll.EQNXTDZ($A$1,$B77,Z$1,$B$1)</f>
        <v>43.47</v>
      </c>
      <c r="AA77" s="55">
        <f>_xll.EQNXTDZ($A$1,$B77,AA$1,$B$1)</f>
        <v>73</v>
      </c>
      <c r="AB77" s="55">
        <f>_xll.EQNXTDZ($A$1,$B77,AB$1,$B$1)</f>
        <v>73.88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7.8436633999999996</v>
      </c>
      <c r="J78" s="55">
        <f>_xll.EQNXTDZ($A$1,$B78,J$1,$B$1)</f>
        <v>11.8271768</v>
      </c>
      <c r="K78" s="55">
        <f>_xll.EQNXTDZ($A$1,$B78,K$1,$B$1)</f>
        <v>3.6512984999999998</v>
      </c>
      <c r="L78" s="55">
        <f>_xll.EQNXTDZ($A$1,$B78,L$1,$B$1)</f>
        <v>8.4658485999999993</v>
      </c>
      <c r="M78" s="55">
        <f>_xll.EQNXTDZ($A$1,$B78,M$1,$B$1)</f>
        <v>40.040999999999997</v>
      </c>
      <c r="N78" s="55">
        <f>_xll.EQNXTDZ($A$1,$B78,N$1,$B$1)</f>
        <v>59.030999999999999</v>
      </c>
      <c r="O78" s="55">
        <f>_xll.EQNXTDZ($A$1,$B78,O$1,$B$1)</f>
        <v>17.53</v>
      </c>
      <c r="P78" s="55">
        <f>_xll.EQNXTDZ($A$1,$B78,P$1,$B$1)</f>
        <v>11.901999999999999</v>
      </c>
      <c r="Q78" s="55">
        <f>_xll.EQNXTDZ($A$1,$B78,Q$1,$B$1)</f>
        <v>5.0750000000000002</v>
      </c>
      <c r="R78" s="55">
        <f>_xll.EQNXTDZ($A$1,$B78,R$1,$B$1)</f>
        <v>10.295</v>
      </c>
      <c r="S78" s="55">
        <f>_xll.EQNXTDZ($A$1,$B78,S$1,$B$1)</f>
        <v>11.794</v>
      </c>
      <c r="T78" s="55">
        <f>_xll.EQNXTDZ($A$1,$B78,T$1,$B$1)</f>
        <v>11.86</v>
      </c>
      <c r="U78" s="55">
        <f>_xll.EQNXTDZ($A$1,$B78,U$1,$B$1)</f>
        <v>9.6</v>
      </c>
      <c r="V78" s="55">
        <f>_xll.EQNXTDZ($A$1,$B78,V$1,$B$1)</f>
        <v>11.07</v>
      </c>
      <c r="W78" s="55">
        <f>_xll.EQNXTDZ($A$1,$B78,W$1,$B$1)</f>
        <v>15.73</v>
      </c>
      <c r="X78" s="55">
        <f>_xll.EQNXTDZ($A$1,$B78,X$1,$B$1)</f>
        <v>13.91</v>
      </c>
      <c r="Y78" s="55">
        <f>_xll.EQNXTDZ($A$1,$B78,Y$1,$B$1)</f>
        <v>28.47</v>
      </c>
      <c r="Z78" s="55">
        <f>_xll.EQNXTDZ($A$1,$B78,Z$1,$B$1)</f>
        <v>39.89</v>
      </c>
      <c r="AA78" s="55">
        <f>_xll.EQNXTDZ($A$1,$B78,AA$1,$B$1)</f>
        <v>54.48</v>
      </c>
      <c r="AB78" s="55">
        <f>_xll.EQNXTDZ($A$1,$B78,AB$1,$B$1)</f>
        <v>68.16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1.1060000000000001</v>
      </c>
      <c r="N79" s="55">
        <f>_xll.EQNXTDZ($A$1,$B79,N$1,$B$1)</f>
        <v>0.38</v>
      </c>
      <c r="O79" s="55">
        <f>_xll.EQNXTDZ($A$1,$B79,O$1,$B$1)</f>
        <v>0.72799999999999998</v>
      </c>
      <c r="P79" s="55">
        <f>_xll.EQNXTDZ($A$1,$B79,P$1,$B$1)</f>
        <v>0.28199999999999997</v>
      </c>
      <c r="Q79" s="55">
        <f>_xll.EQNXTDZ($A$1,$B79,Q$1,$B$1)</f>
        <v>2.4049999999999998</v>
      </c>
      <c r="R79" s="55">
        <f>_xll.EQNXTDZ($A$1,$B79,R$1,$B$1)</f>
        <v>7.407</v>
      </c>
      <c r="S79" s="55">
        <f>_xll.EQNXTDZ($A$1,$B79,S$1,$B$1)</f>
        <v>5.2430000000000003</v>
      </c>
      <c r="T79" s="55">
        <f>_xll.EQNXTDZ($A$1,$B79,T$1,$B$1)</f>
        <v>1.68</v>
      </c>
      <c r="U79" s="55">
        <f>_xll.EQNXTDZ($A$1,$B79,U$1,$B$1)</f>
        <v>1.1200000000000001</v>
      </c>
      <c r="V79" s="55">
        <f>_xll.EQNXTDZ($A$1,$B79,V$1,$B$1)</f>
        <v>1.27</v>
      </c>
      <c r="W79" s="55">
        <f>_xll.EQNXTDZ($A$1,$B79,W$1,$B$1)</f>
        <v>7.31</v>
      </c>
      <c r="X79" s="55">
        <f>_xll.EQNXTDZ($A$1,$B79,X$1,$B$1)</f>
        <v>2.44</v>
      </c>
      <c r="Y79" s="55">
        <f>_xll.EQNXTDZ($A$1,$B79,Y$1,$B$1)</f>
        <v>3.11</v>
      </c>
      <c r="Z79" s="55">
        <f>_xll.EQNXTDZ($A$1,$B79,Z$1,$B$1)</f>
        <v>3.39</v>
      </c>
      <c r="AA79" s="55">
        <f>_xll.EQNXTDZ($A$1,$B79,AA$1,$B$1)</f>
        <v>12.9</v>
      </c>
      <c r="AB79" s="55">
        <f>_xll.EQNXTDZ($A$1,$B79,AB$1,$B$1)</f>
        <v>13.48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28.810276099999999</v>
      </c>
      <c r="J80" s="55">
        <f>_xll.EQNXTDZ($A$1,$B80,J$1,$B$1)</f>
        <v>53.879570600000001</v>
      </c>
      <c r="K80" s="55">
        <f>_xll.EQNXTDZ($A$1,$B80,K$1,$B$1)</f>
        <v>48.450961900000003</v>
      </c>
      <c r="L80" s="55">
        <f>_xll.EQNXTDZ($A$1,$B80,L$1,$B$1)</f>
        <v>44.277788999999999</v>
      </c>
      <c r="M80" s="55">
        <f>_xll.EQNXTDZ($A$1,$B80,M$1,$B$1)</f>
        <v>7.8609999999999998</v>
      </c>
      <c r="N80" s="55">
        <f>_xll.EQNXTDZ($A$1,$B80,N$1,$B$1)</f>
        <v>21.84</v>
      </c>
      <c r="O80" s="55">
        <f>_xll.EQNXTDZ($A$1,$B80,O$1,$B$1)</f>
        <v>1.613</v>
      </c>
      <c r="P80" s="55">
        <f>_xll.EQNXTDZ($A$1,$B80,P$1,$B$1)</f>
        <v>3.9729999999999999</v>
      </c>
      <c r="Q80" s="55">
        <f>_xll.EQNXTDZ($A$1,$B80,Q$1,$B$1)</f>
        <v>6.6130000000000004</v>
      </c>
      <c r="R80" s="55">
        <f>_xll.EQNXTDZ($A$1,$B80,R$1,$B$1)</f>
        <v>6.8479999999999999</v>
      </c>
      <c r="S80" s="55">
        <f>_xll.EQNXTDZ($A$1,$B80,S$1,$B$1)</f>
        <v>7.5640000000000001</v>
      </c>
      <c r="T80" s="55">
        <f>_xll.EQNXTDZ($A$1,$B80,T$1,$B$1)</f>
        <v>1.87</v>
      </c>
      <c r="U80" s="55">
        <f>_xll.EQNXTDZ($A$1,$B80,U$1,$B$1)</f>
        <v>1.66</v>
      </c>
      <c r="V80" s="55">
        <f>_xll.EQNXTDZ($A$1,$B80,V$1,$B$1)</f>
        <v>2.82</v>
      </c>
      <c r="W80" s="55">
        <f>_xll.EQNXTDZ($A$1,$B80,W$1,$B$1)</f>
        <v>4.5199999999999996</v>
      </c>
      <c r="X80" s="55">
        <f>_xll.EQNXTDZ($A$1,$B80,X$1,$B$1)</f>
        <v>161.47</v>
      </c>
      <c r="Y80" s="55">
        <f>_xll.EQNXTDZ($A$1,$B80,Y$1,$B$1)</f>
        <v>6.27</v>
      </c>
      <c r="Z80" s="55">
        <f>_xll.EQNXTDZ($A$1,$B80,Z$1,$B$1)</f>
        <v>7.49</v>
      </c>
      <c r="AA80" s="55">
        <f>_xll.EQNXTDZ($A$1,$B80,AA$1,$B$1)</f>
        <v>13.44</v>
      </c>
      <c r="AB80" s="55">
        <f>_xll.EQNXTDZ($A$1,$B80,AB$1,$B$1)</f>
        <v>16.809999999999999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18.760000000000002</v>
      </c>
      <c r="V81" s="55">
        <f>_xll.EQNXTDZ($A$1,$B81,V$1,$B$1)</f>
        <v>31.14</v>
      </c>
      <c r="W81" s="55">
        <f>_xll.EQNXTDZ($A$1,$B81,W$1,$B$1)</f>
        <v>40.35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44.499675600000003</v>
      </c>
      <c r="J82" s="55">
        <f>_xll.EQNXTDZ($A$1,$B82,J$1,$B$1)</f>
        <v>71.463360899999998</v>
      </c>
      <c r="K82" s="55">
        <f>_xll.EQNXTDZ($A$1,$B82,K$1,$B$1)</f>
        <v>57.227016599999999</v>
      </c>
      <c r="L82" s="55">
        <f>_xll.EQNXTDZ($A$1,$B82,L$1,$B$1)</f>
        <v>57.0199566</v>
      </c>
      <c r="M82" s="55">
        <f>_xll.EQNXTDZ($A$1,$B82,M$1,$B$1)</f>
        <v>55.966999999999999</v>
      </c>
      <c r="N82" s="55">
        <f>_xll.EQNXTDZ($A$1,$B82,N$1,$B$1)</f>
        <v>89.781000000000006</v>
      </c>
      <c r="O82" s="55">
        <f>_xll.EQNXTDZ($A$1,$B82,O$1,$B$1)</f>
        <v>88.052000000000007</v>
      </c>
      <c r="P82" s="55">
        <f>_xll.EQNXTDZ($A$1,$B82,P$1,$B$1)</f>
        <v>128.75</v>
      </c>
      <c r="Q82" s="55">
        <f>_xll.EQNXTDZ($A$1,$B82,Q$1,$B$1)</f>
        <v>110.672</v>
      </c>
      <c r="R82" s="55">
        <f>_xll.EQNXTDZ($A$1,$B82,R$1,$B$1)</f>
        <v>134.40299999999999</v>
      </c>
      <c r="S82" s="55">
        <f>_xll.EQNXTDZ($A$1,$B82,S$1,$B$1)</f>
        <v>149.53299999999999</v>
      </c>
      <c r="T82" s="55">
        <f>_xll.EQNXTDZ($A$1,$B82,T$1,$B$1)</f>
        <v>142.1</v>
      </c>
      <c r="U82" s="55">
        <f>_xll.EQNXTDZ($A$1,$B82,U$1,$B$1)</f>
        <v>117.26</v>
      </c>
      <c r="V82" s="55">
        <f>_xll.EQNXTDZ($A$1,$B82,V$1,$B$1)</f>
        <v>121.11</v>
      </c>
      <c r="W82" s="55">
        <f>_xll.EQNXTDZ($A$1,$B82,W$1,$B$1)</f>
        <v>200.09</v>
      </c>
      <c r="X82" s="55">
        <f>_xll.EQNXTDZ($A$1,$B82,X$1,$B$1)</f>
        <v>420.76</v>
      </c>
      <c r="Y82" s="55">
        <f>_xll.EQNXTDZ($A$1,$B82,Y$1,$B$1)</f>
        <v>272.93</v>
      </c>
      <c r="Z82" s="55">
        <f>_xll.EQNXTDZ($A$1,$B82,Z$1,$B$1)</f>
        <v>278.51</v>
      </c>
      <c r="AA82" s="55">
        <f>_xll.EQNXTDZ($A$1,$B82,AA$1,$B$1)</f>
        <v>337.72</v>
      </c>
      <c r="AB82" s="55">
        <f>_xll.EQNXTDZ($A$1,$B82,AB$1,$B$1)</f>
        <v>372.29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5.6676999999999998E-2</v>
      </c>
      <c r="J83" s="55">
        <f>_xll.EQNXTDZ($A$1,$B83,J$1,$B$1)</f>
        <v>3.8488599999999998E-2</v>
      </c>
      <c r="K83" s="55">
        <f>_xll.EQNXTDZ($A$1,$B83,K$1,$B$1)</f>
        <v>2.59402E-2</v>
      </c>
      <c r="L83" s="55">
        <f>_xll.EQNXTDZ($A$1,$B83,L$1,$B$1)</f>
        <v>6.3417999999999999E-3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59.850797300000004</v>
      </c>
      <c r="J84" s="55">
        <f>_xll.EQNXTDZ($A$1,$B84,J$1,$B$1)</f>
        <v>90.557910199999995</v>
      </c>
      <c r="K84" s="55">
        <f>_xll.EQNXTDZ($A$1,$B84,K$1,$B$1)</f>
        <v>78.269172999999995</v>
      </c>
      <c r="L84" s="55">
        <f>_xll.EQNXTDZ($A$1,$B84,L$1,$B$1)</f>
        <v>72.166537000000005</v>
      </c>
      <c r="M84" s="55">
        <f>_xll.EQNXTDZ($A$1,$B84,M$1,$B$1)</f>
        <v>100.825</v>
      </c>
      <c r="N84" s="55">
        <f>_xll.EQNXTDZ($A$1,$B84,N$1,$B$1)</f>
        <v>136.80799999999999</v>
      </c>
      <c r="O84" s="55">
        <f>_xll.EQNXTDZ($A$1,$B84,O$1,$B$1)</f>
        <v>196.535</v>
      </c>
      <c r="P84" s="55">
        <f>_xll.EQNXTDZ($A$1,$B84,P$1,$B$1)</f>
        <v>245.73099999999999</v>
      </c>
      <c r="Q84" s="55">
        <f>_xll.EQNXTDZ($A$1,$B84,Q$1,$B$1)</f>
        <v>328.35</v>
      </c>
      <c r="R84" s="55">
        <f>_xll.EQNXTDZ($A$1,$B84,R$1,$B$1)</f>
        <v>407.11799999999999</v>
      </c>
      <c r="S84" s="55">
        <f>_xll.EQNXTDZ($A$1,$B84,S$1,$B$1)</f>
        <v>434.04</v>
      </c>
      <c r="T84" s="55">
        <f>_xll.EQNXTDZ($A$1,$B84,T$1,$B$1)</f>
        <v>473.77</v>
      </c>
      <c r="U84" s="55">
        <f>_xll.EQNXTDZ($A$1,$B84,U$1,$B$1)</f>
        <v>469.58</v>
      </c>
      <c r="V84" s="55">
        <f>_xll.EQNXTDZ($A$1,$B84,V$1,$B$1)</f>
        <v>468.85</v>
      </c>
      <c r="W84" s="55">
        <f>_xll.EQNXTDZ($A$1,$B84,W$1,$B$1)</f>
        <v>540.16999999999996</v>
      </c>
      <c r="X84" s="55">
        <f>_xll.EQNXTDZ($A$1,$B84,X$1,$B$1)</f>
        <v>847.81</v>
      </c>
      <c r="Y84" s="55">
        <f>_xll.EQNXTDZ($A$1,$B84,Y$1,$B$1)</f>
        <v>761</v>
      </c>
      <c r="Z84" s="55">
        <f>_xll.EQNXTDZ($A$1,$B84,Z$1,$B$1)</f>
        <v>629.05999999999995</v>
      </c>
      <c r="AA84" s="55">
        <f>_xll.EQNXTDZ($A$1,$B84,AA$1,$B$1)</f>
        <v>732.04</v>
      </c>
      <c r="AB84" s="55">
        <f>_xll.EQNXTDZ($A$1,$B84,AB$1,$B$1)</f>
        <v>788.85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1.209E-2</v>
      </c>
      <c r="M85" s="55">
        <f>_xll.EQNXTDZ($A$1,$B85,M$1,$B$1)</f>
        <v>0</v>
      </c>
      <c r="N85" s="55">
        <f>_xll.EQNXTDZ($A$1,$B85,N$1,$B$1)</f>
        <v>0</v>
      </c>
      <c r="O85" s="55">
        <f>_xll.EQNXTDZ($A$1,$B85,O$1,$B$1)</f>
        <v>0</v>
      </c>
      <c r="P85" s="55">
        <f>_xll.EQNXTDZ($A$1,$B85,P$1,$B$1)</f>
        <v>0</v>
      </c>
      <c r="Q85" s="55">
        <f>_xll.EQNXTDZ($A$1,$B85,Q$1,$B$1)</f>
        <v>35.295000000000002</v>
      </c>
      <c r="R85" s="55">
        <f>_xll.EQNXTDZ($A$1,$B85,R$1,$B$1)</f>
        <v>45.527000000000001</v>
      </c>
      <c r="S85" s="55">
        <f>_xll.EQNXTDZ($A$1,$B85,S$1,$B$1)</f>
        <v>47.02</v>
      </c>
      <c r="T85" s="55">
        <f>_xll.EQNXTDZ($A$1,$B85,T$1,$B$1)</f>
        <v>50.35</v>
      </c>
      <c r="U85" s="55">
        <f>_xll.EQNXTDZ($A$1,$B85,U$1,$B$1)</f>
        <v>40.799999999999997</v>
      </c>
      <c r="V85" s="55">
        <f>_xll.EQNXTDZ($A$1,$B85,V$1,$B$1)</f>
        <v>54.33</v>
      </c>
      <c r="W85" s="55">
        <f>_xll.EQNXTDZ($A$1,$B85,W$1,$B$1)</f>
        <v>50.83</v>
      </c>
      <c r="X85" s="55">
        <f>_xll.EQNXTDZ($A$1,$B85,X$1,$B$1)</f>
        <v>1.61</v>
      </c>
      <c r="Y85" s="55">
        <f>_xll.EQNXTDZ($A$1,$B85,Y$1,$B$1)</f>
        <v>1.61</v>
      </c>
      <c r="Z85" s="55">
        <f>_xll.EQNXTDZ($A$1,$B85,Z$1,$B$1)</f>
        <v>0.62</v>
      </c>
      <c r="AA85" s="55">
        <f>_xll.EQNXTDZ($A$1,$B85,AA$1,$B$1)</f>
        <v>2.2599999999999998</v>
      </c>
      <c r="AB85" s="55">
        <f>_xll.EQNXTDZ($A$1,$B85,AB$1,$B$1)</f>
        <v>1.86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45.343000000000004</v>
      </c>
      <c r="R86" s="55">
        <f>_xll.EQNXTDZ($A$1,$B86,R$1,$B$1)</f>
        <v>106.858</v>
      </c>
      <c r="S86" s="55">
        <f>_xll.EQNXTDZ($A$1,$B86,S$1,$B$1)</f>
        <v>106.858</v>
      </c>
      <c r="T86" s="55">
        <f>_xll.EQNXTDZ($A$1,$B86,T$1,$B$1)</f>
        <v>106.86</v>
      </c>
      <c r="U86" s="55">
        <f>_xll.EQNXTDZ($A$1,$B86,U$1,$B$1)</f>
        <v>106.86</v>
      </c>
      <c r="V86" s="55">
        <f>_xll.EQNXTDZ($A$1,$B86,V$1,$B$1)</f>
        <v>100.28</v>
      </c>
      <c r="W86" s="55">
        <f>_xll.EQNXTDZ($A$1,$B86,W$1,$B$1)</f>
        <v>100.28</v>
      </c>
      <c r="X86" s="55">
        <f>_xll.EQNXTDZ($A$1,$B86,X$1,$B$1)</f>
        <v>100.28</v>
      </c>
      <c r="Y86" s="55">
        <f>_xll.EQNXTDZ($A$1,$B86,Y$1,$B$1)</f>
        <v>100.28</v>
      </c>
      <c r="Z86" s="55">
        <f>_xll.EQNXTDZ($A$1,$B86,Z$1,$B$1)</f>
        <v>104.03</v>
      </c>
      <c r="AA86" s="55">
        <f>_xll.EQNXTDZ($A$1,$B86,AA$1,$B$1)</f>
        <v>110.42</v>
      </c>
      <c r="AB86" s="55">
        <f>_xll.EQNXTDZ($A$1,$B86,AB$1,$B$1)</f>
        <v>109.95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0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8.86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45.343000000000004</v>
      </c>
      <c r="R91" s="55">
        <f>_xll.EQNXTDZ($A$1,$B91,R$1,$B$1)</f>
        <v>106.858</v>
      </c>
      <c r="S91" s="55">
        <f>_xll.EQNXTDZ($A$1,$B91,S$1,$B$1)</f>
        <v>106.858</v>
      </c>
      <c r="T91" s="55">
        <f>_xll.EQNXTDZ($A$1,$B91,T$1,$B$1)</f>
        <v>106.86</v>
      </c>
      <c r="U91" s="55">
        <f>_xll.EQNXTDZ($A$1,$B91,U$1,$B$1)</f>
        <v>106.86</v>
      </c>
      <c r="V91" s="55">
        <f>_xll.EQNXTDZ($A$1,$B91,V$1,$B$1)</f>
        <v>100.28</v>
      </c>
      <c r="W91" s="55">
        <f>_xll.EQNXTDZ($A$1,$B91,W$1,$B$1)</f>
        <v>100.28</v>
      </c>
      <c r="X91" s="55">
        <f>_xll.EQNXTDZ($A$1,$B91,X$1,$B$1)</f>
        <v>100.28</v>
      </c>
      <c r="Y91" s="55">
        <f>_xll.EQNXTDZ($A$1,$B91,Y$1,$B$1)</f>
        <v>100.28</v>
      </c>
      <c r="Z91" s="55">
        <f>_xll.EQNXTDZ($A$1,$B91,Z$1,$B$1)</f>
        <v>104.03</v>
      </c>
      <c r="AA91" s="55">
        <f>_xll.EQNXTDZ($A$1,$B91,AA$1,$B$1)</f>
        <v>110.55</v>
      </c>
      <c r="AB91" s="55">
        <f>_xll.EQNXTDZ($A$1,$B91,AB$1,$B$1)</f>
        <v>110.55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0.13</v>
      </c>
      <c r="AB92" s="55">
        <f>_xll.EQNXTDZ($A$1,$B92,AB$1,$B$1)</f>
        <v>0.6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1.209E-2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0</v>
      </c>
      <c r="Q93" s="55">
        <f>_xll.EQNXTDZ($A$1,$B93,Q$1,$B$1)</f>
        <v>35.295000000000002</v>
      </c>
      <c r="R93" s="55">
        <f>_xll.EQNXTDZ($A$1,$B93,R$1,$B$1)</f>
        <v>45.527000000000001</v>
      </c>
      <c r="S93" s="55">
        <f>_xll.EQNXTDZ($A$1,$B93,S$1,$B$1)</f>
        <v>47.02</v>
      </c>
      <c r="T93" s="55">
        <f>_xll.EQNXTDZ($A$1,$B93,T$1,$B$1)</f>
        <v>50.35</v>
      </c>
      <c r="U93" s="55">
        <f>_xll.EQNXTDZ($A$1,$B93,U$1,$B$1)</f>
        <v>40.799999999999997</v>
      </c>
      <c r="V93" s="55">
        <f>_xll.EQNXTDZ($A$1,$B93,V$1,$B$1)</f>
        <v>54.33</v>
      </c>
      <c r="W93" s="55">
        <f>_xll.EQNXTDZ($A$1,$B93,W$1,$B$1)</f>
        <v>50.83</v>
      </c>
      <c r="X93" s="55">
        <f>_xll.EQNXTDZ($A$1,$B93,X$1,$B$1)</f>
        <v>1.61</v>
      </c>
      <c r="Y93" s="55">
        <f>_xll.EQNXTDZ($A$1,$B93,Y$1,$B$1)</f>
        <v>1.61</v>
      </c>
      <c r="Z93" s="55">
        <f>_xll.EQNXTDZ($A$1,$B93,Z$1,$B$1)</f>
        <v>0.62</v>
      </c>
      <c r="AA93" s="55">
        <f>_xll.EQNXTDZ($A$1,$B93,AA$1,$B$1)</f>
        <v>2.2599999999999998</v>
      </c>
      <c r="AB93" s="55">
        <f>_xll.EQNXTDZ($A$1,$B93,AB$1,$B$1)</f>
        <v>1.86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10.407425</v>
      </c>
      <c r="J104" s="55">
        <f>_xll.EQNXTDZ($A$1,$B104,J$1,$B$1)</f>
        <v>10.407425</v>
      </c>
      <c r="K104" s="55">
        <f>_xll.EQNXTDZ($A$1,$B104,K$1,$B$1)</f>
        <v>11.112425</v>
      </c>
      <c r="L104" s="55">
        <f>_xll.EQNXTDZ($A$1,$B104,L$1,$B$1)</f>
        <v>10.809424999999999</v>
      </c>
      <c r="M104" s="55">
        <f>_xll.EQNXTDZ($A$1,$B104,M$1,$B$1)</f>
        <v>10.808999999999999</v>
      </c>
      <c r="N104" s="55">
        <f>_xll.EQNXTDZ($A$1,$B104,N$1,$B$1)</f>
        <v>10.808999999999999</v>
      </c>
      <c r="O104" s="55">
        <f>_xll.EQNXTDZ($A$1,$B104,O$1,$B$1)</f>
        <v>10.917999999999999</v>
      </c>
      <c r="P104" s="55">
        <f>_xll.EQNXTDZ($A$1,$B104,P$1,$B$1)</f>
        <v>10.917999999999999</v>
      </c>
      <c r="Q104" s="55">
        <f>_xll.EQNXTDZ($A$1,$B104,Q$1,$B$1)</f>
        <v>50.536000000000001</v>
      </c>
      <c r="R104" s="55">
        <f>_xll.EQNXTDZ($A$1,$B104,R$1,$B$1)</f>
        <v>53.723999999999997</v>
      </c>
      <c r="S104" s="55">
        <f>_xll.EQNXTDZ($A$1,$B104,S$1,$B$1)</f>
        <v>53.69</v>
      </c>
      <c r="T104" s="55">
        <f>_xll.EQNXTDZ($A$1,$B104,T$1,$B$1)</f>
        <v>53.72</v>
      </c>
      <c r="U104" s="55">
        <f>_xll.EQNXTDZ($A$1,$B104,U$1,$B$1)</f>
        <v>52.79</v>
      </c>
      <c r="V104" s="55">
        <f>_xll.EQNXTDZ($A$1,$B104,V$1,$B$1)</f>
        <v>52.84</v>
      </c>
      <c r="W104" s="55">
        <f>_xll.EQNXTDZ($A$1,$B104,W$1,$B$1)</f>
        <v>52.87</v>
      </c>
      <c r="X104" s="55">
        <f>_xll.EQNXTDZ($A$1,$B104,X$1,$B$1)</f>
        <v>52.9</v>
      </c>
      <c r="Y104" s="55">
        <f>_xll.EQNXTDZ($A$1,$B104,Y$1,$B$1)</f>
        <v>52.93</v>
      </c>
      <c r="Z104" s="55">
        <f>_xll.EQNXTDZ($A$1,$B104,Z$1,$B$1)</f>
        <v>52.95</v>
      </c>
      <c r="AA104" s="55">
        <f>_xll.EQNXTDZ($A$1,$B104,AA$1,$B$1)</f>
        <v>52.99</v>
      </c>
      <c r="AB104" s="55">
        <f>_xll.EQNXTDZ($A$1,$B104,AB$1,$B$1)</f>
        <v>159.16999999999999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10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10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238.566666666667</v>
      </c>
      <c r="T106" s="55">
        <f>_xll.EQNXTDZ($A$1,$B106,T$1,$B$1)</f>
        <v>200.38333333333301</v>
      </c>
      <c r="U106" s="55">
        <f>_xll.EQNXTDZ($A$1,$B106,U$1,$B$1)</f>
        <v>176.833333333333</v>
      </c>
      <c r="V106" s="55">
        <f>_xll.EQNXTDZ($A$1,$B106,V$1,$B$1)</f>
        <v>165.183333333333</v>
      </c>
      <c r="W106" s="55">
        <f>_xll.EQNXTDZ($A$1,$B106,W$1,$B$1)</f>
        <v>300.98333333333301</v>
      </c>
      <c r="X106" s="55">
        <f>_xll.EQNXTDZ($A$1,$B106,X$1,$B$1)</f>
        <v>257.91666666666703</v>
      </c>
      <c r="Y106" s="55">
        <f>_xll.EQNXTDZ($A$1,$B106,Y$1,$B$1)</f>
        <v>143.23333333333301</v>
      </c>
      <c r="Z106" s="55">
        <f>_xll.EQNXTDZ($A$1,$B106,Z$1,$B$1)</f>
        <v>197.4</v>
      </c>
      <c r="AA106" s="55">
        <f>_xll.EQNXTDZ($A$1,$B106,AA$1,$B$1)</f>
        <v>226.73333333333301</v>
      </c>
      <c r="AB106" s="55">
        <f>_xll.EQNXTDZ($A$1,$B106,AB$1,$B$1)</f>
        <v>349.75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247.583333333333</v>
      </c>
      <c r="T107" s="55">
        <f>_xll.EQNXTDZ($A$1,$B107,T$1,$B$1)</f>
        <v>259.96666666666698</v>
      </c>
      <c r="U107" s="55">
        <f>_xll.EQNXTDZ($A$1,$B107,U$1,$B$1)</f>
        <v>241.666666666667</v>
      </c>
      <c r="V107" s="55">
        <f>_xll.EQNXTDZ($A$1,$B107,V$1,$B$1)</f>
        <v>229.816666666667</v>
      </c>
      <c r="W107" s="55">
        <f>_xll.EQNXTDZ($A$1,$B107,W$1,$B$1)</f>
        <v>404</v>
      </c>
      <c r="X107" s="55">
        <f>_xll.EQNXTDZ($A$1,$B107,X$1,$B$1)</f>
        <v>488.63333333333298</v>
      </c>
      <c r="Y107" s="55">
        <f>_xll.EQNXTDZ($A$1,$B107,Y$1,$B$1)</f>
        <v>305.64999999999998</v>
      </c>
      <c r="Z107" s="55">
        <f>_xll.EQNXTDZ($A$1,$B107,Z$1,$B$1)</f>
        <v>240.666666666667</v>
      </c>
      <c r="AA107" s="55">
        <f>_xll.EQNXTDZ($A$1,$B107,AA$1,$B$1)</f>
        <v>351.01666666666699</v>
      </c>
      <c r="AB107" s="55">
        <f>_xll.EQNXTDZ($A$1,$B107,AB$1,$B$1)</f>
        <v>537.96666666666704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174.53333333333299</v>
      </c>
      <c r="T108" s="55">
        <f>_xll.EQNXTDZ($A$1,$B108,T$1,$B$1)</f>
        <v>190</v>
      </c>
      <c r="U108" s="55">
        <f>_xll.EQNXTDZ($A$1,$B108,U$1,$B$1)</f>
        <v>160.666666666667</v>
      </c>
      <c r="V108" s="55">
        <f>_xll.EQNXTDZ($A$1,$B108,V$1,$B$1)</f>
        <v>135.55000000000001</v>
      </c>
      <c r="W108" s="55">
        <f>_xll.EQNXTDZ($A$1,$B108,W$1,$B$1)</f>
        <v>161.76666666666699</v>
      </c>
      <c r="X108" s="55">
        <f>_xll.EQNXTDZ($A$1,$B108,X$1,$B$1)</f>
        <v>247.416666666667</v>
      </c>
      <c r="Y108" s="55">
        <f>_xll.EQNXTDZ($A$1,$B108,Y$1,$B$1)</f>
        <v>138.666666666667</v>
      </c>
      <c r="Z108" s="55">
        <f>_xll.EQNXTDZ($A$1,$B108,Z$1,$B$1)</f>
        <v>143.23333333333301</v>
      </c>
      <c r="AA108" s="55">
        <f>_xll.EQNXTDZ($A$1,$B108,AA$1,$B$1)</f>
        <v>190.25</v>
      </c>
      <c r="AB108" s="55">
        <f>_xll.EQNXTDZ($A$1,$B108,AB$1,$B$1)</f>
        <v>220.01666666666699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3842.5933</v>
      </c>
      <c r="T109" s="55">
        <f>_xll.EQNXTDZ($A$1,$B109,T$1,$B$1)</f>
        <v>3229.3778000000002</v>
      </c>
      <c r="U109" s="55">
        <f>_xll.EQNXTDZ($A$1,$B109,U$1,$B$1)</f>
        <v>2800.5095000000001</v>
      </c>
      <c r="V109" s="55">
        <f>_xll.EQNXTDZ($A$1,$B109,V$1,$B$1)</f>
        <v>2618.4861999999998</v>
      </c>
      <c r="W109" s="55">
        <f>_xll.EQNXTDZ($A$1,$B109,W$1,$B$1)</f>
        <v>4773.8966499999997</v>
      </c>
      <c r="X109" s="55">
        <f>_xll.EQNXTDZ($A$1,$B109,X$1,$B$1)</f>
        <v>4093.1374999999998</v>
      </c>
      <c r="Y109" s="55">
        <f>_xll.EQNXTDZ($A$1,$B109,Y$1,$B$1)</f>
        <v>2274.4020999999998</v>
      </c>
      <c r="Z109" s="55">
        <f>_xll.EQNXTDZ($A$1,$B109,Z$1,$B$1)</f>
        <v>3135.6990000000001</v>
      </c>
      <c r="AA109" s="55">
        <f>_xll.EQNXTDZ($A$1,$B109,AA$1,$B$1)</f>
        <v>3604.3798000000002</v>
      </c>
      <c r="AB109" s="55">
        <f>_xll.EQNXTDZ($A$1,$B109,AB$1,$B$1)</f>
        <v>5566.9707500000004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1.25</v>
      </c>
      <c r="K110" s="55">
        <f>_xll.EQNXTDZ($A$1,$B110,K$1,$B$1)</f>
        <v>0.41666666666666702</v>
      </c>
      <c r="L110" s="55">
        <f>_xll.EQNXTDZ($A$1,$B110,L$1,$B$1)</f>
        <v>1.5833333333333299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1.2526666666666699</v>
      </c>
      <c r="R110" s="55">
        <f>_xll.EQNXTDZ($A$1,$B110,R$1,$B$1)</f>
        <v>3.3333333333333299</v>
      </c>
      <c r="S110" s="55">
        <f>_xll.EQNXTDZ($A$1,$B110,S$1,$B$1)</f>
        <v>3.3333333333333299</v>
      </c>
      <c r="T110" s="55">
        <f>_xll.EQNXTDZ($A$1,$B110,T$1,$B$1)</f>
        <v>3.3333333333333299</v>
      </c>
      <c r="U110" s="55">
        <f>_xll.EQNXTDZ($A$1,$B110,U$1,$B$1)</f>
        <v>6.6666666666666696</v>
      </c>
      <c r="V110" s="55">
        <f>_xll.EQNXTDZ($A$1,$B110,V$1,$B$1)</f>
        <v>1.6666666666666701</v>
      </c>
      <c r="W110" s="55">
        <f>_xll.EQNXTDZ($A$1,$B110,W$1,$B$1)</f>
        <v>8.3333333333333304</v>
      </c>
      <c r="X110" s="55">
        <f>_xll.EQNXTDZ($A$1,$B110,X$1,$B$1)</f>
        <v>5</v>
      </c>
      <c r="Y110" s="55">
        <f>_xll.EQNXTDZ($A$1,$B110,Y$1,$B$1)</f>
        <v>6</v>
      </c>
      <c r="Z110" s="55">
        <f>_xll.EQNXTDZ($A$1,$B110,Z$1,$B$1)</f>
        <v>6</v>
      </c>
      <c r="AA110" s="55">
        <f>_xll.EQNXTDZ($A$1,$B110,AA$1,$B$1)</f>
        <v>7</v>
      </c>
      <c r="AB110" s="55">
        <f>_xll.EQNXTDZ($A$1,$B110,AB$1,$B$1)</f>
        <v>14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201303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70.45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63.96</v>
      </c>
      <c r="T112" s="56">
        <f>_xll.EQNXTDZ($A$1,$B112,T$5)</f>
        <v>63.96</v>
      </c>
      <c r="U112" s="56">
        <f>_xll.EQNXTDZ($A$1,$B112,U$5)</f>
        <v>65.709999999999994</v>
      </c>
      <c r="V112" s="56">
        <f>_xll.EQNXTDZ($A$1,$B112,V$5)</f>
        <v>66.010000000000005</v>
      </c>
      <c r="W112" s="56">
        <f>_xll.EQNXTDZ($A$1,$B112,W$5)</f>
        <v>66.14</v>
      </c>
      <c r="X112" s="56">
        <f>_xll.EQNXTDZ($A$1,$B112,X$5)</f>
        <v>71.180000000000007</v>
      </c>
      <c r="Y112" s="56">
        <f>_xll.EQNXTDZ($A$1,$B112,Y$5)</f>
        <v>71.14</v>
      </c>
      <c r="Z112" s="56">
        <f>_xll.EQNXTDZ($A$1,$B112,Z$5)</f>
        <v>71.11</v>
      </c>
      <c r="AA112" s="56">
        <f>_xll.EQNXTDZ($A$1,$B112,AA$5)</f>
        <v>71.06</v>
      </c>
      <c r="AB112" s="56">
        <f>_xll.EQNXTDZ($A$1,$B112,AB$5)</f>
        <v>60.92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100</v>
      </c>
      <c r="Y113" s="56">
        <f>_xll.EQNXTDZ($A$1,$B113,Y$5)</f>
        <v>100</v>
      </c>
      <c r="Z113" s="56">
        <f>_xll.EQNXTDZ($A$1,$B113,Z$5)</f>
        <v>100</v>
      </c>
      <c r="AA113" s="56">
        <f>_xll.EQNXTDZ($A$1,$B113,AA$5)</f>
        <v>100</v>
      </c>
      <c r="AB113" s="56">
        <f>_xll.EQNXTDZ($A$1,$B113,AB$5)</f>
        <v>100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FG6" activePane="bottomRight" state="frozen"/>
      <selection pane="topRight" activeCell="C1" sqref="C1"/>
      <selection pane="bottomLeft" activeCell="A6" sqref="A6"/>
      <selection pane="bottomRight" activeCell="FI14" sqref="FI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218764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3">
        <v>45901</v>
      </c>
      <c r="FG2" s="183">
        <f>+EOMONTH(FF2,1)</f>
        <v>45961</v>
      </c>
      <c r="FH2" s="183">
        <f t="shared" ref="FH2:HH2" si="0">+EOMONTH(FG2,1)</f>
        <v>45991</v>
      </c>
      <c r="FI2" s="183">
        <f t="shared" si="0"/>
        <v>46022</v>
      </c>
      <c r="FJ2" s="183">
        <f t="shared" si="0"/>
        <v>46053</v>
      </c>
      <c r="FK2" s="183">
        <f t="shared" si="0"/>
        <v>46081</v>
      </c>
      <c r="FL2" s="183">
        <f t="shared" si="0"/>
        <v>46112</v>
      </c>
      <c r="FM2" s="183">
        <f t="shared" si="0"/>
        <v>46142</v>
      </c>
      <c r="FN2" s="183">
        <f t="shared" si="0"/>
        <v>46173</v>
      </c>
      <c r="FO2" s="183">
        <f t="shared" si="0"/>
        <v>46203</v>
      </c>
      <c r="FP2" s="183">
        <f t="shared" si="0"/>
        <v>46234</v>
      </c>
      <c r="FQ2" s="183">
        <f t="shared" si="0"/>
        <v>46265</v>
      </c>
      <c r="FR2" s="183">
        <f t="shared" si="0"/>
        <v>46295</v>
      </c>
      <c r="FS2" s="183">
        <f t="shared" si="0"/>
        <v>46326</v>
      </c>
      <c r="FT2" s="183">
        <f t="shared" si="0"/>
        <v>46356</v>
      </c>
      <c r="FU2" s="183">
        <f t="shared" si="0"/>
        <v>46387</v>
      </c>
      <c r="FV2" s="183">
        <f t="shared" si="0"/>
        <v>46418</v>
      </c>
      <c r="FW2" s="183">
        <f t="shared" si="0"/>
        <v>46446</v>
      </c>
      <c r="FX2" s="183">
        <f t="shared" si="0"/>
        <v>46477</v>
      </c>
      <c r="FY2" s="183">
        <f t="shared" si="0"/>
        <v>46507</v>
      </c>
      <c r="FZ2" s="183">
        <f t="shared" si="0"/>
        <v>46538</v>
      </c>
      <c r="GA2" s="183">
        <f t="shared" si="0"/>
        <v>46568</v>
      </c>
      <c r="GB2" s="183">
        <f t="shared" si="0"/>
        <v>46599</v>
      </c>
      <c r="GC2" s="183">
        <f t="shared" si="0"/>
        <v>46630</v>
      </c>
      <c r="GD2" s="183">
        <f t="shared" si="0"/>
        <v>46660</v>
      </c>
      <c r="GE2" s="183">
        <f t="shared" si="0"/>
        <v>46691</v>
      </c>
      <c r="GF2" s="183">
        <f t="shared" si="0"/>
        <v>46721</v>
      </c>
      <c r="GG2" s="183">
        <f t="shared" si="0"/>
        <v>46752</v>
      </c>
      <c r="GH2" s="183">
        <f t="shared" si="0"/>
        <v>46783</v>
      </c>
      <c r="GI2" s="183">
        <f t="shared" si="0"/>
        <v>46812</v>
      </c>
      <c r="GJ2" s="183">
        <f t="shared" si="0"/>
        <v>46843</v>
      </c>
      <c r="GK2" s="183">
        <f t="shared" si="0"/>
        <v>46873</v>
      </c>
      <c r="GL2" s="183">
        <f t="shared" si="0"/>
        <v>46904</v>
      </c>
      <c r="GM2" s="183">
        <f t="shared" si="0"/>
        <v>46934</v>
      </c>
      <c r="GN2" s="183">
        <f t="shared" si="0"/>
        <v>46965</v>
      </c>
      <c r="GO2" s="183">
        <f t="shared" si="0"/>
        <v>46996</v>
      </c>
      <c r="GP2" s="183">
        <f t="shared" si="0"/>
        <v>47026</v>
      </c>
      <c r="GQ2" s="183">
        <f t="shared" si="0"/>
        <v>47057</v>
      </c>
      <c r="GR2" s="183">
        <f t="shared" si="0"/>
        <v>47087</v>
      </c>
      <c r="GS2" s="183">
        <f t="shared" si="0"/>
        <v>47118</v>
      </c>
      <c r="GT2" s="183">
        <f t="shared" si="0"/>
        <v>47149</v>
      </c>
      <c r="GU2" s="183">
        <f t="shared" si="0"/>
        <v>47177</v>
      </c>
      <c r="GV2" s="183">
        <f t="shared" si="0"/>
        <v>47208</v>
      </c>
      <c r="GW2" s="183">
        <f t="shared" si="0"/>
        <v>47238</v>
      </c>
      <c r="GX2" s="183">
        <f t="shared" si="0"/>
        <v>47269</v>
      </c>
      <c r="GY2" s="183">
        <f t="shared" si="0"/>
        <v>47299</v>
      </c>
      <c r="GZ2" s="183">
        <f t="shared" si="0"/>
        <v>47330</v>
      </c>
      <c r="HA2" s="183">
        <f t="shared" si="0"/>
        <v>47361</v>
      </c>
      <c r="HB2" s="183">
        <f t="shared" si="0"/>
        <v>47391</v>
      </c>
      <c r="HC2" s="183">
        <f t="shared" si="0"/>
        <v>47422</v>
      </c>
      <c r="HD2" s="183">
        <f t="shared" si="0"/>
        <v>47452</v>
      </c>
      <c r="HE2" s="183">
        <f t="shared" si="0"/>
        <v>47483</v>
      </c>
      <c r="HF2" s="183">
        <f t="shared" si="0"/>
        <v>47514</v>
      </c>
      <c r="HG2" s="183">
        <f t="shared" si="0"/>
        <v>47542</v>
      </c>
      <c r="HH2" s="183">
        <f t="shared" si="0"/>
        <v>47573</v>
      </c>
      <c r="HI2" s="183"/>
      <c r="HJ2" s="183"/>
      <c r="HK2" s="183"/>
      <c r="HL2" s="183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221.666666666667</v>
      </c>
      <c r="AY6" cm="1">
        <f t="array" ref="AY6">_xll.EQNXTDZ($A$1,$B6,AY$1)</f>
        <v>213.45</v>
      </c>
      <c r="AZ6" cm="1">
        <f t="array" ref="AZ6">_xll.EQNXTDZ($A$1,$B6,AZ$1)</f>
        <v>190.933333333333</v>
      </c>
      <c r="BA6" cm="1">
        <f t="array" ref="BA6">_xll.EQNXTDZ($A$1,$B6,BA$1)</f>
        <v>190.166666666667</v>
      </c>
      <c r="BB6" cm="1">
        <f t="array" ref="BB6">_xll.EQNXTDZ($A$1,$B6,BB$1)</f>
        <v>206.3</v>
      </c>
      <c r="BC6" cm="1">
        <f t="array" ref="BC6">_xll.EQNXTDZ($A$1,$B6,BC$1)</f>
        <v>201.683333333333</v>
      </c>
      <c r="BD6" cm="1">
        <f t="array" ref="BD6">_xll.EQNXTDZ($A$1,$B6,BD$1)</f>
        <v>217.333333333333</v>
      </c>
      <c r="BE6" cm="1">
        <f t="array" ref="BE6">_xll.EQNXTDZ($A$1,$B6,BE$1)</f>
        <v>226.166666666667</v>
      </c>
      <c r="BF6" cm="1">
        <f t="array" ref="BF6">_xll.EQNXTDZ($A$1,$B6,BF$1)</f>
        <v>231</v>
      </c>
      <c r="BG6" cm="1">
        <f t="array" ref="BG6">_xll.EQNXTDZ($A$1,$B6,BG$1)</f>
        <v>236.666666666667</v>
      </c>
      <c r="BH6" cm="1">
        <f t="array" ref="BH6">_xll.EQNXTDZ($A$1,$B6,BH$1)</f>
        <v>233</v>
      </c>
      <c r="BI6" cm="1">
        <f t="array" ref="BI6">_xll.EQNXTDZ($A$1,$B6,BI$1)</f>
        <v>239.26666666666699</v>
      </c>
      <c r="BJ6" cm="1">
        <f t="array" ref="BJ6">_xll.EQNXTDZ($A$1,$B6,BJ$1)</f>
        <v>241.65</v>
      </c>
      <c r="BK6" cm="1">
        <f t="array" ref="BK6">_xll.EQNXTDZ($A$1,$B6,BK$1)</f>
        <v>238.28333333333299</v>
      </c>
      <c r="BL6" cm="1">
        <f t="array" ref="BL6">_xll.EQNXTDZ($A$1,$B6,BL$1)</f>
        <v>238.35</v>
      </c>
      <c r="BM6" cm="1">
        <f t="array" ref="BM6">_xll.EQNXTDZ($A$1,$B6,BM$1)</f>
        <v>241.55</v>
      </c>
      <c r="BN6" cm="1">
        <f t="array" ref="BN6">_xll.EQNXTDZ($A$1,$B6,BN$1)</f>
        <v>231.6</v>
      </c>
      <c r="BO6" cm="1">
        <f t="array" ref="BO6">_xll.EQNXTDZ($A$1,$B6,BO$1)</f>
        <v>228.833333333333</v>
      </c>
      <c r="BP6" cm="1">
        <f t="array" ref="BP6">_xll.EQNXTDZ($A$1,$B6,BP$1)</f>
        <v>234</v>
      </c>
      <c r="BQ6" cm="1">
        <f t="array" ref="BQ6">_xll.EQNXTDZ($A$1,$B6,BQ$1)</f>
        <v>220.48333333333301</v>
      </c>
      <c r="BR6" cm="1">
        <f t="array" ref="BR6">_xll.EQNXTDZ($A$1,$B6,BR$1)</f>
        <v>235</v>
      </c>
      <c r="BS6" cm="1">
        <f t="array" ref="BS6">_xll.EQNXTDZ($A$1,$B6,BS$1)</f>
        <v>230</v>
      </c>
      <c r="BT6" cm="1">
        <f t="array" ref="BT6">_xll.EQNXTDZ($A$1,$B6,BT$1)</f>
        <v>209.23333333333301</v>
      </c>
      <c r="BU6" cm="1">
        <f t="array" ref="BU6">_xll.EQNXTDZ($A$1,$B6,BU$1)</f>
        <v>199.666666666667</v>
      </c>
      <c r="BV6" cm="1">
        <f t="array" ref="BV6">_xll.EQNXTDZ($A$1,$B6,BV$1)</f>
        <v>223.333333333333</v>
      </c>
      <c r="BW6" cm="1">
        <f t="array" ref="BW6">_xll.EQNXTDZ($A$1,$B6,BW$1)</f>
        <v>204.48333333333301</v>
      </c>
      <c r="BX6" cm="1">
        <f t="array" ref="BX6">_xll.EQNXTDZ($A$1,$B6,BX$1)</f>
        <v>190.416666666667</v>
      </c>
      <c r="BY6" cm="1">
        <f t="array" ref="BY6">_xll.EQNXTDZ($A$1,$B6,BY$1)</f>
        <v>209.333333333333</v>
      </c>
      <c r="BZ6" cm="1">
        <f t="array" ref="BZ6">_xll.EQNXTDZ($A$1,$B6,BZ$1)</f>
        <v>215.01666666666699</v>
      </c>
      <c r="CA6" cm="1">
        <f t="array" ref="CA6">_xll.EQNXTDZ($A$1,$B6,CA$1)</f>
        <v>216.333333333333</v>
      </c>
      <c r="CB6" cm="1">
        <f t="array" ref="CB6">_xll.EQNXTDZ($A$1,$B6,CB$1)</f>
        <v>186.683333333333</v>
      </c>
      <c r="CC6" cm="1">
        <f t="array" ref="CC6">_xll.EQNXTDZ($A$1,$B6,CC$1)</f>
        <v>183.21666666666701</v>
      </c>
      <c r="CD6" cm="1">
        <f t="array" ref="CD6">_xll.EQNXTDZ($A$1,$B6,CD$1)</f>
        <v>178.333333333333</v>
      </c>
      <c r="CE6" cm="1">
        <f t="array" ref="CE6">_xll.EQNXTDZ($A$1,$B6,CE$1)</f>
        <v>182.61666666666699</v>
      </c>
      <c r="CF6" cm="1">
        <f t="array" ref="CF6">_xll.EQNXTDZ($A$1,$B6,CF$1)</f>
        <v>174.916666666667</v>
      </c>
      <c r="CG6" cm="1">
        <f t="array" ref="CG6">_xll.EQNXTDZ($A$1,$B6,CG$1)</f>
        <v>176.03333333333299</v>
      </c>
      <c r="CH6" cm="1">
        <f t="array" ref="CH6">_xll.EQNXTDZ($A$1,$B6,CH$1)</f>
        <v>164.63333333333301</v>
      </c>
      <c r="CI6" cm="1">
        <f t="array" ref="CI6">_xll.EQNXTDZ($A$1,$B6,CI$1)</f>
        <v>159.933333333333</v>
      </c>
      <c r="CJ6" cm="1">
        <f t="array" ref="CJ6">_xll.EQNXTDZ($A$1,$B6,CJ$1)</f>
        <v>157.35</v>
      </c>
      <c r="CK6" cm="1">
        <f t="array" ref="CK6">_xll.EQNXTDZ($A$1,$B6,CK$1)</f>
        <v>147.13333333333301</v>
      </c>
      <c r="CL6" cm="1">
        <f t="array" ref="CL6">_xll.EQNXTDZ($A$1,$B6,CL$1)</f>
        <v>154.94999999999999</v>
      </c>
      <c r="CM6" cm="1">
        <f t="array" ref="CM6">_xll.EQNXTDZ($A$1,$B6,CM$1)</f>
        <v>172.45</v>
      </c>
      <c r="CN6" cm="1">
        <f t="array" ref="CN6">_xll.EQNXTDZ($A$1,$B6,CN$1)</f>
        <v>190</v>
      </c>
      <c r="CO6" cm="1">
        <f t="array" ref="CO6">_xll.EQNXTDZ($A$1,$B6,CO$1)</f>
        <v>186.4</v>
      </c>
      <c r="CP6" cm="1">
        <f t="array" ref="CP6">_xll.EQNXTDZ($A$1,$B6,CP$1)</f>
        <v>181.71666666666701</v>
      </c>
      <c r="CQ6" cm="1">
        <f t="array" ref="CQ6">_xll.EQNXTDZ($A$1,$B6,CQ$1)</f>
        <v>184.01666666666699</v>
      </c>
      <c r="CR6" cm="1">
        <f t="array" ref="CR6">_xll.EQNXTDZ($A$1,$B6,CR$1)</f>
        <v>199</v>
      </c>
      <c r="CS6" cm="1">
        <f t="array" ref="CS6">_xll.EQNXTDZ($A$1,$B6,CS$1)</f>
        <v>167.63333333333301</v>
      </c>
      <c r="CT6" cm="1">
        <f t="array" ref="CT6">_xll.EQNXTDZ($A$1,$B6,CT$1)</f>
        <v>167.183333333333</v>
      </c>
      <c r="CU6" cm="1">
        <f t="array" ref="CU6">_xll.EQNXTDZ($A$1,$B6,CU$1)</f>
        <v>174.416666666667</v>
      </c>
      <c r="CV6" cm="1">
        <f t="array" ref="CV6">_xll.EQNXTDZ($A$1,$B6,CV$1)</f>
        <v>167.35</v>
      </c>
      <c r="CW6" cm="1">
        <f t="array" ref="CW6">_xll.EQNXTDZ($A$1,$B6,CW$1)</f>
        <v>231</v>
      </c>
      <c r="CX6" cm="1">
        <f t="array" ref="CX6">_xll.EQNXTDZ($A$1,$B6,CX$1)</f>
        <v>250.2</v>
      </c>
      <c r="CY6" cm="1">
        <f t="array" ref="CY6">_xll.EQNXTDZ($A$1,$B6,CY$1)</f>
        <v>255.96666666666701</v>
      </c>
      <c r="CZ6" cm="1">
        <f t="array" ref="CZ6">_xll.EQNXTDZ($A$1,$B6,CZ$1)</f>
        <v>387</v>
      </c>
      <c r="DA6" cm="1">
        <f t="array" ref="DA6">_xll.EQNXTDZ($A$1,$B6,DA$1)</f>
        <v>366.25</v>
      </c>
      <c r="DB6" cm="1">
        <f t="array" ref="DB6">_xll.EQNXTDZ($A$1,$B6,DB$1)</f>
        <v>305.85000000000002</v>
      </c>
      <c r="DC6" cm="1">
        <f t="array" ref="DC6">_xll.EQNXTDZ($A$1,$B6,DC$1)</f>
        <v>300</v>
      </c>
      <c r="DD6" cm="1">
        <f t="array" ref="DD6">_xll.EQNXTDZ($A$1,$B6,DD$1)</f>
        <v>303.33333333333297</v>
      </c>
      <c r="DE6" cm="1">
        <f t="array" ref="DE6">_xll.EQNXTDZ($A$1,$B6,DE$1)</f>
        <v>303.25</v>
      </c>
      <c r="DF6" cm="1">
        <f t="array" ref="DF6">_xll.EQNXTDZ($A$1,$B6,DF$1)</f>
        <v>341</v>
      </c>
      <c r="DG6" cm="1">
        <f t="array" ref="DG6">_xll.EQNXTDZ($A$1,$B6,DG$1)</f>
        <v>354.71666666666698</v>
      </c>
      <c r="DH6" cm="1">
        <f t="array" ref="DH6">_xll.EQNXTDZ($A$1,$B6,DH$1)</f>
        <v>439.48333333333301</v>
      </c>
      <c r="DI6" cm="1">
        <f t="array" ref="DI6">_xll.EQNXTDZ($A$1,$B6,DI$1)</f>
        <v>436.15</v>
      </c>
      <c r="DJ6" cm="1">
        <f t="array" ref="DJ6">_xll.EQNXTDZ($A$1,$B6,DJ$1)</f>
        <v>432.566666666667</v>
      </c>
      <c r="DK6" cm="1">
        <f t="array" ref="DK6">_xll.EQNXTDZ($A$1,$B6,DK$1)</f>
        <v>388.73333333333301</v>
      </c>
      <c r="DL6" cm="1">
        <f t="array" ref="DL6">_xll.EQNXTDZ($A$1,$B6,DL$1)</f>
        <v>384.5</v>
      </c>
      <c r="DM6" cm="1">
        <f t="array" ref="DM6">_xll.EQNXTDZ($A$1,$B6,DM$1)</f>
        <v>369.6</v>
      </c>
      <c r="DN6" cm="1">
        <f t="array" ref="DN6">_xll.EQNXTDZ($A$1,$B6,DN$1)</f>
        <v>369.933333333333</v>
      </c>
      <c r="DO6" cm="1">
        <f t="array" ref="DO6">_xll.EQNXTDZ($A$1,$B6,DO$1)</f>
        <v>328.33333333333297</v>
      </c>
      <c r="DP6" cm="1">
        <f t="array" ref="DP6">_xll.EQNXTDZ($A$1,$B6,DP$1)</f>
        <v>281</v>
      </c>
      <c r="DQ6" cm="1">
        <f t="array" ref="DQ6">_xll.EQNXTDZ($A$1,$B6,DQ$1)</f>
        <v>258.64999999999998</v>
      </c>
      <c r="DR6" cm="1">
        <f t="array" ref="DR6">_xll.EQNXTDZ($A$1,$B6,DR$1)</f>
        <v>258.5</v>
      </c>
      <c r="DS6" cm="1">
        <f t="array" ref="DS6">_xll.EQNXTDZ($A$1,$B6,DS$1)</f>
        <v>219.88333333333301</v>
      </c>
      <c r="DT6" cm="1">
        <f t="array" ref="DT6">_xll.EQNXTDZ($A$1,$B6,DT$1)</f>
        <v>207.63333333333301</v>
      </c>
      <c r="DU6" cm="1">
        <f t="array" ref="DU6">_xll.EQNXTDZ($A$1,$B6,DU$1)</f>
        <v>216.316666666667</v>
      </c>
      <c r="DV6" cm="1">
        <f t="array" ref="DV6">_xll.EQNXTDZ($A$1,$B6,DV$1)</f>
        <v>205</v>
      </c>
      <c r="DW6" cm="1">
        <f t="array" ref="DW6">_xll.EQNXTDZ($A$1,$B6,DW$1)</f>
        <v>234.53333333333299</v>
      </c>
      <c r="DX6" cm="1">
        <f t="array" ref="DX6">_xll.EQNXTDZ($A$1,$B6,DX$1)</f>
        <v>213.666666666667</v>
      </c>
      <c r="DY6" cm="1">
        <f t="array" ref="DY6">_xll.EQNXTDZ($A$1,$B6,DY$1)</f>
        <v>210.333333333333</v>
      </c>
      <c r="DZ6" cm="1">
        <f t="array" ref="DZ6">_xll.EQNXTDZ($A$1,$B6,DZ$1)</f>
        <v>206.48333333333301</v>
      </c>
      <c r="EA6" cm="1">
        <f t="array" ref="EA6">_xll.EQNXTDZ($A$1,$B6,EA$1)</f>
        <v>185.95</v>
      </c>
      <c r="EB6" cm="1">
        <f t="array" ref="EB6">_xll.EQNXTDZ($A$1,$B6,EB$1)</f>
        <v>150.666666666667</v>
      </c>
      <c r="EC6" cm="1">
        <f t="array" ref="EC6">_xll.EQNXTDZ($A$1,$B6,EC$1)</f>
        <v>145.94999999999999</v>
      </c>
      <c r="ED6" cm="1">
        <f t="array" ref="ED6">_xll.EQNXTDZ($A$1,$B6,ED$1)</f>
        <v>147.35</v>
      </c>
      <c r="EE6" cm="1">
        <f t="array" ref="EE6">_xll.EQNXTDZ($A$1,$B6,EE$1)</f>
        <v>150.666666666667</v>
      </c>
      <c r="EF6" cm="1">
        <f t="array" ref="EF6">_xll.EQNXTDZ($A$1,$B6,EF$1)</f>
        <v>172.65</v>
      </c>
      <c r="EG6" cm="1">
        <f t="array" ref="EG6">_xll.EQNXTDZ($A$1,$B6,EG$1)</f>
        <v>198.333333333333</v>
      </c>
      <c r="EH6" cm="1">
        <f t="array" ref="EH6">_xll.EQNXTDZ($A$1,$B6,EH$1)</f>
        <v>179.666666666667</v>
      </c>
      <c r="EI6" cm="1">
        <f t="array" ref="EI6">_xll.EQNXTDZ($A$1,$B6,EI$1)</f>
        <v>191.28333333333299</v>
      </c>
      <c r="EJ6" cm="1">
        <f t="array" ref="EJ6">_xll.EQNXTDZ($A$1,$B6,EJ$1)</f>
        <v>186.333333333333</v>
      </c>
      <c r="EK6" cm="1">
        <f t="array" ref="EK6">_xll.EQNXTDZ($A$1,$B6,EK$1)</f>
        <v>187</v>
      </c>
      <c r="EL6" cm="1">
        <f t="array" ref="EL6">_xll.EQNXTDZ($A$1,$B6,EL$1)</f>
        <v>214.73333333333301</v>
      </c>
      <c r="EM6" cm="1">
        <f t="array" ref="EM6">_xll.EQNXTDZ($A$1,$B6,EM$1)</f>
        <v>204.416666666667</v>
      </c>
      <c r="EN6" cm="1">
        <f t="array" ref="EN6">_xll.EQNXTDZ($A$1,$B6,EN$1)</f>
        <v>230.28333333333299</v>
      </c>
      <c r="EO6" cm="1">
        <f t="array" ref="EO6">_xll.EQNXTDZ($A$1,$B6,EO$1)</f>
        <v>197.3</v>
      </c>
      <c r="EP6" cm="1">
        <f t="array" ref="EP6">_xll.EQNXTDZ($A$1,$B6,EP$1)</f>
        <v>214.96666666666701</v>
      </c>
      <c r="EQ6" cm="1">
        <f t="array" ref="EQ6">_xll.EQNXTDZ($A$1,$B6,EQ$1)</f>
        <v>205.4</v>
      </c>
      <c r="ER6" cm="1">
        <f t="array" ref="ER6">_xll.EQNXTDZ($A$1,$B6,ER$1)</f>
        <v>218</v>
      </c>
      <c r="ES6" cm="1">
        <f t="array" ref="ES6">_xll.EQNXTDZ($A$1,$B6,ES$1)</f>
        <v>274.316666666667</v>
      </c>
      <c r="ET6" cm="1">
        <f t="array" ref="ET6">_xll.EQNXTDZ($A$1,$B6,ET$1)</f>
        <v>293.28333333333302</v>
      </c>
      <c r="EU6" cm="1">
        <f t="array" ref="EU6">_xll.EQNXTDZ($A$1,$B6,EU$1)</f>
        <v>272</v>
      </c>
      <c r="EV6" cm="1">
        <f t="array" ref="EV6">_xll.EQNXTDZ($A$1,$B6,EV$1)</f>
        <v>321.73333333333301</v>
      </c>
      <c r="EW6" cm="1">
        <f t="array" ref="EW6">_xll.EQNXTDZ($A$1,$B6,EW$1)</f>
        <v>327.66666666666703</v>
      </c>
      <c r="EX6" cm="1">
        <f t="array" ref="EX6">_xll.EQNXTDZ($A$1,$B6,EX$1)</f>
        <v>305.33333333333297</v>
      </c>
      <c r="EY6" cm="1">
        <f t="array" ref="EY6">_xll.EQNXTDZ($A$1,$B6,EY$1)</f>
        <v>269</v>
      </c>
      <c r="EZ6" cm="1">
        <f t="array" ref="EZ6">_xll.EQNXTDZ($A$1,$B6,EZ$1)</f>
        <v>230.4</v>
      </c>
      <c r="FA6" cm="1">
        <f t="array" ref="FA6">_xll.EQNXTDZ($A$1,$B6,FA$1)</f>
        <v>227.566666666667</v>
      </c>
      <c r="FB6" cm="1">
        <f t="array" ref="FB6">_xll.EQNXTDZ($A$1,$B6,FB$1)</f>
        <v>292.7</v>
      </c>
      <c r="FC6" cm="1">
        <f t="array" ref="FC6">_xll.EQNXTDZ($A$1,$B6,FC$1)</f>
        <v>353.33333333333297</v>
      </c>
      <c r="FD6" cm="1">
        <f t="array" ref="FD6">_xll.EQNXTDZ($A$1,$B6,FD$1)</f>
        <v>328.66666666666703</v>
      </c>
      <c r="FE6" cm="1">
        <f t="array" ref="FE6">_xll.EQNXTDZ($A$1,$B6,FE$1)</f>
        <v>443.66666666666703</v>
      </c>
      <c r="FF6" cm="1">
        <f t="array" ref="FF6">_xll.EQNXTDZ($A$1,$B6,FF$1)</f>
        <v>418.33333333333297</v>
      </c>
      <c r="FG6" cm="1">
        <f t="array" ref="FG6">_xll.EQNXTDZ($A$1,$B6,FG$1)</f>
        <v>386.63333333333298</v>
      </c>
      <c r="FH6" cm="1">
        <f t="array" ref="FH6">_xll.EQNXTDZ($A$1,$B6,FH$1)</f>
        <v>468.33333333333297</v>
      </c>
      <c r="FI6" cm="1">
        <f t="array" ref="FI6">_xll.EQNXTDZ($A$1,$B6,FI$1)</f>
        <v>489</v>
      </c>
      <c r="FJ6" cm="1">
        <f t="array" ref="FJ6">_xll.EQNXTDZ($A$1,$B6,FJ$1)</f>
        <v>445</v>
      </c>
      <c r="FK6" cm="1">
        <f t="array" ref="FK6">_xll.EQNXTDZ($A$1,$B6,FK$1)</f>
        <v>420</v>
      </c>
      <c r="FL6" cm="1">
        <f t="array" ref="FL6">_xll.EQNXTDZ($A$1,$B6,FL$1)</f>
        <v>375.2</v>
      </c>
      <c r="FM6" cm="1">
        <f t="array" ref="FM6">_xll.EQNXTDZ($A$1,$B6,FM$1)</f>
        <v>359.55</v>
      </c>
      <c r="FN6" cm="1">
        <f t="array" ref="FN6">_xll.EQNXTDZ($A$1,$B6,FN$1)</f>
        <v>400.65</v>
      </c>
      <c r="FO6" cm="1">
        <f t="array" ref="FO6">_xll.EQNXTDZ($A$1,$B6,FO$1)</f>
        <v>528.75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221.666666666667</v>
      </c>
      <c r="AY7" s="116" cm="1">
        <f t="array" ref="AY7">_xll.EQNXTDZ($A$1,$B7,AY$1)</f>
        <v>223.3</v>
      </c>
      <c r="AZ7" s="116" cm="1">
        <f t="array" ref="AZ7">_xll.EQNXTDZ($A$1,$B7,AZ$1)</f>
        <v>196.55</v>
      </c>
      <c r="BA7" s="116" cm="1">
        <f t="array" ref="BA7">_xll.EQNXTDZ($A$1,$B7,BA$1)</f>
        <v>212.23333333333301</v>
      </c>
      <c r="BB7" s="116" cm="1">
        <f t="array" ref="BB7">_xll.EQNXTDZ($A$1,$B7,BB$1)</f>
        <v>222.933333333333</v>
      </c>
      <c r="BC7" s="116" cm="1">
        <f t="array" ref="BC7">_xll.EQNXTDZ($A$1,$B7,BC$1)</f>
        <v>228.26666666666699</v>
      </c>
      <c r="BD7" s="116" cm="1">
        <f t="array" ref="BD7">_xll.EQNXTDZ($A$1,$B7,BD$1)</f>
        <v>230.75</v>
      </c>
      <c r="BE7" s="116" cm="1">
        <f t="array" ref="BE7">_xll.EQNXTDZ($A$1,$B7,BE$1)</f>
        <v>240.21666666666701</v>
      </c>
      <c r="BF7" s="116" cm="1">
        <f t="array" ref="BF7">_xll.EQNXTDZ($A$1,$B7,BF$1)</f>
        <v>247.5</v>
      </c>
      <c r="BG7" s="116" cm="1">
        <f t="array" ref="BG7">_xll.EQNXTDZ($A$1,$B7,BG$1)</f>
        <v>248.23333333333301</v>
      </c>
      <c r="BH7" s="116" cm="1">
        <f t="array" ref="BH7">_xll.EQNXTDZ($A$1,$B7,BH$1)</f>
        <v>242.333333333333</v>
      </c>
      <c r="BI7" s="116" cm="1">
        <f t="array" ref="BI7">_xll.EQNXTDZ($A$1,$B7,BI$1)</f>
        <v>260</v>
      </c>
      <c r="BJ7" s="116" cm="1">
        <f t="array" ref="BJ7">_xll.EQNXTDZ($A$1,$B7,BJ$1)</f>
        <v>259</v>
      </c>
      <c r="BK7" s="116" cm="1">
        <f t="array" ref="BK7">_xll.EQNXTDZ($A$1,$B7,BK$1)</f>
        <v>252.23333333333301</v>
      </c>
      <c r="BL7" s="116" cm="1">
        <f t="array" ref="BL7">_xll.EQNXTDZ($A$1,$B7,BL$1)</f>
        <v>290.33333333333297</v>
      </c>
      <c r="BM7" s="116" cm="1">
        <f t="array" ref="BM7">_xll.EQNXTDZ($A$1,$B7,BM$1)</f>
        <v>243.2</v>
      </c>
      <c r="BN7" s="116" cm="1">
        <f t="array" ref="BN7">_xll.EQNXTDZ($A$1,$B7,BN$1)</f>
        <v>232.96666666666701</v>
      </c>
      <c r="BO7" s="116" cm="1">
        <f t="array" ref="BO7">_xll.EQNXTDZ($A$1,$B7,BO$1)</f>
        <v>236.666666666667</v>
      </c>
      <c r="BP7" s="116" cm="1">
        <f t="array" ref="BP7">_xll.EQNXTDZ($A$1,$B7,BP$1)</f>
        <v>234</v>
      </c>
      <c r="BQ7" s="116" cm="1">
        <f t="array" ref="BQ7">_xll.EQNXTDZ($A$1,$B7,BQ$1)</f>
        <v>235</v>
      </c>
      <c r="BR7" s="116" cm="1">
        <f t="array" ref="BR7">_xll.EQNXTDZ($A$1,$B7,BR$1)</f>
        <v>241.333333333333</v>
      </c>
      <c r="BS7" s="116" cm="1">
        <f t="array" ref="BS7">_xll.EQNXTDZ($A$1,$B7,BS$1)</f>
        <v>237.333333333333</v>
      </c>
      <c r="BT7" s="116" cm="1">
        <f t="array" ref="BT7">_xll.EQNXTDZ($A$1,$B7,BT$1)</f>
        <v>213.98333333333301</v>
      </c>
      <c r="BU7" s="116" cm="1">
        <f t="array" ref="BU7">_xll.EQNXTDZ($A$1,$B7,BU$1)</f>
        <v>237</v>
      </c>
      <c r="BV7" s="116" cm="1">
        <f t="array" ref="BV7">_xll.EQNXTDZ($A$1,$B7,BV$1)</f>
        <v>225.21666666666701</v>
      </c>
      <c r="BW7" s="116" cm="1">
        <f t="array" ref="BW7">_xll.EQNXTDZ($A$1,$B7,BW$1)</f>
        <v>206.666666666667</v>
      </c>
      <c r="BX7" s="116" cm="1">
        <f t="array" ref="BX7">_xll.EQNXTDZ($A$1,$B7,BX$1)</f>
        <v>212.666666666667</v>
      </c>
      <c r="BY7" s="116" cm="1">
        <f t="array" ref="BY7">_xll.EQNXTDZ($A$1,$B7,BY$1)</f>
        <v>219.3</v>
      </c>
      <c r="BZ7" s="116" cm="1">
        <f t="array" ref="BZ7">_xll.EQNXTDZ($A$1,$B7,BZ$1)</f>
        <v>231.6</v>
      </c>
      <c r="CA7" s="116" cm="1">
        <f t="array" ref="CA7">_xll.EQNXTDZ($A$1,$B7,CA$1)</f>
        <v>225.666666666667</v>
      </c>
      <c r="CB7" s="116" cm="1">
        <f t="array" ref="CB7">_xll.EQNXTDZ($A$1,$B7,CB$1)</f>
        <v>190.433333333333</v>
      </c>
      <c r="CC7" s="116" cm="1">
        <f t="array" ref="CC7">_xll.EQNXTDZ($A$1,$B7,CC$1)</f>
        <v>192.316666666667</v>
      </c>
      <c r="CD7" s="116" cm="1">
        <f t="array" ref="CD7">_xll.EQNXTDZ($A$1,$B7,CD$1)</f>
        <v>185.36666666666699</v>
      </c>
      <c r="CE7" s="116" cm="1">
        <f t="array" ref="CE7">_xll.EQNXTDZ($A$1,$B7,CE$1)</f>
        <v>201.566666666667</v>
      </c>
      <c r="CF7" s="116" cm="1">
        <f t="array" ref="CF7">_xll.EQNXTDZ($A$1,$B7,CF$1)</f>
        <v>186</v>
      </c>
      <c r="CG7" s="116" cm="1">
        <f t="array" ref="CG7">_xll.EQNXTDZ($A$1,$B7,CG$1)</f>
        <v>181.333333333333</v>
      </c>
      <c r="CH7" s="116" cm="1">
        <f t="array" ref="CH7">_xll.EQNXTDZ($A$1,$B7,CH$1)</f>
        <v>165.03333333333299</v>
      </c>
      <c r="CI7" s="116" cm="1">
        <f t="array" ref="CI7">_xll.EQNXTDZ($A$1,$B7,CI$1)</f>
        <v>163.333333333333</v>
      </c>
      <c r="CJ7" s="116" cm="1">
        <f t="array" ref="CJ7">_xll.EQNXTDZ($A$1,$B7,CJ$1)</f>
        <v>161.38333333333301</v>
      </c>
      <c r="CK7" s="116" cm="1">
        <f t="array" ref="CK7">_xll.EQNXTDZ($A$1,$B7,CK$1)</f>
        <v>161.65</v>
      </c>
      <c r="CL7" s="116" cm="1">
        <f t="array" ref="CL7">_xll.EQNXTDZ($A$1,$B7,CL$1)</f>
        <v>178.333333333333</v>
      </c>
      <c r="CM7" s="116" cm="1">
        <f t="array" ref="CM7">_xll.EQNXTDZ($A$1,$B7,CM$1)</f>
        <v>195.066666666667</v>
      </c>
      <c r="CN7" s="116" cm="1">
        <f t="array" ref="CN7">_xll.EQNXTDZ($A$1,$B7,CN$1)</f>
        <v>201.5</v>
      </c>
      <c r="CO7" s="116" cm="1">
        <f t="array" ref="CO7">_xll.EQNXTDZ($A$1,$B7,CO$1)</f>
        <v>195.316666666667</v>
      </c>
      <c r="CP7" s="116" cm="1">
        <f t="array" ref="CP7">_xll.EQNXTDZ($A$1,$B7,CP$1)</f>
        <v>196</v>
      </c>
      <c r="CQ7" s="116" cm="1">
        <f t="array" ref="CQ7">_xll.EQNXTDZ($A$1,$B7,CQ$1)</f>
        <v>241</v>
      </c>
      <c r="CR7" s="116" cm="1">
        <f t="array" ref="CR7">_xll.EQNXTDZ($A$1,$B7,CR$1)</f>
        <v>206.666666666667</v>
      </c>
      <c r="CS7" s="116" cm="1">
        <f t="array" ref="CS7">_xll.EQNXTDZ($A$1,$B7,CS$1)</f>
        <v>194.23333333333301</v>
      </c>
      <c r="CT7" s="116" cm="1">
        <f t="array" ref="CT7">_xll.EQNXTDZ($A$1,$B7,CT$1)</f>
        <v>177.3</v>
      </c>
      <c r="CU7" s="116" cm="1">
        <f t="array" ref="CU7">_xll.EQNXTDZ($A$1,$B7,CU$1)</f>
        <v>186</v>
      </c>
      <c r="CV7" s="116" cm="1">
        <f t="array" ref="CV7">_xll.EQNXTDZ($A$1,$B7,CV$1)</f>
        <v>245.9</v>
      </c>
      <c r="CW7" s="116" cm="1">
        <f t="array" ref="CW7">_xll.EQNXTDZ($A$1,$B7,CW$1)</f>
        <v>282.3</v>
      </c>
      <c r="CX7" s="116" cm="1">
        <f t="array" ref="CX7">_xll.EQNXTDZ($A$1,$B7,CX$1)</f>
        <v>275.66666666666703</v>
      </c>
      <c r="CY7" s="116" cm="1">
        <f t="array" ref="CY7">_xll.EQNXTDZ($A$1,$B7,CY$1)</f>
        <v>404</v>
      </c>
      <c r="CZ7" s="116" cm="1">
        <f t="array" ref="CZ7">_xll.EQNXTDZ($A$1,$B7,CZ$1)</f>
        <v>393.33333333333297</v>
      </c>
      <c r="DA7" s="116" cm="1">
        <f t="array" ref="DA7">_xll.EQNXTDZ($A$1,$B7,DA$1)</f>
        <v>367.9</v>
      </c>
      <c r="DB7" s="116" cm="1">
        <f t="array" ref="DB7">_xll.EQNXTDZ($A$1,$B7,DB$1)</f>
        <v>335.3</v>
      </c>
      <c r="DC7" s="116" cm="1">
        <f t="array" ref="DC7">_xll.EQNXTDZ($A$1,$B7,DC$1)</f>
        <v>320</v>
      </c>
      <c r="DD7" s="116" cm="1">
        <f t="array" ref="DD7">_xll.EQNXTDZ($A$1,$B7,DD$1)</f>
        <v>309.66666666666703</v>
      </c>
      <c r="DE7" s="116" cm="1">
        <f t="array" ref="DE7">_xll.EQNXTDZ($A$1,$B7,DE$1)</f>
        <v>366.66666666666703</v>
      </c>
      <c r="DF7" s="116" cm="1">
        <f t="array" ref="DF7">_xll.EQNXTDZ($A$1,$B7,DF$1)</f>
        <v>371.66666666666703</v>
      </c>
      <c r="DG7" s="116" cm="1">
        <f t="array" ref="DG7">_xll.EQNXTDZ($A$1,$B7,DG$1)</f>
        <v>488.33333333333297</v>
      </c>
      <c r="DH7" s="116" cm="1">
        <f t="array" ref="DH7">_xll.EQNXTDZ($A$1,$B7,DH$1)</f>
        <v>456.566666666667</v>
      </c>
      <c r="DI7" s="116" cm="1">
        <f t="array" ref="DI7">_xll.EQNXTDZ($A$1,$B7,DI$1)</f>
        <v>458.3</v>
      </c>
      <c r="DJ7" s="116" cm="1">
        <f t="array" ref="DJ7">_xll.EQNXTDZ($A$1,$B7,DJ$1)</f>
        <v>437</v>
      </c>
      <c r="DK7" s="116" cm="1">
        <f t="array" ref="DK7">_xll.EQNXTDZ($A$1,$B7,DK$1)</f>
        <v>400</v>
      </c>
      <c r="DL7" s="116" cm="1">
        <f t="array" ref="DL7">_xll.EQNXTDZ($A$1,$B7,DL$1)</f>
        <v>432.66666666666703</v>
      </c>
      <c r="DM7" s="116" cm="1">
        <f t="array" ref="DM7">_xll.EQNXTDZ($A$1,$B7,DM$1)</f>
        <v>375</v>
      </c>
      <c r="DN7" s="116" cm="1">
        <f t="array" ref="DN7">_xll.EQNXTDZ($A$1,$B7,DN$1)</f>
        <v>377.33333333333297</v>
      </c>
      <c r="DO7" s="116" cm="1">
        <f t="array" ref="DO7">_xll.EQNXTDZ($A$1,$B7,DO$1)</f>
        <v>336</v>
      </c>
      <c r="DP7" s="116" cm="1">
        <f t="array" ref="DP7">_xll.EQNXTDZ($A$1,$B7,DP$1)</f>
        <v>290.45</v>
      </c>
      <c r="DQ7" s="116" cm="1">
        <f t="array" ref="DQ7">_xll.EQNXTDZ($A$1,$B7,DQ$1)</f>
        <v>301.433333333333</v>
      </c>
      <c r="DR7" s="116" cm="1">
        <f t="array" ref="DR7">_xll.EQNXTDZ($A$1,$B7,DR$1)</f>
        <v>263.316666666667</v>
      </c>
      <c r="DS7" s="116" cm="1">
        <f t="array" ref="DS7">_xll.EQNXTDZ($A$1,$B7,DS$1)</f>
        <v>241.666666666667</v>
      </c>
      <c r="DT7" s="116" cm="1">
        <f t="array" ref="DT7">_xll.EQNXTDZ($A$1,$B7,DT$1)</f>
        <v>215.98333333333301</v>
      </c>
      <c r="DU7" s="116" cm="1">
        <f t="array" ref="DU7">_xll.EQNXTDZ($A$1,$B7,DU$1)</f>
        <v>223.28333333333299</v>
      </c>
      <c r="DV7" s="116" cm="1">
        <f t="array" ref="DV7">_xll.EQNXTDZ($A$1,$B7,DV$1)</f>
        <v>247.333333333333</v>
      </c>
      <c r="DW7" s="116" cm="1">
        <f t="array" ref="DW7">_xll.EQNXTDZ($A$1,$B7,DW$1)</f>
        <v>237.53333333333299</v>
      </c>
      <c r="DX7" s="116" cm="1">
        <f t="array" ref="DX7">_xll.EQNXTDZ($A$1,$B7,DX$1)</f>
        <v>226</v>
      </c>
      <c r="DY7" s="116" cm="1">
        <f t="array" ref="DY7">_xll.EQNXTDZ($A$1,$B7,DY$1)</f>
        <v>256.08333333333297</v>
      </c>
      <c r="DZ7" s="116" cm="1">
        <f t="array" ref="DZ7">_xll.EQNXTDZ($A$1,$B7,DZ$1)</f>
        <v>206.96666666666701</v>
      </c>
      <c r="EA7" s="116" cm="1">
        <f t="array" ref="EA7">_xll.EQNXTDZ($A$1,$B7,EA$1)</f>
        <v>188.38333333333301</v>
      </c>
      <c r="EB7" s="116" cm="1">
        <f t="array" ref="EB7">_xll.EQNXTDZ($A$1,$B7,EB$1)</f>
        <v>167</v>
      </c>
      <c r="EC7" s="116" cm="1">
        <f t="array" ref="EC7">_xll.EQNXTDZ($A$1,$B7,EC$1)</f>
        <v>171.2</v>
      </c>
      <c r="ED7" s="116" cm="1">
        <f t="array" ref="ED7">_xll.EQNXTDZ($A$1,$B7,ED$1)</f>
        <v>158.63333333333301</v>
      </c>
      <c r="EE7" s="116" cm="1">
        <f t="array" ref="EE7">_xll.EQNXTDZ($A$1,$B7,EE$1)</f>
        <v>178.9</v>
      </c>
      <c r="EF7" s="116" cm="1">
        <f t="array" ref="EF7">_xll.EQNXTDZ($A$1,$B7,EF$1)</f>
        <v>203.166666666667</v>
      </c>
      <c r="EG7" s="116" cm="1">
        <f t="array" ref="EG7">_xll.EQNXTDZ($A$1,$B7,EG$1)</f>
        <v>200.98333333333301</v>
      </c>
      <c r="EH7" s="116" cm="1">
        <f t="array" ref="EH7">_xll.EQNXTDZ($A$1,$B7,EH$1)</f>
        <v>202.3</v>
      </c>
      <c r="EI7" s="116" cm="1">
        <f t="array" ref="EI7">_xll.EQNXTDZ($A$1,$B7,EI$1)</f>
        <v>195.333333333333</v>
      </c>
      <c r="EJ7" s="116" cm="1">
        <f t="array" ref="EJ7">_xll.EQNXTDZ($A$1,$B7,EJ$1)</f>
        <v>192.21666666666701</v>
      </c>
      <c r="EK7" s="116" cm="1">
        <f t="array" ref="EK7">_xll.EQNXTDZ($A$1,$B7,EK$1)</f>
        <v>229.98333333333301</v>
      </c>
      <c r="EL7" s="116" cm="1">
        <f t="array" ref="EL7">_xll.EQNXTDZ($A$1,$B7,EL$1)</f>
        <v>231.666666666667</v>
      </c>
      <c r="EM7" s="116" cm="1">
        <f t="array" ref="EM7">_xll.EQNXTDZ($A$1,$B7,EM$1)</f>
        <v>240.88333333333301</v>
      </c>
      <c r="EN7" s="116" cm="1">
        <f t="array" ref="EN7">_xll.EQNXTDZ($A$1,$B7,EN$1)</f>
        <v>233.46666666666701</v>
      </c>
      <c r="EO7" s="116" cm="1">
        <f t="array" ref="EO7">_xll.EQNXTDZ($A$1,$B7,EO$1)</f>
        <v>227.36666666666699</v>
      </c>
      <c r="EP7" s="116" cm="1">
        <f t="array" ref="EP7">_xll.EQNXTDZ($A$1,$B7,EP$1)</f>
        <v>227.333333333333</v>
      </c>
      <c r="EQ7" s="116" cm="1">
        <f t="array" ref="EQ7">_xll.EQNXTDZ($A$1,$B7,EQ$1)</f>
        <v>226.666666666667</v>
      </c>
      <c r="ER7" s="116" cm="1">
        <f t="array" ref="ER7">_xll.EQNXTDZ($A$1,$B7,ER$1)</f>
        <v>280.13333333333298</v>
      </c>
      <c r="ES7" s="116" cm="1">
        <f t="array" ref="ES7">_xll.EQNXTDZ($A$1,$B7,ES$1)</f>
        <v>310.45</v>
      </c>
      <c r="ET7" s="116" cm="1">
        <f t="array" ref="ET7">_xll.EQNXTDZ($A$1,$B7,ET$1)</f>
        <v>298.316666666667</v>
      </c>
      <c r="EU7" s="116" cm="1">
        <f t="array" ref="EU7">_xll.EQNXTDZ($A$1,$B7,EU$1)</f>
        <v>325.183333333333</v>
      </c>
      <c r="EV7" s="116" cm="1">
        <f t="array" ref="EV7">_xll.EQNXTDZ($A$1,$B7,EV$1)</f>
        <v>343.63333333333298</v>
      </c>
      <c r="EW7" s="116" cm="1">
        <f t="array" ref="EW7">_xll.EQNXTDZ($A$1,$B7,EW$1)</f>
        <v>350.05</v>
      </c>
      <c r="EX7" s="116" cm="1">
        <f t="array" ref="EX7">_xll.EQNXTDZ($A$1,$B7,EX$1)</f>
        <v>351.66666666666703</v>
      </c>
      <c r="EY7" s="116" cm="1">
        <f t="array" ref="EY7">_xll.EQNXTDZ($A$1,$B7,EY$1)</f>
        <v>274.98333333333301</v>
      </c>
      <c r="EZ7" s="116" cm="1">
        <f t="array" ref="EZ7">_xll.EQNXTDZ($A$1,$B7,EZ$1)</f>
        <v>252.583333333333</v>
      </c>
      <c r="FA7" s="116" cm="1">
        <f t="array" ref="FA7">_xll.EQNXTDZ($A$1,$B7,FA$1)</f>
        <v>312.933333333333</v>
      </c>
      <c r="FB7" s="116" cm="1">
        <f t="array" ref="FB7">_xll.EQNXTDZ($A$1,$B7,FB$1)</f>
        <v>351.2</v>
      </c>
      <c r="FC7" s="116" cm="1">
        <f t="array" ref="FC7">_xll.EQNXTDZ($A$1,$B7,FC$1)</f>
        <v>357.73333333333301</v>
      </c>
      <c r="FD7" s="116" cm="1">
        <f t="array" ref="FD7">_xll.EQNXTDZ($A$1,$B7,FD$1)</f>
        <v>452.61666666666702</v>
      </c>
      <c r="FE7" s="116" cm="1">
        <f t="array" ref="FE7">_xll.EQNXTDZ($A$1,$B7,FE$1)</f>
        <v>478.33333333333297</v>
      </c>
      <c r="FF7" s="116" cm="1">
        <f t="array" ref="FF7">_xll.EQNXTDZ($A$1,$B7,FF$1)</f>
        <v>461.2</v>
      </c>
      <c r="FG7" s="116" cm="1">
        <f t="array" ref="FG7">_xll.EQNXTDZ($A$1,$B7,FG$1)</f>
        <v>491.33333333333297</v>
      </c>
      <c r="FH7" s="116" cm="1">
        <f t="array" ref="FH7">_xll.EQNXTDZ($A$1,$B7,FH$1)</f>
        <v>536.66666666666697</v>
      </c>
      <c r="FI7" s="116" cm="1">
        <f t="array" ref="FI7">_xll.EQNXTDZ($A$1,$B7,FI$1)</f>
        <v>492</v>
      </c>
      <c r="FJ7" s="116" cm="1">
        <f t="array" ref="FJ7">_xll.EQNXTDZ($A$1,$B7,FJ$1)</f>
        <v>508</v>
      </c>
      <c r="FK7" s="116" cm="1">
        <f t="array" ref="FK7">_xll.EQNXTDZ($A$1,$B7,FK$1)</f>
        <v>425.05</v>
      </c>
      <c r="FL7" s="116" cm="1">
        <f t="array" ref="FL7">_xll.EQNXTDZ($A$1,$B7,FL$1)</f>
        <v>392.6</v>
      </c>
      <c r="FM7" s="116" cm="1">
        <f t="array" ref="FM7">_xll.EQNXTDZ($A$1,$B7,FM$1)</f>
        <v>418</v>
      </c>
      <c r="FN7" s="116" cm="1">
        <f t="array" ref="FN7">_xll.EQNXTDZ($A$1,$B7,FN$1)</f>
        <v>526</v>
      </c>
      <c r="FO7" s="116" cm="1">
        <f t="array" ref="FO7">_xll.EQNXTDZ($A$1,$B7,FO$1)</f>
        <v>578.25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223.3</v>
      </c>
      <c r="IF7" s="116">
        <f>+MAX(AZ7:BB7)</f>
        <v>222.933333333333</v>
      </c>
      <c r="IG7" s="116">
        <f>+MAX(BC7:BE7)</f>
        <v>240.21666666666701</v>
      </c>
      <c r="IH7" s="116">
        <f>+MAX(BF7:BH7)</f>
        <v>248.23333333333301</v>
      </c>
      <c r="II7" s="116">
        <f>+MAX(BI7:BK7)</f>
        <v>260</v>
      </c>
      <c r="IJ7" s="116">
        <f>+MAX(BL7:BN7)</f>
        <v>290.33333333333297</v>
      </c>
      <c r="IK7" s="116">
        <f>+MAX(BO7:BQ7)</f>
        <v>236.666666666667</v>
      </c>
      <c r="IL7" s="116">
        <f>+MAX(BR7:BT7)</f>
        <v>241.333333333333</v>
      </c>
      <c r="IM7" s="116">
        <f>+MAX(BU7:BW7)</f>
        <v>237</v>
      </c>
      <c r="IN7" s="116">
        <f>+MAX(BX7:BZ7)</f>
        <v>231.6</v>
      </c>
      <c r="IO7" s="116">
        <f>+MAX(CA7:CC7)</f>
        <v>225.666666666667</v>
      </c>
      <c r="IP7" s="116">
        <f>+MAX(CD7:CF7)</f>
        <v>201.566666666667</v>
      </c>
      <c r="IQ7" s="116">
        <f>+MAX(CG7:CI7)</f>
        <v>181.333333333333</v>
      </c>
      <c r="IR7" s="116">
        <f>+MAX(CJ7:CL7)</f>
        <v>178.333333333333</v>
      </c>
      <c r="IS7" s="116">
        <f>+MAX(CM7:CO7)</f>
        <v>201.5</v>
      </c>
      <c r="IT7" s="116">
        <f>+MAX(CP7:CR7)</f>
        <v>241</v>
      </c>
      <c r="IU7" s="116">
        <f>+MAX(CS7:CU7)</f>
        <v>194.23333333333301</v>
      </c>
      <c r="IV7" s="116">
        <f>+MAX(CV7:CX7)</f>
        <v>282.3</v>
      </c>
      <c r="IW7" s="116">
        <f>+MAX(CY7:DA7)</f>
        <v>404</v>
      </c>
      <c r="IX7" s="116">
        <f>+MAX(DB7:DD7)</f>
        <v>335.3</v>
      </c>
      <c r="IY7" s="116">
        <f>+MAX(DE7:DG7)</f>
        <v>488.33333333333297</v>
      </c>
      <c r="IZ7" s="116">
        <f>+MAX(DH7:DJ7)</f>
        <v>458.3</v>
      </c>
      <c r="JA7" s="116">
        <f>+MAX(DK7:DM7)</f>
        <v>432.66666666666703</v>
      </c>
      <c r="JB7" s="116">
        <f>+MAX(DN7:DP7)</f>
        <v>377.33333333333297</v>
      </c>
      <c r="JC7" s="116">
        <f>+MAX(DQ7:DS7)</f>
        <v>301.433333333333</v>
      </c>
      <c r="JD7" s="116">
        <f>+MAX(DT7:DV7)</f>
        <v>247.333333333333</v>
      </c>
      <c r="JE7" s="116">
        <f>+MAX(DW7:DY7)</f>
        <v>256.08333333333297</v>
      </c>
      <c r="JF7" s="116">
        <f>+MAX(DZ7:EB7)</f>
        <v>206.96666666666701</v>
      </c>
      <c r="JG7" s="116">
        <f>+MAX(EC7:EE7)</f>
        <v>178.9</v>
      </c>
      <c r="JH7" s="116">
        <f>+MAX(EF7:EH7)</f>
        <v>203.166666666667</v>
      </c>
      <c r="JI7" s="116">
        <f>+MAX(EI7:EK7)</f>
        <v>229.98333333333301</v>
      </c>
      <c r="JJ7" s="116">
        <f>+MAX(EL7:EN7)</f>
        <v>240.88333333333301</v>
      </c>
      <c r="JK7" s="116">
        <f>MAX(EO7:EQ7)</f>
        <v>227.36666666666699</v>
      </c>
      <c r="JL7" s="116">
        <f>MAX(ER7:ET7)</f>
        <v>310.45</v>
      </c>
      <c r="JM7" s="116">
        <f>MAX(EU7:EW7)</f>
        <v>350.05</v>
      </c>
      <c r="JN7" s="116">
        <f>MAX(EX7:EZ7)</f>
        <v>351.66666666666703</v>
      </c>
      <c r="JO7" s="116">
        <f>MAX(FA7:FC7)</f>
        <v>357.73333333333301</v>
      </c>
      <c r="JP7" s="116">
        <f>MAX(FD7:FF7)</f>
        <v>478.33333333333297</v>
      </c>
      <c r="JQ7" s="116">
        <f>MAX(FG7:FI7)</f>
        <v>536.66666666666697</v>
      </c>
      <c r="JR7" s="116">
        <f>MAX(FJ7:FL7)</f>
        <v>508</v>
      </c>
      <c r="JS7" s="116">
        <f>MAX(FM7:FO7)</f>
        <v>578.25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195.15</v>
      </c>
      <c r="AY8" s="116" cm="1">
        <f t="array" ref="AY8">_xll.EQNXTDZ($A$1,$B8,AY$1)</f>
        <v>174.4</v>
      </c>
      <c r="AZ8" s="116" cm="1">
        <f t="array" ref="AZ8">_xll.EQNXTDZ($A$1,$B8,AZ$1)</f>
        <v>178.666666666667</v>
      </c>
      <c r="BA8" s="116" cm="1">
        <f t="array" ref="BA8">_xll.EQNXTDZ($A$1,$B8,BA$1)</f>
        <v>180.333333333333</v>
      </c>
      <c r="BB8" s="116" cm="1">
        <f t="array" ref="BB8">_xll.EQNXTDZ($A$1,$B8,BB$1)</f>
        <v>196.666666666667</v>
      </c>
      <c r="BC8" s="116" cm="1">
        <f t="array" ref="BC8">_xll.EQNXTDZ($A$1,$B8,BC$1)</f>
        <v>201.666666666667</v>
      </c>
      <c r="BD8" s="116" cm="1">
        <f t="array" ref="BD8">_xll.EQNXTDZ($A$1,$B8,BD$1)</f>
        <v>180.03333333333299</v>
      </c>
      <c r="BE8" s="116" cm="1">
        <f t="array" ref="BE8">_xll.EQNXTDZ($A$1,$B8,BE$1)</f>
        <v>215.03333333333299</v>
      </c>
      <c r="BF8" s="116" cm="1">
        <f t="array" ref="BF8">_xll.EQNXTDZ($A$1,$B8,BF$1)</f>
        <v>226.38333333333301</v>
      </c>
      <c r="BG8" s="116" cm="1">
        <f t="array" ref="BG8">_xll.EQNXTDZ($A$1,$B8,BG$1)</f>
        <v>230.11666666666699</v>
      </c>
      <c r="BH8" s="116" cm="1">
        <f t="array" ref="BH8">_xll.EQNXTDZ($A$1,$B8,BH$1)</f>
        <v>222.28333333333299</v>
      </c>
      <c r="BI8" s="116" cm="1">
        <f t="array" ref="BI8">_xll.EQNXTDZ($A$1,$B8,BI$1)</f>
        <v>233.183333333333</v>
      </c>
      <c r="BJ8" s="116" cm="1">
        <f t="array" ref="BJ8">_xll.EQNXTDZ($A$1,$B8,BJ$1)</f>
        <v>228.46666666666701</v>
      </c>
      <c r="BK8" s="116" cm="1">
        <f t="array" ref="BK8">_xll.EQNXTDZ($A$1,$B8,BK$1)</f>
        <v>232.38333333333301</v>
      </c>
      <c r="BL8" s="116" cm="1">
        <f t="array" ref="BL8">_xll.EQNXTDZ($A$1,$B8,BL$1)</f>
        <v>232.666666666667</v>
      </c>
      <c r="BM8" s="116" cm="1">
        <f t="array" ref="BM8">_xll.EQNXTDZ($A$1,$B8,BM$1)</f>
        <v>225.183333333333</v>
      </c>
      <c r="BN8" s="116" cm="1">
        <f t="array" ref="BN8">_xll.EQNXTDZ($A$1,$B8,BN$1)</f>
        <v>221.166666666667</v>
      </c>
      <c r="BO8" s="116" cm="1">
        <f t="array" ref="BO8">_xll.EQNXTDZ($A$1,$B8,BO$1)</f>
        <v>222.166666666667</v>
      </c>
      <c r="BP8" s="116" cm="1">
        <f t="array" ref="BP8">_xll.EQNXTDZ($A$1,$B8,BP$1)</f>
        <v>219.63333333333301</v>
      </c>
      <c r="BQ8" s="116" cm="1">
        <f t="array" ref="BQ8">_xll.EQNXTDZ($A$1,$B8,BQ$1)</f>
        <v>213.76666666666699</v>
      </c>
      <c r="BR8" s="116" cm="1">
        <f t="array" ref="BR8">_xll.EQNXTDZ($A$1,$B8,BR$1)</f>
        <v>226.65</v>
      </c>
      <c r="BS8" s="116" cm="1">
        <f t="array" ref="BS8">_xll.EQNXTDZ($A$1,$B8,BS$1)</f>
        <v>200.05</v>
      </c>
      <c r="BT8" s="116" cm="1">
        <f t="array" ref="BT8">_xll.EQNXTDZ($A$1,$B8,BT$1)</f>
        <v>188.5</v>
      </c>
      <c r="BU8" s="116" cm="1">
        <f t="array" ref="BU8">_xll.EQNXTDZ($A$1,$B8,BU$1)</f>
        <v>193.38333333333301</v>
      </c>
      <c r="BV8" s="116" cm="1">
        <f t="array" ref="BV8">_xll.EQNXTDZ($A$1,$B8,BV$1)</f>
        <v>190.73333333333301</v>
      </c>
      <c r="BW8" s="116" cm="1">
        <f t="array" ref="BW8">_xll.EQNXTDZ($A$1,$B8,BW$1)</f>
        <v>190.7</v>
      </c>
      <c r="BX8" s="116" cm="1">
        <f t="array" ref="BX8">_xll.EQNXTDZ($A$1,$B8,BX$1)</f>
        <v>187.333333333333</v>
      </c>
      <c r="BY8" s="116" cm="1">
        <f t="array" ref="BY8">_xll.EQNXTDZ($A$1,$B8,BY$1)</f>
        <v>198.03333333333299</v>
      </c>
      <c r="BZ8" s="116" cm="1">
        <f t="array" ref="BZ8">_xll.EQNXTDZ($A$1,$B8,BZ$1)</f>
        <v>196.7</v>
      </c>
      <c r="CA8" s="116" cm="1">
        <f t="array" ref="CA8">_xll.EQNXTDZ($A$1,$B8,CA$1)</f>
        <v>183.53333333333299</v>
      </c>
      <c r="CB8" s="116" cm="1">
        <f t="array" ref="CB8">_xll.EQNXTDZ($A$1,$B8,CB$1)</f>
        <v>174.666666666667</v>
      </c>
      <c r="CC8" s="116" cm="1">
        <f t="array" ref="CC8">_xll.EQNXTDZ($A$1,$B8,CC$1)</f>
        <v>175</v>
      </c>
      <c r="CD8" s="116" cm="1">
        <f t="array" ref="CD8">_xll.EQNXTDZ($A$1,$B8,CD$1)</f>
        <v>176.13333333333301</v>
      </c>
      <c r="CE8" s="116" cm="1">
        <f t="array" ref="CE8">_xll.EQNXTDZ($A$1,$B8,CE$1)</f>
        <v>161.666666666667</v>
      </c>
      <c r="CF8" s="116" cm="1">
        <f t="array" ref="CF8">_xll.EQNXTDZ($A$1,$B8,CF$1)</f>
        <v>172</v>
      </c>
      <c r="CG8" s="116" cm="1">
        <f t="array" ref="CG8">_xll.EQNXTDZ($A$1,$B8,CG$1)</f>
        <v>162.73333333333301</v>
      </c>
      <c r="CH8" s="116" cm="1">
        <f t="array" ref="CH8">_xll.EQNXTDZ($A$1,$B8,CH$1)</f>
        <v>141.683333333333</v>
      </c>
      <c r="CI8" s="116" cm="1">
        <f t="array" ref="CI8">_xll.EQNXTDZ($A$1,$B8,CI$1)</f>
        <v>154.19999999999999</v>
      </c>
      <c r="CJ8" s="116" cm="1">
        <f t="array" ref="CJ8">_xll.EQNXTDZ($A$1,$B8,CJ$1)</f>
        <v>135.71666666666701</v>
      </c>
      <c r="CK8" s="116" cm="1">
        <f t="array" ref="CK8">_xll.EQNXTDZ($A$1,$B8,CK$1)</f>
        <v>143.35</v>
      </c>
      <c r="CL8" s="116" cm="1">
        <f t="array" ref="CL8">_xll.EQNXTDZ($A$1,$B8,CL$1)</f>
        <v>149.76666666666699</v>
      </c>
      <c r="CM8" s="116" cm="1">
        <f t="array" ref="CM8">_xll.EQNXTDZ($A$1,$B8,CM$1)</f>
        <v>162.683333333333</v>
      </c>
      <c r="CN8" s="116" cm="1">
        <f t="array" ref="CN8">_xll.EQNXTDZ($A$1,$B8,CN$1)</f>
        <v>179.333333333333</v>
      </c>
      <c r="CO8" s="116" cm="1">
        <f t="array" ref="CO8">_xll.EQNXTDZ($A$1,$B8,CO$1)</f>
        <v>175.51666666666699</v>
      </c>
      <c r="CP8" s="116" cm="1">
        <f t="array" ref="CP8">_xll.EQNXTDZ($A$1,$B8,CP$1)</f>
        <v>171.61666666666699</v>
      </c>
      <c r="CQ8" s="116" cm="1">
        <f t="array" ref="CQ8">_xll.EQNXTDZ($A$1,$B8,CQ$1)</f>
        <v>170.666666666667</v>
      </c>
      <c r="CR8" s="116" cm="1">
        <f t="array" ref="CR8">_xll.EQNXTDZ($A$1,$B8,CR$1)</f>
        <v>136.53333333333299</v>
      </c>
      <c r="CS8" s="116" cm="1">
        <f t="array" ref="CS8">_xll.EQNXTDZ($A$1,$B8,CS$1)</f>
        <v>163</v>
      </c>
      <c r="CT8" s="116" cm="1">
        <f t="array" ref="CT8">_xll.EQNXTDZ($A$1,$B8,CT$1)</f>
        <v>160.666666666667</v>
      </c>
      <c r="CU8" s="116" cm="1">
        <f t="array" ref="CU8">_xll.EQNXTDZ($A$1,$B8,CU$1)</f>
        <v>166.333333333333</v>
      </c>
      <c r="CV8" s="116" cm="1">
        <f t="array" ref="CV8">_xll.EQNXTDZ($A$1,$B8,CV$1)</f>
        <v>167.333333333333</v>
      </c>
      <c r="CW8" s="116" cm="1">
        <f t="array" ref="CW8">_xll.EQNXTDZ($A$1,$B8,CW$1)</f>
        <v>210.416666666667</v>
      </c>
      <c r="CX8" s="116" cm="1">
        <f t="array" ref="CX8">_xll.EQNXTDZ($A$1,$B8,CX$1)</f>
        <v>237.05</v>
      </c>
      <c r="CY8" s="116" cm="1">
        <f t="array" ref="CY8">_xll.EQNXTDZ($A$1,$B8,CY$1)</f>
        <v>251</v>
      </c>
      <c r="CZ8" s="116" cm="1">
        <f t="array" ref="CZ8">_xll.EQNXTDZ($A$1,$B8,CZ$1)</f>
        <v>313.33333333333297</v>
      </c>
      <c r="DA8" s="116" cm="1">
        <f t="array" ref="DA8">_xll.EQNXTDZ($A$1,$B8,DA$1)</f>
        <v>291.71666666666698</v>
      </c>
      <c r="DB8" s="116" cm="1">
        <f t="array" ref="DB8">_xll.EQNXTDZ($A$1,$B8,DB$1)</f>
        <v>296.05</v>
      </c>
      <c r="DC8" s="116" cm="1">
        <f t="array" ref="DC8">_xll.EQNXTDZ($A$1,$B8,DC$1)</f>
        <v>290.33333333333297</v>
      </c>
      <c r="DD8" s="116" cm="1">
        <f t="array" ref="DD8">_xll.EQNXTDZ($A$1,$B8,DD$1)</f>
        <v>277</v>
      </c>
      <c r="DE8" s="116" cm="1">
        <f t="array" ref="DE8">_xll.EQNXTDZ($A$1,$B8,DE$1)</f>
        <v>301</v>
      </c>
      <c r="DF8" s="116" cm="1">
        <f t="array" ref="DF8">_xll.EQNXTDZ($A$1,$B8,DF$1)</f>
        <v>331.08333333333297</v>
      </c>
      <c r="DG8" s="116" cm="1">
        <f t="array" ref="DG8">_xll.EQNXTDZ($A$1,$B8,DG$1)</f>
        <v>343.33333333333297</v>
      </c>
      <c r="DH8" s="116" cm="1">
        <f t="array" ref="DH8">_xll.EQNXTDZ($A$1,$B8,DH$1)</f>
        <v>433.33333333333297</v>
      </c>
      <c r="DI8" s="116" cm="1">
        <f t="array" ref="DI8">_xll.EQNXTDZ($A$1,$B8,DI$1)</f>
        <v>405.85</v>
      </c>
      <c r="DJ8" s="116" cm="1">
        <f t="array" ref="DJ8">_xll.EQNXTDZ($A$1,$B8,DJ$1)</f>
        <v>386.03333333333302</v>
      </c>
      <c r="DK8" s="116" cm="1">
        <f t="array" ref="DK8">_xll.EQNXTDZ($A$1,$B8,DK$1)</f>
        <v>365.36666666666702</v>
      </c>
      <c r="DL8" s="116" cm="1">
        <f t="array" ref="DL8">_xll.EQNXTDZ($A$1,$B8,DL$1)</f>
        <v>360.33333333333297</v>
      </c>
      <c r="DM8" s="116" cm="1">
        <f t="array" ref="DM8">_xll.EQNXTDZ($A$1,$B8,DM$1)</f>
        <v>315</v>
      </c>
      <c r="DN8" s="116" cm="1">
        <f t="array" ref="DN8">_xll.EQNXTDZ($A$1,$B8,DN$1)</f>
        <v>296.35000000000002</v>
      </c>
      <c r="DO8" s="116" cm="1">
        <f t="array" ref="DO8">_xll.EQNXTDZ($A$1,$B8,DO$1)</f>
        <v>268.66666666666703</v>
      </c>
      <c r="DP8" s="116" cm="1">
        <f t="array" ref="DP8">_xll.EQNXTDZ($A$1,$B8,DP$1)</f>
        <v>247.35</v>
      </c>
      <c r="DQ8" s="116" cm="1">
        <f t="array" ref="DQ8">_xll.EQNXTDZ($A$1,$B8,DQ$1)</f>
        <v>257.3</v>
      </c>
      <c r="DR8" s="116" cm="1">
        <f t="array" ref="DR8">_xll.EQNXTDZ($A$1,$B8,DR$1)</f>
        <v>210.36666666666699</v>
      </c>
      <c r="DS8" s="116" cm="1">
        <f t="array" ref="DS8">_xll.EQNXTDZ($A$1,$B8,DS$1)</f>
        <v>206.666666666667</v>
      </c>
      <c r="DT8" s="116" cm="1">
        <f t="array" ref="DT8">_xll.EQNXTDZ($A$1,$B8,DT$1)</f>
        <v>201</v>
      </c>
      <c r="DU8" s="116" cm="1">
        <f t="array" ref="DU8">_xll.EQNXTDZ($A$1,$B8,DU$1)</f>
        <v>200.3</v>
      </c>
      <c r="DV8" s="116" cm="1">
        <f t="array" ref="DV8">_xll.EQNXTDZ($A$1,$B8,DV$1)</f>
        <v>203.333333333333</v>
      </c>
      <c r="DW8" s="116" cm="1">
        <f t="array" ref="DW8">_xll.EQNXTDZ($A$1,$B8,DW$1)</f>
        <v>209.666666666667</v>
      </c>
      <c r="DX8" s="116" cm="1">
        <f t="array" ref="DX8">_xll.EQNXTDZ($A$1,$B8,DX$1)</f>
        <v>200</v>
      </c>
      <c r="DY8" s="116" cm="1">
        <f t="array" ref="DY8">_xll.EQNXTDZ($A$1,$B8,DY$1)</f>
        <v>202.5</v>
      </c>
      <c r="DZ8" s="116" cm="1">
        <f t="array" ref="DZ8">_xll.EQNXTDZ($A$1,$B8,DZ$1)</f>
        <v>172.15</v>
      </c>
      <c r="EA8" s="116" cm="1">
        <f t="array" ref="EA8">_xll.EQNXTDZ($A$1,$B8,EA$1)</f>
        <v>149.69999999999999</v>
      </c>
      <c r="EB8" s="116" cm="1">
        <f t="array" ref="EB8">_xll.EQNXTDZ($A$1,$B8,EB$1)</f>
        <v>138.46666666666701</v>
      </c>
      <c r="EC8" s="116" cm="1">
        <f t="array" ref="EC8">_xll.EQNXTDZ($A$1,$B8,EC$1)</f>
        <v>143.19999999999999</v>
      </c>
      <c r="ED8" s="116" cm="1">
        <f t="array" ref="ED8">_xll.EQNXTDZ($A$1,$B8,ED$1)</f>
        <v>147.35</v>
      </c>
      <c r="EE8" s="116" cm="1">
        <f t="array" ref="EE8">_xll.EQNXTDZ($A$1,$B8,EE$1)</f>
        <v>150</v>
      </c>
      <c r="EF8" s="116" cm="1">
        <f t="array" ref="EF8">_xll.EQNXTDZ($A$1,$B8,EF$1)</f>
        <v>172.333333333333</v>
      </c>
      <c r="EG8" s="116" cm="1">
        <f t="array" ref="EG8">_xll.EQNXTDZ($A$1,$B8,EG$1)</f>
        <v>174.11666666666699</v>
      </c>
      <c r="EH8" s="116" cm="1">
        <f t="array" ref="EH8">_xll.EQNXTDZ($A$1,$B8,EH$1)</f>
        <v>177.01666666666699</v>
      </c>
      <c r="EI8" s="116" cm="1">
        <f t="array" ref="EI8">_xll.EQNXTDZ($A$1,$B8,EI$1)</f>
        <v>168.933333333333</v>
      </c>
      <c r="EJ8" s="116" cm="1">
        <f t="array" ref="EJ8">_xll.EQNXTDZ($A$1,$B8,EJ$1)</f>
        <v>177.833333333333</v>
      </c>
      <c r="EK8" s="116" cm="1">
        <f t="array" ref="EK8">_xll.EQNXTDZ($A$1,$B8,EK$1)</f>
        <v>185.316666666667</v>
      </c>
      <c r="EL8" s="116" cm="1">
        <f t="array" ref="EL8">_xll.EQNXTDZ($A$1,$B8,EL$1)</f>
        <v>201.9</v>
      </c>
      <c r="EM8" s="116" cm="1">
        <f t="array" ref="EM8">_xll.EQNXTDZ($A$1,$B8,EM$1)</f>
        <v>189.333333333333</v>
      </c>
      <c r="EN8" s="116" cm="1">
        <f t="array" ref="EN8">_xll.EQNXTDZ($A$1,$B8,EN$1)</f>
        <v>184.7</v>
      </c>
      <c r="EO8" s="116" cm="1">
        <f t="array" ref="EO8">_xll.EQNXTDZ($A$1,$B8,EO$1)</f>
        <v>197.3</v>
      </c>
      <c r="EP8" s="116" cm="1">
        <f t="array" ref="EP8">_xll.EQNXTDZ($A$1,$B8,EP$1)</f>
        <v>199.066666666667</v>
      </c>
      <c r="EQ8" s="116" cm="1">
        <f t="array" ref="EQ8">_xll.EQNXTDZ($A$1,$B8,EQ$1)</f>
        <v>190.46666666666701</v>
      </c>
      <c r="ER8" s="116" cm="1">
        <f t="array" ref="ER8">_xll.EQNXTDZ($A$1,$B8,ER$1)</f>
        <v>207</v>
      </c>
      <c r="ES8" s="116" cm="1">
        <f t="array" ref="ES8">_xll.EQNXTDZ($A$1,$B8,ES$1)</f>
        <v>248.316666666667</v>
      </c>
      <c r="ET8" s="116" cm="1">
        <f t="array" ref="ET8">_xll.EQNXTDZ($A$1,$B8,ET$1)</f>
        <v>267.60000000000002</v>
      </c>
      <c r="EU8" s="116" cm="1">
        <f t="array" ref="EU8">_xll.EQNXTDZ($A$1,$B8,EU$1)</f>
        <v>258.316666666667</v>
      </c>
      <c r="EV8" s="116" cm="1">
        <f t="array" ref="EV8">_xll.EQNXTDZ($A$1,$B8,EV$1)</f>
        <v>304.683333333333</v>
      </c>
      <c r="EW8" s="116" cm="1">
        <f t="array" ref="EW8">_xll.EQNXTDZ($A$1,$B8,EW$1)</f>
        <v>299.01666666666699</v>
      </c>
      <c r="EX8" s="116" cm="1">
        <f t="array" ref="EX8">_xll.EQNXTDZ($A$1,$B8,EX$1)</f>
        <v>245.85</v>
      </c>
      <c r="EY8" s="116" cm="1">
        <f t="array" ref="EY8">_xll.EQNXTDZ($A$1,$B8,EY$1)</f>
        <v>225</v>
      </c>
      <c r="EZ8" s="116" cm="1">
        <f t="array" ref="EZ8">_xll.EQNXTDZ($A$1,$B8,EZ$1)</f>
        <v>219.333333333333</v>
      </c>
      <c r="FA8" s="116" cm="1">
        <f t="array" ref="FA8">_xll.EQNXTDZ($A$1,$B8,FA$1)</f>
        <v>219.566666666667</v>
      </c>
      <c r="FB8" s="116" cm="1">
        <f t="array" ref="FB8">_xll.EQNXTDZ($A$1,$B8,FB$1)</f>
        <v>289.33333333333297</v>
      </c>
      <c r="FC8" s="116" cm="1">
        <f t="array" ref="FC8">_xll.EQNXTDZ($A$1,$B8,FC$1)</f>
        <v>291.36666666666702</v>
      </c>
      <c r="FD8" s="116" cm="1">
        <f t="array" ref="FD8">_xll.EQNXTDZ($A$1,$B8,FD$1)</f>
        <v>323.01666666666699</v>
      </c>
      <c r="FE8" s="116" cm="1">
        <f t="array" ref="FE8">_xll.EQNXTDZ($A$1,$B8,FE$1)</f>
        <v>415.76666666666699</v>
      </c>
      <c r="FF8" s="116" cm="1">
        <f t="array" ref="FF8">_xll.EQNXTDZ($A$1,$B8,FF$1)</f>
        <v>363.73333333333301</v>
      </c>
      <c r="FG8" s="116" cm="1">
        <f t="array" ref="FG8">_xll.EQNXTDZ($A$1,$B8,FG$1)</f>
        <v>376.66666666666703</v>
      </c>
      <c r="FH8" s="116" cm="1">
        <f t="array" ref="FH8">_xll.EQNXTDZ($A$1,$B8,FH$1)</f>
        <v>433.8</v>
      </c>
      <c r="FI8" s="116" cm="1">
        <f t="array" ref="FI8">_xll.EQNXTDZ($A$1,$B8,FI$1)</f>
        <v>408.1</v>
      </c>
      <c r="FJ8" s="116" cm="1">
        <f t="array" ref="FJ8">_xll.EQNXTDZ($A$1,$B8,FJ$1)</f>
        <v>397.5</v>
      </c>
      <c r="FK8" s="116" cm="1">
        <f t="array" ref="FK8">_xll.EQNXTDZ($A$1,$B8,FK$1)</f>
        <v>376.5</v>
      </c>
      <c r="FL8" s="116" cm="1">
        <f t="array" ref="FL8">_xll.EQNXTDZ($A$1,$B8,FL$1)</f>
        <v>342.55</v>
      </c>
      <c r="FM8" s="116" cm="1">
        <f t="array" ref="FM8">_xll.EQNXTDZ($A$1,$B8,FM$1)</f>
        <v>352.9</v>
      </c>
      <c r="FN8" s="116" cm="1">
        <f t="array" ref="FN8">_xll.EQNXTDZ($A$1,$B8,FN$1)</f>
        <v>399.75</v>
      </c>
      <c r="FO8" s="116" cm="1">
        <f t="array" ref="FO8">_xll.EQNXTDZ($A$1,$B8,FO$1)</f>
        <v>495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178.666666666667</v>
      </c>
      <c r="IG8" s="116">
        <f>+MIN(BC8:BE8)</f>
        <v>180.03333333333299</v>
      </c>
      <c r="IH8" s="116">
        <f>+MIN(BF8:BH8)</f>
        <v>222.28333333333299</v>
      </c>
      <c r="II8" s="116">
        <f>+MIN(BI8:BK8)</f>
        <v>228.46666666666701</v>
      </c>
      <c r="IJ8" s="116">
        <f>+MIN(BL8:BN8)</f>
        <v>221.166666666667</v>
      </c>
      <c r="IK8" s="116">
        <f>+MIN(BO8:BQ8)</f>
        <v>213.76666666666699</v>
      </c>
      <c r="IL8" s="116">
        <f>+MIN(BR8:BT8)</f>
        <v>188.5</v>
      </c>
      <c r="IM8" s="116">
        <f>+MIN(BU8:BW8)</f>
        <v>190.7</v>
      </c>
      <c r="IN8" s="116">
        <f>+MIN(BX8:BZ8)</f>
        <v>187.333333333333</v>
      </c>
      <c r="IO8" s="116">
        <f>+MIN(CA8:CC8)</f>
        <v>174.666666666667</v>
      </c>
      <c r="IP8" s="116">
        <f>+MIN(CD8:CF8)</f>
        <v>161.666666666667</v>
      </c>
      <c r="IQ8" s="116">
        <f>+MIN(CG8:CI8)</f>
        <v>141.683333333333</v>
      </c>
      <c r="IR8" s="116">
        <f>+MIN(CJ8:CL8)</f>
        <v>135.71666666666701</v>
      </c>
      <c r="IS8" s="116">
        <f>+MIN(CM8:CO8)</f>
        <v>162.683333333333</v>
      </c>
      <c r="IT8" s="116">
        <f>+MIN(CP8:CR8)</f>
        <v>136.53333333333299</v>
      </c>
      <c r="IU8" s="116">
        <f>+MIN(CS8:CU8)</f>
        <v>160.666666666667</v>
      </c>
      <c r="IV8" s="116">
        <f>+MIN(CV8:CX8)</f>
        <v>167.333333333333</v>
      </c>
      <c r="IW8" s="116">
        <f>+MIN(CY8:DA8)</f>
        <v>251</v>
      </c>
      <c r="IX8" s="116">
        <f>+MIN(DB8:DD8)</f>
        <v>277</v>
      </c>
      <c r="IY8" s="116">
        <f>+MIN(DE8:DG8)</f>
        <v>301</v>
      </c>
      <c r="IZ8" s="116">
        <f>+MIN(DH8:DJ8)</f>
        <v>386.03333333333302</v>
      </c>
      <c r="JA8" s="116">
        <f>+MIN(DK8:DM8)</f>
        <v>315</v>
      </c>
      <c r="JB8" s="116">
        <f>+MIN(DN8:DP8)</f>
        <v>247.35</v>
      </c>
      <c r="JC8" s="116">
        <f>+MIN(DQ8:DS8)</f>
        <v>206.666666666667</v>
      </c>
      <c r="JD8" s="116">
        <f>+MIN(DT8:DV8)</f>
        <v>200.3</v>
      </c>
      <c r="JE8" s="116">
        <f>+MIN(DW8:DY8)</f>
        <v>200</v>
      </c>
      <c r="JF8" s="116">
        <f>+MIN(DZ8:EB8)</f>
        <v>138.46666666666701</v>
      </c>
      <c r="JG8" s="116">
        <f>+MIN(EC8:EE8)</f>
        <v>143.19999999999999</v>
      </c>
      <c r="JH8" s="116">
        <f>+MIN(EF8:EH8)</f>
        <v>172.333333333333</v>
      </c>
      <c r="JI8" s="116">
        <f>+MIN(EI8:EK8)</f>
        <v>168.933333333333</v>
      </c>
      <c r="JJ8" s="116">
        <f>+MIN(EL8:EN8)</f>
        <v>184.7</v>
      </c>
      <c r="JK8" s="116">
        <f>MIN(EO8:EQ8)</f>
        <v>190.46666666666701</v>
      </c>
      <c r="JL8" s="116">
        <f>MIN(ER8:ET8)</f>
        <v>207</v>
      </c>
      <c r="JM8" s="116">
        <f>MIN(EU8:EW8)</f>
        <v>258.316666666667</v>
      </c>
      <c r="JN8" s="116">
        <f>MIN(EX8:EZ8)</f>
        <v>219.333333333333</v>
      </c>
      <c r="JO8" s="116">
        <f>MIN(FA8:FC8)</f>
        <v>219.566666666667</v>
      </c>
      <c r="JP8" s="116">
        <f>MIN(FD8:FF8)</f>
        <v>323.01666666666699</v>
      </c>
      <c r="JQ8" s="116">
        <f>MIN(FG8:FI8)</f>
        <v>376.66666666666703</v>
      </c>
      <c r="JR8" s="116">
        <f>MIN(FJ8:FL8)</f>
        <v>342.55</v>
      </c>
      <c r="JS8" s="116">
        <f>MIN(FM8:FO8)</f>
        <v>352.9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213.416666666667</v>
      </c>
      <c r="AY9" s="116" cm="1">
        <f t="array" ref="AY9">_xll.EQNXTDZ($A$1,$B9,AY$1)</f>
        <v>190.46666666666701</v>
      </c>
      <c r="AZ9" s="116" cm="1">
        <f t="array" ref="AZ9">_xll.EQNXTDZ($A$1,$B9,AZ$1)</f>
        <v>190.73333333333301</v>
      </c>
      <c r="BA9" s="116" cm="1">
        <f t="array" ref="BA9">_xll.EQNXTDZ($A$1,$B9,BA$1)</f>
        <v>206.48333333333301</v>
      </c>
      <c r="BB9" s="116" cm="1">
        <f t="array" ref="BB9">_xll.EQNXTDZ($A$1,$B9,BB$1)</f>
        <v>204.36666666666699</v>
      </c>
      <c r="BC9" s="116" cm="1">
        <f t="array" ref="BC9">_xll.EQNXTDZ($A$1,$B9,BC$1)</f>
        <v>218.416666666667</v>
      </c>
      <c r="BD9" s="116" cm="1">
        <f t="array" ref="BD9">_xll.EQNXTDZ($A$1,$B9,BD$1)</f>
        <v>225.4</v>
      </c>
      <c r="BE9" s="116" cm="1">
        <f t="array" ref="BE9">_xll.EQNXTDZ($A$1,$B9,BE$1)</f>
        <v>231.083333333333</v>
      </c>
      <c r="BF9" s="116" cm="1">
        <f t="array" ref="BF9">_xll.EQNXTDZ($A$1,$B9,BF$1)</f>
        <v>237.88333333333301</v>
      </c>
      <c r="BG9" s="116" cm="1">
        <f t="array" ref="BG9">_xll.EQNXTDZ($A$1,$B9,BG$1)</f>
        <v>233.21666666666701</v>
      </c>
      <c r="BH9" s="116" cm="1">
        <f t="array" ref="BH9">_xll.EQNXTDZ($A$1,$B9,BH$1)</f>
        <v>239.26666666666699</v>
      </c>
      <c r="BI9" s="116" cm="1">
        <f t="array" ref="BI9">_xll.EQNXTDZ($A$1,$B9,BI$1)</f>
        <v>239.01666666666699</v>
      </c>
      <c r="BJ9" s="116" cm="1">
        <f t="array" ref="BJ9">_xll.EQNXTDZ($A$1,$B9,BJ$1)</f>
        <v>238.55</v>
      </c>
      <c r="BK9" s="116" cm="1">
        <f t="array" ref="BK9">_xll.EQNXTDZ($A$1,$B9,BK$1)</f>
        <v>242.46666666666701</v>
      </c>
      <c r="BL9" s="116" cm="1">
        <f t="array" ref="BL9">_xll.EQNXTDZ($A$1,$B9,BL$1)</f>
        <v>239.98333333333301</v>
      </c>
      <c r="BM9" s="116" cm="1">
        <f t="array" ref="BM9">_xll.EQNXTDZ($A$1,$B9,BM$1)</f>
        <v>229.55</v>
      </c>
      <c r="BN9" s="116" cm="1">
        <f t="array" ref="BN9">_xll.EQNXTDZ($A$1,$B9,BN$1)</f>
        <v>227.433333333333</v>
      </c>
      <c r="BO9" s="116" cm="1">
        <f t="array" ref="BO9">_xll.EQNXTDZ($A$1,$B9,BO$1)</f>
        <v>230.666666666667</v>
      </c>
      <c r="BP9" s="116" cm="1">
        <f t="array" ref="BP9">_xll.EQNXTDZ($A$1,$B9,BP$1)</f>
        <v>220.333333333333</v>
      </c>
      <c r="BQ9" s="116" cm="1">
        <f t="array" ref="BQ9">_xll.EQNXTDZ($A$1,$B9,BQ$1)</f>
        <v>233.03333333333299</v>
      </c>
      <c r="BR9" s="116" cm="1">
        <f t="array" ref="BR9">_xll.EQNXTDZ($A$1,$B9,BR$1)</f>
        <v>229.78333333333299</v>
      </c>
      <c r="BS9" s="116" cm="1">
        <f t="array" ref="BS9">_xll.EQNXTDZ($A$1,$B9,BS$1)</f>
        <v>208.13333333333301</v>
      </c>
      <c r="BT9" s="116" cm="1">
        <f t="array" ref="BT9">_xll.EQNXTDZ($A$1,$B9,BT$1)</f>
        <v>198.95</v>
      </c>
      <c r="BU9" s="116" cm="1">
        <f t="array" ref="BU9">_xll.EQNXTDZ($A$1,$B9,BU$1)</f>
        <v>222.98333333333301</v>
      </c>
      <c r="BV9" s="116" cm="1">
        <f t="array" ref="BV9">_xll.EQNXTDZ($A$1,$B9,BV$1)</f>
        <v>203.73333333333301</v>
      </c>
      <c r="BW9" s="116" cm="1">
        <f t="array" ref="BW9">_xll.EQNXTDZ($A$1,$B9,BW$1)</f>
        <v>191.61666666666699</v>
      </c>
      <c r="BX9" s="116" cm="1">
        <f t="array" ref="BX9">_xll.EQNXTDZ($A$1,$B9,BX$1)</f>
        <v>207.8</v>
      </c>
      <c r="BY9" s="116" cm="1">
        <f t="array" ref="BY9">_xll.EQNXTDZ($A$1,$B9,BY$1)</f>
        <v>216.833333333333</v>
      </c>
      <c r="BZ9" s="116" cm="1">
        <f t="array" ref="BZ9">_xll.EQNXTDZ($A$1,$B9,BZ$1)</f>
        <v>214.066666666667</v>
      </c>
      <c r="CA9" s="116" cm="1">
        <f t="array" ref="CA9">_xll.EQNXTDZ($A$1,$B9,CA$1)</f>
        <v>186.683333333333</v>
      </c>
      <c r="CB9" s="116" cm="1">
        <f t="array" ref="CB9">_xll.EQNXTDZ($A$1,$B9,CB$1)</f>
        <v>181.88333333333301</v>
      </c>
      <c r="CC9" s="116" cm="1">
        <f t="array" ref="CC9">_xll.EQNXTDZ($A$1,$B9,CC$1)</f>
        <v>179.85</v>
      </c>
      <c r="CD9" s="116" cm="1">
        <f t="array" ref="CD9">_xll.EQNXTDZ($A$1,$B9,CD$1)</f>
        <v>182.95</v>
      </c>
      <c r="CE9" s="116" cm="1">
        <f t="array" ref="CE9">_xll.EQNXTDZ($A$1,$B9,CE$1)</f>
        <v>175.65</v>
      </c>
      <c r="CF9" s="116" cm="1">
        <f t="array" ref="CF9">_xll.EQNXTDZ($A$1,$B9,CF$1)</f>
        <v>177.96666666666701</v>
      </c>
      <c r="CG9" s="116" cm="1">
        <f t="array" ref="CG9">_xll.EQNXTDZ($A$1,$B9,CG$1)</f>
        <v>163.96666666666701</v>
      </c>
      <c r="CH9" s="116" cm="1">
        <f t="array" ref="CH9">_xll.EQNXTDZ($A$1,$B9,CH$1)</f>
        <v>158</v>
      </c>
      <c r="CI9" s="116" cm="1">
        <f t="array" ref="CI9">_xll.EQNXTDZ($A$1,$B9,CI$1)</f>
        <v>157.35</v>
      </c>
      <c r="CJ9" s="116" cm="1">
        <f t="array" ref="CJ9">_xll.EQNXTDZ($A$1,$B9,CJ$1)</f>
        <v>147.13333333333301</v>
      </c>
      <c r="CK9" s="116" cm="1">
        <f t="array" ref="CK9">_xll.EQNXTDZ($A$1,$B9,CK$1)</f>
        <v>154.76666666666699</v>
      </c>
      <c r="CL9" s="116" cm="1">
        <f t="array" ref="CL9">_xll.EQNXTDZ($A$1,$B9,CL$1)</f>
        <v>171.933333333333</v>
      </c>
      <c r="CM9" s="116" cm="1">
        <f t="array" ref="CM9">_xll.EQNXTDZ($A$1,$B9,CM$1)</f>
        <v>189.26666666666699</v>
      </c>
      <c r="CN9" s="116" cm="1">
        <f t="array" ref="CN9">_xll.EQNXTDZ($A$1,$B9,CN$1)</f>
        <v>183.066666666667</v>
      </c>
      <c r="CO9" s="116" cm="1">
        <f t="array" ref="CO9">_xll.EQNXTDZ($A$1,$B9,CO$1)</f>
        <v>183.05</v>
      </c>
      <c r="CP9" s="116" cm="1">
        <f t="array" ref="CP9">_xll.EQNXTDZ($A$1,$B9,CP$1)</f>
        <v>185.916666666667</v>
      </c>
      <c r="CQ9" s="116" cm="1">
        <f t="array" ref="CQ9">_xll.EQNXTDZ($A$1,$B9,CQ$1)</f>
        <v>195.48333333333301</v>
      </c>
      <c r="CR9" s="116" cm="1">
        <f t="array" ref="CR9">_xll.EQNXTDZ($A$1,$B9,CR$1)</f>
        <v>165.51666666666699</v>
      </c>
      <c r="CS9" s="116" cm="1">
        <f t="array" ref="CS9">_xll.EQNXTDZ($A$1,$B9,CS$1)</f>
        <v>169.566666666667</v>
      </c>
      <c r="CT9" s="116" cm="1">
        <f t="array" ref="CT9">_xll.EQNXTDZ($A$1,$B9,CT$1)</f>
        <v>174.26666666666699</v>
      </c>
      <c r="CU9" s="116" cm="1">
        <f t="array" ref="CU9">_xll.EQNXTDZ($A$1,$B9,CU$1)</f>
        <v>169.5</v>
      </c>
      <c r="CV9" s="116" cm="1">
        <f t="array" ref="CV9">_xll.EQNXTDZ($A$1,$B9,CV$1)</f>
        <v>233.86666666666699</v>
      </c>
      <c r="CW9" s="116" cm="1">
        <f t="array" ref="CW9">_xll.EQNXTDZ($A$1,$B9,CW$1)</f>
        <v>250.2</v>
      </c>
      <c r="CX9" s="116" cm="1">
        <f t="array" ref="CX9">_xll.EQNXTDZ($A$1,$B9,CX$1)</f>
        <v>252.75</v>
      </c>
      <c r="CY9" s="116" cm="1">
        <f t="array" ref="CY9">_xll.EQNXTDZ($A$1,$B9,CY$1)</f>
        <v>382.9</v>
      </c>
      <c r="CZ9" s="116" cm="1">
        <f t="array" ref="CZ9">_xll.EQNXTDZ($A$1,$B9,CZ$1)</f>
        <v>366.08333333333297</v>
      </c>
      <c r="DA9" s="116" cm="1">
        <f t="array" ref="DA9">_xll.EQNXTDZ($A$1,$B9,DA$1)</f>
        <v>304.33333333333297</v>
      </c>
      <c r="DB9" s="116" cm="1">
        <f t="array" ref="DB9">_xll.EQNXTDZ($A$1,$B9,DB$1)</f>
        <v>301.16666666666703</v>
      </c>
      <c r="DC9" s="116" cm="1">
        <f t="array" ref="DC9">_xll.EQNXTDZ($A$1,$B9,DC$1)</f>
        <v>302.7</v>
      </c>
      <c r="DD9" s="116" cm="1">
        <f t="array" ref="DD9">_xll.EQNXTDZ($A$1,$B9,DD$1)</f>
        <v>300.86666666666702</v>
      </c>
      <c r="DE9" s="116" cm="1">
        <f t="array" ref="DE9">_xll.EQNXTDZ($A$1,$B9,DE$1)</f>
        <v>341.7</v>
      </c>
      <c r="DF9" s="116" cm="1">
        <f t="array" ref="DF9">_xll.EQNXTDZ($A$1,$B9,DF$1)</f>
        <v>354.71666666666698</v>
      </c>
      <c r="DG9" s="116" cm="1">
        <f t="array" ref="DG9">_xll.EQNXTDZ($A$1,$B9,DG$1)</f>
        <v>437.566666666667</v>
      </c>
      <c r="DH9" s="116" cm="1">
        <f t="array" ref="DH9">_xll.EQNXTDZ($A$1,$B9,DH$1)</f>
        <v>436.15</v>
      </c>
      <c r="DI9" s="116" cm="1">
        <f t="array" ref="DI9">_xll.EQNXTDZ($A$1,$B9,DI$1)</f>
        <v>432.566666666667</v>
      </c>
      <c r="DJ9" s="116" cm="1">
        <f t="array" ref="DJ9">_xll.EQNXTDZ($A$1,$B9,DJ$1)</f>
        <v>388.73333333333301</v>
      </c>
      <c r="DK9" s="116" cm="1">
        <f t="array" ref="DK9">_xll.EQNXTDZ($A$1,$B9,DK$1)</f>
        <v>379.88333333333298</v>
      </c>
      <c r="DL9" s="116" cm="1">
        <f t="array" ref="DL9">_xll.EQNXTDZ($A$1,$B9,DL$1)</f>
        <v>368.5</v>
      </c>
      <c r="DM9" s="116" cm="1">
        <f t="array" ref="DM9">_xll.EQNXTDZ($A$1,$B9,DM$1)</f>
        <v>369.183333333333</v>
      </c>
      <c r="DN9" s="116" cm="1">
        <f t="array" ref="DN9">_xll.EQNXTDZ($A$1,$B9,DN$1)</f>
        <v>323.78333333333302</v>
      </c>
      <c r="DO9" s="116" cm="1">
        <f t="array" ref="DO9">_xll.EQNXTDZ($A$1,$B9,DO$1)</f>
        <v>286.03333333333302</v>
      </c>
      <c r="DP9" s="116" cm="1">
        <f t="array" ref="DP9">_xll.EQNXTDZ($A$1,$B9,DP$1)</f>
        <v>258.433333333333</v>
      </c>
      <c r="DQ9" s="116" cm="1">
        <f t="array" ref="DQ9">_xll.EQNXTDZ($A$1,$B9,DQ$1)</f>
        <v>270.3</v>
      </c>
      <c r="DR9" s="116" cm="1">
        <f t="array" ref="DR9">_xll.EQNXTDZ($A$1,$B9,DR$1)</f>
        <v>219.88333333333301</v>
      </c>
      <c r="DS9" s="116" cm="1">
        <f t="array" ref="DS9">_xll.EQNXTDZ($A$1,$B9,DS$1)</f>
        <v>207.01666666666699</v>
      </c>
      <c r="DT9" s="116" cm="1">
        <f t="array" ref="DT9">_xll.EQNXTDZ($A$1,$B9,DT$1)</f>
        <v>213.03333333333299</v>
      </c>
      <c r="DU9" s="116" cm="1">
        <f t="array" ref="DU9">_xll.EQNXTDZ($A$1,$B9,DU$1)</f>
        <v>206.166666666667</v>
      </c>
      <c r="DV9" s="116" cm="1">
        <f t="array" ref="DV9">_xll.EQNXTDZ($A$1,$B9,DV$1)</f>
        <v>233.433333333333</v>
      </c>
      <c r="DW9" s="116" cm="1">
        <f t="array" ref="DW9">_xll.EQNXTDZ($A$1,$B9,DW$1)</f>
        <v>213.73333333333301</v>
      </c>
      <c r="DX9" s="116" cm="1">
        <f t="array" ref="DX9">_xll.EQNXTDZ($A$1,$B9,DX$1)</f>
        <v>210.26666666666699</v>
      </c>
      <c r="DY9" s="116" cm="1">
        <f t="array" ref="DY9">_xll.EQNXTDZ($A$1,$B9,DY$1)</f>
        <v>206.21666666666701</v>
      </c>
      <c r="DZ9" s="116" cm="1">
        <f t="array" ref="DZ9">_xll.EQNXTDZ($A$1,$B9,DZ$1)</f>
        <v>185.95</v>
      </c>
      <c r="EA9" s="116" cm="1">
        <f t="array" ref="EA9">_xll.EQNXTDZ($A$1,$B9,EA$1)</f>
        <v>150.583333333333</v>
      </c>
      <c r="EB9" s="116" cm="1">
        <f t="array" ref="EB9">_xll.EQNXTDZ($A$1,$B9,EB$1)</f>
        <v>143.28333333333299</v>
      </c>
      <c r="EC9" s="116" cm="1">
        <f t="array" ref="EC9">_xll.EQNXTDZ($A$1,$B9,EC$1)</f>
        <v>147.26666666666699</v>
      </c>
      <c r="ED9" s="116" cm="1">
        <f t="array" ref="ED9">_xll.EQNXTDZ($A$1,$B9,ED$1)</f>
        <v>150.76666666666699</v>
      </c>
      <c r="EE9" s="116" cm="1">
        <f t="array" ref="EE9">_xll.EQNXTDZ($A$1,$B9,EE$1)</f>
        <v>172.65</v>
      </c>
      <c r="EF9" s="116" cm="1">
        <f t="array" ref="EF9">_xll.EQNXTDZ($A$1,$B9,EF$1)</f>
        <v>197.96666666666701</v>
      </c>
      <c r="EG9" s="116" cm="1">
        <f t="array" ref="EG9">_xll.EQNXTDZ($A$1,$B9,EG$1)</f>
        <v>179.333333333333</v>
      </c>
      <c r="EH9" s="116" cm="1">
        <f t="array" ref="EH9">_xll.EQNXTDZ($A$1,$B9,EH$1)</f>
        <v>189.433333333333</v>
      </c>
      <c r="EI9" s="116" cm="1">
        <f t="array" ref="EI9">_xll.EQNXTDZ($A$1,$B9,EI$1)</f>
        <v>183.1</v>
      </c>
      <c r="EJ9" s="116" cm="1">
        <f t="array" ref="EJ9">_xll.EQNXTDZ($A$1,$B9,EJ$1)</f>
        <v>186.65</v>
      </c>
      <c r="EK9" s="116" cm="1">
        <f t="array" ref="EK9">_xll.EQNXTDZ($A$1,$B9,EK$1)</f>
        <v>214.51666666666699</v>
      </c>
      <c r="EL9" s="116" cm="1">
        <f t="array" ref="EL9">_xll.EQNXTDZ($A$1,$B9,EL$1)</f>
        <v>203.38333333333301</v>
      </c>
      <c r="EM9" s="116" cm="1">
        <f t="array" ref="EM9">_xll.EQNXTDZ($A$1,$B9,EM$1)</f>
        <v>230.166666666667</v>
      </c>
      <c r="EN9" s="116" cm="1">
        <f t="array" ref="EN9">_xll.EQNXTDZ($A$1,$B9,EN$1)</f>
        <v>196.65</v>
      </c>
      <c r="EO9" s="116" cm="1">
        <f t="array" ref="EO9">_xll.EQNXTDZ($A$1,$B9,EO$1)</f>
        <v>214.98333333333301</v>
      </c>
      <c r="EP9" s="116" cm="1">
        <f t="array" ref="EP9">_xll.EQNXTDZ($A$1,$B9,EP$1)</f>
        <v>204.066666666667</v>
      </c>
      <c r="EQ9" s="116" cm="1">
        <f t="array" ref="EQ9">_xll.EQNXTDZ($A$1,$B9,EQ$1)</f>
        <v>212.433333333333</v>
      </c>
      <c r="ER9" s="116" cm="1">
        <f t="array" ref="ER9">_xll.EQNXTDZ($A$1,$B9,ER$1)</f>
        <v>272.48333333333301</v>
      </c>
      <c r="ES9" s="116" cm="1">
        <f t="array" ref="ES9">_xll.EQNXTDZ($A$1,$B9,ES$1)</f>
        <v>287.26666666666699</v>
      </c>
      <c r="ET9" s="116" cm="1">
        <f t="array" ref="ET9">_xll.EQNXTDZ($A$1,$B9,ET$1)</f>
        <v>270.683333333333</v>
      </c>
      <c r="EU9" s="116" cm="1">
        <f t="array" ref="EU9">_xll.EQNXTDZ($A$1,$B9,EU$1)</f>
        <v>311.73333333333301</v>
      </c>
      <c r="EV9" s="116" cm="1">
        <f t="array" ref="EV9">_xll.EQNXTDZ($A$1,$B9,EV$1)</f>
        <v>333.45</v>
      </c>
      <c r="EW9" s="116" cm="1">
        <f t="array" ref="EW9">_xll.EQNXTDZ($A$1,$B9,EW$1)</f>
        <v>303.933333333333</v>
      </c>
      <c r="EX9" s="116" cm="1">
        <f t="array" ref="EX9">_xll.EQNXTDZ($A$1,$B9,EX$1)</f>
        <v>266.08333333333297</v>
      </c>
      <c r="EY9" s="116" cm="1">
        <f t="array" ref="EY9">_xll.EQNXTDZ($A$1,$B9,EY$1)</f>
        <v>229.183333333333</v>
      </c>
      <c r="EZ9" s="116" cm="1">
        <f t="array" ref="EZ9">_xll.EQNXTDZ($A$1,$B9,EZ$1)</f>
        <v>226.55</v>
      </c>
      <c r="FA9" s="116" cm="1">
        <f t="array" ref="FA9">_xll.EQNXTDZ($A$1,$B9,FA$1)</f>
        <v>292.7</v>
      </c>
      <c r="FB9" s="116" cm="1">
        <f t="array" ref="FB9">_xll.EQNXTDZ($A$1,$B9,FB$1)</f>
        <v>349.73333333333301</v>
      </c>
      <c r="FC9" s="116" cm="1">
        <f t="array" ref="FC9">_xll.EQNXTDZ($A$1,$B9,FC$1)</f>
        <v>330.16666666666703</v>
      </c>
      <c r="FD9" s="116" cm="1">
        <f t="array" ref="FD9">_xll.EQNXTDZ($A$1,$B9,FD$1)</f>
        <v>441.96666666666698</v>
      </c>
      <c r="FE9" s="116" cm="1">
        <f t="array" ref="FE9">_xll.EQNXTDZ($A$1,$B9,FE$1)</f>
        <v>421.76666666666699</v>
      </c>
      <c r="FF9" s="116" cm="1">
        <f t="array" ref="FF9">_xll.EQNXTDZ($A$1,$B9,FF$1)</f>
        <v>386.86666666666702</v>
      </c>
      <c r="FG9" s="116" cm="1">
        <f t="array" ref="FG9">_xll.EQNXTDZ($A$1,$B9,FG$1)</f>
        <v>465.76666666666699</v>
      </c>
      <c r="FH9" s="116" cm="1">
        <f t="array" ref="FH9">_xll.EQNXTDZ($A$1,$B9,FH$1)</f>
        <v>495.7</v>
      </c>
      <c r="FI9" s="116" cm="1">
        <f t="array" ref="FI9">_xll.EQNXTDZ($A$1,$B9,FI$1)</f>
        <v>445.7</v>
      </c>
      <c r="FJ9" s="116" cm="1">
        <f t="array" ref="FJ9">_xll.EQNXTDZ($A$1,$B9,FJ$1)</f>
        <v>420</v>
      </c>
      <c r="FK9" s="116" cm="1">
        <f t="array" ref="FK9">_xll.EQNXTDZ($A$1,$B9,FK$1)</f>
        <v>393.65</v>
      </c>
      <c r="FL9" s="116" cm="1">
        <f t="array" ref="FL9">_xll.EQNXTDZ($A$1,$B9,FL$1)</f>
        <v>349.55</v>
      </c>
      <c r="FM9" s="116" cm="1">
        <f t="array" ref="FM9">_xll.EQNXTDZ($A$1,$B9,FM$1)</f>
        <v>400.3</v>
      </c>
      <c r="FN9" s="116" cm="1">
        <f t="array" ref="FN9">_xll.EQNXTDZ($A$1,$B9,FN$1)</f>
        <v>506.3</v>
      </c>
      <c r="FO9" s="116" cm="1">
        <f t="array" ref="FO9">_xll.EQNXTDZ($A$1,$B9,FO$1)</f>
        <v>533.6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190.46666666666701</v>
      </c>
      <c r="IF9" s="116">
        <f>+BB9</f>
        <v>204.36666666666699</v>
      </c>
      <c r="IG9" s="116">
        <f>+BE9</f>
        <v>231.083333333333</v>
      </c>
      <c r="IH9" s="116">
        <f>+BH9</f>
        <v>239.26666666666699</v>
      </c>
      <c r="II9" s="116">
        <f>+BK9</f>
        <v>242.46666666666701</v>
      </c>
      <c r="IJ9" s="116">
        <f>+BN9</f>
        <v>227.433333333333</v>
      </c>
      <c r="IK9" s="116">
        <f>+BQ9</f>
        <v>233.03333333333299</v>
      </c>
      <c r="IL9" s="116">
        <f>+BT9</f>
        <v>198.95</v>
      </c>
      <c r="IM9" s="116">
        <f>+BW9</f>
        <v>191.61666666666699</v>
      </c>
      <c r="IN9" s="116">
        <f>+BZ9</f>
        <v>214.066666666667</v>
      </c>
      <c r="IO9" s="116">
        <f>+CC9</f>
        <v>179.85</v>
      </c>
      <c r="IP9" s="116">
        <f>+CF9</f>
        <v>177.96666666666701</v>
      </c>
      <c r="IQ9" s="116">
        <f>+CI9</f>
        <v>157.35</v>
      </c>
      <c r="IR9" s="116">
        <f>+CL9</f>
        <v>171.933333333333</v>
      </c>
      <c r="IS9" s="116">
        <f>+CO9</f>
        <v>183.05</v>
      </c>
      <c r="IT9" s="116">
        <f>+CR9</f>
        <v>165.51666666666699</v>
      </c>
      <c r="IU9" s="116">
        <f>+CU9</f>
        <v>169.5</v>
      </c>
      <c r="IV9" s="116">
        <f>+CX9</f>
        <v>252.75</v>
      </c>
      <c r="IW9" s="116">
        <f>+DA9</f>
        <v>304.33333333333297</v>
      </c>
      <c r="IX9" s="116">
        <f>+DD9</f>
        <v>300.86666666666702</v>
      </c>
      <c r="IY9" s="116">
        <f>+DG9</f>
        <v>437.566666666667</v>
      </c>
      <c r="IZ9" s="116">
        <f>+DJ9</f>
        <v>388.73333333333301</v>
      </c>
      <c r="JA9" s="116">
        <f>+DM9</f>
        <v>369.183333333333</v>
      </c>
      <c r="JB9" s="116">
        <f>+DP9</f>
        <v>258.433333333333</v>
      </c>
      <c r="JC9" s="116">
        <f>+DS9</f>
        <v>207.01666666666699</v>
      </c>
      <c r="JD9" s="116">
        <f>+DV9</f>
        <v>233.433333333333</v>
      </c>
      <c r="JE9" s="116">
        <f>+DY9</f>
        <v>206.21666666666701</v>
      </c>
      <c r="JF9" s="116">
        <f>+EB9</f>
        <v>143.28333333333299</v>
      </c>
      <c r="JG9" s="116">
        <f>+EE9</f>
        <v>172.65</v>
      </c>
      <c r="JH9" s="116">
        <f>+EH9</f>
        <v>189.433333333333</v>
      </c>
      <c r="JI9" s="116">
        <f>+EK9</f>
        <v>214.51666666666699</v>
      </c>
      <c r="JJ9" s="116">
        <f>+EN9</f>
        <v>196.65</v>
      </c>
      <c r="JK9" s="116">
        <f>EQ9</f>
        <v>212.433333333333</v>
      </c>
      <c r="JL9" s="116">
        <f>ET9</f>
        <v>270.683333333333</v>
      </c>
      <c r="JM9" s="116">
        <f>EW9</f>
        <v>303.933333333333</v>
      </c>
      <c r="JN9" s="116">
        <f>EZ9</f>
        <v>226.55</v>
      </c>
      <c r="JO9" s="116">
        <f>FC9</f>
        <v>330.16666666666703</v>
      </c>
      <c r="JP9" s="116">
        <f>FF9</f>
        <v>386.86666666666702</v>
      </c>
      <c r="JQ9" s="116">
        <f>FI9</f>
        <v>445.7</v>
      </c>
      <c r="JR9" s="116">
        <f>FL9</f>
        <v>349.55</v>
      </c>
      <c r="JS9" s="116">
        <f>FO9</f>
        <v>533.6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220.666666666667</v>
      </c>
      <c r="AY13" cm="1">
        <f t="array" ref="AY13">_xll.EQNXTDZ($A$1,$B13,AY$1)</f>
        <v>213</v>
      </c>
      <c r="AZ13" cm="1">
        <f t="array" ref="AZ13">_xll.EQNXTDZ($A$1,$B13,AZ$1)</f>
        <v>190.7</v>
      </c>
      <c r="BA13" cm="1">
        <f t="array" ref="BA13">_xll.EQNXTDZ($A$1,$B13,BA$1)</f>
        <v>190.8</v>
      </c>
      <c r="BB13" cm="1">
        <f t="array" ref="BB13">_xll.EQNXTDZ($A$1,$B13,BB$1)</f>
        <v>204.63333333333301</v>
      </c>
      <c r="BC13" cm="1">
        <f t="array" ref="BC13">_xll.EQNXTDZ($A$1,$B13,BC$1)</f>
        <v>205</v>
      </c>
      <c r="BD13" cm="1">
        <f t="array" ref="BD13">_xll.EQNXTDZ($A$1,$B13,BD$1)</f>
        <v>218.433333333333</v>
      </c>
      <c r="BE13" cm="1">
        <f t="array" ref="BE13">_xll.EQNXTDZ($A$1,$B13,BE$1)</f>
        <v>227.25</v>
      </c>
      <c r="BF13" cm="1">
        <f t="array" ref="BF13">_xll.EQNXTDZ($A$1,$B13,BF$1)</f>
        <v>232.933333333333</v>
      </c>
      <c r="BG13" cm="1">
        <f t="array" ref="BG13">_xll.EQNXTDZ($A$1,$B13,BG$1)</f>
        <v>236.36666666666699</v>
      </c>
      <c r="BH13" cm="1">
        <f t="array" ref="BH13">_xll.EQNXTDZ($A$1,$B13,BH$1)</f>
        <v>233.65</v>
      </c>
      <c r="BI13" cm="1">
        <f t="array" ref="BI13">_xll.EQNXTDZ($A$1,$B13,BI$1)</f>
        <v>238.75</v>
      </c>
      <c r="BJ13" cm="1">
        <f t="array" ref="BJ13">_xll.EQNXTDZ($A$1,$B13,BJ$1)</f>
        <v>241.333333333333</v>
      </c>
      <c r="BK13" cm="1">
        <f t="array" ref="BK13">_xll.EQNXTDZ($A$1,$B13,BK$1)</f>
        <v>237.01666666666699</v>
      </c>
      <c r="BL13" cm="1">
        <f t="array" ref="BL13">_xll.EQNXTDZ($A$1,$B13,BL$1)</f>
        <v>239.95</v>
      </c>
      <c r="BM13" cm="1">
        <f t="array" ref="BM13">_xll.EQNXTDZ($A$1,$B13,BM$1)</f>
        <v>241.666666666667</v>
      </c>
      <c r="BN13" cm="1">
        <f t="array" ref="BN13">_xll.EQNXTDZ($A$1,$B13,BN$1)</f>
        <v>231.666666666667</v>
      </c>
      <c r="BO13" cm="1">
        <f t="array" ref="BO13">_xll.EQNXTDZ($A$1,$B13,BO$1)</f>
        <v>233.333333333333</v>
      </c>
      <c r="BP13" cm="1">
        <f t="array" ref="BP13">_xll.EQNXTDZ($A$1,$B13,BP$1)</f>
        <v>232.316666666667</v>
      </c>
      <c r="BQ13" cm="1">
        <f t="array" ref="BQ13">_xll.EQNXTDZ($A$1,$B13,BQ$1)</f>
        <v>221.4</v>
      </c>
      <c r="BR13" cm="1">
        <f t="array" ref="BR13">_xll.EQNXTDZ($A$1,$B13,BR$1)</f>
        <v>231.5</v>
      </c>
      <c r="BS13" cm="1">
        <f t="array" ref="BS13">_xll.EQNXTDZ($A$1,$B13,BS$1)</f>
        <v>231.316666666667</v>
      </c>
      <c r="BT13" cm="1">
        <f t="array" ref="BT13">_xll.EQNXTDZ($A$1,$B13,BT$1)</f>
        <v>209.63333333333301</v>
      </c>
      <c r="BU13" cm="1">
        <f t="array" ref="BU13">_xll.EQNXTDZ($A$1,$B13,BU$1)</f>
        <v>198.666666666667</v>
      </c>
      <c r="BV13" cm="1">
        <f t="array" ref="BV13">_xll.EQNXTDZ($A$1,$B13,BV$1)</f>
        <v>223.333333333333</v>
      </c>
      <c r="BW13" cm="1">
        <f t="array" ref="BW13">_xll.EQNXTDZ($A$1,$B13,BW$1)</f>
        <v>203</v>
      </c>
      <c r="BX13" cm="1">
        <f t="array" ref="BX13">_xll.EQNXTDZ($A$1,$B13,BX$1)</f>
        <v>190.666666666667</v>
      </c>
      <c r="BY13" cm="1">
        <f t="array" ref="BY13">_xll.EQNXTDZ($A$1,$B13,BY$1)</f>
        <v>208.03333333333299</v>
      </c>
      <c r="BZ13" cm="1">
        <f t="array" ref="BZ13">_xll.EQNXTDZ($A$1,$B13,BZ$1)</f>
        <v>218.316666666667</v>
      </c>
      <c r="CA13" cm="1">
        <f t="array" ref="CA13">_xll.EQNXTDZ($A$1,$B13,CA$1)</f>
        <v>213.333333333333</v>
      </c>
      <c r="CB13" cm="1">
        <f t="array" ref="CB13">_xll.EQNXTDZ($A$1,$B13,CB$1)</f>
        <v>189.48333333333301</v>
      </c>
      <c r="CC13" cm="1">
        <f t="array" ref="CC13">_xll.EQNXTDZ($A$1,$B13,CC$1)</f>
        <v>184.5</v>
      </c>
      <c r="CD13" cm="1">
        <f t="array" ref="CD13">_xll.EQNXTDZ($A$1,$B13,CD$1)</f>
        <v>176.05</v>
      </c>
      <c r="CE13" cm="1">
        <f t="array" ref="CE13">_xll.EQNXTDZ($A$1,$B13,CE$1)</f>
        <v>182.26666666666699</v>
      </c>
      <c r="CF13" cm="1">
        <f t="array" ref="CF13">_xll.EQNXTDZ($A$1,$B13,CF$1)</f>
        <v>173.333333333333</v>
      </c>
      <c r="CG13" cm="1">
        <f t="array" ref="CG13">_xll.EQNXTDZ($A$1,$B13,CG$1)</f>
        <v>176.666666666667</v>
      </c>
      <c r="CH13" cm="1">
        <f t="array" ref="CH13">_xll.EQNXTDZ($A$1,$B13,CH$1)</f>
        <v>162.69999999999999</v>
      </c>
      <c r="CI13" cm="1">
        <f t="array" ref="CI13">_xll.EQNXTDZ($A$1,$B13,CI$1)</f>
        <v>156.78333333333299</v>
      </c>
      <c r="CJ13" cm="1">
        <f t="array" ref="CJ13">_xll.EQNXTDZ($A$1,$B13,CJ$1)</f>
        <v>157.28333333333299</v>
      </c>
      <c r="CK13" cm="1">
        <f t="array" ref="CK13">_xll.EQNXTDZ($A$1,$B13,CK$1)</f>
        <v>144.86666666666699</v>
      </c>
      <c r="CL13" cm="1">
        <f t="array" ref="CL13">_xll.EQNXTDZ($A$1,$B13,CL$1)</f>
        <v>153.833333333333</v>
      </c>
      <c r="CM13" cm="1">
        <f t="array" ref="CM13">_xll.EQNXTDZ($A$1,$B13,CM$1)</f>
        <v>171.15</v>
      </c>
      <c r="CN13" cm="1">
        <f t="array" ref="CN13">_xll.EQNXTDZ($A$1,$B13,CN$1)</f>
        <v>189.7</v>
      </c>
      <c r="CO13" cm="1">
        <f t="array" ref="CO13">_xll.EQNXTDZ($A$1,$B13,CO$1)</f>
        <v>183.4</v>
      </c>
      <c r="CP13" cm="1">
        <f t="array" ref="CP13">_xll.EQNXTDZ($A$1,$B13,CP$1)</f>
        <v>182.666666666667</v>
      </c>
      <c r="CQ13" cm="1">
        <f t="array" ref="CQ13">_xll.EQNXTDZ($A$1,$B13,CQ$1)</f>
        <v>186.666666666667</v>
      </c>
      <c r="CR13" cm="1">
        <f t="array" ref="CR13">_xll.EQNXTDZ($A$1,$B13,CR$1)</f>
        <v>200.333333333333</v>
      </c>
      <c r="CS13" cm="1">
        <f t="array" ref="CS13">_xll.EQNXTDZ($A$1,$B13,CS$1)</f>
        <v>170</v>
      </c>
      <c r="CT13" cm="1">
        <f t="array" ref="CT13">_xll.EQNXTDZ($A$1,$B13,CT$1)</f>
        <v>168.03333333333299</v>
      </c>
      <c r="CU13" cm="1">
        <f t="array" ref="CU13">_xll.EQNXTDZ($A$1,$B13,CU$1)</f>
        <v>174.96666666666701</v>
      </c>
      <c r="CV13" cm="1">
        <f t="array" ref="CV13">_xll.EQNXTDZ($A$1,$B13,CV$1)</f>
        <v>169.333333333333</v>
      </c>
      <c r="CW13" cm="1">
        <f t="array" ref="CW13">_xll.EQNXTDZ($A$1,$B13,CW$1)</f>
        <v>230</v>
      </c>
      <c r="CX13" cm="1">
        <f t="array" ref="CX13">_xll.EQNXTDZ($A$1,$B13,CX$1)</f>
        <v>253.316666666667</v>
      </c>
      <c r="CY13" cm="1">
        <f t="array" ref="CY13">_xll.EQNXTDZ($A$1,$B13,CY$1)</f>
        <v>254.816666666667</v>
      </c>
      <c r="CZ13" cm="1">
        <f t="array" ref="CZ13">_xll.EQNXTDZ($A$1,$B13,CZ$1)</f>
        <v>386.33333333333297</v>
      </c>
      <c r="DA13" cm="1">
        <f t="array" ref="DA13">_xll.EQNXTDZ($A$1,$B13,DA$1)</f>
        <v>363.33333333333297</v>
      </c>
      <c r="DB13" cm="1">
        <f t="array" ref="DB13">_xll.EQNXTDZ($A$1,$B13,DB$1)</f>
        <v>303.36666666666702</v>
      </c>
      <c r="DC13" cm="1">
        <f t="array" ref="DC13">_xll.EQNXTDZ($A$1,$B13,DC$1)</f>
        <v>302</v>
      </c>
      <c r="DD13" cm="1">
        <f t="array" ref="DD13">_xll.EQNXTDZ($A$1,$B13,DD$1)</f>
        <v>303.36666666666702</v>
      </c>
      <c r="DE13" cm="1">
        <f t="array" ref="DE13">_xll.EQNXTDZ($A$1,$B13,DE$1)</f>
        <v>300.91666666666703</v>
      </c>
      <c r="DF13" cm="1">
        <f t="array" ref="DF13">_xll.EQNXTDZ($A$1,$B13,DF$1)</f>
        <v>341.35</v>
      </c>
      <c r="DG13" cm="1">
        <f t="array" ref="DG13">_xll.EQNXTDZ($A$1,$B13,DG$1)</f>
        <v>358.66666666666703</v>
      </c>
      <c r="DH13" cm="1">
        <f t="array" ref="DH13">_xll.EQNXTDZ($A$1,$B13,DH$1)</f>
        <v>439.66666666666703</v>
      </c>
      <c r="DI13" cm="1">
        <f t="array" ref="DI13">_xll.EQNXTDZ($A$1,$B13,DI$1)</f>
        <v>439.98333333333301</v>
      </c>
      <c r="DJ13" cm="1">
        <f t="array" ref="DJ13">_xll.EQNXTDZ($A$1,$B13,DJ$1)</f>
        <v>432.26666666666699</v>
      </c>
      <c r="DK13" cm="1">
        <f t="array" ref="DK13">_xll.EQNXTDZ($A$1,$B13,DK$1)</f>
        <v>392.066666666667</v>
      </c>
      <c r="DL13" cm="1">
        <f t="array" ref="DL13">_xll.EQNXTDZ($A$1,$B13,DL$1)</f>
        <v>379.66666666666703</v>
      </c>
      <c r="DM13" cm="1">
        <f t="array" ref="DM13">_xll.EQNXTDZ($A$1,$B13,DM$1)</f>
        <v>373.75</v>
      </c>
      <c r="DN13" cm="1">
        <f t="array" ref="DN13">_xll.EQNXTDZ($A$1,$B13,DN$1)</f>
        <v>370.8</v>
      </c>
      <c r="DO13" cm="1">
        <f t="array" ref="DO13">_xll.EQNXTDZ($A$1,$B13,DO$1)</f>
        <v>326.58333333333297</v>
      </c>
      <c r="DP13" cm="1">
        <f t="array" ref="DP13">_xll.EQNXTDZ($A$1,$B13,DP$1)</f>
        <v>286</v>
      </c>
      <c r="DQ13" cm="1">
        <f t="array" ref="DQ13">_xll.EQNXTDZ($A$1,$B13,DQ$1)</f>
        <v>257.61666666666702</v>
      </c>
      <c r="DR13" cm="1">
        <f t="array" ref="DR13">_xll.EQNXTDZ($A$1,$B13,DR$1)</f>
        <v>266</v>
      </c>
      <c r="DS13" cm="1">
        <f t="array" ref="DS13">_xll.EQNXTDZ($A$1,$B13,DS$1)</f>
        <v>220.416666666667</v>
      </c>
      <c r="DT13" cm="1">
        <f t="array" ref="DT13">_xll.EQNXTDZ($A$1,$B13,DT$1)</f>
        <v>208</v>
      </c>
      <c r="DU13" cm="1">
        <f t="array" ref="DU13">_xll.EQNXTDZ($A$1,$B13,DU$1)</f>
        <v>214.88333333333301</v>
      </c>
      <c r="DV13" cm="1">
        <f t="array" ref="DV13">_xll.EQNXTDZ($A$1,$B13,DV$1)</f>
        <v>205</v>
      </c>
      <c r="DW13" cm="1">
        <f t="array" ref="DW13">_xll.EQNXTDZ($A$1,$B13,DW$1)</f>
        <v>233.25</v>
      </c>
      <c r="DX13" cm="1">
        <f t="array" ref="DX13">_xll.EQNXTDZ($A$1,$B13,DX$1)</f>
        <v>209.21666666666701</v>
      </c>
      <c r="DY13" cm="1">
        <f t="array" ref="DY13">_xll.EQNXTDZ($A$1,$B13,DY$1)</f>
        <v>212.933333333333</v>
      </c>
      <c r="DZ13" cm="1">
        <f t="array" ref="DZ13">_xll.EQNXTDZ($A$1,$B13,DZ$1)</f>
        <v>206.666666666667</v>
      </c>
      <c r="EA13" cm="1">
        <f t="array" ref="EA13">_xll.EQNXTDZ($A$1,$B13,EA$1)</f>
        <v>185.666666666667</v>
      </c>
      <c r="EB13" cm="1">
        <f t="array" ref="EB13">_xll.EQNXTDZ($A$1,$B13,EB$1)</f>
        <v>150.4</v>
      </c>
      <c r="EC13" cm="1">
        <f t="array" ref="EC13">_xll.EQNXTDZ($A$1,$B13,EC$1)</f>
        <v>146</v>
      </c>
      <c r="ED13" cm="1">
        <f t="array" ref="ED13">_xll.EQNXTDZ($A$1,$B13,ED$1)</f>
        <v>148.166666666667</v>
      </c>
      <c r="EE13" cm="1">
        <f t="array" ref="EE13">_xll.EQNXTDZ($A$1,$B13,EE$1)</f>
        <v>150.76666666666699</v>
      </c>
      <c r="EF13" cm="1">
        <f t="array" ref="EF13">_xll.EQNXTDZ($A$1,$B13,EF$1)</f>
        <v>173.316666666667</v>
      </c>
      <c r="EG13" cm="1">
        <f t="array" ref="EG13">_xll.EQNXTDZ($A$1,$B13,EG$1)</f>
        <v>194.666666666667</v>
      </c>
      <c r="EH13" cm="1">
        <f t="array" ref="EH13">_xll.EQNXTDZ($A$1,$B13,EH$1)</f>
        <v>177.63333333333301</v>
      </c>
      <c r="EI13" cm="1">
        <f t="array" ref="EI13">_xll.EQNXTDZ($A$1,$B13,EI$1)</f>
        <v>189.78333333333299</v>
      </c>
      <c r="EJ13" cm="1">
        <f t="array" ref="EJ13">_xll.EQNXTDZ($A$1,$B13,EJ$1)</f>
        <v>185.583333333333</v>
      </c>
      <c r="EK13" cm="1">
        <f t="array" ref="EK13">_xll.EQNXTDZ($A$1,$B13,EK$1)</f>
        <v>186.88333333333301</v>
      </c>
      <c r="EL13" cm="1">
        <f t="array" ref="EL13">_xll.EQNXTDZ($A$1,$B13,EL$1)</f>
        <v>214.5</v>
      </c>
      <c r="EM13" cm="1">
        <f t="array" ref="EM13">_xll.EQNXTDZ($A$1,$B13,EM$1)</f>
        <v>206.583333333333</v>
      </c>
      <c r="EN13" cm="1">
        <f t="array" ref="EN13">_xll.EQNXTDZ($A$1,$B13,EN$1)</f>
        <v>232.65</v>
      </c>
      <c r="EO13" cm="1">
        <f t="array" ref="EO13">_xll.EQNXTDZ($A$1,$B13,EO$1)</f>
        <v>196.066666666667</v>
      </c>
      <c r="EP13" cm="1">
        <f t="array" ref="EP13">_xll.EQNXTDZ($A$1,$B13,EP$1)</f>
        <v>214.98333333333301</v>
      </c>
      <c r="EQ13" cm="1">
        <f t="array" ref="EQ13">_xll.EQNXTDZ($A$1,$B13,EQ$1)</f>
        <v>204.5</v>
      </c>
      <c r="ER13" cm="1">
        <f t="array" ref="ER13">_xll.EQNXTDZ($A$1,$B13,ER$1)</f>
        <v>220.6</v>
      </c>
      <c r="ES13" cm="1">
        <f t="array" ref="ES13">_xll.EQNXTDZ($A$1,$B13,ES$1)</f>
        <v>273.95</v>
      </c>
      <c r="ET13" cm="1">
        <f t="array" ref="ET13">_xll.EQNXTDZ($A$1,$B13,ET$1)</f>
        <v>293.96666666666698</v>
      </c>
      <c r="EU13" cm="1">
        <f t="array" ref="EU13">_xll.EQNXTDZ($A$1,$B13,EU$1)</f>
        <v>271.66666666666703</v>
      </c>
      <c r="EV13" cm="1">
        <f t="array" ref="EV13">_xll.EQNXTDZ($A$1,$B13,EV$1)</f>
        <v>313</v>
      </c>
      <c r="EW13" cm="1">
        <f t="array" ref="EW13">_xll.EQNXTDZ($A$1,$B13,EW$1)</f>
        <v>326.816666666667</v>
      </c>
      <c r="EX13" cm="1">
        <f t="array" ref="EX13">_xll.EQNXTDZ($A$1,$B13,EX$1)</f>
        <v>304.83333333333297</v>
      </c>
      <c r="EY13" cm="1">
        <f t="array" ref="EY13">_xll.EQNXTDZ($A$1,$B13,EY$1)</f>
        <v>265.08333333333297</v>
      </c>
      <c r="EZ13" cm="1">
        <f t="array" ref="EZ13">_xll.EQNXTDZ($A$1,$B13,EZ$1)</f>
        <v>231.46666666666701</v>
      </c>
      <c r="FA13" cm="1">
        <f t="array" ref="FA13">_xll.EQNXTDZ($A$1,$B13,FA$1)</f>
        <v>226.01666666666699</v>
      </c>
      <c r="FB13" cm="1">
        <f t="array" ref="FB13">_xll.EQNXTDZ($A$1,$B13,FB$1)</f>
        <v>292.7</v>
      </c>
      <c r="FC13" cm="1">
        <f t="array" ref="FC13">_xll.EQNXTDZ($A$1,$B13,FC$1)</f>
        <v>353.58333333333297</v>
      </c>
      <c r="FD13" cm="1">
        <f t="array" ref="FD13">_xll.EQNXTDZ($A$1,$B13,FD$1)</f>
        <v>327.66666666666703</v>
      </c>
      <c r="FE13" cm="1">
        <f t="array" ref="FE13">_xll.EQNXTDZ($A$1,$B13,FE$1)</f>
        <v>440.566666666667</v>
      </c>
      <c r="FF13" cm="1">
        <f t="array" ref="FF13">_xll.EQNXTDZ($A$1,$B13,FF$1)</f>
        <v>425.96666666666698</v>
      </c>
      <c r="FG13" cm="1">
        <f t="array" ref="FG13">_xll.EQNXTDZ($A$1,$B13,FG$1)</f>
        <v>385.01666666666699</v>
      </c>
      <c r="FH13" cm="1">
        <f t="array" ref="FH13">_xll.EQNXTDZ($A$1,$B13,FH$1)</f>
        <v>467.66666666666703</v>
      </c>
      <c r="FI13" cm="1">
        <f t="array" ref="FI13">_xll.EQNXTDZ($A$1,$B13,FI$1)</f>
        <v>494.95</v>
      </c>
      <c r="FJ13" cm="1">
        <f t="array" ref="FJ13">_xll.EQNXTDZ($A$1,$B13,FJ$1)</f>
        <v>444</v>
      </c>
      <c r="FK13" cm="1">
        <f t="array" ref="FK13">_xll.EQNXTDZ($A$1,$B13,FK$1)</f>
        <v>419.3</v>
      </c>
      <c r="FL13" cm="1">
        <f t="array" ref="FL13">_xll.EQNXTDZ($A$1,$B13,FL$1)</f>
        <v>366.15</v>
      </c>
      <c r="FM13" cm="1">
        <f t="array" ref="FM13">_xll.EQNXTDZ($A$1,$B13,FM$1)</f>
        <v>350.4</v>
      </c>
      <c r="FN13" cm="1">
        <f t="array" ref="FN13">_xll.EQNXTDZ($A$1,$B13,FN$1)</f>
        <v>400.05</v>
      </c>
      <c r="FO13" cm="1">
        <f t="array" ref="FO13">_xll.EQNXTDZ($A$1,$B13,FO$1)</f>
        <v>529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0</v>
      </c>
      <c r="AX14" s="116" cm="1">
        <f t="array" ref="AX14">_xll.EQNXTDZ($A$1,$B14,AX$1)</f>
        <v>221.8</v>
      </c>
      <c r="AY14" s="116" cm="1">
        <f t="array" ref="AY14">_xll.EQNXTDZ($A$1,$B14,AY$1)</f>
        <v>222.9</v>
      </c>
      <c r="AZ14" s="116" cm="1">
        <f t="array" ref="AZ14">_xll.EQNXTDZ($A$1,$B14,AZ$1)</f>
        <v>197</v>
      </c>
      <c r="BA14" s="116" cm="1">
        <f t="array" ref="BA14">_xll.EQNXTDZ($A$1,$B14,BA$1)</f>
        <v>211.666666666667</v>
      </c>
      <c r="BB14" s="116" cm="1">
        <f t="array" ref="BB14">_xll.EQNXTDZ($A$1,$B14,BB$1)</f>
        <v>222.65</v>
      </c>
      <c r="BC14" s="116" cm="1">
        <f t="array" ref="BC14">_xll.EQNXTDZ($A$1,$B14,BC$1)</f>
        <v>228.3</v>
      </c>
      <c r="BD14" s="116" cm="1">
        <f t="array" ref="BD14">_xll.EQNXTDZ($A$1,$B14,BD$1)</f>
        <v>231</v>
      </c>
      <c r="BE14" s="116" cm="1">
        <f t="array" ref="BE14">_xll.EQNXTDZ($A$1,$B14,BE$1)</f>
        <v>239.95</v>
      </c>
      <c r="BF14" s="116" cm="1">
        <f t="array" ref="BF14">_xll.EQNXTDZ($A$1,$B14,BF$1)</f>
        <v>246.833333333333</v>
      </c>
      <c r="BG14" s="116" cm="1">
        <f t="array" ref="BG14">_xll.EQNXTDZ($A$1,$B14,BG$1)</f>
        <v>247.583333333333</v>
      </c>
      <c r="BH14" s="116" cm="1">
        <f t="array" ref="BH14">_xll.EQNXTDZ($A$1,$B14,BH$1)</f>
        <v>241.96666666666701</v>
      </c>
      <c r="BI14" s="116" cm="1">
        <f t="array" ref="BI14">_xll.EQNXTDZ($A$1,$B14,BI$1)</f>
        <v>259.96666666666698</v>
      </c>
      <c r="BJ14" s="116" cm="1">
        <f t="array" ref="BJ14">_xll.EQNXTDZ($A$1,$B14,BJ$1)</f>
        <v>256.66666666666703</v>
      </c>
      <c r="BK14" s="116" cm="1">
        <f t="array" ref="BK14">_xll.EQNXTDZ($A$1,$B14,BK$1)</f>
        <v>251.65</v>
      </c>
      <c r="BL14" s="116" cm="1">
        <f t="array" ref="BL14">_xll.EQNXTDZ($A$1,$B14,BL$1)</f>
        <v>257.64999999999998</v>
      </c>
      <c r="BM14" s="116" cm="1">
        <f t="array" ref="BM14">_xll.EQNXTDZ($A$1,$B14,BM$1)</f>
        <v>244.666666666667</v>
      </c>
      <c r="BN14" s="116" cm="1">
        <f t="array" ref="BN14">_xll.EQNXTDZ($A$1,$B14,BN$1)</f>
        <v>235</v>
      </c>
      <c r="BO14" s="116" cm="1">
        <f t="array" ref="BO14">_xll.EQNXTDZ($A$1,$B14,BO$1)</f>
        <v>237.333333333333</v>
      </c>
      <c r="BP14" s="116" cm="1">
        <f t="array" ref="BP14">_xll.EQNXTDZ($A$1,$B14,BP$1)</f>
        <v>232.5</v>
      </c>
      <c r="BQ14" s="116" cm="1">
        <f t="array" ref="BQ14">_xll.EQNXTDZ($A$1,$B14,BQ$1)</f>
        <v>234.76666666666699</v>
      </c>
      <c r="BR14" s="116" cm="1">
        <f t="array" ref="BR14">_xll.EQNXTDZ($A$1,$B14,BR$1)</f>
        <v>241.666666666667</v>
      </c>
      <c r="BS14" s="116" cm="1">
        <f t="array" ref="BS14">_xll.EQNXTDZ($A$1,$B14,BS$1)</f>
        <v>236.666666666667</v>
      </c>
      <c r="BT14" s="116" cm="1">
        <f t="array" ref="BT14">_xll.EQNXTDZ($A$1,$B14,BT$1)</f>
        <v>212.666666666667</v>
      </c>
      <c r="BU14" s="116" cm="1">
        <f t="array" ref="BU14">_xll.EQNXTDZ($A$1,$B14,BU$1)</f>
        <v>241.666666666667</v>
      </c>
      <c r="BV14" s="116" cm="1">
        <f t="array" ref="BV14">_xll.EQNXTDZ($A$1,$B14,BV$1)</f>
        <v>225.316666666667</v>
      </c>
      <c r="BW14" s="116" cm="1">
        <f t="array" ref="BW14">_xll.EQNXTDZ($A$1,$B14,BW$1)</f>
        <v>207.183333333333</v>
      </c>
      <c r="BX14" s="116" cm="1">
        <f t="array" ref="BX14">_xll.EQNXTDZ($A$1,$B14,BX$1)</f>
        <v>214.933333333333</v>
      </c>
      <c r="BY14" s="116" cm="1">
        <f t="array" ref="BY14">_xll.EQNXTDZ($A$1,$B14,BY$1)</f>
        <v>219.28333333333299</v>
      </c>
      <c r="BZ14" s="116" cm="1">
        <f t="array" ref="BZ14">_xll.EQNXTDZ($A$1,$B14,BZ$1)</f>
        <v>232.333333333333</v>
      </c>
      <c r="CA14" s="116" cm="1">
        <f t="array" ref="CA14">_xll.EQNXTDZ($A$1,$B14,CA$1)</f>
        <v>225.98333333333301</v>
      </c>
      <c r="CB14" s="116" cm="1">
        <f t="array" ref="CB14">_xll.EQNXTDZ($A$1,$B14,CB$1)</f>
        <v>192.166666666667</v>
      </c>
      <c r="CC14" s="116" cm="1">
        <f t="array" ref="CC14">_xll.EQNXTDZ($A$1,$B14,CC$1)</f>
        <v>191.55</v>
      </c>
      <c r="CD14" s="116" cm="1">
        <f t="array" ref="CD14">_xll.EQNXTDZ($A$1,$B14,CD$1)</f>
        <v>186.666666666667</v>
      </c>
      <c r="CE14" s="116" cm="1">
        <f t="array" ref="CE14">_xll.EQNXTDZ($A$1,$B14,CE$1)</f>
        <v>201.36666666666699</v>
      </c>
      <c r="CF14" s="116" cm="1">
        <f t="array" ref="CF14">_xll.EQNXTDZ($A$1,$B14,CF$1)</f>
        <v>184.98333333333301</v>
      </c>
      <c r="CG14" s="116" cm="1">
        <f t="array" ref="CG14">_xll.EQNXTDZ($A$1,$B14,CG$1)</f>
        <v>181.666666666667</v>
      </c>
      <c r="CH14" s="116" cm="1">
        <f t="array" ref="CH14">_xll.EQNXTDZ($A$1,$B14,CH$1)</f>
        <v>164.9</v>
      </c>
      <c r="CI14" s="116" cm="1">
        <f t="array" ref="CI14">_xll.EQNXTDZ($A$1,$B14,CI$1)</f>
        <v>163</v>
      </c>
      <c r="CJ14" s="116" cm="1">
        <f t="array" ref="CJ14">_xll.EQNXTDZ($A$1,$B14,CJ$1)</f>
        <v>161.416666666667</v>
      </c>
      <c r="CK14" s="116" cm="1">
        <f t="array" ref="CK14">_xll.EQNXTDZ($A$1,$B14,CK$1)</f>
        <v>161.76666666666699</v>
      </c>
      <c r="CL14" s="116" cm="1">
        <f t="array" ref="CL14">_xll.EQNXTDZ($A$1,$B14,CL$1)</f>
        <v>178.3</v>
      </c>
      <c r="CM14" s="116" cm="1">
        <f t="array" ref="CM14">_xll.EQNXTDZ($A$1,$B14,CM$1)</f>
        <v>195.23333333333301</v>
      </c>
      <c r="CN14" s="116" cm="1">
        <f t="array" ref="CN14">_xll.EQNXTDZ($A$1,$B14,CN$1)</f>
        <v>201.51666666666699</v>
      </c>
      <c r="CO14" s="116" cm="1">
        <f t="array" ref="CO14">_xll.EQNXTDZ($A$1,$B14,CO$1)</f>
        <v>195</v>
      </c>
      <c r="CP14" s="116" cm="1">
        <f t="array" ref="CP14">_xll.EQNXTDZ($A$1,$B14,CP$1)</f>
        <v>195.666666666667</v>
      </c>
      <c r="CQ14" s="116" cm="1">
        <f t="array" ref="CQ14">_xll.EQNXTDZ($A$1,$B14,CQ$1)</f>
        <v>229.816666666667</v>
      </c>
      <c r="CR14" s="116" cm="1">
        <f t="array" ref="CR14">_xll.EQNXTDZ($A$1,$B14,CR$1)</f>
        <v>206.666666666667</v>
      </c>
      <c r="CS14" s="116" cm="1">
        <f t="array" ref="CS14">_xll.EQNXTDZ($A$1,$B14,CS$1)</f>
        <v>193.96666666666701</v>
      </c>
      <c r="CT14" s="116" cm="1">
        <f t="array" ref="CT14">_xll.EQNXTDZ($A$1,$B14,CT$1)</f>
        <v>177.316666666667</v>
      </c>
      <c r="CU14" s="116" cm="1">
        <f t="array" ref="CU14">_xll.EQNXTDZ($A$1,$B14,CU$1)</f>
        <v>185.833333333333</v>
      </c>
      <c r="CV14" s="116" cm="1">
        <f t="array" ref="CV14">_xll.EQNXTDZ($A$1,$B14,CV$1)</f>
        <v>245.333333333333</v>
      </c>
      <c r="CW14" s="116" cm="1">
        <f t="array" ref="CW14">_xll.EQNXTDZ($A$1,$B14,CW$1)</f>
        <v>281.75</v>
      </c>
      <c r="CX14" s="116" cm="1">
        <f t="array" ref="CX14">_xll.EQNXTDZ($A$1,$B14,CX$1)</f>
        <v>275.683333333333</v>
      </c>
      <c r="CY14" s="116" cm="1">
        <f t="array" ref="CY14">_xll.EQNXTDZ($A$1,$B14,CY$1)</f>
        <v>404</v>
      </c>
      <c r="CZ14" s="116" cm="1">
        <f t="array" ref="CZ14">_xll.EQNXTDZ($A$1,$B14,CZ$1)</f>
        <v>393.28333333333302</v>
      </c>
      <c r="DA14" s="116" cm="1">
        <f t="array" ref="DA14">_xll.EQNXTDZ($A$1,$B14,DA$1)</f>
        <v>367.66666666666703</v>
      </c>
      <c r="DB14" s="116" cm="1">
        <f t="array" ref="DB14">_xll.EQNXTDZ($A$1,$B14,DB$1)</f>
        <v>335.36666666666702</v>
      </c>
      <c r="DC14" s="116" cm="1">
        <f t="array" ref="DC14">_xll.EQNXTDZ($A$1,$B14,DC$1)</f>
        <v>319.63333333333298</v>
      </c>
      <c r="DD14" s="116" cm="1">
        <f t="array" ref="DD14">_xll.EQNXTDZ($A$1,$B14,DD$1)</f>
        <v>308.5</v>
      </c>
      <c r="DE14" s="116" cm="1">
        <f t="array" ref="DE14">_xll.EQNXTDZ($A$1,$B14,DE$1)</f>
        <v>366.66666666666703</v>
      </c>
      <c r="DF14" s="116" cm="1">
        <f t="array" ref="DF14">_xll.EQNXTDZ($A$1,$B14,DF$1)</f>
        <v>371.48333333333301</v>
      </c>
      <c r="DG14" s="116" cm="1">
        <f t="array" ref="DG14">_xll.EQNXTDZ($A$1,$B14,DG$1)</f>
        <v>488.63333333333298</v>
      </c>
      <c r="DH14" s="116" cm="1">
        <f t="array" ref="DH14">_xll.EQNXTDZ($A$1,$B14,DH$1)</f>
        <v>456</v>
      </c>
      <c r="DI14" s="116" cm="1">
        <f t="array" ref="DI14">_xll.EQNXTDZ($A$1,$B14,DI$1)</f>
        <v>461.53333333333302</v>
      </c>
      <c r="DJ14" s="116" cm="1">
        <f t="array" ref="DJ14">_xll.EQNXTDZ($A$1,$B14,DJ$1)</f>
        <v>437.183333333333</v>
      </c>
      <c r="DK14" s="116" cm="1">
        <f t="array" ref="DK14">_xll.EQNXTDZ($A$1,$B14,DK$1)</f>
        <v>400.46666666666698</v>
      </c>
      <c r="DL14" s="116" cm="1">
        <f t="array" ref="DL14">_xll.EQNXTDZ($A$1,$B14,DL$1)</f>
        <v>432.33333333333297</v>
      </c>
      <c r="DM14" s="116" cm="1">
        <f t="array" ref="DM14">_xll.EQNXTDZ($A$1,$B14,DM$1)</f>
        <v>377.63333333333298</v>
      </c>
      <c r="DN14" s="116" cm="1">
        <f t="array" ref="DN14">_xll.EQNXTDZ($A$1,$B14,DN$1)</f>
        <v>376.66666666666703</v>
      </c>
      <c r="DO14" s="116" cm="1">
        <f t="array" ref="DO14">_xll.EQNXTDZ($A$1,$B14,DO$1)</f>
        <v>335.63333333333298</v>
      </c>
      <c r="DP14" s="116" cm="1">
        <f t="array" ref="DP14">_xll.EQNXTDZ($A$1,$B14,DP$1)</f>
        <v>290.25</v>
      </c>
      <c r="DQ14" s="116" cm="1">
        <f t="array" ref="DQ14">_xll.EQNXTDZ($A$1,$B14,DQ$1)</f>
        <v>305.64999999999998</v>
      </c>
      <c r="DR14" s="116" cm="1">
        <f t="array" ref="DR14">_xll.EQNXTDZ($A$1,$B14,DR$1)</f>
        <v>266</v>
      </c>
      <c r="DS14" s="116" cm="1">
        <f t="array" ref="DS14">_xll.EQNXTDZ($A$1,$B14,DS$1)</f>
        <v>241.71666666666701</v>
      </c>
      <c r="DT14" s="116" cm="1">
        <f t="array" ref="DT14">_xll.EQNXTDZ($A$1,$B14,DT$1)</f>
        <v>215.583333333333</v>
      </c>
      <c r="DU14" s="116" cm="1">
        <f t="array" ref="DU14">_xll.EQNXTDZ($A$1,$B14,DU$1)</f>
        <v>223.03333333333299</v>
      </c>
      <c r="DV14" s="116" cm="1">
        <f t="array" ref="DV14">_xll.EQNXTDZ($A$1,$B14,DV$1)</f>
        <v>246.45</v>
      </c>
      <c r="DW14" s="116" cm="1">
        <f t="array" ref="DW14">_xll.EQNXTDZ($A$1,$B14,DW$1)</f>
        <v>237.166666666667</v>
      </c>
      <c r="DX14" s="116" cm="1">
        <f t="array" ref="DX14">_xll.EQNXTDZ($A$1,$B14,DX$1)</f>
        <v>226.45</v>
      </c>
      <c r="DY14" s="116" cm="1">
        <f t="array" ref="DY14">_xll.EQNXTDZ($A$1,$B14,DY$1)</f>
        <v>256.33333333333297</v>
      </c>
      <c r="DZ14" s="116" cm="1">
        <f t="array" ref="DZ14">_xll.EQNXTDZ($A$1,$B14,DZ$1)</f>
        <v>207.05</v>
      </c>
      <c r="EA14" s="116" cm="1">
        <f t="array" ref="EA14">_xll.EQNXTDZ($A$1,$B14,EA$1)</f>
        <v>187.583333333333</v>
      </c>
      <c r="EB14" s="116" cm="1">
        <f t="array" ref="EB14">_xll.EQNXTDZ($A$1,$B14,EB$1)</f>
        <v>166.666666666667</v>
      </c>
      <c r="EC14" s="116" cm="1">
        <f t="array" ref="EC14">_xll.EQNXTDZ($A$1,$B14,EC$1)</f>
        <v>169.816666666667</v>
      </c>
      <c r="ED14" s="116" cm="1">
        <f t="array" ref="ED14">_xll.EQNXTDZ($A$1,$B14,ED$1)</f>
        <v>158.53333333333299</v>
      </c>
      <c r="EE14" s="116" cm="1">
        <f t="array" ref="EE14">_xll.EQNXTDZ($A$1,$B14,EE$1)</f>
        <v>178.65</v>
      </c>
      <c r="EF14" s="116" cm="1">
        <f t="array" ref="EF14">_xll.EQNXTDZ($A$1,$B14,EF$1)</f>
        <v>203.35</v>
      </c>
      <c r="EG14" s="116" cm="1">
        <f t="array" ref="EG14">_xll.EQNXTDZ($A$1,$B14,EG$1)</f>
        <v>200</v>
      </c>
      <c r="EH14" s="116" cm="1">
        <f t="array" ref="EH14">_xll.EQNXTDZ($A$1,$B14,EH$1)</f>
        <v>202.21666666666701</v>
      </c>
      <c r="EI14" s="116" cm="1">
        <f t="array" ref="EI14">_xll.EQNXTDZ($A$1,$B14,EI$1)</f>
        <v>194.98333333333301</v>
      </c>
      <c r="EJ14" s="116" cm="1">
        <f t="array" ref="EJ14">_xll.EQNXTDZ($A$1,$B14,EJ$1)</f>
        <v>194.1</v>
      </c>
      <c r="EK14" s="116" cm="1">
        <f t="array" ref="EK14">_xll.EQNXTDZ($A$1,$B14,EK$1)</f>
        <v>229.4</v>
      </c>
      <c r="EL14" s="116" cm="1">
        <f t="array" ref="EL14">_xll.EQNXTDZ($A$1,$B14,EL$1)</f>
        <v>230.1</v>
      </c>
      <c r="EM14" s="116" cm="1">
        <f t="array" ref="EM14">_xll.EQNXTDZ($A$1,$B14,EM$1)</f>
        <v>240.666666666667</v>
      </c>
      <c r="EN14" s="116" cm="1">
        <f t="array" ref="EN14">_xll.EQNXTDZ($A$1,$B14,EN$1)</f>
        <v>232.85</v>
      </c>
      <c r="EO14" s="116" cm="1">
        <f t="array" ref="EO14">_xll.EQNXTDZ($A$1,$B14,EO$1)</f>
        <v>227.23333333333301</v>
      </c>
      <c r="EP14" s="116" cm="1">
        <f t="array" ref="EP14">_xll.EQNXTDZ($A$1,$B14,EP$1)</f>
        <v>226.96666666666701</v>
      </c>
      <c r="EQ14" s="116" cm="1">
        <f t="array" ref="EQ14">_xll.EQNXTDZ($A$1,$B14,EQ$1)</f>
        <v>225.85</v>
      </c>
      <c r="ER14" s="116" cm="1">
        <f t="array" ref="ER14">_xll.EQNXTDZ($A$1,$B14,ER$1)</f>
        <v>280</v>
      </c>
      <c r="ES14" s="116" cm="1">
        <f t="array" ref="ES14">_xll.EQNXTDZ($A$1,$B14,ES$1)</f>
        <v>310</v>
      </c>
      <c r="ET14" s="116" cm="1">
        <f t="array" ref="ET14">_xll.EQNXTDZ($A$1,$B14,ET$1)</f>
        <v>300</v>
      </c>
      <c r="EU14" s="116" cm="1">
        <f t="array" ref="EU14">_xll.EQNXTDZ($A$1,$B14,EU$1)</f>
        <v>325</v>
      </c>
      <c r="EV14" s="116" cm="1">
        <f t="array" ref="EV14">_xll.EQNXTDZ($A$1,$B14,EV$1)</f>
        <v>343.65</v>
      </c>
      <c r="EW14" s="116" cm="1">
        <f t="array" ref="EW14">_xll.EQNXTDZ($A$1,$B14,EW$1)</f>
        <v>350.21666666666698</v>
      </c>
      <c r="EX14" s="116" cm="1">
        <f t="array" ref="EX14">_xll.EQNXTDZ($A$1,$B14,EX$1)</f>
        <v>351.01666666666699</v>
      </c>
      <c r="EY14" s="116" cm="1">
        <f t="array" ref="EY14">_xll.EQNXTDZ($A$1,$B14,EY$1)</f>
        <v>275.21666666666698</v>
      </c>
      <c r="EZ14" s="116" cm="1">
        <f t="array" ref="EZ14">_xll.EQNXTDZ($A$1,$B14,EZ$1)</f>
        <v>252.35</v>
      </c>
      <c r="FA14" s="116" cm="1">
        <f t="array" ref="FA14">_xll.EQNXTDZ($A$1,$B14,FA$1)</f>
        <v>312.95</v>
      </c>
      <c r="FB14" s="116" cm="1">
        <f t="array" ref="FB14">_xll.EQNXTDZ($A$1,$B14,FB$1)</f>
        <v>351.03333333333302</v>
      </c>
      <c r="FC14" s="116" cm="1">
        <f t="array" ref="FC14">_xll.EQNXTDZ($A$1,$B14,FC$1)</f>
        <v>357.48333333333301</v>
      </c>
      <c r="FD14" s="116" cm="1">
        <f t="array" ref="FD14">_xll.EQNXTDZ($A$1,$B14,FD$1)</f>
        <v>452.316666666667</v>
      </c>
      <c r="FE14" s="116" cm="1">
        <f t="array" ref="FE14">_xll.EQNXTDZ($A$1,$B14,FE$1)</f>
        <v>478.1</v>
      </c>
      <c r="FF14" s="116" cm="1">
        <f t="array" ref="FF14">_xll.EQNXTDZ($A$1,$B14,FF$1)</f>
        <v>460.1</v>
      </c>
      <c r="FG14" s="116" cm="1">
        <f t="array" ref="FG14">_xll.EQNXTDZ($A$1,$B14,FG$1)</f>
        <v>490</v>
      </c>
      <c r="FH14" s="116" cm="1">
        <f t="array" ref="FH14">_xll.EQNXTDZ($A$1,$B14,FH$1)</f>
        <v>537.96666666666704</v>
      </c>
      <c r="FI14" s="116" cm="1">
        <f t="array" ref="FI14">_xll.EQNXTDZ($A$1,$B14,FI$1)</f>
        <v>494.95</v>
      </c>
      <c r="FJ14" s="116" cm="1">
        <f t="array" ref="FJ14">_xll.EQNXTDZ($A$1,$B14,FJ$1)</f>
        <v>507.75</v>
      </c>
      <c r="FK14" s="116" cm="1">
        <f t="array" ref="FK14">_xll.EQNXTDZ($A$1,$B14,FK$1)</f>
        <v>425</v>
      </c>
      <c r="FL14" s="116" cm="1">
        <f t="array" ref="FL14">_xll.EQNXTDZ($A$1,$B14,FL$1)</f>
        <v>392.25</v>
      </c>
      <c r="FM14" s="116" cm="1">
        <f t="array" ref="FM14">_xll.EQNXTDZ($A$1,$B14,FM$1)</f>
        <v>473.1</v>
      </c>
      <c r="FN14" s="116" cm="1">
        <f t="array" ref="FN14">_xll.EQNXTDZ($A$1,$B14,FN$1)</f>
        <v>526.1</v>
      </c>
      <c r="FO14" s="116" cm="1">
        <f t="array" ref="FO14">_xll.EQNXTDZ($A$1,$B14,FO$1)</f>
        <v>578.04999999999995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222.9</v>
      </c>
      <c r="IF14" s="116">
        <f>+MAX(AZ14:BB14)</f>
        <v>222.65</v>
      </c>
      <c r="IG14" s="116">
        <f>+MAX(BC14:BE14)</f>
        <v>239.95</v>
      </c>
      <c r="IH14" s="116">
        <f>+MAX(BF14:BH14)</f>
        <v>247.583333333333</v>
      </c>
      <c r="II14" s="116">
        <f>+MAX(BI14:BK14)</f>
        <v>259.96666666666698</v>
      </c>
      <c r="IJ14" s="116">
        <f>+MAX(BL14:BN14)</f>
        <v>257.64999999999998</v>
      </c>
      <c r="IK14" s="116">
        <f>+MAX(BO14:BQ14)</f>
        <v>237.333333333333</v>
      </c>
      <c r="IL14" s="116">
        <f>+MAX(BR14:BT14)</f>
        <v>241.666666666667</v>
      </c>
      <c r="IM14" s="116">
        <f>+MAX(BU14:BW14)</f>
        <v>241.666666666667</v>
      </c>
      <c r="IN14" s="116">
        <f>+MAX(BX14:BZ14)</f>
        <v>232.333333333333</v>
      </c>
      <c r="IO14" s="116">
        <f>+MAX(CA14:CC14)</f>
        <v>225.98333333333301</v>
      </c>
      <c r="IP14" s="116">
        <f>+MAX(CD14:CF14)</f>
        <v>201.36666666666699</v>
      </c>
      <c r="IQ14" s="116">
        <f>+MAX(CG14:CI14)</f>
        <v>181.666666666667</v>
      </c>
      <c r="IR14" s="116">
        <f>+MAX(CJ14:CL14)</f>
        <v>178.3</v>
      </c>
      <c r="IS14" s="116">
        <f>+MAX(CM14:CO14)</f>
        <v>201.51666666666699</v>
      </c>
      <c r="IT14" s="116">
        <f>+MAX(CP14:CR14)</f>
        <v>229.816666666667</v>
      </c>
      <c r="IU14" s="116">
        <f>+MAX(CS14:CU14)</f>
        <v>193.96666666666701</v>
      </c>
      <c r="IV14" s="116">
        <f>+MAX(CV14:CX14)</f>
        <v>281.75</v>
      </c>
      <c r="IW14" s="116">
        <f>+MAX(CY14:DA14)</f>
        <v>404</v>
      </c>
      <c r="IX14" s="116">
        <f>+MAX(DB14:DD14)</f>
        <v>335.36666666666702</v>
      </c>
      <c r="IY14" s="116">
        <f>+MAX(DE14:DG14)</f>
        <v>488.63333333333298</v>
      </c>
      <c r="IZ14" s="116">
        <f>+MAX(DH14:DJ14)</f>
        <v>461.53333333333302</v>
      </c>
      <c r="JA14" s="116">
        <f>+MAX(DK14:DM14)</f>
        <v>432.33333333333297</v>
      </c>
      <c r="JB14" s="116">
        <f>+MAX(DN14:DP14)</f>
        <v>376.66666666666703</v>
      </c>
      <c r="JC14" s="116">
        <f>+MAX(DQ14:DS14)</f>
        <v>305.64999999999998</v>
      </c>
      <c r="JD14" s="116">
        <f>+MAX(DT14:DV14)</f>
        <v>246.45</v>
      </c>
      <c r="JE14" s="116">
        <f>+MAX(DW14:DY14)</f>
        <v>256.33333333333297</v>
      </c>
      <c r="JF14" s="116">
        <f>+MAX(DZ14:EB14)</f>
        <v>207.05</v>
      </c>
      <c r="JG14" s="116">
        <f>+MAX(EC14:EE14)</f>
        <v>178.65</v>
      </c>
      <c r="JH14" s="116">
        <f>+MAX(EF14:EH14)</f>
        <v>203.35</v>
      </c>
      <c r="JI14" s="116">
        <f>+MAX(EI14:EK14)</f>
        <v>229.4</v>
      </c>
      <c r="JJ14" s="116">
        <f>+MAX(EL14:EN14)</f>
        <v>240.666666666667</v>
      </c>
      <c r="JK14" s="116">
        <f>MAX(EO14:EQ14)</f>
        <v>227.23333333333301</v>
      </c>
      <c r="JL14" s="116">
        <f>MAX(ER14:ET14)</f>
        <v>310</v>
      </c>
      <c r="JM14" s="116">
        <f>MAX(EU14:EW14)</f>
        <v>350.21666666666698</v>
      </c>
      <c r="JN14" s="116">
        <f>MAX(EX14:EZ14)</f>
        <v>351.01666666666699</v>
      </c>
      <c r="JO14" s="116">
        <f>MAX(FA14:FC14)</f>
        <v>357.48333333333301</v>
      </c>
      <c r="JP14" s="116">
        <f>MAX(FD14:FF14)</f>
        <v>478.1</v>
      </c>
      <c r="JQ14" s="116">
        <f>MAX(FG14:FI14)</f>
        <v>537.96666666666704</v>
      </c>
      <c r="JR14" s="116">
        <f>MAX(FJ14:FL14)</f>
        <v>507.75</v>
      </c>
      <c r="JS14" s="116">
        <f>MAX(FM14:FO14)</f>
        <v>578.04999999999995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0</v>
      </c>
      <c r="AX15" s="116" cm="1">
        <f t="array" ref="AX15">_xll.EQNXTDZ($A$1,$B15,AX$1)</f>
        <v>195</v>
      </c>
      <c r="AY15" s="116" cm="1">
        <f t="array" ref="AY15">_xll.EQNXTDZ($A$1,$B15,AY$1)</f>
        <v>174.53333333333299</v>
      </c>
      <c r="AZ15" s="116" cm="1">
        <f t="array" ref="AZ15">_xll.EQNXTDZ($A$1,$B15,AZ$1)</f>
        <v>178.75</v>
      </c>
      <c r="BA15" s="116" cm="1">
        <f t="array" ref="BA15">_xll.EQNXTDZ($A$1,$B15,BA$1)</f>
        <v>181.666666666667</v>
      </c>
      <c r="BB15" s="116" cm="1">
        <f t="array" ref="BB15">_xll.EQNXTDZ($A$1,$B15,BB$1)</f>
        <v>196.5</v>
      </c>
      <c r="BC15" s="116" cm="1">
        <f t="array" ref="BC15">_xll.EQNXTDZ($A$1,$B15,BC$1)</f>
        <v>197.51666666666699</v>
      </c>
      <c r="BD15" s="116" cm="1">
        <f t="array" ref="BD15">_xll.EQNXTDZ($A$1,$B15,BD$1)</f>
        <v>190.36666666666699</v>
      </c>
      <c r="BE15" s="116" cm="1">
        <f t="array" ref="BE15">_xll.EQNXTDZ($A$1,$B15,BE$1)</f>
        <v>215.333333333333</v>
      </c>
      <c r="BF15" s="116" cm="1">
        <f t="array" ref="BF15">_xll.EQNXTDZ($A$1,$B15,BF$1)</f>
        <v>225.666666666667</v>
      </c>
      <c r="BG15" s="116" cm="1">
        <f t="array" ref="BG15">_xll.EQNXTDZ($A$1,$B15,BG$1)</f>
        <v>230.916666666667</v>
      </c>
      <c r="BH15" s="116" cm="1">
        <f t="array" ref="BH15">_xll.EQNXTDZ($A$1,$B15,BH$1)</f>
        <v>221.86666666666699</v>
      </c>
      <c r="BI15" s="116" cm="1">
        <f t="array" ref="BI15">_xll.EQNXTDZ($A$1,$B15,BI$1)</f>
        <v>235.7</v>
      </c>
      <c r="BJ15" s="116" cm="1">
        <f t="array" ref="BJ15">_xll.EQNXTDZ($A$1,$B15,BJ$1)</f>
        <v>228.2</v>
      </c>
      <c r="BK15" s="116" cm="1">
        <f t="array" ref="BK15">_xll.EQNXTDZ($A$1,$B15,BK$1)</f>
        <v>230.083333333333</v>
      </c>
      <c r="BL15" s="116" cm="1">
        <f t="array" ref="BL15">_xll.EQNXTDZ($A$1,$B15,BL$1)</f>
        <v>233.333333333333</v>
      </c>
      <c r="BM15" s="116" cm="1">
        <f t="array" ref="BM15">_xll.EQNXTDZ($A$1,$B15,BM$1)</f>
        <v>223.333333333333</v>
      </c>
      <c r="BN15" s="116" cm="1">
        <f t="array" ref="BN15">_xll.EQNXTDZ($A$1,$B15,BN$1)</f>
        <v>220</v>
      </c>
      <c r="BO15" s="116" cm="1">
        <f t="array" ref="BO15">_xll.EQNXTDZ($A$1,$B15,BO$1)</f>
        <v>216.8</v>
      </c>
      <c r="BP15" s="116" cm="1">
        <f t="array" ref="BP15">_xll.EQNXTDZ($A$1,$B15,BP$1)</f>
        <v>220.666666666667</v>
      </c>
      <c r="BQ15" s="116" cm="1">
        <f t="array" ref="BQ15">_xll.EQNXTDZ($A$1,$B15,BQ$1)</f>
        <v>203.7</v>
      </c>
      <c r="BR15" s="116" cm="1">
        <f t="array" ref="BR15">_xll.EQNXTDZ($A$1,$B15,BR$1)</f>
        <v>226.666666666667</v>
      </c>
      <c r="BS15" s="116" cm="1">
        <f t="array" ref="BS15">_xll.EQNXTDZ($A$1,$B15,BS$1)</f>
        <v>206.03333333333299</v>
      </c>
      <c r="BT15" s="116" cm="1">
        <f t="array" ref="BT15">_xll.EQNXTDZ($A$1,$B15,BT$1)</f>
        <v>190</v>
      </c>
      <c r="BU15" s="116" cm="1">
        <f t="array" ref="BU15">_xll.EQNXTDZ($A$1,$B15,BU$1)</f>
        <v>193.666666666667</v>
      </c>
      <c r="BV15" s="116" cm="1">
        <f t="array" ref="BV15">_xll.EQNXTDZ($A$1,$B15,BV$1)</f>
        <v>192</v>
      </c>
      <c r="BW15" s="116" cm="1">
        <f t="array" ref="BW15">_xll.EQNXTDZ($A$1,$B15,BW$1)</f>
        <v>191.666666666667</v>
      </c>
      <c r="BX15" s="116" cm="1">
        <f t="array" ref="BX15">_xll.EQNXTDZ($A$1,$B15,BX$1)</f>
        <v>182.566666666667</v>
      </c>
      <c r="BY15" s="116" cm="1">
        <f t="array" ref="BY15">_xll.EQNXTDZ($A$1,$B15,BY$1)</f>
        <v>199.35</v>
      </c>
      <c r="BZ15" s="116" cm="1">
        <f t="array" ref="BZ15">_xll.EQNXTDZ($A$1,$B15,BZ$1)</f>
        <v>200</v>
      </c>
      <c r="CA15" s="116" cm="1">
        <f t="array" ref="CA15">_xll.EQNXTDZ($A$1,$B15,CA$1)</f>
        <v>183.333333333333</v>
      </c>
      <c r="CB15" s="116" cm="1">
        <f t="array" ref="CB15">_xll.EQNXTDZ($A$1,$B15,CB$1)</f>
        <v>175</v>
      </c>
      <c r="CC15" s="116" cm="1">
        <f t="array" ref="CC15">_xll.EQNXTDZ($A$1,$B15,CC$1)</f>
        <v>173.28333333333299</v>
      </c>
      <c r="CD15" s="116" cm="1">
        <f t="array" ref="CD15">_xll.EQNXTDZ($A$1,$B15,CD$1)</f>
        <v>175.833333333333</v>
      </c>
      <c r="CE15" s="116" cm="1">
        <f t="array" ref="CE15">_xll.EQNXTDZ($A$1,$B15,CE$1)</f>
        <v>160.666666666667</v>
      </c>
      <c r="CF15" s="116" cm="1">
        <f t="array" ref="CF15">_xll.EQNXTDZ($A$1,$B15,CF$1)</f>
        <v>170.4</v>
      </c>
      <c r="CG15" s="116" cm="1">
        <f t="array" ref="CG15">_xll.EQNXTDZ($A$1,$B15,CG$1)</f>
        <v>162.666666666667</v>
      </c>
      <c r="CH15" s="116" cm="1">
        <f t="array" ref="CH15">_xll.EQNXTDZ($A$1,$B15,CH$1)</f>
        <v>141.75</v>
      </c>
      <c r="CI15" s="116" cm="1">
        <f t="array" ref="CI15">_xll.EQNXTDZ($A$1,$B15,CI$1)</f>
        <v>153.69999999999999</v>
      </c>
      <c r="CJ15" s="116" cm="1">
        <f t="array" ref="CJ15">_xll.EQNXTDZ($A$1,$B15,CJ$1)</f>
        <v>135.55000000000001</v>
      </c>
      <c r="CK15" s="116" cm="1">
        <f t="array" ref="CK15">_xll.EQNXTDZ($A$1,$B15,CK$1)</f>
        <v>143.666666666667</v>
      </c>
      <c r="CL15" s="116" cm="1">
        <f t="array" ref="CL15">_xll.EQNXTDZ($A$1,$B15,CL$1)</f>
        <v>150.1</v>
      </c>
      <c r="CM15" s="116" cm="1">
        <f t="array" ref="CM15">_xll.EQNXTDZ($A$1,$B15,CM$1)</f>
        <v>162.4</v>
      </c>
      <c r="CN15" s="116" cm="1">
        <f t="array" ref="CN15">_xll.EQNXTDZ($A$1,$B15,CN$1)</f>
        <v>176.28333333333299</v>
      </c>
      <c r="CO15" s="116" cm="1">
        <f t="array" ref="CO15">_xll.EQNXTDZ($A$1,$B15,CO$1)</f>
        <v>175.666666666667</v>
      </c>
      <c r="CP15" s="116" cm="1">
        <f t="array" ref="CP15">_xll.EQNXTDZ($A$1,$B15,CP$1)</f>
        <v>171.666666666667</v>
      </c>
      <c r="CQ15" s="116" cm="1">
        <f t="array" ref="CQ15">_xll.EQNXTDZ($A$1,$B15,CQ$1)</f>
        <v>172.21666666666701</v>
      </c>
      <c r="CR15" s="116" cm="1">
        <f t="array" ref="CR15">_xll.EQNXTDZ($A$1,$B15,CR$1)</f>
        <v>136.666666666667</v>
      </c>
      <c r="CS15" s="116" cm="1">
        <f t="array" ref="CS15">_xll.EQNXTDZ($A$1,$B15,CS$1)</f>
        <v>163.333333333333</v>
      </c>
      <c r="CT15" s="116" cm="1">
        <f t="array" ref="CT15">_xll.EQNXTDZ($A$1,$B15,CT$1)</f>
        <v>161.76666666666699</v>
      </c>
      <c r="CU15" s="116" cm="1">
        <f t="array" ref="CU15">_xll.EQNXTDZ($A$1,$B15,CU$1)</f>
        <v>166.083333333333</v>
      </c>
      <c r="CV15" s="116" cm="1">
        <f t="array" ref="CV15">_xll.EQNXTDZ($A$1,$B15,CV$1)</f>
        <v>161.76666666666699</v>
      </c>
      <c r="CW15" s="116" cm="1">
        <f t="array" ref="CW15">_xll.EQNXTDZ($A$1,$B15,CW$1)</f>
        <v>213.833333333333</v>
      </c>
      <c r="CX15" s="116" cm="1">
        <f t="array" ref="CX15">_xll.EQNXTDZ($A$1,$B15,CX$1)</f>
        <v>237.65</v>
      </c>
      <c r="CY15" s="116" cm="1">
        <f t="array" ref="CY15">_xll.EQNXTDZ($A$1,$B15,CY$1)</f>
        <v>250.86666666666699</v>
      </c>
      <c r="CZ15" s="116" cm="1">
        <f t="array" ref="CZ15">_xll.EQNXTDZ($A$1,$B15,CZ$1)</f>
        <v>325</v>
      </c>
      <c r="DA15" s="116" cm="1">
        <f t="array" ref="DA15">_xll.EQNXTDZ($A$1,$B15,DA$1)</f>
        <v>276.683333333333</v>
      </c>
      <c r="DB15" s="116" cm="1">
        <f t="array" ref="DB15">_xll.EQNXTDZ($A$1,$B15,DB$1)</f>
        <v>295.816666666667</v>
      </c>
      <c r="DC15" s="116" cm="1">
        <f t="array" ref="DC15">_xll.EQNXTDZ($A$1,$B15,DC$1)</f>
        <v>290.41666666666703</v>
      </c>
      <c r="DD15" s="116" cm="1">
        <f t="array" ref="DD15">_xll.EQNXTDZ($A$1,$B15,DD$1)</f>
        <v>277.33333333333297</v>
      </c>
      <c r="DE15" s="116" cm="1">
        <f t="array" ref="DE15">_xll.EQNXTDZ($A$1,$B15,DE$1)</f>
        <v>300.91666666666703</v>
      </c>
      <c r="DF15" s="116" cm="1">
        <f t="array" ref="DF15">_xll.EQNXTDZ($A$1,$B15,DF$1)</f>
        <v>331.316666666667</v>
      </c>
      <c r="DG15" s="116" cm="1">
        <f t="array" ref="DG15">_xll.EQNXTDZ($A$1,$B15,DG$1)</f>
        <v>344.566666666667</v>
      </c>
      <c r="DH15" s="116" cm="1">
        <f t="array" ref="DH15">_xll.EQNXTDZ($A$1,$B15,DH$1)</f>
        <v>433.066666666667</v>
      </c>
      <c r="DI15" s="116" cm="1">
        <f t="array" ref="DI15">_xll.EQNXTDZ($A$1,$B15,DI$1)</f>
        <v>405.66666666666703</v>
      </c>
      <c r="DJ15" s="116" cm="1">
        <f t="array" ref="DJ15">_xll.EQNXTDZ($A$1,$B15,DJ$1)</f>
        <v>386.33333333333297</v>
      </c>
      <c r="DK15" s="116" cm="1">
        <f t="array" ref="DK15">_xll.EQNXTDZ($A$1,$B15,DK$1)</f>
        <v>365.15</v>
      </c>
      <c r="DL15" s="116" cm="1">
        <f t="array" ref="DL15">_xll.EQNXTDZ($A$1,$B15,DL$1)</f>
        <v>360.53333333333302</v>
      </c>
      <c r="DM15" s="116" cm="1">
        <f t="array" ref="DM15">_xll.EQNXTDZ($A$1,$B15,DM$1)</f>
        <v>315.566666666667</v>
      </c>
      <c r="DN15" s="116" cm="1">
        <f t="array" ref="DN15">_xll.EQNXTDZ($A$1,$B15,DN$1)</f>
        <v>296.66666666666703</v>
      </c>
      <c r="DO15" s="116" cm="1">
        <f t="array" ref="DO15">_xll.EQNXTDZ($A$1,$B15,DO$1)</f>
        <v>274.60000000000002</v>
      </c>
      <c r="DP15" s="116" cm="1">
        <f t="array" ref="DP15">_xll.EQNXTDZ($A$1,$B15,DP$1)</f>
        <v>247.416666666667</v>
      </c>
      <c r="DQ15" s="116" cm="1">
        <f t="array" ref="DQ15">_xll.EQNXTDZ($A$1,$B15,DQ$1)</f>
        <v>257.61666666666702</v>
      </c>
      <c r="DR15" s="116" cm="1">
        <f t="array" ref="DR15">_xll.EQNXTDZ($A$1,$B15,DR$1)</f>
        <v>210.333333333333</v>
      </c>
      <c r="DS15" s="116" cm="1">
        <f t="array" ref="DS15">_xll.EQNXTDZ($A$1,$B15,DS$1)</f>
        <v>206.75</v>
      </c>
      <c r="DT15" s="116" cm="1">
        <f t="array" ref="DT15">_xll.EQNXTDZ($A$1,$B15,DT$1)</f>
        <v>201</v>
      </c>
      <c r="DU15" s="116" cm="1">
        <f t="array" ref="DU15">_xll.EQNXTDZ($A$1,$B15,DU$1)</f>
        <v>200</v>
      </c>
      <c r="DV15" s="116" cm="1">
        <f t="array" ref="DV15">_xll.EQNXTDZ($A$1,$B15,DV$1)</f>
        <v>203.01666666666699</v>
      </c>
      <c r="DW15" s="116" cm="1">
        <f t="array" ref="DW15">_xll.EQNXTDZ($A$1,$B15,DW$1)</f>
        <v>210</v>
      </c>
      <c r="DX15" s="116" cm="1">
        <f t="array" ref="DX15">_xll.EQNXTDZ($A$1,$B15,DX$1)</f>
        <v>200.03333333333299</v>
      </c>
      <c r="DY15" s="116" cm="1">
        <f t="array" ref="DY15">_xll.EQNXTDZ($A$1,$B15,DY$1)</f>
        <v>201.61666666666699</v>
      </c>
      <c r="DZ15" s="116" cm="1">
        <f t="array" ref="DZ15">_xll.EQNXTDZ($A$1,$B15,DZ$1)</f>
        <v>172.1</v>
      </c>
      <c r="EA15" s="116" cm="1">
        <f t="array" ref="EA15">_xll.EQNXTDZ($A$1,$B15,EA$1)</f>
        <v>149.6</v>
      </c>
      <c r="EB15" s="116" cm="1">
        <f t="array" ref="EB15">_xll.EQNXTDZ($A$1,$B15,EB$1)</f>
        <v>138.666666666667</v>
      </c>
      <c r="EC15" s="116" cm="1">
        <f t="array" ref="EC15">_xll.EQNXTDZ($A$1,$B15,EC$1)</f>
        <v>143.23333333333301</v>
      </c>
      <c r="ED15" s="116" cm="1">
        <f t="array" ref="ED15">_xll.EQNXTDZ($A$1,$B15,ED$1)</f>
        <v>147.65</v>
      </c>
      <c r="EE15" s="116" cm="1">
        <f t="array" ref="EE15">_xll.EQNXTDZ($A$1,$B15,EE$1)</f>
        <v>149.98333333333301</v>
      </c>
      <c r="EF15" s="116" cm="1">
        <f t="array" ref="EF15">_xll.EQNXTDZ($A$1,$B15,EF$1)</f>
        <v>170.816666666667</v>
      </c>
      <c r="EG15" s="116" cm="1">
        <f t="array" ref="EG15">_xll.EQNXTDZ($A$1,$B15,EG$1)</f>
        <v>174.083333333333</v>
      </c>
      <c r="EH15" s="116" cm="1">
        <f t="array" ref="EH15">_xll.EQNXTDZ($A$1,$B15,EH$1)</f>
        <v>177.48333333333301</v>
      </c>
      <c r="EI15" s="116" cm="1">
        <f t="array" ref="EI15">_xll.EQNXTDZ($A$1,$B15,EI$1)</f>
        <v>170.333333333333</v>
      </c>
      <c r="EJ15" s="116" cm="1">
        <f t="array" ref="EJ15">_xll.EQNXTDZ($A$1,$B15,EJ$1)</f>
        <v>177.65</v>
      </c>
      <c r="EK15" s="116" cm="1">
        <f t="array" ref="EK15">_xll.EQNXTDZ($A$1,$B15,EK$1)</f>
        <v>185.78333333333299</v>
      </c>
      <c r="EL15" s="116" cm="1">
        <f t="array" ref="EL15">_xll.EQNXTDZ($A$1,$B15,EL$1)</f>
        <v>202</v>
      </c>
      <c r="EM15" s="116" cm="1">
        <f t="array" ref="EM15">_xll.EQNXTDZ($A$1,$B15,EM$1)</f>
        <v>189.46666666666701</v>
      </c>
      <c r="EN15" s="116" cm="1">
        <f t="array" ref="EN15">_xll.EQNXTDZ($A$1,$B15,EN$1)</f>
        <v>185.28333333333299</v>
      </c>
      <c r="EO15" s="116" cm="1">
        <f t="array" ref="EO15">_xll.EQNXTDZ($A$1,$B15,EO$1)</f>
        <v>196.066666666667</v>
      </c>
      <c r="EP15" s="116" cm="1">
        <f t="array" ref="EP15">_xll.EQNXTDZ($A$1,$B15,EP$1)</f>
        <v>199.48333333333301</v>
      </c>
      <c r="EQ15" s="116" cm="1">
        <f t="array" ref="EQ15">_xll.EQNXTDZ($A$1,$B15,EQ$1)</f>
        <v>190.25</v>
      </c>
      <c r="ER15" s="116" cm="1">
        <f t="array" ref="ER15">_xll.EQNXTDZ($A$1,$B15,ER$1)</f>
        <v>206.95</v>
      </c>
      <c r="ES15" s="116" cm="1">
        <f t="array" ref="ES15">_xll.EQNXTDZ($A$1,$B15,ES$1)</f>
        <v>248.51666666666699</v>
      </c>
      <c r="ET15" s="116" cm="1">
        <f t="array" ref="ET15">_xll.EQNXTDZ($A$1,$B15,ET$1)</f>
        <v>267.61666666666702</v>
      </c>
      <c r="EU15" s="116" cm="1">
        <f t="array" ref="EU15">_xll.EQNXTDZ($A$1,$B15,EU$1)</f>
        <v>258.2</v>
      </c>
      <c r="EV15" s="116" cm="1">
        <f t="array" ref="EV15">_xll.EQNXTDZ($A$1,$B15,EV$1)</f>
        <v>305.066666666667</v>
      </c>
      <c r="EW15" s="116" cm="1">
        <f t="array" ref="EW15">_xll.EQNXTDZ($A$1,$B15,EW$1)</f>
        <v>296.183333333333</v>
      </c>
      <c r="EX15" s="116" cm="1">
        <f t="array" ref="EX15">_xll.EQNXTDZ($A$1,$B15,EX$1)</f>
        <v>245.38333333333301</v>
      </c>
      <c r="EY15" s="116" cm="1">
        <f t="array" ref="EY15">_xll.EQNXTDZ($A$1,$B15,EY$1)</f>
        <v>225.01666666666699</v>
      </c>
      <c r="EZ15" s="116" cm="1">
        <f t="array" ref="EZ15">_xll.EQNXTDZ($A$1,$B15,EZ$1)</f>
        <v>219.333333333333</v>
      </c>
      <c r="FA15" s="116" cm="1">
        <f t="array" ref="FA15">_xll.EQNXTDZ($A$1,$B15,FA$1)</f>
        <v>220.01666666666699</v>
      </c>
      <c r="FB15" s="116" cm="1">
        <f t="array" ref="FB15">_xll.EQNXTDZ($A$1,$B15,FB$1)</f>
        <v>290</v>
      </c>
      <c r="FC15" s="116" cm="1">
        <f t="array" ref="FC15">_xll.EQNXTDZ($A$1,$B15,FC$1)</f>
        <v>292.41666666666703</v>
      </c>
      <c r="FD15" s="116" cm="1">
        <f t="array" ref="FD15">_xll.EQNXTDZ($A$1,$B15,FD$1)</f>
        <v>322.88333333333298</v>
      </c>
      <c r="FE15" s="116" cm="1">
        <f t="array" ref="FE15">_xll.EQNXTDZ($A$1,$B15,FE$1)</f>
        <v>396.98333333333301</v>
      </c>
      <c r="FF15" s="116" cm="1">
        <f t="array" ref="FF15">_xll.EQNXTDZ($A$1,$B15,FF$1)</f>
        <v>365.01666666666699</v>
      </c>
      <c r="FG15" s="116" cm="1">
        <f t="array" ref="FG15">_xll.EQNXTDZ($A$1,$B15,FG$1)</f>
        <v>376.71666666666698</v>
      </c>
      <c r="FH15" s="116" cm="1">
        <f t="array" ref="FH15">_xll.EQNXTDZ($A$1,$B15,FH$1)</f>
        <v>434.13333333333298</v>
      </c>
      <c r="FI15" s="116" cm="1">
        <f t="array" ref="FI15">_xll.EQNXTDZ($A$1,$B15,FI$1)</f>
        <v>408.1</v>
      </c>
      <c r="FJ15" s="116" cm="1">
        <f t="array" ref="FJ15">_xll.EQNXTDZ($A$1,$B15,FJ$1)</f>
        <v>398</v>
      </c>
      <c r="FK15" s="116" cm="1">
        <f t="array" ref="FK15">_xll.EQNXTDZ($A$1,$B15,FK$1)</f>
        <v>376.1</v>
      </c>
      <c r="FL15" s="116" cm="1">
        <f t="array" ref="FL15">_xll.EQNXTDZ($A$1,$B15,FL$1)</f>
        <v>342.55</v>
      </c>
      <c r="FM15" s="116" cm="1">
        <f t="array" ref="FM15">_xll.EQNXTDZ($A$1,$B15,FM$1)</f>
        <v>350.4</v>
      </c>
      <c r="FN15" s="116" cm="1">
        <f t="array" ref="FN15">_xll.EQNXTDZ($A$1,$B15,FN$1)</f>
        <v>400</v>
      </c>
      <c r="FO15" s="116" cm="1">
        <f t="array" ref="FO15">_xll.EQNXTDZ($A$1,$B15,FO$1)</f>
        <v>498.3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0</v>
      </c>
      <c r="IF15" s="116">
        <f>+MIN(AZ15:BB15)</f>
        <v>178.75</v>
      </c>
      <c r="IG15" s="116">
        <f>+MIN(BC15:BE15)</f>
        <v>190.36666666666699</v>
      </c>
      <c r="IH15" s="116">
        <f>+MIN(BF15:BH15)</f>
        <v>221.86666666666699</v>
      </c>
      <c r="II15" s="116">
        <f>+MIN(BI15:BK15)</f>
        <v>228.2</v>
      </c>
      <c r="IJ15" s="116">
        <f>+MIN(BL15:BN15)</f>
        <v>220</v>
      </c>
      <c r="IK15" s="116">
        <f>+MIN(BO15:BQ15)</f>
        <v>203.7</v>
      </c>
      <c r="IL15" s="116">
        <f>+MIN(BR15:BT15)</f>
        <v>190</v>
      </c>
      <c r="IM15" s="116">
        <f>+MIN(BU15:BW15)</f>
        <v>191.666666666667</v>
      </c>
      <c r="IN15" s="116">
        <f>+MIN(BX15:BZ15)</f>
        <v>182.566666666667</v>
      </c>
      <c r="IO15" s="116">
        <f>+MIN(CA15:CC15)</f>
        <v>173.28333333333299</v>
      </c>
      <c r="IP15" s="116">
        <f>+MIN(CD15:CF15)</f>
        <v>160.666666666667</v>
      </c>
      <c r="IQ15" s="116">
        <f>+MIN(CG15:CI15)</f>
        <v>141.75</v>
      </c>
      <c r="IR15" s="116">
        <f>+MIN(CJ15:CL15)</f>
        <v>135.55000000000001</v>
      </c>
      <c r="IS15" s="116">
        <f>+MIN(CM15:CO15)</f>
        <v>162.4</v>
      </c>
      <c r="IT15" s="116">
        <f>+MIN(CP15:CR15)</f>
        <v>136.666666666667</v>
      </c>
      <c r="IU15" s="116">
        <f>+MIN(CS15:CU15)</f>
        <v>161.76666666666699</v>
      </c>
      <c r="IV15" s="116">
        <f>+MIN(CV15:CX15)</f>
        <v>161.76666666666699</v>
      </c>
      <c r="IW15" s="116">
        <f>+MIN(CY15:DA15)</f>
        <v>250.86666666666699</v>
      </c>
      <c r="IX15" s="116">
        <f>+MIN(DB15:DD15)</f>
        <v>277.33333333333297</v>
      </c>
      <c r="IY15" s="116">
        <f>+MIN(DE15:DG15)</f>
        <v>300.91666666666703</v>
      </c>
      <c r="IZ15" s="116">
        <f>+MIN(DH15:DJ15)</f>
        <v>386.33333333333297</v>
      </c>
      <c r="JA15" s="116">
        <f>+MIN(DK15:DM15)</f>
        <v>315.566666666667</v>
      </c>
      <c r="JB15" s="116">
        <f>+MIN(DN15:DP15)</f>
        <v>247.416666666667</v>
      </c>
      <c r="JC15" s="116">
        <f>+MIN(DQ15:DS15)</f>
        <v>206.75</v>
      </c>
      <c r="JD15" s="116">
        <f>+MIN(DT15:DV15)</f>
        <v>200</v>
      </c>
      <c r="JE15" s="116">
        <f>+MIN(DW15:DY15)</f>
        <v>200.03333333333299</v>
      </c>
      <c r="JF15" s="116">
        <f>+MIN(DZ15:EB15)</f>
        <v>138.666666666667</v>
      </c>
      <c r="JG15" s="116">
        <f>+MIN(EC15:EE15)</f>
        <v>143.23333333333301</v>
      </c>
      <c r="JH15" s="116">
        <f>+MIN(EF15:EH15)</f>
        <v>170.816666666667</v>
      </c>
      <c r="JI15" s="116">
        <f>+MIN(EI15:EK15)</f>
        <v>170.333333333333</v>
      </c>
      <c r="JJ15" s="116">
        <f>+MIN(EL15:EN15)</f>
        <v>185.28333333333299</v>
      </c>
      <c r="JK15" s="116">
        <f>MIN(EO15:EQ15)</f>
        <v>190.25</v>
      </c>
      <c r="JL15" s="116">
        <f>MIN(ER15:ET15)</f>
        <v>206.95</v>
      </c>
      <c r="JM15" s="116">
        <f>MIN(EU15:EW15)</f>
        <v>258.2</v>
      </c>
      <c r="JN15" s="116">
        <f>MIN(EX15:EZ15)</f>
        <v>219.333333333333</v>
      </c>
      <c r="JO15" s="116">
        <f>MIN(FA15:FC15)</f>
        <v>220.01666666666699</v>
      </c>
      <c r="JP15" s="116">
        <f>MIN(FD15:FF15)</f>
        <v>322.88333333333298</v>
      </c>
      <c r="JQ15" s="116">
        <f>MIN(FG15:FI15)</f>
        <v>376.71666666666698</v>
      </c>
      <c r="JR15" s="116">
        <f>MIN(FJ15:FL15)</f>
        <v>342.55</v>
      </c>
      <c r="JS15" s="116">
        <f>MIN(FM15:FO15)</f>
        <v>350.4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0</v>
      </c>
      <c r="AX16" s="116" cm="1">
        <f t="array" ref="AX16">_xll.EQNXTDZ($A$1,$B16,AX$1)</f>
        <v>212.53333333333299</v>
      </c>
      <c r="AY16" s="116" cm="1">
        <f t="array" ref="AY16">_xll.EQNXTDZ($A$1,$B16,AY$1)</f>
        <v>190.566666666667</v>
      </c>
      <c r="AZ16" s="116" cm="1">
        <f t="array" ref="AZ16">_xll.EQNXTDZ($A$1,$B16,AZ$1)</f>
        <v>189.71666666666701</v>
      </c>
      <c r="BA16" s="116" cm="1">
        <f t="array" ref="BA16">_xll.EQNXTDZ($A$1,$B16,BA$1)</f>
        <v>204.916666666667</v>
      </c>
      <c r="BB16" s="116" cm="1">
        <f t="array" ref="BB16">_xll.EQNXTDZ($A$1,$B16,BB$1)</f>
        <v>204.85</v>
      </c>
      <c r="BC16" s="116" cm="1">
        <f t="array" ref="BC16">_xll.EQNXTDZ($A$1,$B16,BC$1)</f>
        <v>218.2</v>
      </c>
      <c r="BD16" s="116" cm="1">
        <f t="array" ref="BD16">_xll.EQNXTDZ($A$1,$B16,BD$1)</f>
        <v>226.066666666667</v>
      </c>
      <c r="BE16" s="116" cm="1">
        <f t="array" ref="BE16">_xll.EQNXTDZ($A$1,$B16,BE$1)</f>
        <v>230.15</v>
      </c>
      <c r="BF16" s="116" cm="1">
        <f t="array" ref="BF16">_xll.EQNXTDZ($A$1,$B16,BF$1)</f>
        <v>237.083333333333</v>
      </c>
      <c r="BG16" s="116" cm="1">
        <f t="array" ref="BG16">_xll.EQNXTDZ($A$1,$B16,BG$1)</f>
        <v>232.35</v>
      </c>
      <c r="BH16" s="116" cm="1">
        <f t="array" ref="BH16">_xll.EQNXTDZ($A$1,$B16,BH$1)</f>
        <v>238.566666666667</v>
      </c>
      <c r="BI16" s="116" cm="1">
        <f t="array" ref="BI16">_xll.EQNXTDZ($A$1,$B16,BI$1)</f>
        <v>239.083333333333</v>
      </c>
      <c r="BJ16" s="116" cm="1">
        <f t="array" ref="BJ16">_xll.EQNXTDZ($A$1,$B16,BJ$1)</f>
        <v>237.833333333333</v>
      </c>
      <c r="BK16" s="116" cm="1">
        <f t="array" ref="BK16">_xll.EQNXTDZ($A$1,$B16,BK$1)</f>
        <v>242.916666666667</v>
      </c>
      <c r="BL16" s="116" cm="1">
        <f t="array" ref="BL16">_xll.EQNXTDZ($A$1,$B16,BL$1)</f>
        <v>238.96666666666701</v>
      </c>
      <c r="BM16" s="116" cm="1">
        <f t="array" ref="BM16">_xll.EQNXTDZ($A$1,$B16,BM$1)</f>
        <v>228.88333333333301</v>
      </c>
      <c r="BN16" s="116" cm="1">
        <f t="array" ref="BN16">_xll.EQNXTDZ($A$1,$B16,BN$1)</f>
        <v>229.416666666667</v>
      </c>
      <c r="BO16" s="116" cm="1">
        <f t="array" ref="BO16">_xll.EQNXTDZ($A$1,$B16,BO$1)</f>
        <v>230.75</v>
      </c>
      <c r="BP16" s="116" cm="1">
        <f t="array" ref="BP16">_xll.EQNXTDZ($A$1,$B16,BP$1)</f>
        <v>220.71666666666701</v>
      </c>
      <c r="BQ16" s="116" cm="1">
        <f t="array" ref="BQ16">_xll.EQNXTDZ($A$1,$B16,BQ$1)</f>
        <v>229.933333333333</v>
      </c>
      <c r="BR16" s="116" cm="1">
        <f t="array" ref="BR16">_xll.EQNXTDZ($A$1,$B16,BR$1)</f>
        <v>229.03333333333299</v>
      </c>
      <c r="BS16" s="116" cm="1">
        <f t="array" ref="BS16">_xll.EQNXTDZ($A$1,$B16,BS$1)</f>
        <v>207.916666666667</v>
      </c>
      <c r="BT16" s="116" cm="1">
        <f t="array" ref="BT16">_xll.EQNXTDZ($A$1,$B16,BT$1)</f>
        <v>200.38333333333301</v>
      </c>
      <c r="BU16" s="116" cm="1">
        <f t="array" ref="BU16">_xll.EQNXTDZ($A$1,$B16,BU$1)</f>
        <v>223.76666666666699</v>
      </c>
      <c r="BV16" s="116" cm="1">
        <f t="array" ref="BV16">_xll.EQNXTDZ($A$1,$B16,BV$1)</f>
        <v>208.11666666666699</v>
      </c>
      <c r="BW16" s="116" cm="1">
        <f t="array" ref="BW16">_xll.EQNXTDZ($A$1,$B16,BW$1)</f>
        <v>192.2</v>
      </c>
      <c r="BX16" s="116" cm="1">
        <f t="array" ref="BX16">_xll.EQNXTDZ($A$1,$B16,BX$1)</f>
        <v>207.88333333333301</v>
      </c>
      <c r="BY16" s="116" cm="1">
        <f t="array" ref="BY16">_xll.EQNXTDZ($A$1,$B16,BY$1)</f>
        <v>216.78333333333299</v>
      </c>
      <c r="BZ16" s="116" cm="1">
        <f t="array" ref="BZ16">_xll.EQNXTDZ($A$1,$B16,BZ$1)</f>
        <v>214.98333333333301</v>
      </c>
      <c r="CA16" s="116" cm="1">
        <f t="array" ref="CA16">_xll.EQNXTDZ($A$1,$B16,CA$1)</f>
        <v>187.5</v>
      </c>
      <c r="CB16" s="116" cm="1">
        <f t="array" ref="CB16">_xll.EQNXTDZ($A$1,$B16,CB$1)</f>
        <v>181.78333333333299</v>
      </c>
      <c r="CC16" s="116" cm="1">
        <f t="array" ref="CC16">_xll.EQNXTDZ($A$1,$B16,CC$1)</f>
        <v>175.71666666666701</v>
      </c>
      <c r="CD16" s="116" cm="1">
        <f t="array" ref="CD16">_xll.EQNXTDZ($A$1,$B16,CD$1)</f>
        <v>182.066666666667</v>
      </c>
      <c r="CE16" s="116" cm="1">
        <f t="array" ref="CE16">_xll.EQNXTDZ($A$1,$B16,CE$1)</f>
        <v>174.11666666666699</v>
      </c>
      <c r="CF16" s="116" cm="1">
        <f t="array" ref="CF16">_xll.EQNXTDZ($A$1,$B16,CF$1)</f>
        <v>176.833333333333</v>
      </c>
      <c r="CG16" s="116" cm="1">
        <f t="array" ref="CG16">_xll.EQNXTDZ($A$1,$B16,CG$1)</f>
        <v>163.48333333333301</v>
      </c>
      <c r="CH16" s="116" cm="1">
        <f t="array" ref="CH16">_xll.EQNXTDZ($A$1,$B16,CH$1)</f>
        <v>158.55000000000001</v>
      </c>
      <c r="CI16" s="116" cm="1">
        <f t="array" ref="CI16">_xll.EQNXTDZ($A$1,$B16,CI$1)</f>
        <v>157.21666666666701</v>
      </c>
      <c r="CJ16" s="116" cm="1">
        <f t="array" ref="CJ16">_xll.EQNXTDZ($A$1,$B16,CJ$1)</f>
        <v>146.86666666666699</v>
      </c>
      <c r="CK16" s="116" cm="1">
        <f t="array" ref="CK16">_xll.EQNXTDZ($A$1,$B16,CK$1)</f>
        <v>154.94999999999999</v>
      </c>
      <c r="CL16" s="116" cm="1">
        <f t="array" ref="CL16">_xll.EQNXTDZ($A$1,$B16,CL$1)</f>
        <v>171.78333333333299</v>
      </c>
      <c r="CM16" s="116" cm="1">
        <f t="array" ref="CM16">_xll.EQNXTDZ($A$1,$B16,CM$1)</f>
        <v>189.7</v>
      </c>
      <c r="CN16" s="116" cm="1">
        <f t="array" ref="CN16">_xll.EQNXTDZ($A$1,$B16,CN$1)</f>
        <v>183.066666666667</v>
      </c>
      <c r="CO16" s="116" cm="1">
        <f t="array" ref="CO16">_xll.EQNXTDZ($A$1,$B16,CO$1)</f>
        <v>182.3</v>
      </c>
      <c r="CP16" s="116" cm="1">
        <f t="array" ref="CP16">_xll.EQNXTDZ($A$1,$B16,CP$1)</f>
        <v>186.13333333333301</v>
      </c>
      <c r="CQ16" s="116" cm="1">
        <f t="array" ref="CQ16">_xll.EQNXTDZ($A$1,$B16,CQ$1)</f>
        <v>195.48333333333301</v>
      </c>
      <c r="CR16" s="116" cm="1">
        <f t="array" ref="CR16">_xll.EQNXTDZ($A$1,$B16,CR$1)</f>
        <v>165.183333333333</v>
      </c>
      <c r="CS16" s="116" cm="1">
        <f t="array" ref="CS16">_xll.EQNXTDZ($A$1,$B16,CS$1)</f>
        <v>169.61666666666699</v>
      </c>
      <c r="CT16" s="116" cm="1">
        <f t="array" ref="CT16">_xll.EQNXTDZ($A$1,$B16,CT$1)</f>
        <v>173.7</v>
      </c>
      <c r="CU16" s="116" cm="1">
        <f t="array" ref="CU16">_xll.EQNXTDZ($A$1,$B16,CU$1)</f>
        <v>168.666666666667</v>
      </c>
      <c r="CV16" s="116" cm="1">
        <f t="array" ref="CV16">_xll.EQNXTDZ($A$1,$B16,CV$1)</f>
        <v>233.98333333333301</v>
      </c>
      <c r="CW16" s="116" cm="1">
        <f t="array" ref="CW16">_xll.EQNXTDZ($A$1,$B16,CW$1)</f>
        <v>250.13333333333301</v>
      </c>
      <c r="CX16" s="116" cm="1">
        <f t="array" ref="CX16">_xll.EQNXTDZ($A$1,$B16,CX$1)</f>
        <v>252.8</v>
      </c>
      <c r="CY16" s="116" cm="1">
        <f t="array" ref="CY16">_xll.EQNXTDZ($A$1,$B16,CY$1)</f>
        <v>382.7</v>
      </c>
      <c r="CZ16" s="116" cm="1">
        <f t="array" ref="CZ16">_xll.EQNXTDZ($A$1,$B16,CZ$1)</f>
        <v>366.36666666666702</v>
      </c>
      <c r="DA16" s="116" cm="1">
        <f t="array" ref="DA16">_xll.EQNXTDZ($A$1,$B16,DA$1)</f>
        <v>304.46666666666698</v>
      </c>
      <c r="DB16" s="116" cm="1">
        <f t="array" ref="DB16">_xll.EQNXTDZ($A$1,$B16,DB$1)</f>
        <v>300.96666666666698</v>
      </c>
      <c r="DC16" s="116" cm="1">
        <f t="array" ref="DC16">_xll.EQNXTDZ($A$1,$B16,DC$1)</f>
        <v>302.53333333333302</v>
      </c>
      <c r="DD16" s="116" cm="1">
        <f t="array" ref="DD16">_xll.EQNXTDZ($A$1,$B16,DD$1)</f>
        <v>300.98333333333301</v>
      </c>
      <c r="DE16" s="116" cm="1">
        <f t="array" ref="DE16">_xll.EQNXTDZ($A$1,$B16,DE$1)</f>
        <v>341.63333333333298</v>
      </c>
      <c r="DF16" s="116" cm="1">
        <f t="array" ref="DF16">_xll.EQNXTDZ($A$1,$B16,DF$1)</f>
        <v>355.13333333333298</v>
      </c>
      <c r="DG16" s="116" cm="1">
        <f t="array" ref="DG16">_xll.EQNXTDZ($A$1,$B16,DG$1)</f>
        <v>437.85</v>
      </c>
      <c r="DH16" s="116" cm="1">
        <f t="array" ref="DH16">_xll.EQNXTDZ($A$1,$B16,DH$1)</f>
        <v>436.11666666666702</v>
      </c>
      <c r="DI16" s="116" cm="1">
        <f t="array" ref="DI16">_xll.EQNXTDZ($A$1,$B16,DI$1)</f>
        <v>433.066666666667</v>
      </c>
      <c r="DJ16" s="116" cm="1">
        <f t="array" ref="DJ16">_xll.EQNXTDZ($A$1,$B16,DJ$1)</f>
        <v>388.65</v>
      </c>
      <c r="DK16" s="116" cm="1">
        <f t="array" ref="DK16">_xll.EQNXTDZ($A$1,$B16,DK$1)</f>
        <v>382.13333333333298</v>
      </c>
      <c r="DL16" s="116" cm="1">
        <f t="array" ref="DL16">_xll.EQNXTDZ($A$1,$B16,DL$1)</f>
        <v>368.75</v>
      </c>
      <c r="DM16" s="116" cm="1">
        <f t="array" ref="DM16">_xll.EQNXTDZ($A$1,$B16,DM$1)</f>
        <v>368.51666666666699</v>
      </c>
      <c r="DN16" s="116" cm="1">
        <f t="array" ref="DN16">_xll.EQNXTDZ($A$1,$B16,DN$1)</f>
        <v>323.63333333333298</v>
      </c>
      <c r="DO16" s="116" cm="1">
        <f t="array" ref="DO16">_xll.EQNXTDZ($A$1,$B16,DO$1)</f>
        <v>285.5</v>
      </c>
      <c r="DP16" s="116" cm="1">
        <f t="array" ref="DP16">_xll.EQNXTDZ($A$1,$B16,DP$1)</f>
        <v>257.91666666666703</v>
      </c>
      <c r="DQ16" s="116" cm="1">
        <f t="array" ref="DQ16">_xll.EQNXTDZ($A$1,$B16,DQ$1)</f>
        <v>270.75</v>
      </c>
      <c r="DR16" s="116" cm="1">
        <f t="array" ref="DR16">_xll.EQNXTDZ($A$1,$B16,DR$1)</f>
        <v>219.75</v>
      </c>
      <c r="DS16" s="116" cm="1">
        <f t="array" ref="DS16">_xll.EQNXTDZ($A$1,$B16,DS$1)</f>
        <v>207.083333333333</v>
      </c>
      <c r="DT16" s="116" cm="1">
        <f t="array" ref="DT16">_xll.EQNXTDZ($A$1,$B16,DT$1)</f>
        <v>213.36666666666699</v>
      </c>
      <c r="DU16" s="116" cm="1">
        <f t="array" ref="DU16">_xll.EQNXTDZ($A$1,$B16,DU$1)</f>
        <v>206.3</v>
      </c>
      <c r="DV16" s="116" cm="1">
        <f t="array" ref="DV16">_xll.EQNXTDZ($A$1,$B16,DV$1)</f>
        <v>233.166666666667</v>
      </c>
      <c r="DW16" s="116" cm="1">
        <f t="array" ref="DW16">_xll.EQNXTDZ($A$1,$B16,DW$1)</f>
        <v>213.85</v>
      </c>
      <c r="DX16" s="116" cm="1">
        <f t="array" ref="DX16">_xll.EQNXTDZ($A$1,$B16,DX$1)</f>
        <v>210.35</v>
      </c>
      <c r="DY16" s="116" cm="1">
        <f t="array" ref="DY16">_xll.EQNXTDZ($A$1,$B16,DY$1)</f>
        <v>205.96666666666701</v>
      </c>
      <c r="DZ16" s="116" cm="1">
        <f t="array" ref="DZ16">_xll.EQNXTDZ($A$1,$B16,DZ$1)</f>
        <v>185.45</v>
      </c>
      <c r="EA16" s="116" cm="1">
        <f t="array" ref="EA16">_xll.EQNXTDZ($A$1,$B16,EA$1)</f>
        <v>150.53333333333299</v>
      </c>
      <c r="EB16" s="116" cm="1">
        <f t="array" ref="EB16">_xll.EQNXTDZ($A$1,$B16,EB$1)</f>
        <v>143.23333333333301</v>
      </c>
      <c r="EC16" s="116" cm="1">
        <f t="array" ref="EC16">_xll.EQNXTDZ($A$1,$B16,EC$1)</f>
        <v>147.316666666667</v>
      </c>
      <c r="ED16" s="116" cm="1">
        <f t="array" ref="ED16">_xll.EQNXTDZ($A$1,$B16,ED$1)</f>
        <v>150.48333333333301</v>
      </c>
      <c r="EE16" s="116" cm="1">
        <f t="array" ref="EE16">_xll.EQNXTDZ($A$1,$B16,EE$1)</f>
        <v>172.63333333333301</v>
      </c>
      <c r="EF16" s="116" cm="1">
        <f t="array" ref="EF16">_xll.EQNXTDZ($A$1,$B16,EF$1)</f>
        <v>197.98333333333301</v>
      </c>
      <c r="EG16" s="116" cm="1">
        <f t="array" ref="EG16">_xll.EQNXTDZ($A$1,$B16,EG$1)</f>
        <v>178.65</v>
      </c>
      <c r="EH16" s="116" cm="1">
        <f t="array" ref="EH16">_xll.EQNXTDZ($A$1,$B16,EH$1)</f>
        <v>189.78333333333299</v>
      </c>
      <c r="EI16" s="116" cm="1">
        <f t="array" ref="EI16">_xll.EQNXTDZ($A$1,$B16,EI$1)</f>
        <v>182.86666666666699</v>
      </c>
      <c r="EJ16" s="116" cm="1">
        <f t="array" ref="EJ16">_xll.EQNXTDZ($A$1,$B16,EJ$1)</f>
        <v>185.683333333333</v>
      </c>
      <c r="EK16" s="116" cm="1">
        <f t="array" ref="EK16">_xll.EQNXTDZ($A$1,$B16,EK$1)</f>
        <v>214.5</v>
      </c>
      <c r="EL16" s="116" cm="1">
        <f t="array" ref="EL16">_xll.EQNXTDZ($A$1,$B16,EL$1)</f>
        <v>203.11666666666699</v>
      </c>
      <c r="EM16" s="116" cm="1">
        <f t="array" ref="EM16">_xll.EQNXTDZ($A$1,$B16,EM$1)</f>
        <v>231.01666666666699</v>
      </c>
      <c r="EN16" s="116" cm="1">
        <f t="array" ref="EN16">_xll.EQNXTDZ($A$1,$B16,EN$1)</f>
        <v>197.4</v>
      </c>
      <c r="EO16" s="116" cm="1">
        <f t="array" ref="EO16">_xll.EQNXTDZ($A$1,$B16,EO$1)</f>
        <v>214.6</v>
      </c>
      <c r="EP16" s="116" cm="1">
        <f t="array" ref="EP16">_xll.EQNXTDZ($A$1,$B16,EP$1)</f>
        <v>204.083333333333</v>
      </c>
      <c r="EQ16" s="116" cm="1">
        <f t="array" ref="EQ16">_xll.EQNXTDZ($A$1,$B16,EQ$1)</f>
        <v>211.38333333333301</v>
      </c>
      <c r="ER16" s="116" cm="1">
        <f t="array" ref="ER16">_xll.EQNXTDZ($A$1,$B16,ER$1)</f>
        <v>272.73333333333301</v>
      </c>
      <c r="ES16" s="116" cm="1">
        <f t="array" ref="ES16">_xll.EQNXTDZ($A$1,$B16,ES$1)</f>
        <v>288.3</v>
      </c>
      <c r="ET16" s="116" cm="1">
        <f t="array" ref="ET16">_xll.EQNXTDZ($A$1,$B16,ET$1)</f>
        <v>270.566666666667</v>
      </c>
      <c r="EU16" s="116" cm="1">
        <f t="array" ref="EU16">_xll.EQNXTDZ($A$1,$B16,EU$1)</f>
        <v>312.63333333333298</v>
      </c>
      <c r="EV16" s="116" cm="1">
        <f t="array" ref="EV16">_xll.EQNXTDZ($A$1,$B16,EV$1)</f>
        <v>333.26666666666699</v>
      </c>
      <c r="EW16" s="116" cm="1">
        <f t="array" ref="EW16">_xll.EQNXTDZ($A$1,$B16,EW$1)</f>
        <v>304.83333333333297</v>
      </c>
      <c r="EX16" s="116" cm="1">
        <f t="array" ref="EX16">_xll.EQNXTDZ($A$1,$B16,EX$1)</f>
        <v>265.433333333333</v>
      </c>
      <c r="EY16" s="116" cm="1">
        <f t="array" ref="EY16">_xll.EQNXTDZ($A$1,$B16,EY$1)</f>
        <v>229.46666666666701</v>
      </c>
      <c r="EZ16" s="116" cm="1">
        <f t="array" ref="EZ16">_xll.EQNXTDZ($A$1,$B16,EZ$1)</f>
        <v>226.73333333333301</v>
      </c>
      <c r="FA16" s="116" cm="1">
        <f t="array" ref="FA16">_xll.EQNXTDZ($A$1,$B16,FA$1)</f>
        <v>292.46666666666698</v>
      </c>
      <c r="FB16" s="116" cm="1">
        <f t="array" ref="FB16">_xll.EQNXTDZ($A$1,$B16,FB$1)</f>
        <v>350.11666666666702</v>
      </c>
      <c r="FC16" s="116" cm="1">
        <f t="array" ref="FC16">_xll.EQNXTDZ($A$1,$B16,FC$1)</f>
        <v>330.05</v>
      </c>
      <c r="FD16" s="116" cm="1">
        <f t="array" ref="FD16">_xll.EQNXTDZ($A$1,$B16,FD$1)</f>
        <v>441.566666666667</v>
      </c>
      <c r="FE16" s="116" cm="1">
        <f t="array" ref="FE16">_xll.EQNXTDZ($A$1,$B16,FE$1)</f>
        <v>421.61666666666702</v>
      </c>
      <c r="FF16" s="116" cm="1">
        <f t="array" ref="FF16">_xll.EQNXTDZ($A$1,$B16,FF$1)</f>
        <v>386.71666666666698</v>
      </c>
      <c r="FG16" s="116" cm="1">
        <f t="array" ref="FG16">_xll.EQNXTDZ($A$1,$B16,FG$1)</f>
        <v>465.53333333333302</v>
      </c>
      <c r="FH16" s="116" cm="1">
        <f t="array" ref="FH16">_xll.EQNXTDZ($A$1,$B16,FH$1)</f>
        <v>495.35</v>
      </c>
      <c r="FI16" s="116" cm="1">
        <f t="array" ref="FI16">_xll.EQNXTDZ($A$1,$B16,FI$1)</f>
        <v>446</v>
      </c>
      <c r="FJ16" s="116" cm="1">
        <f t="array" ref="FJ16">_xll.EQNXTDZ($A$1,$B16,FJ$1)</f>
        <v>419.3</v>
      </c>
      <c r="FK16" s="116" cm="1">
        <f t="array" ref="FK16">_xll.EQNXTDZ($A$1,$B16,FK$1)</f>
        <v>394.75</v>
      </c>
      <c r="FL16" s="116" cm="1">
        <f t="array" ref="FL16">_xll.EQNXTDZ($A$1,$B16,FL$1)</f>
        <v>349.75</v>
      </c>
      <c r="FM16" s="116" cm="1">
        <f t="array" ref="FM16">_xll.EQNXTDZ($A$1,$B16,FM$1)</f>
        <v>400.55</v>
      </c>
      <c r="FN16" s="116" cm="1">
        <f t="array" ref="FN16">_xll.EQNXTDZ($A$1,$B16,FN$1)</f>
        <v>506.4</v>
      </c>
      <c r="FO16" s="116" cm="1">
        <f t="array" ref="FO16">_xll.EQNXTDZ($A$1,$B16,FO$1)</f>
        <v>533.1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190.566666666667</v>
      </c>
      <c r="IF16" s="116">
        <f>+BB16</f>
        <v>204.85</v>
      </c>
      <c r="IG16" s="116">
        <f>+BE16</f>
        <v>230.15</v>
      </c>
      <c r="IH16" s="116">
        <f>+BH16</f>
        <v>238.566666666667</v>
      </c>
      <c r="II16" s="116">
        <f>+BK16</f>
        <v>242.916666666667</v>
      </c>
      <c r="IJ16" s="116">
        <f>+BN16</f>
        <v>229.416666666667</v>
      </c>
      <c r="IK16" s="116">
        <f>+BQ16</f>
        <v>229.933333333333</v>
      </c>
      <c r="IL16" s="116">
        <f>+BT16</f>
        <v>200.38333333333301</v>
      </c>
      <c r="IM16" s="116">
        <f>+BW16</f>
        <v>192.2</v>
      </c>
      <c r="IN16" s="116">
        <f>+BZ16</f>
        <v>214.98333333333301</v>
      </c>
      <c r="IO16" s="116">
        <f>+CC16</f>
        <v>175.71666666666701</v>
      </c>
      <c r="IP16" s="116">
        <f>+CF16</f>
        <v>176.833333333333</v>
      </c>
      <c r="IQ16" s="116">
        <f>+CI16</f>
        <v>157.21666666666701</v>
      </c>
      <c r="IR16" s="116">
        <f>+CL16</f>
        <v>171.78333333333299</v>
      </c>
      <c r="IS16" s="116">
        <f>+CO16</f>
        <v>182.3</v>
      </c>
      <c r="IT16" s="116">
        <f>+CR16</f>
        <v>165.183333333333</v>
      </c>
      <c r="IU16" s="116">
        <f>+CU16</f>
        <v>168.666666666667</v>
      </c>
      <c r="IV16" s="116">
        <f>+CX16</f>
        <v>252.8</v>
      </c>
      <c r="IW16" s="116">
        <f>+DA16</f>
        <v>304.46666666666698</v>
      </c>
      <c r="IX16" s="116">
        <f>+DD16</f>
        <v>300.98333333333301</v>
      </c>
      <c r="IY16" s="116">
        <f>+DG16</f>
        <v>437.85</v>
      </c>
      <c r="IZ16" s="116">
        <f>+DJ16</f>
        <v>388.65</v>
      </c>
      <c r="JA16" s="116">
        <f>+DM16</f>
        <v>368.51666666666699</v>
      </c>
      <c r="JB16" s="116">
        <f>+DP16</f>
        <v>257.91666666666703</v>
      </c>
      <c r="JC16" s="116">
        <f>+DS16</f>
        <v>207.083333333333</v>
      </c>
      <c r="JD16" s="116">
        <f>+DV16</f>
        <v>233.166666666667</v>
      </c>
      <c r="JE16" s="116">
        <f>+DY16</f>
        <v>205.96666666666701</v>
      </c>
      <c r="JF16" s="116">
        <f>+EB16</f>
        <v>143.23333333333301</v>
      </c>
      <c r="JG16" s="116">
        <f>+EE16</f>
        <v>172.63333333333301</v>
      </c>
      <c r="JH16" s="116">
        <f>+EH16</f>
        <v>189.78333333333299</v>
      </c>
      <c r="JI16" s="116">
        <f>+EK16</f>
        <v>214.5</v>
      </c>
      <c r="JJ16" s="116">
        <f>+EN16</f>
        <v>197.4</v>
      </c>
      <c r="JK16" s="116">
        <f>EQ16</f>
        <v>211.38333333333301</v>
      </c>
      <c r="JL16" s="116">
        <f>ET16</f>
        <v>270.566666666667</v>
      </c>
      <c r="JM16" s="116">
        <f>EW16</f>
        <v>304.83333333333297</v>
      </c>
      <c r="JN16" s="116">
        <f>EZ16</f>
        <v>226.73333333333301</v>
      </c>
      <c r="JO16" s="116">
        <f>FC16</f>
        <v>330.05</v>
      </c>
      <c r="JP16" s="116">
        <f>FF16</f>
        <v>386.71666666666698</v>
      </c>
      <c r="JQ16" s="116">
        <f>FI16</f>
        <v>446</v>
      </c>
      <c r="JR16" s="116">
        <f>FL16</f>
        <v>349.75</v>
      </c>
      <c r="JS16" s="116">
        <f>FO16</f>
        <v>533.1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0</v>
      </c>
      <c r="IC19" s="116">
        <f t="shared" si="1"/>
        <v>0</v>
      </c>
      <c r="ID19" s="116">
        <f t="shared" si="1"/>
        <v>0</v>
      </c>
      <c r="IE19" s="116">
        <f t="shared" si="1"/>
        <v>222.9</v>
      </c>
      <c r="IF19" s="116">
        <f t="shared" si="1"/>
        <v>222.65</v>
      </c>
      <c r="IG19" s="116">
        <f t="shared" si="1"/>
        <v>239.95</v>
      </c>
      <c r="IH19" s="116">
        <f t="shared" si="1"/>
        <v>247.583333333333</v>
      </c>
      <c r="II19" s="116">
        <f t="shared" si="1"/>
        <v>259.96666666666698</v>
      </c>
      <c r="IJ19" s="116">
        <f t="shared" si="1"/>
        <v>257.64999999999998</v>
      </c>
      <c r="IK19" s="116">
        <f t="shared" si="1"/>
        <v>237.333333333333</v>
      </c>
      <c r="IL19" s="116">
        <f t="shared" si="1"/>
        <v>241.666666666667</v>
      </c>
      <c r="IM19" s="116">
        <f t="shared" si="1"/>
        <v>241.666666666667</v>
      </c>
      <c r="IN19" s="116">
        <f t="shared" si="1"/>
        <v>232.333333333333</v>
      </c>
      <c r="IO19" s="116">
        <f t="shared" si="1"/>
        <v>225.98333333333301</v>
      </c>
      <c r="IP19" s="116">
        <f t="shared" si="1"/>
        <v>201.36666666666699</v>
      </c>
      <c r="IQ19" s="116">
        <f t="shared" si="1"/>
        <v>181.666666666667</v>
      </c>
      <c r="IR19" s="116">
        <f t="shared" si="1"/>
        <v>178.3</v>
      </c>
      <c r="IS19" s="116">
        <f t="shared" si="1"/>
        <v>201.51666666666699</v>
      </c>
      <c r="IT19" s="116">
        <f t="shared" si="1"/>
        <v>229.816666666667</v>
      </c>
      <c r="IU19" s="116">
        <f t="shared" si="1"/>
        <v>193.96666666666701</v>
      </c>
      <c r="IV19" s="116">
        <f t="shared" si="1"/>
        <v>281.75</v>
      </c>
      <c r="IW19" s="116">
        <f t="shared" si="1"/>
        <v>404</v>
      </c>
      <c r="IX19" s="116">
        <f t="shared" si="1"/>
        <v>335.36666666666702</v>
      </c>
      <c r="IY19" s="116">
        <f t="shared" si="1"/>
        <v>488.63333333333298</v>
      </c>
      <c r="IZ19" s="116">
        <f t="shared" si="1"/>
        <v>461.53333333333302</v>
      </c>
      <c r="JA19" s="116">
        <f t="shared" si="1"/>
        <v>432.33333333333297</v>
      </c>
      <c r="JB19" s="116">
        <f t="shared" si="1"/>
        <v>376.66666666666703</v>
      </c>
      <c r="JC19" s="116">
        <f t="shared" si="1"/>
        <v>305.64999999999998</v>
      </c>
      <c r="JD19" s="116">
        <f t="shared" si="1"/>
        <v>246.45</v>
      </c>
      <c r="JE19" s="116">
        <f t="shared" si="1"/>
        <v>256.33333333333297</v>
      </c>
      <c r="JF19" s="116">
        <f t="shared" si="1"/>
        <v>207.05</v>
      </c>
      <c r="JG19" s="116">
        <f t="shared" si="1"/>
        <v>178.65</v>
      </c>
      <c r="JH19" s="116">
        <f t="shared" si="1"/>
        <v>203.35</v>
      </c>
      <c r="JI19" s="116">
        <f t="shared" si="1"/>
        <v>229.4</v>
      </c>
      <c r="JJ19" s="116">
        <f t="shared" ref="JJ19:JJ21" si="2">+IF(JJ14=0,JJ7,JJ14)</f>
        <v>240.666666666667</v>
      </c>
      <c r="JK19" s="116">
        <f t="shared" ref="JK19" si="3">+IF(JK14=0,JK7,JK14)</f>
        <v>227.23333333333301</v>
      </c>
      <c r="JL19" s="116">
        <f t="shared" ref="JL19:JM19" si="4">+IF(JL14=0,JL7,JL14)</f>
        <v>310</v>
      </c>
      <c r="JM19" s="116">
        <f t="shared" si="4"/>
        <v>350.21666666666698</v>
      </c>
      <c r="JN19" s="116">
        <f t="shared" ref="JN19:JO19" si="5">+IF(JN14=0,JN7,JN14)</f>
        <v>351.01666666666699</v>
      </c>
      <c r="JO19" s="116">
        <f t="shared" si="5"/>
        <v>357.48333333333301</v>
      </c>
      <c r="JP19" s="116">
        <f t="shared" ref="JP19" si="6">+IF(JP14=0,JP7,JP14)</f>
        <v>478.1</v>
      </c>
      <c r="JQ19" s="116">
        <f t="shared" ref="JQ19:KH19" si="7">+IF(JQ14=0,JQ7,JQ14)</f>
        <v>537.96666666666704</v>
      </c>
      <c r="JR19" s="116">
        <f t="shared" si="7"/>
        <v>507.75</v>
      </c>
      <c r="JS19" s="116">
        <f t="shared" si="7"/>
        <v>578.04999999999995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0</v>
      </c>
      <c r="HU20" s="116">
        <f t="shared" si="8"/>
        <v>0</v>
      </c>
      <c r="HV20" s="116">
        <f t="shared" si="8"/>
        <v>0</v>
      </c>
      <c r="HW20" s="116">
        <f t="shared" si="8"/>
        <v>0</v>
      </c>
      <c r="HX20" s="116">
        <f t="shared" si="8"/>
        <v>0</v>
      </c>
      <c r="HY20" s="116">
        <f t="shared" si="8"/>
        <v>0</v>
      </c>
      <c r="HZ20" s="116">
        <f t="shared" si="8"/>
        <v>0</v>
      </c>
      <c r="IA20" s="116">
        <f t="shared" si="8"/>
        <v>0</v>
      </c>
      <c r="IB20" s="116">
        <f t="shared" si="8"/>
        <v>0</v>
      </c>
      <c r="IC20" s="116">
        <f t="shared" si="8"/>
        <v>0</v>
      </c>
      <c r="ID20" s="116">
        <f t="shared" si="8"/>
        <v>0</v>
      </c>
      <c r="IE20" s="116">
        <f t="shared" si="8"/>
        <v>0</v>
      </c>
      <c r="IF20" s="116">
        <f t="shared" si="1"/>
        <v>178.75</v>
      </c>
      <c r="IG20" s="116">
        <f t="shared" si="1"/>
        <v>190.36666666666699</v>
      </c>
      <c r="IH20" s="116">
        <f t="shared" si="1"/>
        <v>221.86666666666699</v>
      </c>
      <c r="II20" s="116">
        <f t="shared" si="1"/>
        <v>228.2</v>
      </c>
      <c r="IJ20" s="116">
        <f t="shared" si="1"/>
        <v>220</v>
      </c>
      <c r="IK20" s="116">
        <f t="shared" si="1"/>
        <v>203.7</v>
      </c>
      <c r="IL20" s="116">
        <f t="shared" si="1"/>
        <v>190</v>
      </c>
      <c r="IM20" s="116">
        <f t="shared" si="1"/>
        <v>191.666666666667</v>
      </c>
      <c r="IN20" s="116">
        <f t="shared" si="1"/>
        <v>182.566666666667</v>
      </c>
      <c r="IO20" s="116">
        <f t="shared" si="1"/>
        <v>173.28333333333299</v>
      </c>
      <c r="IP20" s="116">
        <f t="shared" si="1"/>
        <v>160.666666666667</v>
      </c>
      <c r="IQ20" s="116">
        <f t="shared" si="1"/>
        <v>141.75</v>
      </c>
      <c r="IR20" s="116">
        <f t="shared" si="1"/>
        <v>135.55000000000001</v>
      </c>
      <c r="IS20" s="116">
        <f t="shared" si="1"/>
        <v>162.4</v>
      </c>
      <c r="IT20" s="116">
        <f t="shared" si="1"/>
        <v>136.666666666667</v>
      </c>
      <c r="IU20" s="116">
        <f t="shared" si="1"/>
        <v>161.76666666666699</v>
      </c>
      <c r="IV20" s="116">
        <f t="shared" si="1"/>
        <v>161.76666666666699</v>
      </c>
      <c r="IW20" s="116">
        <f t="shared" si="1"/>
        <v>250.86666666666699</v>
      </c>
      <c r="IX20" s="116">
        <f t="shared" si="1"/>
        <v>277.33333333333297</v>
      </c>
      <c r="IY20" s="116">
        <f t="shared" si="1"/>
        <v>300.91666666666703</v>
      </c>
      <c r="IZ20" s="116">
        <f t="shared" si="1"/>
        <v>386.33333333333297</v>
      </c>
      <c r="JA20" s="116">
        <f t="shared" si="1"/>
        <v>315.566666666667</v>
      </c>
      <c r="JB20" s="116">
        <f t="shared" si="1"/>
        <v>247.416666666667</v>
      </c>
      <c r="JC20" s="116">
        <f t="shared" si="1"/>
        <v>206.75</v>
      </c>
      <c r="JD20" s="116">
        <f t="shared" si="1"/>
        <v>200</v>
      </c>
      <c r="JE20" s="116">
        <f t="shared" si="1"/>
        <v>200.03333333333299</v>
      </c>
      <c r="JF20" s="116">
        <f t="shared" si="1"/>
        <v>138.666666666667</v>
      </c>
      <c r="JG20" s="116">
        <f t="shared" si="1"/>
        <v>143.23333333333301</v>
      </c>
      <c r="JH20" s="116">
        <f t="shared" si="1"/>
        <v>170.816666666667</v>
      </c>
      <c r="JI20" s="116">
        <f t="shared" si="1"/>
        <v>170.333333333333</v>
      </c>
      <c r="JJ20" s="116">
        <f t="shared" si="2"/>
        <v>185.28333333333299</v>
      </c>
      <c r="JK20" s="116">
        <f t="shared" ref="JK20" si="9">+IF(JK15=0,JK8,JK15)</f>
        <v>190.25</v>
      </c>
      <c r="JL20" s="116">
        <f t="shared" ref="JL20:JM20" si="10">+IF(JL15=0,JL8,JL15)</f>
        <v>206.95</v>
      </c>
      <c r="JM20" s="116">
        <f t="shared" si="10"/>
        <v>258.2</v>
      </c>
      <c r="JN20" s="116">
        <f t="shared" ref="JN20:JO20" si="11">+IF(JN15=0,JN8,JN15)</f>
        <v>219.333333333333</v>
      </c>
      <c r="JO20" s="116">
        <f t="shared" si="11"/>
        <v>220.01666666666699</v>
      </c>
      <c r="JP20" s="116">
        <f t="shared" ref="JP20" si="12">+IF(JP15=0,JP8,JP15)</f>
        <v>322.88333333333298</v>
      </c>
      <c r="JQ20" s="116">
        <f t="shared" ref="JQ20:KH20" si="13">+IF(JQ15=0,JQ8,JQ15)</f>
        <v>376.71666666666698</v>
      </c>
      <c r="JR20" s="116">
        <f t="shared" si="13"/>
        <v>342.55</v>
      </c>
      <c r="JS20" s="116">
        <f t="shared" si="13"/>
        <v>350.4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0</v>
      </c>
      <c r="IC21" s="116">
        <f t="shared" si="1"/>
        <v>0</v>
      </c>
      <c r="ID21" s="116">
        <f t="shared" si="1"/>
        <v>0</v>
      </c>
      <c r="IE21" s="116">
        <f t="shared" si="1"/>
        <v>190.566666666667</v>
      </c>
      <c r="IF21" s="116">
        <f t="shared" si="1"/>
        <v>204.85</v>
      </c>
      <c r="IG21" s="116">
        <f t="shared" si="1"/>
        <v>230.15</v>
      </c>
      <c r="IH21" s="116">
        <f t="shared" si="1"/>
        <v>238.566666666667</v>
      </c>
      <c r="II21" s="116">
        <f t="shared" si="1"/>
        <v>242.916666666667</v>
      </c>
      <c r="IJ21" s="116">
        <f t="shared" si="1"/>
        <v>229.416666666667</v>
      </c>
      <c r="IK21" s="116">
        <f t="shared" si="1"/>
        <v>229.933333333333</v>
      </c>
      <c r="IL21" s="116">
        <f t="shared" si="1"/>
        <v>200.38333333333301</v>
      </c>
      <c r="IM21" s="116">
        <f t="shared" si="1"/>
        <v>192.2</v>
      </c>
      <c r="IN21" s="116">
        <f t="shared" si="1"/>
        <v>214.98333333333301</v>
      </c>
      <c r="IO21" s="116">
        <f t="shared" si="1"/>
        <v>175.71666666666701</v>
      </c>
      <c r="IP21" s="116">
        <f t="shared" si="1"/>
        <v>176.833333333333</v>
      </c>
      <c r="IQ21" s="116">
        <f t="shared" si="1"/>
        <v>157.21666666666701</v>
      </c>
      <c r="IR21" s="116">
        <f t="shared" si="1"/>
        <v>171.78333333333299</v>
      </c>
      <c r="IS21" s="116">
        <f t="shared" si="1"/>
        <v>182.3</v>
      </c>
      <c r="IT21" s="116">
        <f t="shared" si="1"/>
        <v>165.183333333333</v>
      </c>
      <c r="IU21" s="116">
        <f t="shared" si="1"/>
        <v>168.666666666667</v>
      </c>
      <c r="IV21" s="116">
        <f t="shared" si="1"/>
        <v>252.8</v>
      </c>
      <c r="IW21" s="116">
        <f t="shared" si="1"/>
        <v>304.46666666666698</v>
      </c>
      <c r="IX21" s="116">
        <f t="shared" si="1"/>
        <v>300.98333333333301</v>
      </c>
      <c r="IY21" s="116">
        <f t="shared" si="1"/>
        <v>437.85</v>
      </c>
      <c r="IZ21" s="116">
        <f t="shared" si="1"/>
        <v>388.65</v>
      </c>
      <c r="JA21" s="116">
        <f t="shared" si="1"/>
        <v>368.51666666666699</v>
      </c>
      <c r="JB21" s="116">
        <f t="shared" si="1"/>
        <v>257.91666666666703</v>
      </c>
      <c r="JC21" s="116">
        <f t="shared" si="1"/>
        <v>207.083333333333</v>
      </c>
      <c r="JD21" s="116">
        <f t="shared" si="1"/>
        <v>233.166666666667</v>
      </c>
      <c r="JE21" s="116">
        <f t="shared" si="1"/>
        <v>205.96666666666701</v>
      </c>
      <c r="JF21" s="116">
        <f t="shared" si="1"/>
        <v>143.23333333333301</v>
      </c>
      <c r="JG21" s="116">
        <f t="shared" si="1"/>
        <v>172.63333333333301</v>
      </c>
      <c r="JH21" s="116">
        <f t="shared" si="1"/>
        <v>189.78333333333299</v>
      </c>
      <c r="JI21" s="116">
        <f t="shared" si="1"/>
        <v>214.5</v>
      </c>
      <c r="JJ21" s="116">
        <f t="shared" si="2"/>
        <v>197.4</v>
      </c>
      <c r="JK21" s="116">
        <f t="shared" ref="JK21" si="14">+IF(JK16=0,JK9,JK16)</f>
        <v>211.38333333333301</v>
      </c>
      <c r="JL21" s="116">
        <f t="shared" ref="JL21:JM21" si="15">+IF(JL16=0,JL9,JL16)</f>
        <v>270.566666666667</v>
      </c>
      <c r="JM21" s="116">
        <f t="shared" si="15"/>
        <v>304.83333333333297</v>
      </c>
      <c r="JN21" s="116">
        <f t="shared" ref="JN21:JO21" si="16">+IF(JN16=0,JN9,JN16)</f>
        <v>226.73333333333301</v>
      </c>
      <c r="JO21" s="116">
        <f t="shared" si="16"/>
        <v>330.05</v>
      </c>
      <c r="JP21" s="116">
        <f t="shared" ref="JP21" si="17">+IF(JP16=0,JP9,JP16)</f>
        <v>386.71666666666698</v>
      </c>
      <c r="JQ21" s="116">
        <f t="shared" ref="JQ21:KH21" si="18">+IF(JQ16=0,JQ9,JQ16)</f>
        <v>446</v>
      </c>
      <c r="JR21" s="116">
        <f t="shared" si="18"/>
        <v>349.75</v>
      </c>
      <c r="JS21" s="116">
        <f t="shared" si="18"/>
        <v>533.1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218764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201303</v>
      </c>
      <c r="G5" cm="1">
        <f t="array" ref="G5">_xll.EQNXTDZ($A$1,$B5,G$1)</f>
        <v>0</v>
      </c>
      <c r="H5" cm="1">
        <f t="array" ref="H5">_xll.EQNXTDZ($A$1,$B5,H$1)</f>
        <v>201309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10917519</v>
      </c>
      <c r="G6" cm="1">
        <f t="array" ref="G6">_xll.EQNXTDZ($A$1,$B6,G$1)</f>
        <v>0</v>
      </c>
      <c r="H6" cm="1">
        <f t="array" ref="H6">_xll.EQNXTDZ($A$1,$B6,H$1)</f>
        <v>10917519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53723533</v>
      </c>
      <c r="T6" cm="1">
        <f t="array" ref="T6">_xll.EQNXTDZ($A$1,$B6,T$1)</f>
        <v>53723533</v>
      </c>
      <c r="U6" cm="1">
        <f t="array" ref="U6">_xll.EQNXTDZ($A$1,$B6,U$1)</f>
        <v>53723533</v>
      </c>
      <c r="V6" cm="1">
        <f t="array" ref="V6">_xll.EQNXTDZ($A$1,$B6,V$1)</f>
        <v>53723533</v>
      </c>
      <c r="W6" cm="1">
        <f t="array" ref="W6">_xll.EQNXTDZ($A$1,$B6,W$1)</f>
        <v>53723533</v>
      </c>
      <c r="X6" cm="1">
        <f t="array" ref="X6">_xll.EQNXTDZ($A$1,$B6,X$1)</f>
        <v>53723533</v>
      </c>
      <c r="Y6" cm="1">
        <f t="array" ref="Y6">_xll.EQNXTDZ($A$1,$B6,Y$1)</f>
        <v>53723533</v>
      </c>
      <c r="Z6" cm="1">
        <f t="array" ref="Z6">_xll.EQNXTDZ($A$1,$B6,Z$1)</f>
        <v>53723533</v>
      </c>
      <c r="AA6" cm="1">
        <f t="array" ref="AA6">_xll.EQNXTDZ($A$1,$B6,AA$1)</f>
        <v>53723533</v>
      </c>
      <c r="AB6" cm="1">
        <f t="array" ref="AB6">_xll.EQNXTDZ($A$1,$B6,AB$1)</f>
        <v>53723533</v>
      </c>
      <c r="AC6" cm="1">
        <f t="array" ref="AC6">_xll.EQNXTDZ($A$1,$B6,AC$1)</f>
        <v>52764633</v>
      </c>
      <c r="AD6" cm="1">
        <f t="array" ref="AD6">_xll.EQNXTDZ($A$1,$B6,AD$1)</f>
        <v>52798606</v>
      </c>
      <c r="AE6" cm="1">
        <f t="array" ref="AE6">_xll.EQNXTDZ($A$1,$B6,AE$1)</f>
        <v>52798606</v>
      </c>
      <c r="AF6" cm="1">
        <f t="array" ref="AF6">_xll.EQNXTDZ($A$1,$B6,AF$1)</f>
        <v>52798606</v>
      </c>
      <c r="AG6" cm="1">
        <f t="array" ref="AG6">_xll.EQNXTDZ($A$1,$B6,AG$1)</f>
        <v>52836365</v>
      </c>
      <c r="AH6" cm="1">
        <f t="array" ref="AH6">_xll.EQNXTDZ($A$1,$B6,AH$1)</f>
        <v>52836365</v>
      </c>
      <c r="AI6" cm="1">
        <f t="array" ref="AI6">_xll.EQNXTDZ($A$1,$B6,AI$1)</f>
        <v>52836365</v>
      </c>
      <c r="AJ6" cm="1">
        <f t="array" ref="AJ6">_xll.EQNXTDZ($A$1,$B6,AJ$1)</f>
        <v>52836365</v>
      </c>
      <c r="AK6" cm="1">
        <f t="array" ref="AK6">_xll.EQNXTDZ($A$1,$B6,AK$1)</f>
        <v>52874419</v>
      </c>
      <c r="AL6" cm="1">
        <f t="array" ref="AL6">_xll.EQNXTDZ($A$1,$B6,AL$1)</f>
        <v>52874419</v>
      </c>
      <c r="AM6" cm="1">
        <f t="array" ref="AM6">_xll.EQNXTDZ($A$1,$B6,AM$1)</f>
        <v>52874419</v>
      </c>
      <c r="AN6" cm="1">
        <f t="array" ref="AN6">_xll.EQNXTDZ($A$1,$B6,AN$1)</f>
        <v>52874419</v>
      </c>
      <c r="AO6" cm="1">
        <f t="array" ref="AO6">_xll.EQNXTDZ($A$1,$B6,AO$1)</f>
        <v>52903332</v>
      </c>
      <c r="AP6" cm="1">
        <f t="array" ref="AP6">_xll.EQNXTDZ($A$1,$B6,AP$1)</f>
        <v>52903332</v>
      </c>
      <c r="AQ6" cm="1">
        <f t="array" ref="AQ6">_xll.EQNXTDZ($A$1,$B6,AQ$1)</f>
        <v>52903332</v>
      </c>
      <c r="AR6" cm="1">
        <f t="array" ref="AR6">_xll.EQNXTDZ($A$1,$B6,AR$1)</f>
        <v>52930043</v>
      </c>
      <c r="AS6" cm="1">
        <f t="array" ref="AS6">_xll.EQNXTDZ($A$1,$B6,AS$1)</f>
        <v>52930043</v>
      </c>
      <c r="AT6" cm="1">
        <f t="array" ref="AT6">_xll.EQNXTDZ($A$1,$B6,AT$1)</f>
        <v>52930043</v>
      </c>
      <c r="AU6" cm="1">
        <f t="array" ref="AU6">_xll.EQNXTDZ($A$1,$B6,AU$1)</f>
        <v>52930043</v>
      </c>
      <c r="AV6" cm="1">
        <f t="array" ref="AV6">_xll.EQNXTDZ($A$1,$B6,AV$1)</f>
        <v>52930043</v>
      </c>
      <c r="AW6" cm="1">
        <f t="array" ref="AW6">_xll.EQNXTDZ($A$1,$B6,AW$1)</f>
        <v>52952676</v>
      </c>
      <c r="AX6" cm="1">
        <f t="array" ref="AX6">_xll.EQNXTDZ($A$1,$B6,AX$1)</f>
        <v>52952676</v>
      </c>
      <c r="AY6" cm="1">
        <f t="array" ref="AY6">_xll.EQNXTDZ($A$1,$B6,AY$1)</f>
        <v>52952676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1.0917519</v>
      </c>
      <c r="G7" s="100">
        <f t="shared" si="0"/>
        <v>0</v>
      </c>
      <c r="H7" s="100">
        <f t="shared" si="0"/>
        <v>1.0917519</v>
      </c>
      <c r="I7" s="100">
        <f t="shared" si="0"/>
        <v>0</v>
      </c>
      <c r="J7" s="100">
        <f t="shared" si="0"/>
        <v>0</v>
      </c>
      <c r="K7" s="100">
        <f t="shared" si="0"/>
        <v>0</v>
      </c>
      <c r="L7" s="100">
        <f t="shared" si="0"/>
        <v>0</v>
      </c>
      <c r="M7" s="100">
        <f t="shared" si="0"/>
        <v>0</v>
      </c>
      <c r="N7" s="100">
        <f t="shared" si="0"/>
        <v>0</v>
      </c>
      <c r="O7" s="100">
        <f t="shared" si="0"/>
        <v>0</v>
      </c>
      <c r="P7" s="100">
        <f t="shared" si="0"/>
        <v>0</v>
      </c>
      <c r="Q7" s="100">
        <f t="shared" si="0"/>
        <v>0</v>
      </c>
      <c r="R7" s="100">
        <f t="shared" si="0"/>
        <v>0</v>
      </c>
      <c r="S7" s="100">
        <f t="shared" si="0"/>
        <v>5.3723533000000003</v>
      </c>
      <c r="T7" s="100">
        <f t="shared" si="0"/>
        <v>5.3723533000000003</v>
      </c>
      <c r="U7" s="100">
        <f t="shared" si="0"/>
        <v>5.3723533000000003</v>
      </c>
      <c r="V7" s="100">
        <f t="shared" si="0"/>
        <v>5.3723533000000003</v>
      </c>
      <c r="W7" s="100">
        <f t="shared" si="0"/>
        <v>5.3723533000000003</v>
      </c>
      <c r="X7" s="100">
        <f t="shared" si="0"/>
        <v>5.3723533000000003</v>
      </c>
      <c r="Y7" s="100">
        <f t="shared" ref="Y7:AS7" si="1">+Y6/10^7</f>
        <v>5.3723533000000003</v>
      </c>
      <c r="Z7" s="100">
        <f t="shared" si="1"/>
        <v>5.3723533000000003</v>
      </c>
      <c r="AA7" s="100">
        <f t="shared" si="1"/>
        <v>5.3723533000000003</v>
      </c>
      <c r="AB7" s="100">
        <f t="shared" si="1"/>
        <v>5.3723533000000003</v>
      </c>
      <c r="AC7" s="100">
        <f t="shared" si="1"/>
        <v>5.2764632999999996</v>
      </c>
      <c r="AD7" s="100">
        <f t="shared" si="1"/>
        <v>5.2798606000000001</v>
      </c>
      <c r="AE7" s="100">
        <f t="shared" si="1"/>
        <v>5.2798606000000001</v>
      </c>
      <c r="AF7" s="100">
        <f t="shared" si="1"/>
        <v>5.2798606000000001</v>
      </c>
      <c r="AG7" s="100">
        <f t="shared" si="1"/>
        <v>5.2836365000000001</v>
      </c>
      <c r="AH7" s="100">
        <f t="shared" si="1"/>
        <v>5.2836365000000001</v>
      </c>
      <c r="AI7" s="100">
        <f t="shared" si="1"/>
        <v>5.2836365000000001</v>
      </c>
      <c r="AJ7" s="100">
        <f t="shared" si="1"/>
        <v>5.2836365000000001</v>
      </c>
      <c r="AK7" s="100">
        <f t="shared" si="1"/>
        <v>5.2874419000000001</v>
      </c>
      <c r="AL7" s="100">
        <f t="shared" si="1"/>
        <v>5.2874419000000001</v>
      </c>
      <c r="AM7" s="100">
        <f t="shared" si="1"/>
        <v>5.2874419000000001</v>
      </c>
      <c r="AN7" s="100">
        <f t="shared" si="1"/>
        <v>5.2874419000000001</v>
      </c>
      <c r="AO7" s="100">
        <f t="shared" si="1"/>
        <v>5.2903332000000001</v>
      </c>
      <c r="AP7" s="100">
        <f t="shared" si="1"/>
        <v>5.2903332000000001</v>
      </c>
      <c r="AQ7" s="100">
        <f t="shared" si="1"/>
        <v>5.2903332000000001</v>
      </c>
      <c r="AR7" s="100">
        <f t="shared" si="1"/>
        <v>5.2930042999999998</v>
      </c>
      <c r="AS7" s="100">
        <f t="shared" si="1"/>
        <v>5.2930042999999998</v>
      </c>
      <c r="AT7" s="100">
        <f t="shared" ref="AT7:AX7" si="2">+AT6/10^7</f>
        <v>5.2930042999999998</v>
      </c>
      <c r="AU7" s="100">
        <f t="shared" si="2"/>
        <v>5.2930042999999998</v>
      </c>
      <c r="AV7" s="100">
        <f t="shared" si="2"/>
        <v>5.2930042999999998</v>
      </c>
      <c r="AW7" s="100">
        <f t="shared" si="2"/>
        <v>5.2952675999999999</v>
      </c>
      <c r="AX7" s="100">
        <f t="shared" si="2"/>
        <v>5.2952675999999999</v>
      </c>
      <c r="AY7" s="100">
        <f t="shared" ref="AY7" si="3">+AY6/10^7</f>
        <v>5.2952675999999999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topLeftCell="A2357" workbookViewId="0">
      <selection activeCell="A2390" sqref="A2390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218764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9" t="s">
        <v>515</v>
      </c>
      <c r="L2" s="169" t="s">
        <v>515</v>
      </c>
    </row>
    <row r="3" spans="1:18" x14ac:dyDescent="0.25">
      <c r="A3" s="170" t="s">
        <v>516</v>
      </c>
      <c r="B3" s="171" t="s">
        <v>518</v>
      </c>
      <c r="C3" s="171" t="s">
        <v>517</v>
      </c>
      <c r="D3" s="171" t="s">
        <v>519</v>
      </c>
      <c r="E3" s="171" t="s">
        <v>520</v>
      </c>
      <c r="F3" s="171" t="s">
        <v>521</v>
      </c>
      <c r="G3" s="171" t="s">
        <v>522</v>
      </c>
      <c r="H3" s="171"/>
      <c r="I3" s="171"/>
      <c r="J3" s="171"/>
      <c r="K3" s="171"/>
      <c r="L3" s="170" t="s">
        <v>516</v>
      </c>
      <c r="M3" s="172" t="s">
        <v>517</v>
      </c>
      <c r="N3" s="172" t="s">
        <v>518</v>
      </c>
      <c r="O3" s="172" t="s">
        <v>519</v>
      </c>
      <c r="P3" s="172" t="s">
        <v>520</v>
      </c>
      <c r="Q3" s="172" t="s">
        <v>521</v>
      </c>
      <c r="R3" s="171" t="s">
        <v>522</v>
      </c>
    </row>
    <row r="4" spans="1:18" x14ac:dyDescent="0.25">
      <c r="A4" s="169">
        <v>42499</v>
      </c>
      <c r="B4" s="116">
        <v>221.8</v>
      </c>
      <c r="C4" s="116">
        <v>206.03333333333299</v>
      </c>
      <c r="D4" s="116">
        <v>202</v>
      </c>
      <c r="E4" s="116">
        <v>220.666666666667</v>
      </c>
      <c r="F4" s="116">
        <v>618.1</v>
      </c>
      <c r="G4">
        <v>2678027</v>
      </c>
      <c r="H4" s="116"/>
      <c r="I4" s="116"/>
      <c r="L4" s="169">
        <v>42499</v>
      </c>
      <c r="M4" s="116">
        <v>206.26666666666699</v>
      </c>
      <c r="N4" s="116">
        <v>221.666666666667</v>
      </c>
      <c r="O4" s="116">
        <v>201.933333333333</v>
      </c>
      <c r="P4" s="116">
        <v>221.666666666667</v>
      </c>
      <c r="Q4" s="116">
        <v>618.79999999999995</v>
      </c>
      <c r="R4">
        <v>12860078</v>
      </c>
    </row>
    <row r="5" spans="1:18" x14ac:dyDescent="0.25">
      <c r="A5" s="169">
        <v>42500</v>
      </c>
      <c r="B5" s="116">
        <v>205.816666666667</v>
      </c>
      <c r="C5" s="116">
        <v>200.85</v>
      </c>
      <c r="D5" s="116">
        <v>198.333333333333</v>
      </c>
      <c r="E5" s="116">
        <v>205.26666666666699</v>
      </c>
      <c r="F5" s="116">
        <v>602.54999999999995</v>
      </c>
      <c r="G5">
        <v>703865</v>
      </c>
      <c r="H5" s="116"/>
      <c r="I5" s="116"/>
      <c r="L5" s="169">
        <v>42500</v>
      </c>
      <c r="M5" s="116">
        <v>200.86666666666699</v>
      </c>
      <c r="N5" s="116">
        <v>206.25</v>
      </c>
      <c r="O5" s="116">
        <v>198.25</v>
      </c>
      <c r="P5" s="116">
        <v>205.3</v>
      </c>
      <c r="Q5" s="116">
        <v>602.6</v>
      </c>
      <c r="R5">
        <v>2902129</v>
      </c>
    </row>
    <row r="6" spans="1:18" x14ac:dyDescent="0.25">
      <c r="A6" s="169">
        <v>42501</v>
      </c>
      <c r="B6" s="116">
        <v>209.9</v>
      </c>
      <c r="C6" s="116">
        <v>208.933333333333</v>
      </c>
      <c r="D6" s="116">
        <v>195</v>
      </c>
      <c r="E6" s="116">
        <v>196.7</v>
      </c>
      <c r="F6" s="116">
        <v>626.79999999999995</v>
      </c>
      <c r="G6">
        <v>765305</v>
      </c>
      <c r="H6" s="116"/>
      <c r="I6" s="116"/>
      <c r="L6" s="169">
        <v>42501</v>
      </c>
      <c r="M6" s="116">
        <v>209.083333333333</v>
      </c>
      <c r="N6" s="116">
        <v>209.96666666666701</v>
      </c>
      <c r="O6" s="116">
        <v>195.15</v>
      </c>
      <c r="P6" s="116">
        <v>196.7</v>
      </c>
      <c r="Q6" s="116">
        <v>627.25</v>
      </c>
      <c r="R6">
        <v>2734316</v>
      </c>
    </row>
    <row r="7" spans="1:18" x14ac:dyDescent="0.25">
      <c r="A7" s="169">
        <v>42502</v>
      </c>
      <c r="B7" s="116">
        <v>211.46666666666701</v>
      </c>
      <c r="C7" s="116">
        <v>209.88333333333301</v>
      </c>
      <c r="D7" s="116">
        <v>207.583333333333</v>
      </c>
      <c r="E7" s="116">
        <v>209.9</v>
      </c>
      <c r="F7" s="116">
        <v>629.65</v>
      </c>
      <c r="G7">
        <v>233671</v>
      </c>
      <c r="H7" s="116"/>
      <c r="I7" s="116"/>
      <c r="L7" s="169">
        <v>42502</v>
      </c>
      <c r="M7" s="116">
        <v>209.833333333333</v>
      </c>
      <c r="N7" s="116">
        <v>211.433333333333</v>
      </c>
      <c r="O7" s="116">
        <v>207.36666666666699</v>
      </c>
      <c r="P7" s="116">
        <v>209.46666666666701</v>
      </c>
      <c r="Q7" s="116">
        <v>629.5</v>
      </c>
      <c r="R7">
        <v>849875</v>
      </c>
    </row>
    <row r="8" spans="1:18" x14ac:dyDescent="0.25">
      <c r="A8" s="169">
        <v>42503</v>
      </c>
      <c r="B8" s="116">
        <v>211.3</v>
      </c>
      <c r="C8" s="116">
        <v>207.566666666667</v>
      </c>
      <c r="D8" s="116">
        <v>206</v>
      </c>
      <c r="E8" s="116">
        <v>209.333333333333</v>
      </c>
      <c r="F8" s="116">
        <v>622.70000000000005</v>
      </c>
      <c r="G8">
        <v>169821</v>
      </c>
      <c r="H8" s="116"/>
      <c r="I8" s="116"/>
      <c r="L8" s="169">
        <v>42503</v>
      </c>
      <c r="M8" s="116">
        <v>208.46666666666701</v>
      </c>
      <c r="N8" s="116">
        <v>211.25</v>
      </c>
      <c r="O8" s="116">
        <v>206</v>
      </c>
      <c r="P8" s="116">
        <v>209</v>
      </c>
      <c r="Q8" s="116">
        <v>625.4</v>
      </c>
      <c r="R8">
        <v>616134</v>
      </c>
    </row>
    <row r="9" spans="1:18" x14ac:dyDescent="0.25">
      <c r="A9" s="169">
        <v>42506</v>
      </c>
      <c r="B9" s="116">
        <v>214.166666666667</v>
      </c>
      <c r="C9" s="116">
        <v>209.933333333333</v>
      </c>
      <c r="D9" s="116">
        <v>205.1</v>
      </c>
      <c r="E9" s="116">
        <v>208.1</v>
      </c>
      <c r="F9" s="116">
        <v>629.79999999999995</v>
      </c>
      <c r="G9">
        <v>238292</v>
      </c>
      <c r="H9" s="116"/>
      <c r="I9" s="116"/>
      <c r="L9" s="169">
        <v>42506</v>
      </c>
      <c r="M9" s="116">
        <v>210.01666666666699</v>
      </c>
      <c r="N9" s="116">
        <v>214.166666666667</v>
      </c>
      <c r="O9" s="116">
        <v>205.05</v>
      </c>
      <c r="P9" s="116">
        <v>208</v>
      </c>
      <c r="Q9" s="116">
        <v>630.04999999999995</v>
      </c>
      <c r="R9">
        <v>615793</v>
      </c>
    </row>
    <row r="10" spans="1:18" x14ac:dyDescent="0.25">
      <c r="A10" s="169">
        <v>42507</v>
      </c>
      <c r="B10" s="116">
        <v>211.833333333333</v>
      </c>
      <c r="C10" s="116">
        <v>208.36666666666699</v>
      </c>
      <c r="D10" s="116">
        <v>207.7</v>
      </c>
      <c r="E10" s="116">
        <v>210</v>
      </c>
      <c r="F10" s="116">
        <v>625.1</v>
      </c>
      <c r="G10">
        <v>123810</v>
      </c>
      <c r="H10" s="116"/>
      <c r="I10" s="116"/>
      <c r="L10" s="169">
        <v>42507</v>
      </c>
      <c r="M10" s="116">
        <v>208.566666666667</v>
      </c>
      <c r="N10" s="116">
        <v>211.9</v>
      </c>
      <c r="O10" s="116">
        <v>208.05</v>
      </c>
      <c r="P10" s="116">
        <v>210.01666666666699</v>
      </c>
      <c r="Q10" s="116">
        <v>625.70000000000005</v>
      </c>
      <c r="R10">
        <v>341194</v>
      </c>
    </row>
    <row r="11" spans="1:18" x14ac:dyDescent="0.25">
      <c r="A11" s="169">
        <v>42508</v>
      </c>
      <c r="B11" s="116">
        <v>210</v>
      </c>
      <c r="C11" s="116">
        <v>208.316666666667</v>
      </c>
      <c r="D11" s="116">
        <v>207.333333333333</v>
      </c>
      <c r="E11" s="116">
        <v>208.316666666667</v>
      </c>
      <c r="F11" s="116">
        <v>624.95000000000005</v>
      </c>
      <c r="G11">
        <v>56193</v>
      </c>
      <c r="H11" s="116"/>
      <c r="I11" s="116"/>
      <c r="L11" s="169">
        <v>42508</v>
      </c>
      <c r="M11" s="116">
        <v>208.45</v>
      </c>
      <c r="N11" s="116">
        <v>210</v>
      </c>
      <c r="O11" s="116">
        <v>207.666666666667</v>
      </c>
      <c r="P11" s="116">
        <v>208.333333333333</v>
      </c>
      <c r="Q11" s="116">
        <v>625.35</v>
      </c>
      <c r="R11">
        <v>168022</v>
      </c>
    </row>
    <row r="12" spans="1:18" x14ac:dyDescent="0.25">
      <c r="A12" s="169">
        <v>42509</v>
      </c>
      <c r="B12" s="116">
        <v>209.4</v>
      </c>
      <c r="C12" s="116">
        <v>202.333333333333</v>
      </c>
      <c r="D12" s="116">
        <v>201</v>
      </c>
      <c r="E12" s="116">
        <v>208.85</v>
      </c>
      <c r="F12" s="116">
        <v>607</v>
      </c>
      <c r="G12">
        <v>43076</v>
      </c>
      <c r="H12" s="116"/>
      <c r="I12" s="116"/>
      <c r="L12" s="169">
        <v>42509</v>
      </c>
      <c r="M12" s="116">
        <v>202.183333333333</v>
      </c>
      <c r="N12" s="116">
        <v>209.55</v>
      </c>
      <c r="O12" s="116">
        <v>200.35</v>
      </c>
      <c r="P12" s="116">
        <v>208.48333333333301</v>
      </c>
      <c r="Q12" s="116">
        <v>606.54999999999995</v>
      </c>
      <c r="R12">
        <v>167565</v>
      </c>
    </row>
    <row r="13" spans="1:18" x14ac:dyDescent="0.25">
      <c r="A13" s="169">
        <v>42510</v>
      </c>
      <c r="B13" s="116">
        <v>205.1</v>
      </c>
      <c r="C13" s="116">
        <v>201.166666666667</v>
      </c>
      <c r="D13" s="116">
        <v>200.38333333333301</v>
      </c>
      <c r="E13" s="116">
        <v>202.73333333333301</v>
      </c>
      <c r="F13" s="116">
        <v>603.5</v>
      </c>
      <c r="G13">
        <v>49201</v>
      </c>
      <c r="H13" s="116"/>
      <c r="I13" s="116"/>
      <c r="L13" s="169">
        <v>42510</v>
      </c>
      <c r="M13" s="116">
        <v>201.11666666666699</v>
      </c>
      <c r="N13" s="116">
        <v>205.166666666667</v>
      </c>
      <c r="O13" s="116">
        <v>200.5</v>
      </c>
      <c r="P13" s="116">
        <v>202.7</v>
      </c>
      <c r="Q13" s="116">
        <v>603.35</v>
      </c>
      <c r="R13">
        <v>157728</v>
      </c>
    </row>
    <row r="14" spans="1:18" x14ac:dyDescent="0.25">
      <c r="A14" s="169">
        <v>42513</v>
      </c>
      <c r="B14" s="116">
        <v>206.26666666666699</v>
      </c>
      <c r="C14" s="116">
        <v>202.25</v>
      </c>
      <c r="D14" s="116">
        <v>200</v>
      </c>
      <c r="E14" s="116">
        <v>201.333333333333</v>
      </c>
      <c r="F14" s="116">
        <v>606.75</v>
      </c>
      <c r="G14">
        <v>68409</v>
      </c>
      <c r="H14" s="116"/>
      <c r="I14" s="116"/>
      <c r="L14" s="169">
        <v>42513</v>
      </c>
      <c r="M14" s="116">
        <v>202.666666666667</v>
      </c>
      <c r="N14" s="116">
        <v>206.333333333333</v>
      </c>
      <c r="O14" s="116">
        <v>199.98333333333301</v>
      </c>
      <c r="P14" s="116">
        <v>201.8</v>
      </c>
      <c r="Q14" s="116">
        <v>608</v>
      </c>
      <c r="R14">
        <v>187330</v>
      </c>
    </row>
    <row r="15" spans="1:18" x14ac:dyDescent="0.25">
      <c r="A15" s="169">
        <v>42514</v>
      </c>
      <c r="B15" s="116">
        <v>204.916666666667</v>
      </c>
      <c r="C15" s="116">
        <v>202.26666666666699</v>
      </c>
      <c r="D15" s="116">
        <v>201</v>
      </c>
      <c r="E15" s="116">
        <v>202.666666666667</v>
      </c>
      <c r="F15" s="116">
        <v>606.79999999999995</v>
      </c>
      <c r="G15">
        <v>40922</v>
      </c>
      <c r="H15" s="116"/>
      <c r="I15" s="116"/>
      <c r="L15" s="169">
        <v>42514</v>
      </c>
      <c r="M15" s="116">
        <v>203.083333333333</v>
      </c>
      <c r="N15" s="116">
        <v>204.98333333333301</v>
      </c>
      <c r="O15" s="116">
        <v>201</v>
      </c>
      <c r="P15" s="116">
        <v>203</v>
      </c>
      <c r="Q15" s="116">
        <v>609.25</v>
      </c>
      <c r="R15">
        <v>130537</v>
      </c>
    </row>
    <row r="16" spans="1:18" x14ac:dyDescent="0.25">
      <c r="A16" s="169">
        <v>42515</v>
      </c>
      <c r="B16" s="116">
        <v>207.666666666667</v>
      </c>
      <c r="C16" s="116">
        <v>206.73333333333301</v>
      </c>
      <c r="D16" s="116">
        <v>203.333333333333</v>
      </c>
      <c r="E16" s="116">
        <v>203.666666666667</v>
      </c>
      <c r="F16" s="116">
        <v>620.20000000000005</v>
      </c>
      <c r="G16">
        <v>68326</v>
      </c>
      <c r="H16" s="116"/>
      <c r="I16" s="116"/>
      <c r="L16" s="169">
        <v>42515</v>
      </c>
      <c r="M16" s="116">
        <v>206.73333333333301</v>
      </c>
      <c r="N16" s="116">
        <v>207.333333333333</v>
      </c>
      <c r="O16" s="116">
        <v>203.333333333333</v>
      </c>
      <c r="P16" s="116">
        <v>204.666666666667</v>
      </c>
      <c r="Q16" s="116">
        <v>620.20000000000005</v>
      </c>
      <c r="R16">
        <v>165803</v>
      </c>
    </row>
    <row r="17" spans="1:18" x14ac:dyDescent="0.25">
      <c r="A17" s="169">
        <v>42516</v>
      </c>
      <c r="B17" s="116">
        <v>213.333333333333</v>
      </c>
      <c r="C17" s="116">
        <v>212.01666666666699</v>
      </c>
      <c r="D17" s="116">
        <v>206.8</v>
      </c>
      <c r="E17" s="116">
        <v>208.333333333333</v>
      </c>
      <c r="F17" s="116">
        <v>636.04999999999995</v>
      </c>
      <c r="G17">
        <v>112892</v>
      </c>
      <c r="H17" s="116"/>
      <c r="I17" s="116"/>
      <c r="L17" s="169">
        <v>42516</v>
      </c>
      <c r="M17" s="116">
        <v>212.1</v>
      </c>
      <c r="N17" s="116">
        <v>213.666666666667</v>
      </c>
      <c r="O17" s="116">
        <v>206.7</v>
      </c>
      <c r="P17" s="116">
        <v>206.7</v>
      </c>
      <c r="Q17" s="116">
        <v>636.29999999999995</v>
      </c>
      <c r="R17">
        <v>477553</v>
      </c>
    </row>
    <row r="18" spans="1:18" x14ac:dyDescent="0.25">
      <c r="A18" s="169">
        <v>42517</v>
      </c>
      <c r="B18" s="116">
        <v>214</v>
      </c>
      <c r="C18" s="116">
        <v>212.35</v>
      </c>
      <c r="D18" s="116">
        <v>210.55</v>
      </c>
      <c r="E18" s="116">
        <v>212.333333333333</v>
      </c>
      <c r="F18" s="116">
        <v>637.04999999999995</v>
      </c>
      <c r="G18">
        <v>97898</v>
      </c>
      <c r="H18" s="116"/>
      <c r="I18" s="116"/>
      <c r="L18" s="169">
        <v>42517</v>
      </c>
      <c r="M18" s="116">
        <v>212.333333333333</v>
      </c>
      <c r="N18" s="116">
        <v>214.01666666666699</v>
      </c>
      <c r="O18" s="116">
        <v>210.36666666666699</v>
      </c>
      <c r="P18" s="116">
        <v>213</v>
      </c>
      <c r="Q18" s="116">
        <v>637</v>
      </c>
      <c r="R18">
        <v>209977</v>
      </c>
    </row>
    <row r="19" spans="1:18" x14ac:dyDescent="0.25">
      <c r="A19" s="169">
        <v>42520</v>
      </c>
      <c r="B19" s="116">
        <v>215.3</v>
      </c>
      <c r="C19" s="116">
        <v>212.5</v>
      </c>
      <c r="D19" s="116">
        <v>211.71666666666701</v>
      </c>
      <c r="E19" s="116">
        <v>211.71666666666701</v>
      </c>
      <c r="F19" s="116">
        <v>637.5</v>
      </c>
      <c r="G19">
        <v>60178</v>
      </c>
      <c r="H19" s="116"/>
      <c r="I19" s="116"/>
      <c r="L19" s="169">
        <v>42520</v>
      </c>
      <c r="M19" s="116">
        <v>212.45</v>
      </c>
      <c r="N19" s="116">
        <v>215.433333333333</v>
      </c>
      <c r="O19" s="116">
        <v>211.666666666667</v>
      </c>
      <c r="P19" s="116">
        <v>212.38333333333301</v>
      </c>
      <c r="Q19" s="116">
        <v>637.35</v>
      </c>
      <c r="R19">
        <v>155994</v>
      </c>
    </row>
    <row r="20" spans="1:18" x14ac:dyDescent="0.25">
      <c r="A20" s="169">
        <v>42521</v>
      </c>
      <c r="B20" s="116">
        <v>214.55</v>
      </c>
      <c r="C20" s="116">
        <v>212.53333333333299</v>
      </c>
      <c r="D20" s="116">
        <v>208.36666666666699</v>
      </c>
      <c r="E20" s="116">
        <v>212.96666666666701</v>
      </c>
      <c r="F20" s="116">
        <v>637.6</v>
      </c>
      <c r="G20">
        <v>50993</v>
      </c>
      <c r="H20" s="116"/>
      <c r="I20" s="116"/>
      <c r="L20" s="169">
        <v>42521</v>
      </c>
      <c r="M20" s="116">
        <v>213.416666666667</v>
      </c>
      <c r="N20" s="116">
        <v>214.683333333333</v>
      </c>
      <c r="O20" s="116">
        <v>208.13333333333301</v>
      </c>
      <c r="P20" s="116">
        <v>213.566666666667</v>
      </c>
      <c r="Q20" s="116">
        <v>640.25</v>
      </c>
      <c r="R20">
        <v>224590</v>
      </c>
    </row>
    <row r="21" spans="1:18" x14ac:dyDescent="0.25">
      <c r="A21" s="169">
        <v>42522</v>
      </c>
      <c r="B21" s="116">
        <v>215.666666666667</v>
      </c>
      <c r="C21" s="116">
        <v>209.96666666666701</v>
      </c>
      <c r="D21" s="116">
        <v>208.5</v>
      </c>
      <c r="E21" s="116">
        <v>213</v>
      </c>
      <c r="F21" s="116">
        <v>629.9</v>
      </c>
      <c r="G21">
        <v>48009</v>
      </c>
      <c r="H21" s="116"/>
      <c r="I21" s="116"/>
      <c r="L21" s="169">
        <v>42522</v>
      </c>
      <c r="M21" s="116">
        <v>209.46666666666701</v>
      </c>
      <c r="N21" s="116">
        <v>215.566666666667</v>
      </c>
      <c r="O21" s="116">
        <v>208.5</v>
      </c>
      <c r="P21" s="116">
        <v>213.45</v>
      </c>
      <c r="Q21" s="116">
        <v>628.4</v>
      </c>
      <c r="R21">
        <v>159325</v>
      </c>
    </row>
    <row r="22" spans="1:18" x14ac:dyDescent="0.25">
      <c r="A22" s="169">
        <v>42523</v>
      </c>
      <c r="B22" s="116">
        <v>211.23333333333301</v>
      </c>
      <c r="C22" s="116">
        <v>208.88333333333301</v>
      </c>
      <c r="D22" s="116">
        <v>208.11666666666699</v>
      </c>
      <c r="E22" s="116">
        <v>210</v>
      </c>
      <c r="F22" s="116">
        <v>626.65</v>
      </c>
      <c r="G22">
        <v>26549</v>
      </c>
      <c r="H22" s="116"/>
      <c r="I22" s="116"/>
      <c r="L22" s="169">
        <v>42523</v>
      </c>
      <c r="M22" s="116">
        <v>209.6</v>
      </c>
      <c r="N22" s="116">
        <v>211.13333333333301</v>
      </c>
      <c r="O22" s="116">
        <v>207.96666666666701</v>
      </c>
      <c r="P22" s="116">
        <v>210.46666666666701</v>
      </c>
      <c r="Q22" s="116">
        <v>628.79999999999995</v>
      </c>
      <c r="R22">
        <v>84209</v>
      </c>
    </row>
    <row r="23" spans="1:18" x14ac:dyDescent="0.25">
      <c r="A23" s="169">
        <v>42524</v>
      </c>
      <c r="B23" s="116">
        <v>222.9</v>
      </c>
      <c r="C23" s="116">
        <v>210.26666666666699</v>
      </c>
      <c r="D23" s="116">
        <v>208.666666666667</v>
      </c>
      <c r="E23" s="116">
        <v>209.3</v>
      </c>
      <c r="F23" s="116">
        <v>630.79999999999995</v>
      </c>
      <c r="G23">
        <v>309558</v>
      </c>
      <c r="H23" s="116"/>
      <c r="I23" s="116"/>
      <c r="L23" s="169">
        <v>42524</v>
      </c>
      <c r="M23" s="116">
        <v>209.683333333333</v>
      </c>
      <c r="N23" s="116">
        <v>223.3</v>
      </c>
      <c r="O23" s="116">
        <v>208.23333333333301</v>
      </c>
      <c r="P23" s="116">
        <v>210</v>
      </c>
      <c r="Q23" s="116">
        <v>629.04999999999995</v>
      </c>
      <c r="R23">
        <v>1288296</v>
      </c>
    </row>
    <row r="24" spans="1:18" x14ac:dyDescent="0.25">
      <c r="A24" s="169">
        <v>42527</v>
      </c>
      <c r="B24" s="116">
        <v>211.3</v>
      </c>
      <c r="C24" s="116">
        <v>198.51666666666699</v>
      </c>
      <c r="D24" s="116">
        <v>196.73333333333301</v>
      </c>
      <c r="E24" s="116">
        <v>207.083333333333</v>
      </c>
      <c r="F24" s="116">
        <v>595.54999999999995</v>
      </c>
      <c r="G24">
        <v>333763</v>
      </c>
      <c r="H24" s="116"/>
      <c r="I24" s="116"/>
      <c r="L24" s="169">
        <v>42527</v>
      </c>
      <c r="M24" s="116">
        <v>198.51666666666699</v>
      </c>
      <c r="N24" s="116">
        <v>211.46666666666701</v>
      </c>
      <c r="O24" s="116">
        <v>196.666666666667</v>
      </c>
      <c r="P24" s="116">
        <v>208.3</v>
      </c>
      <c r="Q24" s="116">
        <v>595.54999999999995</v>
      </c>
      <c r="R24">
        <v>1235071</v>
      </c>
    </row>
    <row r="25" spans="1:18" x14ac:dyDescent="0.25">
      <c r="A25" s="169">
        <v>42528</v>
      </c>
      <c r="B25" s="116">
        <v>206.36666666666699</v>
      </c>
      <c r="C25" s="116">
        <v>202.96666666666701</v>
      </c>
      <c r="D25" s="116">
        <v>199.183333333333</v>
      </c>
      <c r="E25" s="116">
        <v>199.666666666667</v>
      </c>
      <c r="F25" s="116">
        <v>608.9</v>
      </c>
      <c r="G25">
        <v>85730</v>
      </c>
      <c r="H25" s="116"/>
      <c r="I25" s="116"/>
      <c r="L25" s="169">
        <v>42528</v>
      </c>
      <c r="M25" s="116">
        <v>203.45</v>
      </c>
      <c r="N25" s="116">
        <v>206.46666666666701</v>
      </c>
      <c r="O25" s="116">
        <v>198.916666666667</v>
      </c>
      <c r="P25" s="116">
        <v>199.35</v>
      </c>
      <c r="Q25" s="116">
        <v>610.35</v>
      </c>
      <c r="R25">
        <v>409974</v>
      </c>
    </row>
    <row r="26" spans="1:18" x14ac:dyDescent="0.25">
      <c r="A26" s="169">
        <v>42529</v>
      </c>
      <c r="B26" s="116">
        <v>205.78333333333299</v>
      </c>
      <c r="C26" s="116">
        <v>202.38333333333301</v>
      </c>
      <c r="D26" s="116">
        <v>201.65</v>
      </c>
      <c r="E26" s="116">
        <v>201.833333333333</v>
      </c>
      <c r="F26" s="116">
        <v>607.15</v>
      </c>
      <c r="G26">
        <v>32085</v>
      </c>
      <c r="H26" s="116"/>
      <c r="I26" s="116"/>
      <c r="L26" s="169">
        <v>42529</v>
      </c>
      <c r="M26" s="116">
        <v>202.433333333333</v>
      </c>
      <c r="N26" s="116">
        <v>205.86666666666699</v>
      </c>
      <c r="O26" s="116">
        <v>201.666666666667</v>
      </c>
      <c r="P26" s="116">
        <v>204.8</v>
      </c>
      <c r="Q26" s="116">
        <v>607.29999999999995</v>
      </c>
      <c r="R26">
        <v>144198</v>
      </c>
    </row>
    <row r="27" spans="1:18" x14ac:dyDescent="0.25">
      <c r="A27" s="169">
        <v>42530</v>
      </c>
      <c r="B27" s="116">
        <v>203.45</v>
      </c>
      <c r="C27" s="116">
        <v>200.63333333333301</v>
      </c>
      <c r="D27" s="116">
        <v>199.71666666666701</v>
      </c>
      <c r="E27" s="116">
        <v>202.333333333333</v>
      </c>
      <c r="F27" s="116">
        <v>601.9</v>
      </c>
      <c r="G27">
        <v>33999</v>
      </c>
      <c r="H27" s="116"/>
      <c r="I27" s="116"/>
      <c r="L27" s="169">
        <v>42530</v>
      </c>
      <c r="M27" s="116">
        <v>200.1</v>
      </c>
      <c r="N27" s="116">
        <v>203.25</v>
      </c>
      <c r="O27" s="116">
        <v>199.333333333333</v>
      </c>
      <c r="P27" s="116">
        <v>203.25</v>
      </c>
      <c r="Q27" s="116">
        <v>600.29999999999995</v>
      </c>
      <c r="R27">
        <v>116741</v>
      </c>
    </row>
    <row r="28" spans="1:18" x14ac:dyDescent="0.25">
      <c r="A28" s="169">
        <v>42531</v>
      </c>
      <c r="B28" s="116">
        <v>203.333333333333</v>
      </c>
      <c r="C28" s="116">
        <v>198.73333333333301</v>
      </c>
      <c r="D28" s="116">
        <v>196.7</v>
      </c>
      <c r="E28" s="116">
        <v>202</v>
      </c>
      <c r="F28" s="116">
        <v>596.20000000000005</v>
      </c>
      <c r="G28">
        <v>63791</v>
      </c>
      <c r="H28" s="116"/>
      <c r="I28" s="116"/>
      <c r="L28" s="169">
        <v>42531</v>
      </c>
      <c r="M28" s="116">
        <v>198.85</v>
      </c>
      <c r="N28" s="116">
        <v>203.26666666666699</v>
      </c>
      <c r="O28" s="116">
        <v>196.933333333333</v>
      </c>
      <c r="P28" s="116">
        <v>201.65</v>
      </c>
      <c r="Q28" s="116">
        <v>596.54999999999995</v>
      </c>
      <c r="R28">
        <v>197831</v>
      </c>
    </row>
    <row r="29" spans="1:18" x14ac:dyDescent="0.25">
      <c r="A29" s="169">
        <v>42534</v>
      </c>
      <c r="B29" s="116">
        <v>205</v>
      </c>
      <c r="C29" s="116">
        <v>200.78333333333299</v>
      </c>
      <c r="D29" s="116">
        <v>200</v>
      </c>
      <c r="E29" s="116">
        <v>200.666666666667</v>
      </c>
      <c r="F29" s="116">
        <v>602.35</v>
      </c>
      <c r="G29">
        <v>77869</v>
      </c>
      <c r="H29" s="116"/>
      <c r="I29" s="116"/>
      <c r="L29" s="169">
        <v>42534</v>
      </c>
      <c r="M29" s="116">
        <v>200.666666666667</v>
      </c>
      <c r="N29" s="116">
        <v>205</v>
      </c>
      <c r="O29" s="116">
        <v>200</v>
      </c>
      <c r="P29" s="116">
        <v>200.5</v>
      </c>
      <c r="Q29" s="116">
        <v>602</v>
      </c>
      <c r="R29">
        <v>412557</v>
      </c>
    </row>
    <row r="30" spans="1:18" x14ac:dyDescent="0.25">
      <c r="A30" s="169">
        <v>42535</v>
      </c>
      <c r="B30" s="116">
        <v>204.416666666667</v>
      </c>
      <c r="C30" s="116">
        <v>201.03333333333299</v>
      </c>
      <c r="D30" s="116">
        <v>200.333333333333</v>
      </c>
      <c r="E30" s="116">
        <v>201</v>
      </c>
      <c r="F30" s="116">
        <v>603.1</v>
      </c>
      <c r="G30">
        <v>38554</v>
      </c>
      <c r="H30" s="116"/>
      <c r="I30" s="116"/>
      <c r="L30" s="169">
        <v>42535</v>
      </c>
      <c r="M30" s="116">
        <v>201.36666666666699</v>
      </c>
      <c r="N30" s="116">
        <v>204.26666666666699</v>
      </c>
      <c r="O30" s="116">
        <v>200.85</v>
      </c>
      <c r="P30" s="116">
        <v>201.26666666666699</v>
      </c>
      <c r="Q30" s="116">
        <v>604.1</v>
      </c>
      <c r="R30">
        <v>160051</v>
      </c>
    </row>
    <row r="31" spans="1:18" x14ac:dyDescent="0.25">
      <c r="A31" s="169">
        <v>42536</v>
      </c>
      <c r="B31" s="116">
        <v>203.3</v>
      </c>
      <c r="C31" s="116">
        <v>200.066666666667</v>
      </c>
      <c r="D31" s="116">
        <v>199.083333333333</v>
      </c>
      <c r="E31" s="116">
        <v>201.9</v>
      </c>
      <c r="F31" s="116">
        <v>600.20000000000005</v>
      </c>
      <c r="G31">
        <v>24278</v>
      </c>
      <c r="H31" s="116"/>
      <c r="I31" s="116"/>
      <c r="L31" s="169">
        <v>42536</v>
      </c>
      <c r="M31" s="116">
        <v>199.88333333333301</v>
      </c>
      <c r="N31" s="116">
        <v>203.4</v>
      </c>
      <c r="O31" s="116">
        <v>199</v>
      </c>
      <c r="P31" s="116">
        <v>202.166666666667</v>
      </c>
      <c r="Q31" s="116">
        <v>599.65</v>
      </c>
      <c r="R31">
        <v>116445</v>
      </c>
    </row>
    <row r="32" spans="1:18" x14ac:dyDescent="0.25">
      <c r="A32" s="169">
        <v>42537</v>
      </c>
      <c r="B32" s="116">
        <v>202.61666666666699</v>
      </c>
      <c r="C32" s="116">
        <v>196.45</v>
      </c>
      <c r="D32" s="116">
        <v>195.333333333333</v>
      </c>
      <c r="E32" s="116">
        <v>200.73333333333301</v>
      </c>
      <c r="F32" s="116">
        <v>589.35</v>
      </c>
      <c r="G32">
        <v>45681</v>
      </c>
      <c r="H32" s="116"/>
      <c r="I32" s="116"/>
      <c r="L32" s="169">
        <v>42537</v>
      </c>
      <c r="M32" s="116">
        <v>196.35</v>
      </c>
      <c r="N32" s="116">
        <v>202.933333333333</v>
      </c>
      <c r="O32" s="116">
        <v>195.333333333333</v>
      </c>
      <c r="P32" s="116">
        <v>201.316666666667</v>
      </c>
      <c r="Q32" s="116">
        <v>589.04999999999995</v>
      </c>
      <c r="R32">
        <v>245784</v>
      </c>
    </row>
    <row r="33" spans="1:18" x14ac:dyDescent="0.25">
      <c r="A33" s="169">
        <v>42538</v>
      </c>
      <c r="B33" s="116">
        <v>200.166666666667</v>
      </c>
      <c r="C33" s="116">
        <v>195.433333333333</v>
      </c>
      <c r="D33" s="116">
        <v>194.416666666667</v>
      </c>
      <c r="E33" s="116">
        <v>198</v>
      </c>
      <c r="F33" s="116">
        <v>586.29999999999995</v>
      </c>
      <c r="G33">
        <v>34056</v>
      </c>
      <c r="H33" s="116"/>
      <c r="I33" s="116"/>
      <c r="L33" s="169">
        <v>42538</v>
      </c>
      <c r="M33" s="116">
        <v>195.55</v>
      </c>
      <c r="N33" s="116">
        <v>200</v>
      </c>
      <c r="O33" s="116">
        <v>194.666666666667</v>
      </c>
      <c r="P33" s="116">
        <v>197.083333333333</v>
      </c>
      <c r="Q33" s="116">
        <v>586.65</v>
      </c>
      <c r="R33">
        <v>137866</v>
      </c>
    </row>
    <row r="34" spans="1:18" x14ac:dyDescent="0.25">
      <c r="A34" s="169">
        <v>42541</v>
      </c>
      <c r="B34" s="116">
        <v>195.333333333333</v>
      </c>
      <c r="C34" s="116">
        <v>190.11666666666699</v>
      </c>
      <c r="D34" s="116">
        <v>183.666666666667</v>
      </c>
      <c r="E34" s="116">
        <v>195.333333333333</v>
      </c>
      <c r="F34" s="116">
        <v>570.35</v>
      </c>
      <c r="G34">
        <v>46256</v>
      </c>
      <c r="H34" s="116"/>
      <c r="I34" s="116"/>
      <c r="L34" s="169">
        <v>42541</v>
      </c>
      <c r="M34" s="116">
        <v>190.15</v>
      </c>
      <c r="N34" s="116">
        <v>194.933333333333</v>
      </c>
      <c r="O34" s="116">
        <v>189</v>
      </c>
      <c r="P34" s="116">
        <v>194.933333333333</v>
      </c>
      <c r="Q34" s="116">
        <v>570.45000000000005</v>
      </c>
      <c r="R34">
        <v>185601</v>
      </c>
    </row>
    <row r="35" spans="1:18" x14ac:dyDescent="0.25">
      <c r="A35" s="169">
        <v>42542</v>
      </c>
      <c r="B35" s="116">
        <v>194</v>
      </c>
      <c r="C35" s="116">
        <v>193.01666666666699</v>
      </c>
      <c r="D35" s="116">
        <v>188.88333333333301</v>
      </c>
      <c r="E35" s="116">
        <v>188.88333333333301</v>
      </c>
      <c r="F35" s="116">
        <v>579.04999999999995</v>
      </c>
      <c r="G35">
        <v>23978</v>
      </c>
      <c r="H35" s="116"/>
      <c r="I35" s="116"/>
      <c r="L35" s="169">
        <v>42542</v>
      </c>
      <c r="M35" s="116">
        <v>193.36666666666699</v>
      </c>
      <c r="N35" s="116">
        <v>194.23333333333301</v>
      </c>
      <c r="O35" s="116">
        <v>189.38333333333301</v>
      </c>
      <c r="P35" s="116">
        <v>190.333333333333</v>
      </c>
      <c r="Q35" s="116">
        <v>580.1</v>
      </c>
      <c r="R35">
        <v>223540</v>
      </c>
    </row>
    <row r="36" spans="1:18" x14ac:dyDescent="0.25">
      <c r="A36" s="169">
        <v>42543</v>
      </c>
      <c r="B36" s="116">
        <v>194</v>
      </c>
      <c r="C36" s="116">
        <v>189.7</v>
      </c>
      <c r="D36" s="116">
        <v>189.083333333333</v>
      </c>
      <c r="E36" s="116">
        <v>193.6</v>
      </c>
      <c r="F36" s="116">
        <v>569.1</v>
      </c>
      <c r="G36">
        <v>15560</v>
      </c>
      <c r="H36" s="116"/>
      <c r="I36" s="116"/>
      <c r="L36" s="169">
        <v>42543</v>
      </c>
      <c r="M36" s="116">
        <v>190.1</v>
      </c>
      <c r="N36" s="116">
        <v>193.9</v>
      </c>
      <c r="O36" s="116">
        <v>189.65</v>
      </c>
      <c r="P36" s="116">
        <v>193.333333333333</v>
      </c>
      <c r="Q36" s="116">
        <v>570.29999999999995</v>
      </c>
      <c r="R36">
        <v>77267</v>
      </c>
    </row>
    <row r="37" spans="1:18" x14ac:dyDescent="0.25">
      <c r="A37" s="169">
        <v>42544</v>
      </c>
      <c r="B37" s="116">
        <v>191.1</v>
      </c>
      <c r="C37" s="116">
        <v>186.683333333333</v>
      </c>
      <c r="D37" s="116">
        <v>185.35</v>
      </c>
      <c r="E37" s="116">
        <v>190</v>
      </c>
      <c r="F37" s="116">
        <v>560.04999999999995</v>
      </c>
      <c r="G37">
        <v>20556</v>
      </c>
      <c r="H37" s="116"/>
      <c r="I37" s="116"/>
      <c r="L37" s="169">
        <v>42544</v>
      </c>
      <c r="M37" s="116">
        <v>186.51666666666699</v>
      </c>
      <c r="N37" s="116">
        <v>191.25</v>
      </c>
      <c r="O37" s="116">
        <v>185.666666666667</v>
      </c>
      <c r="P37" s="116">
        <v>190.03333333333299</v>
      </c>
      <c r="Q37" s="116">
        <v>559.54999999999995</v>
      </c>
      <c r="R37">
        <v>73066</v>
      </c>
    </row>
    <row r="38" spans="1:18" x14ac:dyDescent="0.25">
      <c r="A38" s="169">
        <v>42545</v>
      </c>
      <c r="B38" s="116">
        <v>183.48333333333301</v>
      </c>
      <c r="C38" s="116">
        <v>182.25</v>
      </c>
      <c r="D38" s="116">
        <v>174.53333333333299</v>
      </c>
      <c r="E38" s="116">
        <v>182.666666666667</v>
      </c>
      <c r="F38" s="116">
        <v>546.75</v>
      </c>
      <c r="G38">
        <v>169666</v>
      </c>
      <c r="H38" s="116"/>
      <c r="I38" s="116"/>
      <c r="L38" s="169">
        <v>42545</v>
      </c>
      <c r="M38" s="116">
        <v>181.35</v>
      </c>
      <c r="N38" s="116">
        <v>184.95</v>
      </c>
      <c r="O38" s="116">
        <v>174.4</v>
      </c>
      <c r="P38" s="116">
        <v>180.666666666667</v>
      </c>
      <c r="Q38" s="116">
        <v>544.04999999999995</v>
      </c>
      <c r="R38">
        <v>545488</v>
      </c>
    </row>
    <row r="39" spans="1:18" x14ac:dyDescent="0.25">
      <c r="A39" s="169">
        <v>42548</v>
      </c>
      <c r="B39" s="116">
        <v>193.333333333333</v>
      </c>
      <c r="C39" s="116">
        <v>188.916666666667</v>
      </c>
      <c r="D39" s="116">
        <v>181.683333333333</v>
      </c>
      <c r="E39" s="116">
        <v>182</v>
      </c>
      <c r="F39" s="116">
        <v>566.75</v>
      </c>
      <c r="G39">
        <v>35035</v>
      </c>
      <c r="H39" s="116"/>
      <c r="I39" s="116"/>
      <c r="L39" s="169">
        <v>42548</v>
      </c>
      <c r="M39" s="116">
        <v>189.55</v>
      </c>
      <c r="N39" s="116">
        <v>193.6</v>
      </c>
      <c r="O39" s="116">
        <v>179.183333333333</v>
      </c>
      <c r="P39" s="116">
        <v>179.183333333333</v>
      </c>
      <c r="Q39" s="116">
        <v>568.65</v>
      </c>
      <c r="R39">
        <v>177671</v>
      </c>
    </row>
    <row r="40" spans="1:18" x14ac:dyDescent="0.25">
      <c r="A40" s="169">
        <v>42549</v>
      </c>
      <c r="B40" s="116">
        <v>191.63333333333301</v>
      </c>
      <c r="C40" s="116">
        <v>189.833333333333</v>
      </c>
      <c r="D40" s="116">
        <v>188.51666666666699</v>
      </c>
      <c r="E40" s="116">
        <v>189.333333333333</v>
      </c>
      <c r="F40" s="116">
        <v>569.5</v>
      </c>
      <c r="G40">
        <v>43325</v>
      </c>
      <c r="H40" s="116"/>
      <c r="I40" s="116"/>
      <c r="L40" s="169">
        <v>42549</v>
      </c>
      <c r="M40" s="116">
        <v>190.36666666666699</v>
      </c>
      <c r="N40" s="116">
        <v>191.666666666667</v>
      </c>
      <c r="O40" s="116">
        <v>189</v>
      </c>
      <c r="P40" s="116">
        <v>189.9</v>
      </c>
      <c r="Q40" s="116">
        <v>571.1</v>
      </c>
      <c r="R40">
        <v>93774</v>
      </c>
    </row>
    <row r="41" spans="1:18" x14ac:dyDescent="0.25">
      <c r="A41" s="169">
        <v>42550</v>
      </c>
      <c r="B41" s="116">
        <v>191.333333333333</v>
      </c>
      <c r="C41" s="116">
        <v>188.833333333333</v>
      </c>
      <c r="D41" s="116">
        <v>187.76666666666699</v>
      </c>
      <c r="E41" s="116">
        <v>190</v>
      </c>
      <c r="F41" s="116">
        <v>566.5</v>
      </c>
      <c r="G41">
        <v>35859</v>
      </c>
      <c r="H41" s="116"/>
      <c r="I41" s="116"/>
      <c r="L41" s="169">
        <v>42550</v>
      </c>
      <c r="M41" s="116">
        <v>188.61666666666699</v>
      </c>
      <c r="N41" s="116">
        <v>190.8</v>
      </c>
      <c r="O41" s="116">
        <v>187.75</v>
      </c>
      <c r="P41" s="116">
        <v>189.36666666666699</v>
      </c>
      <c r="Q41" s="116">
        <v>565.85</v>
      </c>
      <c r="R41">
        <v>62105</v>
      </c>
    </row>
    <row r="42" spans="1:18" x14ac:dyDescent="0.25">
      <c r="A42" s="169">
        <v>42551</v>
      </c>
      <c r="B42" s="116">
        <v>193.416666666667</v>
      </c>
      <c r="C42" s="116">
        <v>190.566666666667</v>
      </c>
      <c r="D42" s="116">
        <v>189</v>
      </c>
      <c r="E42" s="116">
        <v>189.5</v>
      </c>
      <c r="F42" s="116">
        <v>571.70000000000005</v>
      </c>
      <c r="G42">
        <v>34848</v>
      </c>
      <c r="H42" s="116"/>
      <c r="I42" s="116"/>
      <c r="L42" s="169">
        <v>42551</v>
      </c>
      <c r="M42" s="116">
        <v>190.46666666666701</v>
      </c>
      <c r="N42" s="116">
        <v>193.21666666666701</v>
      </c>
      <c r="O42" s="116">
        <v>188.63333333333301</v>
      </c>
      <c r="P42" s="116">
        <v>188.666666666667</v>
      </c>
      <c r="Q42" s="116">
        <v>571.4</v>
      </c>
      <c r="R42">
        <v>107609</v>
      </c>
    </row>
    <row r="43" spans="1:18" x14ac:dyDescent="0.25">
      <c r="A43" s="169">
        <v>42552</v>
      </c>
      <c r="B43" s="116">
        <v>191.46666666666701</v>
      </c>
      <c r="C43" s="116">
        <v>187.98333333333301</v>
      </c>
      <c r="D43" s="116">
        <v>186.7</v>
      </c>
      <c r="E43" s="116">
        <v>190.7</v>
      </c>
      <c r="F43" s="116">
        <v>563.95000000000005</v>
      </c>
      <c r="G43">
        <v>35561</v>
      </c>
      <c r="H43" s="116"/>
      <c r="I43" s="116"/>
      <c r="L43" s="169">
        <v>42552</v>
      </c>
      <c r="M43" s="116">
        <v>188.35</v>
      </c>
      <c r="N43" s="116">
        <v>191.666666666667</v>
      </c>
      <c r="O43" s="116">
        <v>187.333333333333</v>
      </c>
      <c r="P43" s="116">
        <v>190.933333333333</v>
      </c>
      <c r="Q43" s="116">
        <v>565.04999999999995</v>
      </c>
      <c r="R43">
        <v>51833</v>
      </c>
    </row>
    <row r="44" spans="1:18" x14ac:dyDescent="0.25">
      <c r="A44" s="169">
        <v>42555</v>
      </c>
      <c r="B44" s="116">
        <v>190.9</v>
      </c>
      <c r="C44" s="116">
        <v>188.23333333333301</v>
      </c>
      <c r="D44" s="116">
        <v>187.333333333333</v>
      </c>
      <c r="E44" s="116">
        <v>189.65</v>
      </c>
      <c r="F44" s="116">
        <v>564.70000000000005</v>
      </c>
      <c r="G44">
        <v>19475</v>
      </c>
      <c r="H44" s="116"/>
      <c r="I44" s="116"/>
      <c r="L44" s="169">
        <v>42555</v>
      </c>
      <c r="M44" s="116">
        <v>188.01666666666699</v>
      </c>
      <c r="N44" s="116">
        <v>190.666666666667</v>
      </c>
      <c r="O44" s="116">
        <v>187.5</v>
      </c>
      <c r="P44" s="116">
        <v>188.833333333333</v>
      </c>
      <c r="Q44" s="116">
        <v>564.04999999999995</v>
      </c>
      <c r="R44">
        <v>71530</v>
      </c>
    </row>
    <row r="45" spans="1:18" x14ac:dyDescent="0.25">
      <c r="A45" s="169">
        <v>42556</v>
      </c>
      <c r="B45" s="116">
        <v>192.183333333333</v>
      </c>
      <c r="C45" s="116">
        <v>188.86666666666699</v>
      </c>
      <c r="D45" s="116">
        <v>188.083333333333</v>
      </c>
      <c r="E45" s="116">
        <v>188.38333333333301</v>
      </c>
      <c r="F45" s="116">
        <v>566.6</v>
      </c>
      <c r="G45">
        <v>20527</v>
      </c>
      <c r="H45" s="116"/>
      <c r="I45" s="116"/>
      <c r="L45" s="169">
        <v>42556</v>
      </c>
      <c r="M45" s="116">
        <v>188.53333333333299</v>
      </c>
      <c r="N45" s="116">
        <v>192.03333333333299</v>
      </c>
      <c r="O45" s="116">
        <v>188.05</v>
      </c>
      <c r="P45" s="116">
        <v>188.916666666667</v>
      </c>
      <c r="Q45" s="116">
        <v>565.6</v>
      </c>
      <c r="R45">
        <v>82651</v>
      </c>
    </row>
    <row r="46" spans="1:18" x14ac:dyDescent="0.25">
      <c r="A46" s="169">
        <v>42558</v>
      </c>
      <c r="B46" s="116">
        <v>190.75</v>
      </c>
      <c r="C46" s="116">
        <v>187.416666666667</v>
      </c>
      <c r="D46" s="116">
        <v>186.85</v>
      </c>
      <c r="E46" s="116">
        <v>189</v>
      </c>
      <c r="F46" s="116">
        <v>562.25</v>
      </c>
      <c r="G46">
        <v>9571</v>
      </c>
      <c r="H46" s="116"/>
      <c r="I46" s="116"/>
      <c r="L46" s="169">
        <v>42558</v>
      </c>
      <c r="M46" s="116">
        <v>187.61666666666699</v>
      </c>
      <c r="N46" s="116">
        <v>190.666666666667</v>
      </c>
      <c r="O46" s="116">
        <v>187.333333333333</v>
      </c>
      <c r="P46" s="116">
        <v>188.9</v>
      </c>
      <c r="Q46" s="116">
        <v>562.85</v>
      </c>
      <c r="R46">
        <v>47357</v>
      </c>
    </row>
    <row r="47" spans="1:18" x14ac:dyDescent="0.25">
      <c r="A47" s="169">
        <v>42559</v>
      </c>
      <c r="B47" s="116">
        <v>188.816666666667</v>
      </c>
      <c r="C47" s="116">
        <v>185.6</v>
      </c>
      <c r="D47" s="116">
        <v>185</v>
      </c>
      <c r="E47" s="116">
        <v>188.333333333333</v>
      </c>
      <c r="F47" s="116">
        <v>556.79999999999995</v>
      </c>
      <c r="G47">
        <v>17788</v>
      </c>
      <c r="H47" s="116"/>
      <c r="I47" s="116"/>
      <c r="L47" s="169">
        <v>42559</v>
      </c>
      <c r="M47" s="116">
        <v>186.333333333333</v>
      </c>
      <c r="N47" s="116">
        <v>189.166666666667</v>
      </c>
      <c r="O47" s="116">
        <v>185.05</v>
      </c>
      <c r="P47" s="116">
        <v>188.26666666666699</v>
      </c>
      <c r="Q47" s="116">
        <v>559</v>
      </c>
      <c r="R47">
        <v>54153</v>
      </c>
    </row>
    <row r="48" spans="1:18" x14ac:dyDescent="0.25">
      <c r="A48" s="169">
        <v>42562</v>
      </c>
      <c r="B48" s="116">
        <v>193</v>
      </c>
      <c r="C48" s="116">
        <v>189.4</v>
      </c>
      <c r="D48" s="116">
        <v>187.433333333333</v>
      </c>
      <c r="E48" s="116">
        <v>188.15</v>
      </c>
      <c r="F48" s="116">
        <v>568.20000000000005</v>
      </c>
      <c r="G48">
        <v>23005</v>
      </c>
      <c r="H48" s="116"/>
      <c r="I48" s="116"/>
      <c r="L48" s="169">
        <v>42562</v>
      </c>
      <c r="M48" s="116">
        <v>189.48333333333301</v>
      </c>
      <c r="N48" s="116">
        <v>193</v>
      </c>
      <c r="O48" s="116">
        <v>186.71666666666701</v>
      </c>
      <c r="P48" s="116">
        <v>188.933333333333</v>
      </c>
      <c r="Q48" s="116">
        <v>568.45000000000005</v>
      </c>
      <c r="R48">
        <v>109480</v>
      </c>
    </row>
    <row r="49" spans="1:18" x14ac:dyDescent="0.25">
      <c r="A49" s="169">
        <v>42563</v>
      </c>
      <c r="B49" s="116">
        <v>190.78333333333299</v>
      </c>
      <c r="C49" s="116">
        <v>186.666666666667</v>
      </c>
      <c r="D49" s="116">
        <v>185.833333333333</v>
      </c>
      <c r="E49" s="116">
        <v>190.78333333333299</v>
      </c>
      <c r="F49" s="116">
        <v>560</v>
      </c>
      <c r="G49">
        <v>19199</v>
      </c>
      <c r="H49" s="116"/>
      <c r="I49" s="116"/>
      <c r="L49" s="169">
        <v>42563</v>
      </c>
      <c r="M49" s="116">
        <v>186.51666666666699</v>
      </c>
      <c r="N49" s="116">
        <v>190.88333333333301</v>
      </c>
      <c r="O49" s="116">
        <v>185.35</v>
      </c>
      <c r="P49" s="116">
        <v>190</v>
      </c>
      <c r="Q49" s="116">
        <v>559.54999999999995</v>
      </c>
      <c r="R49">
        <v>79691</v>
      </c>
    </row>
    <row r="50" spans="1:18" x14ac:dyDescent="0.25">
      <c r="A50" s="169">
        <v>42564</v>
      </c>
      <c r="B50" s="116">
        <v>188.333333333333</v>
      </c>
      <c r="C50" s="116">
        <v>182.816666666667</v>
      </c>
      <c r="D50" s="116">
        <v>181.45</v>
      </c>
      <c r="E50" s="116">
        <v>187.333333333333</v>
      </c>
      <c r="F50" s="116">
        <v>548.45000000000005</v>
      </c>
      <c r="G50">
        <v>16448</v>
      </c>
      <c r="H50" s="116"/>
      <c r="I50" s="116"/>
      <c r="L50" s="169">
        <v>42564</v>
      </c>
      <c r="M50" s="116">
        <v>182.71666666666701</v>
      </c>
      <c r="N50" s="116">
        <v>188.333333333333</v>
      </c>
      <c r="O50" s="116">
        <v>181.666666666667</v>
      </c>
      <c r="P50" s="116">
        <v>186.71666666666701</v>
      </c>
      <c r="Q50" s="116">
        <v>548.15</v>
      </c>
      <c r="R50">
        <v>69115</v>
      </c>
    </row>
    <row r="51" spans="1:18" x14ac:dyDescent="0.25">
      <c r="A51" s="169">
        <v>42565</v>
      </c>
      <c r="B51" s="116">
        <v>183.666666666667</v>
      </c>
      <c r="C51" s="116">
        <v>180.833333333333</v>
      </c>
      <c r="D51" s="116">
        <v>180.05</v>
      </c>
      <c r="E51" s="116">
        <v>181.96666666666701</v>
      </c>
      <c r="F51" s="116">
        <v>542.5</v>
      </c>
      <c r="G51">
        <v>13844</v>
      </c>
      <c r="H51" s="116"/>
      <c r="I51" s="116"/>
      <c r="L51" s="169">
        <v>42565</v>
      </c>
      <c r="M51" s="116">
        <v>180.76666666666699</v>
      </c>
      <c r="N51" s="116">
        <v>183.683333333333</v>
      </c>
      <c r="O51" s="116">
        <v>180.333333333333</v>
      </c>
      <c r="P51" s="116">
        <v>181.666666666667</v>
      </c>
      <c r="Q51" s="116">
        <v>542.29999999999995</v>
      </c>
      <c r="R51">
        <v>65100</v>
      </c>
    </row>
    <row r="52" spans="1:18" x14ac:dyDescent="0.25">
      <c r="A52" s="169">
        <v>42566</v>
      </c>
      <c r="B52" s="116">
        <v>184.166666666667</v>
      </c>
      <c r="C52" s="116">
        <v>179.3</v>
      </c>
      <c r="D52" s="116">
        <v>178.75</v>
      </c>
      <c r="E52" s="116">
        <v>182.21666666666701</v>
      </c>
      <c r="F52" s="116">
        <v>537.9</v>
      </c>
      <c r="G52">
        <v>14547</v>
      </c>
      <c r="H52" s="116"/>
      <c r="I52" s="116"/>
      <c r="L52" s="169">
        <v>42566</v>
      </c>
      <c r="M52" s="116">
        <v>179.48333333333301</v>
      </c>
      <c r="N52" s="116">
        <v>182.35</v>
      </c>
      <c r="O52" s="116">
        <v>179</v>
      </c>
      <c r="P52" s="116">
        <v>181.8</v>
      </c>
      <c r="Q52" s="116">
        <v>538.45000000000005</v>
      </c>
      <c r="R52">
        <v>47737</v>
      </c>
    </row>
    <row r="53" spans="1:18" x14ac:dyDescent="0.25">
      <c r="A53" s="169">
        <v>42569</v>
      </c>
      <c r="B53" s="116">
        <v>182.333333333333</v>
      </c>
      <c r="C53" s="116">
        <v>179.96666666666701</v>
      </c>
      <c r="D53" s="116">
        <v>179</v>
      </c>
      <c r="E53" s="116">
        <v>179.55</v>
      </c>
      <c r="F53" s="116">
        <v>539.9</v>
      </c>
      <c r="G53">
        <v>15447</v>
      </c>
      <c r="H53" s="116"/>
      <c r="I53" s="116"/>
      <c r="L53" s="169">
        <v>42569</v>
      </c>
      <c r="M53" s="116">
        <v>180.13333333333301</v>
      </c>
      <c r="N53" s="116">
        <v>182.316666666667</v>
      </c>
      <c r="O53" s="116">
        <v>179.066666666667</v>
      </c>
      <c r="P53" s="116">
        <v>179.066666666667</v>
      </c>
      <c r="Q53" s="116">
        <v>540.4</v>
      </c>
      <c r="R53">
        <v>67110</v>
      </c>
    </row>
    <row r="54" spans="1:18" x14ac:dyDescent="0.25">
      <c r="A54" s="169">
        <v>42570</v>
      </c>
      <c r="B54" s="116">
        <v>182.166666666667</v>
      </c>
      <c r="C54" s="116">
        <v>181.65</v>
      </c>
      <c r="D54" s="116">
        <v>178.75</v>
      </c>
      <c r="E54" s="116">
        <v>180.333333333333</v>
      </c>
      <c r="F54" s="116">
        <v>544.95000000000005</v>
      </c>
      <c r="G54">
        <v>25036</v>
      </c>
      <c r="H54" s="116"/>
      <c r="I54" s="116"/>
      <c r="L54" s="169">
        <v>42570</v>
      </c>
      <c r="M54" s="116">
        <v>181.71666666666701</v>
      </c>
      <c r="N54" s="116">
        <v>181.98333333333301</v>
      </c>
      <c r="O54" s="116">
        <v>178.666666666667</v>
      </c>
      <c r="P54" s="116">
        <v>180.333333333333</v>
      </c>
      <c r="Q54" s="116">
        <v>545.15</v>
      </c>
      <c r="R54">
        <v>78327</v>
      </c>
    </row>
    <row r="55" spans="1:18" x14ac:dyDescent="0.25">
      <c r="A55" s="169">
        <v>42571</v>
      </c>
      <c r="B55" s="116">
        <v>183.96666666666701</v>
      </c>
      <c r="C55" s="116">
        <v>181.183333333333</v>
      </c>
      <c r="D55" s="116">
        <v>180.35</v>
      </c>
      <c r="E55" s="116">
        <v>181.75</v>
      </c>
      <c r="F55" s="116">
        <v>543.54999999999995</v>
      </c>
      <c r="G55">
        <v>11696</v>
      </c>
      <c r="H55" s="116"/>
      <c r="I55" s="116"/>
      <c r="L55" s="169">
        <v>42571</v>
      </c>
      <c r="M55" s="116">
        <v>181.01666666666699</v>
      </c>
      <c r="N55" s="116">
        <v>183.666666666667</v>
      </c>
      <c r="O55" s="116">
        <v>180.36666666666699</v>
      </c>
      <c r="P55" s="116">
        <v>180.71666666666701</v>
      </c>
      <c r="Q55" s="116">
        <v>543.04999999999995</v>
      </c>
      <c r="R55">
        <v>126201</v>
      </c>
    </row>
    <row r="56" spans="1:18" x14ac:dyDescent="0.25">
      <c r="A56" s="169">
        <v>42572</v>
      </c>
      <c r="B56" s="116">
        <v>192.11666666666699</v>
      </c>
      <c r="C56" s="116">
        <v>188.63333333333301</v>
      </c>
      <c r="D56" s="116">
        <v>181.333333333333</v>
      </c>
      <c r="E56" s="116">
        <v>182</v>
      </c>
      <c r="F56" s="116">
        <v>565.9</v>
      </c>
      <c r="G56">
        <v>116926</v>
      </c>
      <c r="H56" s="116"/>
      <c r="I56" s="116"/>
      <c r="L56" s="169">
        <v>42572</v>
      </c>
      <c r="M56" s="116">
        <v>189.11666666666699</v>
      </c>
      <c r="N56" s="116">
        <v>192.433333333333</v>
      </c>
      <c r="O56" s="116">
        <v>181.083333333333</v>
      </c>
      <c r="P56" s="116">
        <v>181.3</v>
      </c>
      <c r="Q56" s="116">
        <v>567.35</v>
      </c>
      <c r="R56">
        <v>301000</v>
      </c>
    </row>
    <row r="57" spans="1:18" x14ac:dyDescent="0.25">
      <c r="A57" s="169">
        <v>42573</v>
      </c>
      <c r="B57" s="116">
        <v>191.566666666667</v>
      </c>
      <c r="C57" s="116">
        <v>188.45</v>
      </c>
      <c r="D57" s="116">
        <v>186.6</v>
      </c>
      <c r="E57" s="116">
        <v>188.333333333333</v>
      </c>
      <c r="F57" s="116">
        <v>565.35</v>
      </c>
      <c r="G57">
        <v>27275</v>
      </c>
      <c r="H57" s="116"/>
      <c r="I57" s="116"/>
      <c r="L57" s="169">
        <v>42573</v>
      </c>
      <c r="M57" s="116">
        <v>188.48333333333301</v>
      </c>
      <c r="N57" s="116">
        <v>191.416666666667</v>
      </c>
      <c r="O57" s="116">
        <v>186.166666666667</v>
      </c>
      <c r="P57" s="116">
        <v>187.333333333333</v>
      </c>
      <c r="Q57" s="116">
        <v>565.45000000000005</v>
      </c>
      <c r="R57">
        <v>108902</v>
      </c>
    </row>
    <row r="58" spans="1:18" x14ac:dyDescent="0.25">
      <c r="A58" s="169">
        <v>42576</v>
      </c>
      <c r="B58" s="116">
        <v>197</v>
      </c>
      <c r="C58" s="116">
        <v>189.71666666666701</v>
      </c>
      <c r="D58" s="116">
        <v>188.333333333333</v>
      </c>
      <c r="E58" s="116">
        <v>195</v>
      </c>
      <c r="F58" s="116">
        <v>569.15</v>
      </c>
      <c r="G58">
        <v>51074</v>
      </c>
      <c r="H58" s="116"/>
      <c r="I58" s="116"/>
      <c r="L58" s="169">
        <v>42576</v>
      </c>
      <c r="M58" s="116">
        <v>189.45</v>
      </c>
      <c r="N58" s="116">
        <v>196.55</v>
      </c>
      <c r="O58" s="116">
        <v>186.7</v>
      </c>
      <c r="P58" s="116">
        <v>195.333333333333</v>
      </c>
      <c r="Q58" s="116">
        <v>568.35</v>
      </c>
      <c r="R58">
        <v>276388</v>
      </c>
    </row>
    <row r="59" spans="1:18" x14ac:dyDescent="0.25">
      <c r="A59" s="169">
        <v>42577</v>
      </c>
      <c r="B59" s="116">
        <v>192.666666666667</v>
      </c>
      <c r="C59" s="116">
        <v>191.8</v>
      </c>
      <c r="D59" s="116">
        <v>188.333333333333</v>
      </c>
      <c r="E59" s="116">
        <v>190.333333333333</v>
      </c>
      <c r="F59" s="116">
        <v>575.4</v>
      </c>
      <c r="G59">
        <v>16811</v>
      </c>
      <c r="H59" s="116"/>
      <c r="I59" s="116"/>
      <c r="L59" s="169">
        <v>42577</v>
      </c>
      <c r="M59" s="116">
        <v>192.55</v>
      </c>
      <c r="N59" s="116">
        <v>193.23333333333301</v>
      </c>
      <c r="O59" s="116">
        <v>187.85</v>
      </c>
      <c r="P59" s="116">
        <v>189.8</v>
      </c>
      <c r="Q59" s="116">
        <v>577.65</v>
      </c>
      <c r="R59">
        <v>125129</v>
      </c>
    </row>
    <row r="60" spans="1:18" x14ac:dyDescent="0.25">
      <c r="A60" s="169">
        <v>42578</v>
      </c>
      <c r="B60" s="116">
        <v>193.01666666666699</v>
      </c>
      <c r="C60" s="116">
        <v>190.066666666667</v>
      </c>
      <c r="D60" s="116">
        <v>188.63333333333301</v>
      </c>
      <c r="E60" s="116">
        <v>192.01666666666699</v>
      </c>
      <c r="F60" s="116">
        <v>570.20000000000005</v>
      </c>
      <c r="G60">
        <v>7684</v>
      </c>
      <c r="H60" s="116"/>
      <c r="I60" s="116"/>
      <c r="L60" s="169">
        <v>42578</v>
      </c>
      <c r="M60" s="116">
        <v>190.083333333333</v>
      </c>
      <c r="N60" s="116">
        <v>192.666666666667</v>
      </c>
      <c r="O60" s="116">
        <v>187.7</v>
      </c>
      <c r="P60" s="116">
        <v>192.6</v>
      </c>
      <c r="Q60" s="116">
        <v>570.25</v>
      </c>
      <c r="R60">
        <v>127279</v>
      </c>
    </row>
    <row r="61" spans="1:18" x14ac:dyDescent="0.25">
      <c r="A61" s="169">
        <v>42579</v>
      </c>
      <c r="B61" s="116">
        <v>190.48333333333301</v>
      </c>
      <c r="C61" s="116">
        <v>187.683333333333</v>
      </c>
      <c r="D61" s="116">
        <v>186.683333333333</v>
      </c>
      <c r="E61" s="116">
        <v>189.333333333333</v>
      </c>
      <c r="F61" s="116">
        <v>563.04999999999995</v>
      </c>
      <c r="G61">
        <v>10789</v>
      </c>
      <c r="H61" s="116"/>
      <c r="I61" s="116"/>
      <c r="L61" s="169">
        <v>42579</v>
      </c>
      <c r="M61" s="116">
        <v>187.71666666666701</v>
      </c>
      <c r="N61" s="116">
        <v>190.316666666667</v>
      </c>
      <c r="O61" s="116">
        <v>187.333333333333</v>
      </c>
      <c r="P61" s="116">
        <v>188.73333333333301</v>
      </c>
      <c r="Q61" s="116">
        <v>563.15</v>
      </c>
      <c r="R61">
        <v>55305</v>
      </c>
    </row>
    <row r="62" spans="1:18" x14ac:dyDescent="0.25">
      <c r="A62" s="169">
        <v>42580</v>
      </c>
      <c r="B62" s="116">
        <v>190.666666666667</v>
      </c>
      <c r="C62" s="116">
        <v>189.71666666666701</v>
      </c>
      <c r="D62" s="116">
        <v>187.433333333333</v>
      </c>
      <c r="E62" s="116">
        <v>187.433333333333</v>
      </c>
      <c r="F62" s="116">
        <v>569.15</v>
      </c>
      <c r="G62">
        <v>15344</v>
      </c>
      <c r="H62" s="116"/>
      <c r="I62" s="116"/>
      <c r="L62" s="169">
        <v>42580</v>
      </c>
      <c r="M62" s="116">
        <v>190.73333333333301</v>
      </c>
      <c r="N62" s="116">
        <v>190.96666666666701</v>
      </c>
      <c r="O62" s="116">
        <v>188.36666666666699</v>
      </c>
      <c r="P62" s="116">
        <v>188.65</v>
      </c>
      <c r="Q62" s="116">
        <v>572.20000000000005</v>
      </c>
      <c r="R62">
        <v>292090</v>
      </c>
    </row>
    <row r="63" spans="1:18" x14ac:dyDescent="0.25">
      <c r="A63" s="169">
        <v>42583</v>
      </c>
      <c r="B63" s="116">
        <v>191.333333333333</v>
      </c>
      <c r="C63" s="116">
        <v>186.88333333333301</v>
      </c>
      <c r="D63" s="116">
        <v>185</v>
      </c>
      <c r="E63" s="116">
        <v>190.8</v>
      </c>
      <c r="F63" s="116">
        <v>560.65</v>
      </c>
      <c r="G63">
        <v>17178</v>
      </c>
      <c r="H63" s="116"/>
      <c r="I63" s="116"/>
      <c r="L63" s="169">
        <v>42583</v>
      </c>
      <c r="M63" s="116">
        <v>186.25</v>
      </c>
      <c r="N63" s="116">
        <v>191.65</v>
      </c>
      <c r="O63" s="116">
        <v>184.03333333333299</v>
      </c>
      <c r="P63" s="116">
        <v>190.166666666667</v>
      </c>
      <c r="Q63" s="116">
        <v>558.75</v>
      </c>
      <c r="R63">
        <v>37580</v>
      </c>
    </row>
    <row r="64" spans="1:18" x14ac:dyDescent="0.25">
      <c r="A64" s="169">
        <v>42584</v>
      </c>
      <c r="B64" s="116">
        <v>189.73333333333301</v>
      </c>
      <c r="C64" s="116">
        <v>187.86666666666699</v>
      </c>
      <c r="D64" s="116">
        <v>185.26666666666699</v>
      </c>
      <c r="E64" s="116">
        <v>187</v>
      </c>
      <c r="F64" s="116">
        <v>563.6</v>
      </c>
      <c r="G64">
        <v>17045</v>
      </c>
      <c r="H64" s="116"/>
      <c r="I64" s="116"/>
      <c r="L64" s="169">
        <v>42584</v>
      </c>
      <c r="M64" s="116">
        <v>188.333333333333</v>
      </c>
      <c r="N64" s="116">
        <v>190</v>
      </c>
      <c r="O64" s="116">
        <v>184.85</v>
      </c>
      <c r="P64" s="116">
        <v>187.48333333333301</v>
      </c>
      <c r="Q64" s="116">
        <v>565</v>
      </c>
      <c r="R64">
        <v>114325</v>
      </c>
    </row>
    <row r="65" spans="1:18" x14ac:dyDescent="0.25">
      <c r="A65" s="169">
        <v>42585</v>
      </c>
      <c r="B65" s="116">
        <v>188.333333333333</v>
      </c>
      <c r="C65" s="116">
        <v>186.86666666666699</v>
      </c>
      <c r="D65" s="116">
        <v>184.55</v>
      </c>
      <c r="E65" s="116">
        <v>187.03333333333299</v>
      </c>
      <c r="F65" s="116">
        <v>560.6</v>
      </c>
      <c r="G65">
        <v>9224</v>
      </c>
      <c r="H65" s="116"/>
      <c r="I65" s="116"/>
      <c r="L65" s="169">
        <v>42585</v>
      </c>
      <c r="M65" s="116">
        <v>188.066666666667</v>
      </c>
      <c r="N65" s="116">
        <v>188.933333333333</v>
      </c>
      <c r="O65" s="116">
        <v>184.6</v>
      </c>
      <c r="P65" s="116">
        <v>187.53333333333299</v>
      </c>
      <c r="Q65" s="116">
        <v>564.20000000000005</v>
      </c>
      <c r="R65">
        <v>70064</v>
      </c>
    </row>
    <row r="66" spans="1:18" x14ac:dyDescent="0.25">
      <c r="A66" s="169">
        <v>42586</v>
      </c>
      <c r="B66" s="116">
        <v>189</v>
      </c>
      <c r="C66" s="116">
        <v>184.15</v>
      </c>
      <c r="D66" s="116">
        <v>183.7</v>
      </c>
      <c r="E66" s="116">
        <v>188.51666666666699</v>
      </c>
      <c r="F66" s="116">
        <v>552.45000000000005</v>
      </c>
      <c r="G66">
        <v>5620</v>
      </c>
      <c r="H66" s="116"/>
      <c r="I66" s="116"/>
      <c r="L66" s="169">
        <v>42586</v>
      </c>
      <c r="M66" s="116">
        <v>184.433333333333</v>
      </c>
      <c r="N66" s="116">
        <v>189.03333333333299</v>
      </c>
      <c r="O66" s="116">
        <v>183.666666666667</v>
      </c>
      <c r="P66" s="116">
        <v>188.63333333333301</v>
      </c>
      <c r="Q66" s="116">
        <v>553.29999999999995</v>
      </c>
      <c r="R66">
        <v>22919</v>
      </c>
    </row>
    <row r="67" spans="1:18" x14ac:dyDescent="0.25">
      <c r="A67" s="169">
        <v>42587</v>
      </c>
      <c r="B67" s="116">
        <v>186.98333333333301</v>
      </c>
      <c r="C67" s="116">
        <v>183.95</v>
      </c>
      <c r="D67" s="116">
        <v>183.36666666666699</v>
      </c>
      <c r="E67" s="116">
        <v>185.88333333333301</v>
      </c>
      <c r="F67" s="116">
        <v>551.85</v>
      </c>
      <c r="G67">
        <v>3130</v>
      </c>
      <c r="H67" s="116"/>
      <c r="I67" s="116"/>
      <c r="L67" s="169">
        <v>42587</v>
      </c>
      <c r="M67" s="116">
        <v>183.566666666667</v>
      </c>
      <c r="N67" s="116">
        <v>187.583333333333</v>
      </c>
      <c r="O67" s="116">
        <v>183</v>
      </c>
      <c r="P67" s="116">
        <v>185.433333333333</v>
      </c>
      <c r="Q67" s="116">
        <v>550.70000000000005</v>
      </c>
      <c r="R67">
        <v>21285</v>
      </c>
    </row>
    <row r="68" spans="1:18" x14ac:dyDescent="0.25">
      <c r="A68" s="169">
        <v>42590</v>
      </c>
      <c r="B68" s="116">
        <v>185.333333333333</v>
      </c>
      <c r="C68" s="116">
        <v>182.46666666666701</v>
      </c>
      <c r="D68" s="116">
        <v>182</v>
      </c>
      <c r="E68" s="116">
        <v>185.01666666666699</v>
      </c>
      <c r="F68" s="116">
        <v>547.4</v>
      </c>
      <c r="G68">
        <v>3334</v>
      </c>
      <c r="H68" s="116"/>
      <c r="I68" s="116"/>
      <c r="L68" s="169">
        <v>42590</v>
      </c>
      <c r="M68" s="116">
        <v>182.21666666666701</v>
      </c>
      <c r="N68" s="116">
        <v>185.98333333333301</v>
      </c>
      <c r="O68" s="116">
        <v>181.916666666667</v>
      </c>
      <c r="P68" s="116">
        <v>183.5</v>
      </c>
      <c r="Q68" s="116">
        <v>546.65</v>
      </c>
      <c r="R68">
        <v>44856</v>
      </c>
    </row>
    <row r="69" spans="1:18" x14ac:dyDescent="0.25">
      <c r="A69" s="169">
        <v>42591</v>
      </c>
      <c r="B69" s="116">
        <v>185.95</v>
      </c>
      <c r="C69" s="116">
        <v>184.36666666666699</v>
      </c>
      <c r="D69" s="116">
        <v>182.666666666667</v>
      </c>
      <c r="E69" s="116">
        <v>182.666666666667</v>
      </c>
      <c r="F69" s="116">
        <v>553.1</v>
      </c>
      <c r="G69">
        <v>5304</v>
      </c>
      <c r="H69" s="116"/>
      <c r="I69" s="116"/>
      <c r="L69" s="169">
        <v>42591</v>
      </c>
      <c r="M69" s="116">
        <v>185.03333333333299</v>
      </c>
      <c r="N69" s="116">
        <v>186.36666666666699</v>
      </c>
      <c r="O69" s="116">
        <v>182.71666666666701</v>
      </c>
      <c r="P69" s="116">
        <v>183.3</v>
      </c>
      <c r="Q69" s="116">
        <v>555.1</v>
      </c>
      <c r="R69">
        <v>48926</v>
      </c>
    </row>
    <row r="70" spans="1:18" x14ac:dyDescent="0.25">
      <c r="A70" s="169">
        <v>42592</v>
      </c>
      <c r="B70" s="116">
        <v>189.333333333333</v>
      </c>
      <c r="C70" s="116">
        <v>184.25</v>
      </c>
      <c r="D70" s="116">
        <v>181.683333333333</v>
      </c>
      <c r="E70" s="116">
        <v>184.96666666666701</v>
      </c>
      <c r="F70" s="116">
        <v>552.75</v>
      </c>
      <c r="G70">
        <v>13758</v>
      </c>
      <c r="H70" s="116"/>
      <c r="I70" s="116"/>
      <c r="L70" s="169">
        <v>42592</v>
      </c>
      <c r="M70" s="116">
        <v>185.316666666667</v>
      </c>
      <c r="N70" s="116">
        <v>189.5</v>
      </c>
      <c r="O70" s="116">
        <v>180.333333333333</v>
      </c>
      <c r="P70" s="116">
        <v>185.65</v>
      </c>
      <c r="Q70" s="116">
        <v>555.95000000000005</v>
      </c>
      <c r="R70">
        <v>84638</v>
      </c>
    </row>
    <row r="71" spans="1:18" x14ac:dyDescent="0.25">
      <c r="A71" s="169">
        <v>42593</v>
      </c>
      <c r="B71" s="116">
        <v>186.666666666667</v>
      </c>
      <c r="C71" s="116">
        <v>182.88333333333301</v>
      </c>
      <c r="D71" s="116">
        <v>181.666666666667</v>
      </c>
      <c r="E71" s="116">
        <v>184.96666666666701</v>
      </c>
      <c r="F71" s="116">
        <v>548.65</v>
      </c>
      <c r="G71">
        <v>5099</v>
      </c>
      <c r="H71" s="116"/>
      <c r="I71" s="116"/>
      <c r="L71" s="169">
        <v>42593</v>
      </c>
      <c r="M71" s="116">
        <v>182.9</v>
      </c>
      <c r="N71" s="116">
        <v>186.833333333333</v>
      </c>
      <c r="O71" s="116">
        <v>182</v>
      </c>
      <c r="P71" s="116">
        <v>185.65</v>
      </c>
      <c r="Q71" s="116">
        <v>548.70000000000005</v>
      </c>
      <c r="R71">
        <v>31396</v>
      </c>
    </row>
    <row r="72" spans="1:18" x14ac:dyDescent="0.25">
      <c r="A72" s="169">
        <v>42594</v>
      </c>
      <c r="B72" s="116">
        <v>186</v>
      </c>
      <c r="C72" s="116">
        <v>185.4</v>
      </c>
      <c r="D72" s="116">
        <v>182</v>
      </c>
      <c r="E72" s="116">
        <v>184.63333333333301</v>
      </c>
      <c r="F72" s="116">
        <v>556.20000000000005</v>
      </c>
      <c r="G72">
        <v>6553</v>
      </c>
      <c r="H72" s="116"/>
      <c r="I72" s="116"/>
      <c r="L72" s="169">
        <v>42594</v>
      </c>
      <c r="M72" s="116">
        <v>186.583333333333</v>
      </c>
      <c r="N72" s="116">
        <v>187.333333333333</v>
      </c>
      <c r="O72" s="116">
        <v>182.03333333333299</v>
      </c>
      <c r="P72" s="116">
        <v>183.3</v>
      </c>
      <c r="Q72" s="116">
        <v>559.75</v>
      </c>
      <c r="R72">
        <v>97529</v>
      </c>
    </row>
    <row r="73" spans="1:18" x14ac:dyDescent="0.25">
      <c r="A73" s="169">
        <v>42598</v>
      </c>
      <c r="B73" s="116">
        <v>191</v>
      </c>
      <c r="C73" s="116">
        <v>190.333333333333</v>
      </c>
      <c r="D73" s="116">
        <v>184.36666666666699</v>
      </c>
      <c r="E73" s="116">
        <v>185.8</v>
      </c>
      <c r="F73" s="116">
        <v>571</v>
      </c>
      <c r="G73">
        <v>10634</v>
      </c>
      <c r="H73" s="116"/>
      <c r="I73" s="116"/>
      <c r="L73" s="169">
        <v>42598</v>
      </c>
      <c r="M73" s="116">
        <v>191.01666666666699</v>
      </c>
      <c r="N73" s="116">
        <v>191.666666666667</v>
      </c>
      <c r="O73" s="116">
        <v>183.916666666667</v>
      </c>
      <c r="P73" s="116">
        <v>186.333333333333</v>
      </c>
      <c r="Q73" s="116">
        <v>573.04999999999995</v>
      </c>
      <c r="R73">
        <v>308656</v>
      </c>
    </row>
    <row r="74" spans="1:18" x14ac:dyDescent="0.25">
      <c r="A74" s="169">
        <v>42599</v>
      </c>
      <c r="B74" s="116">
        <v>192.083333333333</v>
      </c>
      <c r="C74" s="116">
        <v>189.75</v>
      </c>
      <c r="D74" s="116">
        <v>189</v>
      </c>
      <c r="E74" s="116">
        <v>190</v>
      </c>
      <c r="F74" s="116">
        <v>569.25</v>
      </c>
      <c r="G74">
        <v>6204</v>
      </c>
      <c r="H74" s="116"/>
      <c r="I74" s="116"/>
      <c r="L74" s="169">
        <v>42599</v>
      </c>
      <c r="M74" s="116">
        <v>189.65</v>
      </c>
      <c r="N74" s="116">
        <v>192.666666666667</v>
      </c>
      <c r="O74" s="116">
        <v>188.683333333333</v>
      </c>
      <c r="P74" s="116">
        <v>191.316666666667</v>
      </c>
      <c r="Q74" s="116">
        <v>568.95000000000005</v>
      </c>
      <c r="R74">
        <v>39773</v>
      </c>
    </row>
    <row r="75" spans="1:18" x14ac:dyDescent="0.25">
      <c r="A75" s="169">
        <v>42600</v>
      </c>
      <c r="B75" s="116">
        <v>193.13333333333301</v>
      </c>
      <c r="C75" s="116">
        <v>189.61666666666699</v>
      </c>
      <c r="D75" s="116">
        <v>187.833333333333</v>
      </c>
      <c r="E75" s="116">
        <v>189.75</v>
      </c>
      <c r="F75" s="116">
        <v>568.85</v>
      </c>
      <c r="G75">
        <v>10165</v>
      </c>
      <c r="H75" s="116"/>
      <c r="I75" s="116"/>
      <c r="L75" s="169">
        <v>42600</v>
      </c>
      <c r="M75" s="116">
        <v>189.63333333333301</v>
      </c>
      <c r="N75" s="116">
        <v>193.3</v>
      </c>
      <c r="O75" s="116">
        <v>187.48333333333301</v>
      </c>
      <c r="P75" s="116">
        <v>189.96666666666701</v>
      </c>
      <c r="Q75" s="116">
        <v>568.9</v>
      </c>
      <c r="R75">
        <v>63406</v>
      </c>
    </row>
    <row r="76" spans="1:18" x14ac:dyDescent="0.25">
      <c r="A76" s="169">
        <v>42601</v>
      </c>
      <c r="B76" s="116">
        <v>190.5</v>
      </c>
      <c r="C76" s="116">
        <v>188.88333333333301</v>
      </c>
      <c r="D76" s="116">
        <v>187.03333333333299</v>
      </c>
      <c r="E76" s="116">
        <v>189.35</v>
      </c>
      <c r="F76" s="116">
        <v>566.65</v>
      </c>
      <c r="G76">
        <v>3345</v>
      </c>
      <c r="H76" s="116"/>
      <c r="I76" s="116"/>
      <c r="L76" s="169">
        <v>42601</v>
      </c>
      <c r="M76" s="116">
        <v>189.25</v>
      </c>
      <c r="N76" s="116">
        <v>190.65</v>
      </c>
      <c r="O76" s="116">
        <v>186.85</v>
      </c>
      <c r="P76" s="116">
        <v>189.666666666667</v>
      </c>
      <c r="Q76" s="116">
        <v>567.75</v>
      </c>
      <c r="R76">
        <v>27943</v>
      </c>
    </row>
    <row r="77" spans="1:18" x14ac:dyDescent="0.25">
      <c r="A77" s="169">
        <v>42604</v>
      </c>
      <c r="B77" s="116">
        <v>191</v>
      </c>
      <c r="C77" s="116">
        <v>188.2</v>
      </c>
      <c r="D77" s="116">
        <v>187.666666666667</v>
      </c>
      <c r="E77" s="116">
        <v>189.85</v>
      </c>
      <c r="F77" s="116">
        <v>564.6</v>
      </c>
      <c r="G77">
        <v>2587</v>
      </c>
      <c r="H77" s="116"/>
      <c r="I77" s="116"/>
      <c r="L77" s="169">
        <v>42604</v>
      </c>
      <c r="M77" s="116">
        <v>188.1</v>
      </c>
      <c r="N77" s="116">
        <v>190.666666666667</v>
      </c>
      <c r="O77" s="116">
        <v>187.433333333333</v>
      </c>
      <c r="P77" s="116">
        <v>187.7</v>
      </c>
      <c r="Q77" s="116">
        <v>564.29999999999995</v>
      </c>
      <c r="R77">
        <v>16459</v>
      </c>
    </row>
    <row r="78" spans="1:18" x14ac:dyDescent="0.25">
      <c r="A78" s="169">
        <v>42605</v>
      </c>
      <c r="B78" s="116">
        <v>189.76666666666699</v>
      </c>
      <c r="C78" s="116">
        <v>186.78333333333299</v>
      </c>
      <c r="D78" s="116">
        <v>186.316666666667</v>
      </c>
      <c r="E78" s="116">
        <v>188.4</v>
      </c>
      <c r="F78" s="116">
        <v>560.35</v>
      </c>
      <c r="G78">
        <v>3579</v>
      </c>
      <c r="H78" s="116"/>
      <c r="I78" s="116"/>
      <c r="L78" s="169">
        <v>42605</v>
      </c>
      <c r="M78" s="116">
        <v>187.11666666666699</v>
      </c>
      <c r="N78" s="116">
        <v>189.566666666667</v>
      </c>
      <c r="O78" s="116">
        <v>186.3</v>
      </c>
      <c r="P78" s="116">
        <v>186.7</v>
      </c>
      <c r="Q78" s="116">
        <v>561.35</v>
      </c>
      <c r="R78">
        <v>18597</v>
      </c>
    </row>
    <row r="79" spans="1:18" x14ac:dyDescent="0.25">
      <c r="A79" s="169">
        <v>42606</v>
      </c>
      <c r="B79" s="116">
        <v>188.166666666667</v>
      </c>
      <c r="C79" s="116">
        <v>186.183333333333</v>
      </c>
      <c r="D79" s="116">
        <v>185.65</v>
      </c>
      <c r="E79" s="116">
        <v>187.88333333333301</v>
      </c>
      <c r="F79" s="116">
        <v>558.54999999999995</v>
      </c>
      <c r="G79">
        <v>3603</v>
      </c>
      <c r="H79" s="116"/>
      <c r="I79" s="116"/>
      <c r="L79" s="169">
        <v>42606</v>
      </c>
      <c r="M79" s="116">
        <v>186.26666666666699</v>
      </c>
      <c r="N79" s="116">
        <v>189</v>
      </c>
      <c r="O79" s="116">
        <v>186</v>
      </c>
      <c r="P79" s="116">
        <v>189</v>
      </c>
      <c r="Q79" s="116">
        <v>558.79999999999995</v>
      </c>
      <c r="R79">
        <v>18496</v>
      </c>
    </row>
    <row r="80" spans="1:18" x14ac:dyDescent="0.25">
      <c r="A80" s="169">
        <v>42607</v>
      </c>
      <c r="B80" s="116">
        <v>187.816666666667</v>
      </c>
      <c r="C80" s="116">
        <v>184.46666666666701</v>
      </c>
      <c r="D80" s="116">
        <v>184.23333333333301</v>
      </c>
      <c r="E80" s="116">
        <v>186.85</v>
      </c>
      <c r="F80" s="116">
        <v>553.4</v>
      </c>
      <c r="G80">
        <v>2436</v>
      </c>
      <c r="H80" s="116"/>
      <c r="I80" s="116"/>
      <c r="L80" s="169">
        <v>42607</v>
      </c>
      <c r="M80" s="116">
        <v>184.85</v>
      </c>
      <c r="N80" s="116">
        <v>187.71666666666701</v>
      </c>
      <c r="O80" s="116">
        <v>184.01666666666699</v>
      </c>
      <c r="P80" s="116">
        <v>186.96666666666701</v>
      </c>
      <c r="Q80" s="116">
        <v>554.54999999999995</v>
      </c>
      <c r="R80">
        <v>21340</v>
      </c>
    </row>
    <row r="81" spans="1:18" x14ac:dyDescent="0.25">
      <c r="A81" s="169">
        <v>42608</v>
      </c>
      <c r="B81" s="116">
        <v>186.63333333333301</v>
      </c>
      <c r="C81" s="116">
        <v>183.7</v>
      </c>
      <c r="D81" s="116">
        <v>183</v>
      </c>
      <c r="E81" s="116">
        <v>185.5</v>
      </c>
      <c r="F81" s="116">
        <v>551.1</v>
      </c>
      <c r="G81">
        <v>3447</v>
      </c>
      <c r="H81" s="116"/>
      <c r="I81" s="116"/>
      <c r="L81" s="169">
        <v>42608</v>
      </c>
      <c r="M81" s="116">
        <v>184.066666666667</v>
      </c>
      <c r="N81" s="116">
        <v>186.333333333333</v>
      </c>
      <c r="O81" s="116">
        <v>183.01666666666699</v>
      </c>
      <c r="P81" s="116">
        <v>185.333333333333</v>
      </c>
      <c r="Q81" s="116">
        <v>552.20000000000005</v>
      </c>
      <c r="R81">
        <v>26363</v>
      </c>
    </row>
    <row r="82" spans="1:18" x14ac:dyDescent="0.25">
      <c r="A82" s="169">
        <v>42611</v>
      </c>
      <c r="B82" s="116">
        <v>190.96666666666701</v>
      </c>
      <c r="C82" s="116">
        <v>190.15</v>
      </c>
      <c r="D82" s="116">
        <v>182.96666666666701</v>
      </c>
      <c r="E82" s="116">
        <v>185.333333333333</v>
      </c>
      <c r="F82" s="116">
        <v>570.45000000000005</v>
      </c>
      <c r="G82">
        <v>11158</v>
      </c>
      <c r="H82" s="116"/>
      <c r="I82" s="116"/>
      <c r="L82" s="169">
        <v>42611</v>
      </c>
      <c r="M82" s="116">
        <v>190.9</v>
      </c>
      <c r="N82" s="116">
        <v>192.666666666667</v>
      </c>
      <c r="O82" s="116">
        <v>183.26666666666699</v>
      </c>
      <c r="P82" s="116">
        <v>184.816666666667</v>
      </c>
      <c r="Q82" s="116">
        <v>572.70000000000005</v>
      </c>
      <c r="R82">
        <v>76732</v>
      </c>
    </row>
    <row r="83" spans="1:18" x14ac:dyDescent="0.25">
      <c r="A83" s="169">
        <v>42612</v>
      </c>
      <c r="B83" s="116">
        <v>200.95</v>
      </c>
      <c r="C83" s="116">
        <v>199.46666666666701</v>
      </c>
      <c r="D83" s="116">
        <v>190</v>
      </c>
      <c r="E83" s="116">
        <v>191</v>
      </c>
      <c r="F83" s="116">
        <v>598.4</v>
      </c>
      <c r="G83">
        <v>61257</v>
      </c>
      <c r="H83" s="116"/>
      <c r="I83" s="116"/>
      <c r="L83" s="169">
        <v>42612</v>
      </c>
      <c r="M83" s="116">
        <v>200.05</v>
      </c>
      <c r="N83" s="116">
        <v>201.46666666666701</v>
      </c>
      <c r="O83" s="116">
        <v>189.916666666667</v>
      </c>
      <c r="P83" s="116">
        <v>191.5</v>
      </c>
      <c r="Q83" s="116">
        <v>600.15</v>
      </c>
      <c r="R83">
        <v>339051</v>
      </c>
    </row>
    <row r="84" spans="1:18" x14ac:dyDescent="0.25">
      <c r="A84" s="169">
        <v>42613</v>
      </c>
      <c r="B84" s="116">
        <v>211.666666666667</v>
      </c>
      <c r="C84" s="116">
        <v>204.916666666667</v>
      </c>
      <c r="D84" s="116">
        <v>200.95</v>
      </c>
      <c r="E84" s="116">
        <v>201.333333333333</v>
      </c>
      <c r="F84" s="116">
        <v>614.75</v>
      </c>
      <c r="G84">
        <v>82844</v>
      </c>
      <c r="H84" s="116"/>
      <c r="I84" s="116"/>
      <c r="L84" s="169">
        <v>42613</v>
      </c>
      <c r="M84" s="116">
        <v>206.48333333333301</v>
      </c>
      <c r="N84" s="116">
        <v>212.23333333333301</v>
      </c>
      <c r="O84" s="116">
        <v>200.5</v>
      </c>
      <c r="P84" s="116">
        <v>200.5</v>
      </c>
      <c r="Q84" s="116">
        <v>619.45000000000005</v>
      </c>
      <c r="R84">
        <v>426006</v>
      </c>
    </row>
    <row r="85" spans="1:18" x14ac:dyDescent="0.25">
      <c r="A85" s="169">
        <v>42614</v>
      </c>
      <c r="B85" s="116">
        <v>207.6</v>
      </c>
      <c r="C85" s="116">
        <v>204.03333333333299</v>
      </c>
      <c r="D85" s="116">
        <v>201.9</v>
      </c>
      <c r="E85" s="116">
        <v>204.63333333333301</v>
      </c>
      <c r="F85" s="116">
        <v>612.1</v>
      </c>
      <c r="G85">
        <v>21188</v>
      </c>
      <c r="H85" s="116"/>
      <c r="I85" s="116"/>
      <c r="L85" s="169">
        <v>42614</v>
      </c>
      <c r="M85" s="116">
        <v>205.683333333333</v>
      </c>
      <c r="N85" s="116">
        <v>207.8</v>
      </c>
      <c r="O85" s="116">
        <v>201.75</v>
      </c>
      <c r="P85" s="116">
        <v>206.3</v>
      </c>
      <c r="Q85" s="116">
        <v>617.04999999999995</v>
      </c>
      <c r="R85">
        <v>91504</v>
      </c>
    </row>
    <row r="86" spans="1:18" x14ac:dyDescent="0.25">
      <c r="A86" s="169">
        <v>42615</v>
      </c>
      <c r="B86" s="116">
        <v>222.65</v>
      </c>
      <c r="C86" s="116">
        <v>210.566666666667</v>
      </c>
      <c r="D86" s="116">
        <v>203.433333333333</v>
      </c>
      <c r="E86" s="116">
        <v>205.166666666667</v>
      </c>
      <c r="F86" s="116">
        <v>631.70000000000005</v>
      </c>
      <c r="G86">
        <v>161401</v>
      </c>
      <c r="H86" s="116"/>
      <c r="I86" s="116"/>
      <c r="L86" s="169">
        <v>42615</v>
      </c>
      <c r="M86" s="116">
        <v>210.833333333333</v>
      </c>
      <c r="N86" s="116">
        <v>222.933333333333</v>
      </c>
      <c r="O86" s="116">
        <v>203.5</v>
      </c>
      <c r="P86" s="116">
        <v>205.65</v>
      </c>
      <c r="Q86" s="116">
        <v>632.5</v>
      </c>
      <c r="R86">
        <v>832659</v>
      </c>
    </row>
    <row r="87" spans="1:18" x14ac:dyDescent="0.25">
      <c r="A87" s="169">
        <v>42619</v>
      </c>
      <c r="B87" s="116">
        <v>214.333333333333</v>
      </c>
      <c r="C87" s="116">
        <v>206.86666666666699</v>
      </c>
      <c r="D87" s="116">
        <v>205.71666666666701</v>
      </c>
      <c r="E87" s="116">
        <v>212.01666666666699</v>
      </c>
      <c r="F87" s="116">
        <v>620.6</v>
      </c>
      <c r="G87">
        <v>24704</v>
      </c>
      <c r="H87" s="116"/>
      <c r="I87" s="116"/>
      <c r="L87" s="169">
        <v>42619</v>
      </c>
      <c r="M87" s="116">
        <v>206.61666666666699</v>
      </c>
      <c r="N87" s="116">
        <v>214.666666666667</v>
      </c>
      <c r="O87" s="116">
        <v>205.9</v>
      </c>
      <c r="P87" s="116">
        <v>212.65</v>
      </c>
      <c r="Q87" s="116">
        <v>619.85</v>
      </c>
      <c r="R87">
        <v>120533</v>
      </c>
    </row>
    <row r="88" spans="1:18" x14ac:dyDescent="0.25">
      <c r="A88" s="169">
        <v>42620</v>
      </c>
      <c r="B88" s="116">
        <v>209.666666666667</v>
      </c>
      <c r="C88" s="116">
        <v>204.583333333333</v>
      </c>
      <c r="D88" s="116">
        <v>203</v>
      </c>
      <c r="E88" s="116">
        <v>208.13333333333301</v>
      </c>
      <c r="F88" s="116">
        <v>613.75</v>
      </c>
      <c r="G88">
        <v>11977</v>
      </c>
      <c r="H88" s="116"/>
      <c r="I88" s="116"/>
      <c r="L88" s="169">
        <v>42620</v>
      </c>
      <c r="M88" s="116">
        <v>204.71666666666701</v>
      </c>
      <c r="N88" s="116">
        <v>210</v>
      </c>
      <c r="O88" s="116">
        <v>203.333333333333</v>
      </c>
      <c r="P88" s="116">
        <v>206.666666666667</v>
      </c>
      <c r="Q88" s="116">
        <v>614.15</v>
      </c>
      <c r="R88">
        <v>54946</v>
      </c>
    </row>
    <row r="89" spans="1:18" x14ac:dyDescent="0.25">
      <c r="A89" s="169">
        <v>42621</v>
      </c>
      <c r="B89" s="116">
        <v>209</v>
      </c>
      <c r="C89" s="116">
        <v>205.066666666667</v>
      </c>
      <c r="D89" s="116">
        <v>201.8</v>
      </c>
      <c r="E89" s="116">
        <v>203.566666666667</v>
      </c>
      <c r="F89" s="116">
        <v>615.20000000000005</v>
      </c>
      <c r="G89">
        <v>19704</v>
      </c>
      <c r="H89" s="116"/>
      <c r="I89" s="116"/>
      <c r="L89" s="169">
        <v>42621</v>
      </c>
      <c r="M89" s="116">
        <v>204.933333333333</v>
      </c>
      <c r="N89" s="116">
        <v>209.333333333333</v>
      </c>
      <c r="O89" s="116">
        <v>202.333333333333</v>
      </c>
      <c r="P89" s="116">
        <v>203.86666666666699</v>
      </c>
      <c r="Q89" s="116">
        <v>614.79999999999995</v>
      </c>
      <c r="R89">
        <v>61108</v>
      </c>
    </row>
    <row r="90" spans="1:18" x14ac:dyDescent="0.25">
      <c r="A90" s="169">
        <v>42622</v>
      </c>
      <c r="B90" s="116">
        <v>211.96666666666701</v>
      </c>
      <c r="C90" s="116">
        <v>206.46666666666701</v>
      </c>
      <c r="D90" s="116">
        <v>201.86666666666699</v>
      </c>
      <c r="E90" s="116">
        <v>204.85</v>
      </c>
      <c r="F90" s="116">
        <v>619.4</v>
      </c>
      <c r="G90">
        <v>31085</v>
      </c>
      <c r="H90" s="116"/>
      <c r="I90" s="116"/>
      <c r="L90" s="169">
        <v>42622</v>
      </c>
      <c r="M90" s="116">
        <v>206.38333333333301</v>
      </c>
      <c r="N90" s="116">
        <v>211.71666666666701</v>
      </c>
      <c r="O90" s="116">
        <v>201.7</v>
      </c>
      <c r="P90" s="116">
        <v>203.38333333333301</v>
      </c>
      <c r="Q90" s="116">
        <v>619.15</v>
      </c>
      <c r="R90">
        <v>174183</v>
      </c>
    </row>
    <row r="91" spans="1:18" x14ac:dyDescent="0.25">
      <c r="A91" s="169">
        <v>42625</v>
      </c>
      <c r="B91" s="116">
        <v>206.23333333333301</v>
      </c>
      <c r="C91" s="116">
        <v>201.833333333333</v>
      </c>
      <c r="D91" s="116">
        <v>201</v>
      </c>
      <c r="E91" s="116">
        <v>206</v>
      </c>
      <c r="F91" s="116">
        <v>605.5</v>
      </c>
      <c r="G91">
        <v>15726</v>
      </c>
      <c r="H91" s="116"/>
      <c r="I91" s="116"/>
      <c r="L91" s="169">
        <v>42625</v>
      </c>
      <c r="M91" s="116">
        <v>202.583333333333</v>
      </c>
      <c r="N91" s="116">
        <v>206.23333333333301</v>
      </c>
      <c r="O91" s="116">
        <v>201.76666666666699</v>
      </c>
      <c r="P91" s="116">
        <v>203.333333333333</v>
      </c>
      <c r="Q91" s="116">
        <v>607.75</v>
      </c>
      <c r="R91">
        <v>61785</v>
      </c>
    </row>
    <row r="92" spans="1:18" x14ac:dyDescent="0.25">
      <c r="A92" s="169">
        <v>42627</v>
      </c>
      <c r="B92" s="116">
        <v>207</v>
      </c>
      <c r="C92" s="116">
        <v>200.38333333333301</v>
      </c>
      <c r="D92" s="116">
        <v>198.71666666666701</v>
      </c>
      <c r="E92" s="116">
        <v>204.5</v>
      </c>
      <c r="F92" s="116">
        <v>601.15</v>
      </c>
      <c r="G92">
        <v>14145</v>
      </c>
      <c r="H92" s="116"/>
      <c r="I92" s="116"/>
      <c r="L92" s="169">
        <v>42627</v>
      </c>
      <c r="M92" s="116">
        <v>199.96666666666701</v>
      </c>
      <c r="N92" s="116">
        <v>206.666666666667</v>
      </c>
      <c r="O92" s="116">
        <v>198.36666666666699</v>
      </c>
      <c r="P92" s="116">
        <v>203.666666666667</v>
      </c>
      <c r="Q92" s="116">
        <v>599.9</v>
      </c>
      <c r="R92">
        <v>92643</v>
      </c>
    </row>
    <row r="93" spans="1:18" x14ac:dyDescent="0.25">
      <c r="A93" s="169">
        <v>42628</v>
      </c>
      <c r="B93" s="116">
        <v>204.8</v>
      </c>
      <c r="C93" s="116">
        <v>201.066666666667</v>
      </c>
      <c r="D93" s="116">
        <v>200.666666666667</v>
      </c>
      <c r="E93" s="116">
        <v>200.666666666667</v>
      </c>
      <c r="F93" s="116">
        <v>603.20000000000005</v>
      </c>
      <c r="G93">
        <v>9945</v>
      </c>
      <c r="H93" s="116"/>
      <c r="I93" s="116"/>
      <c r="L93" s="169">
        <v>42628</v>
      </c>
      <c r="M93" s="116">
        <v>201.36666666666699</v>
      </c>
      <c r="N93" s="116">
        <v>204.666666666667</v>
      </c>
      <c r="O93" s="116">
        <v>200.333333333333</v>
      </c>
      <c r="P93" s="116">
        <v>201.25</v>
      </c>
      <c r="Q93" s="116">
        <v>604.1</v>
      </c>
      <c r="R93">
        <v>145681</v>
      </c>
    </row>
    <row r="94" spans="1:18" x14ac:dyDescent="0.25">
      <c r="A94" s="169">
        <v>42629</v>
      </c>
      <c r="B94" s="116">
        <v>213.5</v>
      </c>
      <c r="C94" s="116">
        <v>212.183333333333</v>
      </c>
      <c r="D94" s="116">
        <v>201.683333333333</v>
      </c>
      <c r="E94" s="116">
        <v>203.03333333333299</v>
      </c>
      <c r="F94" s="116">
        <v>636.54999999999995</v>
      </c>
      <c r="G94">
        <v>66264</v>
      </c>
      <c r="H94" s="116"/>
      <c r="I94" s="116"/>
      <c r="L94" s="169">
        <v>42629</v>
      </c>
      <c r="M94" s="116">
        <v>212.7</v>
      </c>
      <c r="N94" s="116">
        <v>213.333333333333</v>
      </c>
      <c r="O94" s="116">
        <v>202.683333333333</v>
      </c>
      <c r="P94" s="116">
        <v>203</v>
      </c>
      <c r="Q94" s="116">
        <v>638.1</v>
      </c>
      <c r="R94">
        <v>263377</v>
      </c>
    </row>
    <row r="95" spans="1:18" x14ac:dyDescent="0.25">
      <c r="A95" s="169">
        <v>42632</v>
      </c>
      <c r="B95" s="116">
        <v>219.6</v>
      </c>
      <c r="C95" s="116">
        <v>211.45</v>
      </c>
      <c r="D95" s="116">
        <v>210.73333333333301</v>
      </c>
      <c r="E95" s="116">
        <v>211.666666666667</v>
      </c>
      <c r="F95" s="116">
        <v>634.35</v>
      </c>
      <c r="G95">
        <v>50162</v>
      </c>
      <c r="H95" s="116"/>
      <c r="I95" s="116"/>
      <c r="L95" s="169">
        <v>42632</v>
      </c>
      <c r="M95" s="116">
        <v>211.53333333333299</v>
      </c>
      <c r="N95" s="116">
        <v>219.4</v>
      </c>
      <c r="O95" s="116">
        <v>211</v>
      </c>
      <c r="P95" s="116">
        <v>212.95</v>
      </c>
      <c r="Q95" s="116">
        <v>634.6</v>
      </c>
      <c r="R95">
        <v>168084</v>
      </c>
    </row>
    <row r="96" spans="1:18" x14ac:dyDescent="0.25">
      <c r="A96" s="169">
        <v>42633</v>
      </c>
      <c r="B96" s="116">
        <v>212.916666666667</v>
      </c>
      <c r="C96" s="116">
        <v>209.066666666667</v>
      </c>
      <c r="D96" s="116">
        <v>208.6</v>
      </c>
      <c r="E96" s="116">
        <v>211.73333333333301</v>
      </c>
      <c r="F96" s="116">
        <v>627.20000000000005</v>
      </c>
      <c r="G96">
        <v>6892</v>
      </c>
      <c r="H96" s="116"/>
      <c r="I96" s="116"/>
      <c r="L96" s="169">
        <v>42633</v>
      </c>
      <c r="M96" s="116">
        <v>209.26666666666699</v>
      </c>
      <c r="N96" s="116">
        <v>213.3</v>
      </c>
      <c r="O96" s="116">
        <v>208.36666666666699</v>
      </c>
      <c r="P96" s="116">
        <v>210.03333333333299</v>
      </c>
      <c r="Q96" s="116">
        <v>627.79999999999995</v>
      </c>
      <c r="R96">
        <v>26191</v>
      </c>
    </row>
    <row r="97" spans="1:18" x14ac:dyDescent="0.25">
      <c r="A97" s="169">
        <v>42634</v>
      </c>
      <c r="B97" s="116">
        <v>212.23333333333301</v>
      </c>
      <c r="C97" s="116">
        <v>208.083333333333</v>
      </c>
      <c r="D97" s="116">
        <v>207.01666666666699</v>
      </c>
      <c r="E97" s="116">
        <v>208.96666666666701</v>
      </c>
      <c r="F97" s="116">
        <v>624.25</v>
      </c>
      <c r="G97">
        <v>7704</v>
      </c>
      <c r="H97" s="116"/>
      <c r="I97" s="116"/>
      <c r="L97" s="169">
        <v>42634</v>
      </c>
      <c r="M97" s="116">
        <v>208.066666666667</v>
      </c>
      <c r="N97" s="116">
        <v>212.333333333333</v>
      </c>
      <c r="O97" s="116">
        <v>207.38333333333301</v>
      </c>
      <c r="P97" s="116">
        <v>209.23333333333301</v>
      </c>
      <c r="Q97" s="116">
        <v>624.20000000000005</v>
      </c>
      <c r="R97">
        <v>29294</v>
      </c>
    </row>
    <row r="98" spans="1:18" x14ac:dyDescent="0.25">
      <c r="A98" s="169">
        <v>42635</v>
      </c>
      <c r="B98" s="116">
        <v>211.51666666666699</v>
      </c>
      <c r="C98" s="116">
        <v>206.38333333333301</v>
      </c>
      <c r="D98" s="116">
        <v>205.5</v>
      </c>
      <c r="E98" s="116">
        <v>208.666666666667</v>
      </c>
      <c r="F98" s="116">
        <v>619.15</v>
      </c>
      <c r="G98">
        <v>10856</v>
      </c>
      <c r="H98" s="116"/>
      <c r="I98" s="116"/>
      <c r="L98" s="169">
        <v>42635</v>
      </c>
      <c r="M98" s="116">
        <v>206.066666666667</v>
      </c>
      <c r="N98" s="116">
        <v>211.816666666667</v>
      </c>
      <c r="O98" s="116">
        <v>205</v>
      </c>
      <c r="P98" s="116">
        <v>209.666666666667</v>
      </c>
      <c r="Q98" s="116">
        <v>618.20000000000005</v>
      </c>
      <c r="R98">
        <v>36563</v>
      </c>
    </row>
    <row r="99" spans="1:18" x14ac:dyDescent="0.25">
      <c r="A99" s="169">
        <v>42636</v>
      </c>
      <c r="B99" s="116">
        <v>208.5</v>
      </c>
      <c r="C99" s="116">
        <v>203.45</v>
      </c>
      <c r="D99" s="116">
        <v>202.35</v>
      </c>
      <c r="E99" s="116">
        <v>206.333333333333</v>
      </c>
      <c r="F99" s="116">
        <v>610.35</v>
      </c>
      <c r="G99">
        <v>10664</v>
      </c>
      <c r="H99" s="116"/>
      <c r="I99" s="116"/>
      <c r="L99" s="169">
        <v>42636</v>
      </c>
      <c r="M99" s="116">
        <v>203.55</v>
      </c>
      <c r="N99" s="116">
        <v>208.333333333333</v>
      </c>
      <c r="O99" s="116">
        <v>202.2</v>
      </c>
      <c r="P99" s="116">
        <v>206.9</v>
      </c>
      <c r="Q99" s="116">
        <v>610.65</v>
      </c>
      <c r="R99">
        <v>34910</v>
      </c>
    </row>
    <row r="100" spans="1:18" x14ac:dyDescent="0.25">
      <c r="A100" s="169">
        <v>42639</v>
      </c>
      <c r="B100" s="116">
        <v>209.01666666666699</v>
      </c>
      <c r="C100" s="116">
        <v>206.916666666667</v>
      </c>
      <c r="D100" s="116">
        <v>202.833333333333</v>
      </c>
      <c r="E100" s="116">
        <v>204.333333333333</v>
      </c>
      <c r="F100" s="116">
        <v>620.75</v>
      </c>
      <c r="G100">
        <v>12543</v>
      </c>
      <c r="H100" s="116"/>
      <c r="I100" s="116"/>
      <c r="L100" s="169">
        <v>42639</v>
      </c>
      <c r="M100" s="116">
        <v>207.8</v>
      </c>
      <c r="N100" s="116">
        <v>210.333333333333</v>
      </c>
      <c r="O100" s="116">
        <v>202.166666666667</v>
      </c>
      <c r="P100" s="116">
        <v>202.166666666667</v>
      </c>
      <c r="Q100" s="116">
        <v>623.4</v>
      </c>
      <c r="R100">
        <v>78241</v>
      </c>
    </row>
    <row r="101" spans="1:18" x14ac:dyDescent="0.25">
      <c r="A101" s="169">
        <v>42640</v>
      </c>
      <c r="B101" s="116">
        <v>213.666666666667</v>
      </c>
      <c r="C101" s="116">
        <v>210.4</v>
      </c>
      <c r="D101" s="116">
        <v>208.76666666666699</v>
      </c>
      <c r="E101" s="116">
        <v>209.96666666666701</v>
      </c>
      <c r="F101" s="116">
        <v>631.20000000000005</v>
      </c>
      <c r="G101">
        <v>17994</v>
      </c>
      <c r="H101" s="116"/>
      <c r="I101" s="116"/>
      <c r="L101" s="169">
        <v>42640</v>
      </c>
      <c r="M101" s="116">
        <v>210.51666666666699</v>
      </c>
      <c r="N101" s="116">
        <v>213.833333333333</v>
      </c>
      <c r="O101" s="116">
        <v>208.183333333333</v>
      </c>
      <c r="P101" s="116">
        <v>208.8</v>
      </c>
      <c r="Q101" s="116">
        <v>631.54999999999995</v>
      </c>
      <c r="R101">
        <v>72620</v>
      </c>
    </row>
    <row r="102" spans="1:18" x14ac:dyDescent="0.25">
      <c r="A102" s="169">
        <v>42641</v>
      </c>
      <c r="B102" s="116">
        <v>212</v>
      </c>
      <c r="C102" s="116">
        <v>208.48333333333301</v>
      </c>
      <c r="D102" s="116">
        <v>207.333333333333</v>
      </c>
      <c r="E102" s="116">
        <v>210.48333333333301</v>
      </c>
      <c r="F102" s="116">
        <v>625.45000000000005</v>
      </c>
      <c r="G102">
        <v>4315</v>
      </c>
      <c r="H102" s="116"/>
      <c r="I102" s="116"/>
      <c r="L102" s="169">
        <v>42641</v>
      </c>
      <c r="M102" s="116">
        <v>208.433333333333</v>
      </c>
      <c r="N102" s="116">
        <v>212.433333333333</v>
      </c>
      <c r="O102" s="116">
        <v>207.36666666666699</v>
      </c>
      <c r="P102" s="116">
        <v>210.433333333333</v>
      </c>
      <c r="Q102" s="116">
        <v>625.29999999999995</v>
      </c>
      <c r="R102">
        <v>16306</v>
      </c>
    </row>
    <row r="103" spans="1:18" x14ac:dyDescent="0.25">
      <c r="A103" s="169">
        <v>42642</v>
      </c>
      <c r="B103" s="116">
        <v>211.03333333333299</v>
      </c>
      <c r="C103" s="116">
        <v>200.23333333333301</v>
      </c>
      <c r="D103" s="116">
        <v>196.5</v>
      </c>
      <c r="E103" s="116">
        <v>209.666666666667</v>
      </c>
      <c r="F103" s="116">
        <v>600.70000000000005</v>
      </c>
      <c r="G103">
        <v>18664</v>
      </c>
      <c r="H103" s="116"/>
      <c r="I103" s="116"/>
      <c r="L103" s="169">
        <v>42642</v>
      </c>
      <c r="M103" s="116">
        <v>202.01666666666699</v>
      </c>
      <c r="N103" s="116">
        <v>210.8</v>
      </c>
      <c r="O103" s="116">
        <v>196.666666666667</v>
      </c>
      <c r="P103" s="116">
        <v>208.683333333333</v>
      </c>
      <c r="Q103" s="116">
        <v>606.04999999999995</v>
      </c>
      <c r="R103">
        <v>105007</v>
      </c>
    </row>
    <row r="104" spans="1:18" x14ac:dyDescent="0.25">
      <c r="A104" s="169">
        <v>42643</v>
      </c>
      <c r="B104" s="116">
        <v>206.333333333333</v>
      </c>
      <c r="C104" s="116">
        <v>204.85</v>
      </c>
      <c r="D104" s="116">
        <v>199.98333333333301</v>
      </c>
      <c r="E104" s="116">
        <v>201.86666666666699</v>
      </c>
      <c r="F104" s="116">
        <v>614.54999999999995</v>
      </c>
      <c r="G104">
        <v>7466</v>
      </c>
      <c r="H104" s="116"/>
      <c r="I104" s="116"/>
      <c r="L104" s="169">
        <v>42643</v>
      </c>
      <c r="M104" s="116">
        <v>204.36666666666699</v>
      </c>
      <c r="N104" s="116">
        <v>205.333333333333</v>
      </c>
      <c r="O104" s="116">
        <v>199.416666666667</v>
      </c>
      <c r="P104" s="116">
        <v>199.666666666667</v>
      </c>
      <c r="Q104" s="116">
        <v>613.1</v>
      </c>
      <c r="R104">
        <v>20851</v>
      </c>
    </row>
    <row r="105" spans="1:18" x14ac:dyDescent="0.25">
      <c r="A105" s="169">
        <v>42646</v>
      </c>
      <c r="B105" s="116">
        <v>207.583333333333</v>
      </c>
      <c r="C105" s="116">
        <v>206.183333333333</v>
      </c>
      <c r="D105" s="116">
        <v>197.51666666666699</v>
      </c>
      <c r="E105" s="116">
        <v>205</v>
      </c>
      <c r="F105" s="116">
        <v>618.54999999999995</v>
      </c>
      <c r="G105">
        <v>4483</v>
      </c>
      <c r="H105" s="116"/>
      <c r="I105" s="116"/>
      <c r="L105" s="169">
        <v>42646</v>
      </c>
      <c r="M105" s="116">
        <v>206.166666666667</v>
      </c>
      <c r="N105" s="116">
        <v>207.333333333333</v>
      </c>
      <c r="O105" s="116">
        <v>201.683333333333</v>
      </c>
      <c r="P105" s="116">
        <v>201.683333333333</v>
      </c>
      <c r="Q105" s="116">
        <v>618.5</v>
      </c>
      <c r="R105">
        <v>13142</v>
      </c>
    </row>
    <row r="106" spans="1:18" x14ac:dyDescent="0.25">
      <c r="A106" s="169">
        <v>42647</v>
      </c>
      <c r="B106" s="116">
        <v>211.333333333333</v>
      </c>
      <c r="C106" s="116">
        <v>207.816666666667</v>
      </c>
      <c r="D106" s="116">
        <v>206.333333333333</v>
      </c>
      <c r="E106" s="116">
        <v>206.333333333333</v>
      </c>
      <c r="F106" s="116">
        <v>623.45000000000005</v>
      </c>
      <c r="G106">
        <v>5369</v>
      </c>
      <c r="H106" s="116"/>
      <c r="I106" s="116"/>
      <c r="L106" s="169">
        <v>42647</v>
      </c>
      <c r="M106" s="116">
        <v>208.333333333333</v>
      </c>
      <c r="N106" s="116">
        <v>211.76666666666699</v>
      </c>
      <c r="O106" s="116">
        <v>206.666666666667</v>
      </c>
      <c r="P106" s="116">
        <v>207.333333333333</v>
      </c>
      <c r="Q106" s="116">
        <v>625</v>
      </c>
      <c r="R106">
        <v>30656</v>
      </c>
    </row>
    <row r="107" spans="1:18" x14ac:dyDescent="0.25">
      <c r="A107" s="169">
        <v>42648</v>
      </c>
      <c r="B107" s="116">
        <v>211.666666666667</v>
      </c>
      <c r="C107" s="116">
        <v>207.916666666667</v>
      </c>
      <c r="D107" s="116">
        <v>206.333333333333</v>
      </c>
      <c r="E107" s="116">
        <v>209.45</v>
      </c>
      <c r="F107" s="116">
        <v>623.75</v>
      </c>
      <c r="G107">
        <v>7564</v>
      </c>
      <c r="H107" s="116"/>
      <c r="I107" s="116"/>
      <c r="L107" s="169">
        <v>42648</v>
      </c>
      <c r="M107" s="116">
        <v>207.86666666666699</v>
      </c>
      <c r="N107" s="116">
        <v>211.5</v>
      </c>
      <c r="O107" s="116">
        <v>207.03333333333299</v>
      </c>
      <c r="P107" s="116">
        <v>210.21666666666701</v>
      </c>
      <c r="Q107" s="116">
        <v>623.6</v>
      </c>
      <c r="R107">
        <v>22805</v>
      </c>
    </row>
    <row r="108" spans="1:18" x14ac:dyDescent="0.25">
      <c r="A108" s="169">
        <v>42649</v>
      </c>
      <c r="B108" s="116">
        <v>210.45</v>
      </c>
      <c r="C108" s="116">
        <v>205.38333333333301</v>
      </c>
      <c r="D108" s="116">
        <v>203.333333333333</v>
      </c>
      <c r="E108" s="116">
        <v>208.55</v>
      </c>
      <c r="F108" s="116">
        <v>616.15</v>
      </c>
      <c r="G108">
        <v>5512</v>
      </c>
      <c r="H108" s="116"/>
      <c r="I108" s="116"/>
      <c r="L108" s="169">
        <v>42649</v>
      </c>
      <c r="M108" s="116">
        <v>205.73333333333301</v>
      </c>
      <c r="N108" s="116">
        <v>210.8</v>
      </c>
      <c r="O108" s="116">
        <v>203.38333333333301</v>
      </c>
      <c r="P108" s="116">
        <v>209.316666666667</v>
      </c>
      <c r="Q108" s="116">
        <v>617.20000000000005</v>
      </c>
      <c r="R108">
        <v>19310</v>
      </c>
    </row>
    <row r="109" spans="1:18" x14ac:dyDescent="0.25">
      <c r="A109" s="169">
        <v>42650</v>
      </c>
      <c r="B109" s="116">
        <v>206.96666666666701</v>
      </c>
      <c r="C109" s="116">
        <v>205.566666666667</v>
      </c>
      <c r="D109" s="116">
        <v>205.03333333333299</v>
      </c>
      <c r="E109" s="116">
        <v>206.666666666667</v>
      </c>
      <c r="F109" s="116">
        <v>616.70000000000005</v>
      </c>
      <c r="G109">
        <v>2545</v>
      </c>
      <c r="H109" s="116"/>
      <c r="I109" s="116"/>
      <c r="L109" s="169">
        <v>42650</v>
      </c>
      <c r="M109" s="116">
        <v>205.46666666666701</v>
      </c>
      <c r="N109" s="116">
        <v>207.3</v>
      </c>
      <c r="O109" s="116">
        <v>204.666666666667</v>
      </c>
      <c r="P109" s="116">
        <v>205.333333333333</v>
      </c>
      <c r="Q109" s="116">
        <v>616.4</v>
      </c>
      <c r="R109">
        <v>7392</v>
      </c>
    </row>
    <row r="110" spans="1:18" x14ac:dyDescent="0.25">
      <c r="A110" s="169">
        <v>42653</v>
      </c>
      <c r="B110" s="116">
        <v>209.4</v>
      </c>
      <c r="C110" s="116">
        <v>207.88333333333301</v>
      </c>
      <c r="D110" s="116">
        <v>206.2</v>
      </c>
      <c r="E110" s="116">
        <v>207.63333333333301</v>
      </c>
      <c r="F110" s="116">
        <v>623.65</v>
      </c>
      <c r="G110">
        <v>4639</v>
      </c>
      <c r="H110" s="116"/>
      <c r="I110" s="116"/>
      <c r="L110" s="169">
        <v>42653</v>
      </c>
      <c r="M110" s="116">
        <v>207.666666666667</v>
      </c>
      <c r="N110" s="116">
        <v>209.5</v>
      </c>
      <c r="O110" s="116">
        <v>206.03333333333299</v>
      </c>
      <c r="P110" s="116">
        <v>206.666666666667</v>
      </c>
      <c r="Q110" s="116">
        <v>623</v>
      </c>
      <c r="R110">
        <v>25445</v>
      </c>
    </row>
    <row r="111" spans="1:18" x14ac:dyDescent="0.25">
      <c r="A111" s="169">
        <v>42656</v>
      </c>
      <c r="B111" s="116">
        <v>208</v>
      </c>
      <c r="C111" s="116">
        <v>203.21666666666701</v>
      </c>
      <c r="D111" s="116">
        <v>201.36666666666699</v>
      </c>
      <c r="E111" s="116">
        <v>206</v>
      </c>
      <c r="F111" s="116">
        <v>609.65</v>
      </c>
      <c r="G111">
        <v>3713</v>
      </c>
      <c r="H111" s="116"/>
      <c r="I111" s="116"/>
      <c r="L111" s="169">
        <v>42656</v>
      </c>
      <c r="M111" s="116">
        <v>202.96666666666701</v>
      </c>
      <c r="N111" s="116">
        <v>208.6</v>
      </c>
      <c r="O111" s="116">
        <v>201.666666666667</v>
      </c>
      <c r="P111" s="116">
        <v>206.666666666667</v>
      </c>
      <c r="Q111" s="116">
        <v>608.9</v>
      </c>
      <c r="R111">
        <v>27917</v>
      </c>
    </row>
    <row r="112" spans="1:18" x14ac:dyDescent="0.25">
      <c r="A112" s="169">
        <v>42657</v>
      </c>
      <c r="B112" s="116">
        <v>208</v>
      </c>
      <c r="C112" s="116">
        <v>207</v>
      </c>
      <c r="D112" s="116">
        <v>204</v>
      </c>
      <c r="E112" s="116">
        <v>204.1</v>
      </c>
      <c r="F112" s="116">
        <v>621</v>
      </c>
      <c r="G112">
        <v>3084</v>
      </c>
      <c r="H112" s="116"/>
      <c r="I112" s="116"/>
      <c r="L112" s="169">
        <v>42657</v>
      </c>
      <c r="M112" s="116">
        <v>207.03333333333299</v>
      </c>
      <c r="N112" s="116">
        <v>207.666666666667</v>
      </c>
      <c r="O112" s="116">
        <v>203.78333333333299</v>
      </c>
      <c r="P112" s="116">
        <v>204.333333333333</v>
      </c>
      <c r="Q112" s="116">
        <v>621.1</v>
      </c>
      <c r="R112">
        <v>18769</v>
      </c>
    </row>
    <row r="113" spans="1:18" x14ac:dyDescent="0.25">
      <c r="A113" s="169">
        <v>42660</v>
      </c>
      <c r="B113" s="116">
        <v>226.333333333333</v>
      </c>
      <c r="C113" s="116">
        <v>214.11666666666699</v>
      </c>
      <c r="D113" s="116">
        <v>206.03333333333299</v>
      </c>
      <c r="E113" s="116">
        <v>206.98333333333301</v>
      </c>
      <c r="F113" s="116">
        <v>642.35</v>
      </c>
      <c r="G113">
        <v>74851</v>
      </c>
      <c r="H113" s="116"/>
      <c r="I113" s="116"/>
      <c r="L113" s="169">
        <v>42660</v>
      </c>
      <c r="M113" s="116">
        <v>214.71666666666701</v>
      </c>
      <c r="N113" s="116">
        <v>226.61666666666699</v>
      </c>
      <c r="O113" s="116">
        <v>205.416666666667</v>
      </c>
      <c r="P113" s="116">
        <v>207.666666666667</v>
      </c>
      <c r="Q113" s="116">
        <v>644.15</v>
      </c>
      <c r="R113">
        <v>396365</v>
      </c>
    </row>
    <row r="114" spans="1:18" x14ac:dyDescent="0.25">
      <c r="A114" s="169">
        <v>42661</v>
      </c>
      <c r="B114" s="116">
        <v>223.333333333333</v>
      </c>
      <c r="C114" s="116">
        <v>222.066666666667</v>
      </c>
      <c r="D114" s="116">
        <v>214</v>
      </c>
      <c r="E114" s="116">
        <v>214</v>
      </c>
      <c r="F114" s="116">
        <v>666.2</v>
      </c>
      <c r="G114">
        <v>44303</v>
      </c>
      <c r="H114" s="116"/>
      <c r="I114" s="116"/>
      <c r="L114" s="169">
        <v>42661</v>
      </c>
      <c r="M114" s="116">
        <v>223.183333333333</v>
      </c>
      <c r="N114" s="116">
        <v>225.333333333333</v>
      </c>
      <c r="O114" s="116">
        <v>214.333333333333</v>
      </c>
      <c r="P114" s="116">
        <v>216.316666666667</v>
      </c>
      <c r="Q114" s="116">
        <v>669.55</v>
      </c>
      <c r="R114">
        <v>314490</v>
      </c>
    </row>
    <row r="115" spans="1:18" x14ac:dyDescent="0.25">
      <c r="A115" s="169">
        <v>42662</v>
      </c>
      <c r="B115" s="116">
        <v>224.85</v>
      </c>
      <c r="C115" s="116">
        <v>219.96666666666701</v>
      </c>
      <c r="D115" s="116">
        <v>218.666666666667</v>
      </c>
      <c r="E115" s="116">
        <v>224.3</v>
      </c>
      <c r="F115" s="116">
        <v>659.9</v>
      </c>
      <c r="G115">
        <v>18661</v>
      </c>
      <c r="H115" s="116"/>
      <c r="I115" s="116"/>
      <c r="L115" s="169">
        <v>42662</v>
      </c>
      <c r="M115" s="116">
        <v>219.816666666667</v>
      </c>
      <c r="N115" s="116">
        <v>224.933333333333</v>
      </c>
      <c r="O115" s="116">
        <v>218.55</v>
      </c>
      <c r="P115" s="116">
        <v>224.933333333333</v>
      </c>
      <c r="Q115" s="116">
        <v>659.45</v>
      </c>
      <c r="R115">
        <v>65795</v>
      </c>
    </row>
    <row r="116" spans="1:18" x14ac:dyDescent="0.25">
      <c r="A116" s="169">
        <v>42663</v>
      </c>
      <c r="B116" s="116">
        <v>224.916666666667</v>
      </c>
      <c r="C116" s="116">
        <v>222.51666666666699</v>
      </c>
      <c r="D116" s="116">
        <v>220.083333333333</v>
      </c>
      <c r="E116" s="116">
        <v>220.083333333333</v>
      </c>
      <c r="F116" s="116">
        <v>667.55</v>
      </c>
      <c r="G116">
        <v>9454</v>
      </c>
      <c r="H116" s="116"/>
      <c r="I116" s="116"/>
      <c r="L116" s="169">
        <v>42663</v>
      </c>
      <c r="M116" s="116">
        <v>222.333333333333</v>
      </c>
      <c r="N116" s="116">
        <v>224.96666666666701</v>
      </c>
      <c r="O116" s="116">
        <v>220.7</v>
      </c>
      <c r="P116" s="116">
        <v>221.333333333333</v>
      </c>
      <c r="Q116" s="116">
        <v>667</v>
      </c>
      <c r="R116">
        <v>40690</v>
      </c>
    </row>
    <row r="117" spans="1:18" x14ac:dyDescent="0.25">
      <c r="A117" s="169">
        <v>42664</v>
      </c>
      <c r="B117" s="116">
        <v>224.333333333333</v>
      </c>
      <c r="C117" s="116">
        <v>221.25</v>
      </c>
      <c r="D117" s="116">
        <v>220</v>
      </c>
      <c r="E117" s="116">
        <v>220.9</v>
      </c>
      <c r="F117" s="116">
        <v>663.75</v>
      </c>
      <c r="G117">
        <v>6938</v>
      </c>
      <c r="H117" s="116"/>
      <c r="I117" s="116"/>
      <c r="L117" s="169">
        <v>42664</v>
      </c>
      <c r="M117" s="116">
        <v>221.13333333333301</v>
      </c>
      <c r="N117" s="116">
        <v>224.666666666667</v>
      </c>
      <c r="O117" s="116">
        <v>219.55</v>
      </c>
      <c r="P117" s="116">
        <v>222.333333333333</v>
      </c>
      <c r="Q117" s="116">
        <v>663.4</v>
      </c>
      <c r="R117">
        <v>30622</v>
      </c>
    </row>
    <row r="118" spans="1:18" x14ac:dyDescent="0.25">
      <c r="A118" s="169">
        <v>42667</v>
      </c>
      <c r="B118" s="116">
        <v>228.3</v>
      </c>
      <c r="C118" s="116">
        <v>222.75</v>
      </c>
      <c r="D118" s="116">
        <v>220.5</v>
      </c>
      <c r="E118" s="116">
        <v>221.666666666667</v>
      </c>
      <c r="F118" s="116">
        <v>668.25</v>
      </c>
      <c r="G118">
        <v>21224</v>
      </c>
      <c r="H118" s="116"/>
      <c r="I118" s="116"/>
      <c r="L118" s="169">
        <v>42667</v>
      </c>
      <c r="M118" s="116">
        <v>222.73333333333301</v>
      </c>
      <c r="N118" s="116">
        <v>228.26666666666699</v>
      </c>
      <c r="O118" s="116">
        <v>220.083333333333</v>
      </c>
      <c r="P118" s="116">
        <v>223.28333333333299</v>
      </c>
      <c r="Q118" s="116">
        <v>668.2</v>
      </c>
      <c r="R118">
        <v>103932</v>
      </c>
    </row>
    <row r="119" spans="1:18" x14ac:dyDescent="0.25">
      <c r="A119" s="169">
        <v>42668</v>
      </c>
      <c r="B119" s="116">
        <v>222.88333333333301</v>
      </c>
      <c r="C119" s="116">
        <v>217.76666666666699</v>
      </c>
      <c r="D119" s="116">
        <v>215.65</v>
      </c>
      <c r="E119" s="116">
        <v>222.88333333333301</v>
      </c>
      <c r="F119" s="116">
        <v>653.29999999999995</v>
      </c>
      <c r="G119">
        <v>7326</v>
      </c>
      <c r="H119" s="116"/>
      <c r="I119" s="116"/>
      <c r="L119" s="169">
        <v>42668</v>
      </c>
      <c r="M119" s="116">
        <v>217.28333333333299</v>
      </c>
      <c r="N119" s="116">
        <v>223</v>
      </c>
      <c r="O119" s="116">
        <v>215.166666666667</v>
      </c>
      <c r="P119" s="116">
        <v>223</v>
      </c>
      <c r="Q119" s="116">
        <v>651.85</v>
      </c>
      <c r="R119">
        <v>47359</v>
      </c>
    </row>
    <row r="120" spans="1:18" x14ac:dyDescent="0.25">
      <c r="A120" s="169">
        <v>42669</v>
      </c>
      <c r="B120" s="116">
        <v>221.333333333333</v>
      </c>
      <c r="C120" s="116">
        <v>215.4</v>
      </c>
      <c r="D120" s="116">
        <v>215</v>
      </c>
      <c r="E120" s="116">
        <v>221.333333333333</v>
      </c>
      <c r="F120" s="116">
        <v>646.20000000000005</v>
      </c>
      <c r="G120">
        <v>9207</v>
      </c>
      <c r="H120" s="116"/>
      <c r="I120" s="116"/>
      <c r="L120" s="169">
        <v>42669</v>
      </c>
      <c r="M120" s="116">
        <v>216.61666666666699</v>
      </c>
      <c r="N120" s="116">
        <v>223</v>
      </c>
      <c r="O120" s="116">
        <v>215.71666666666701</v>
      </c>
      <c r="P120" s="116">
        <v>223</v>
      </c>
      <c r="Q120" s="116">
        <v>649.85</v>
      </c>
      <c r="R120">
        <v>27641</v>
      </c>
    </row>
    <row r="121" spans="1:18" x14ac:dyDescent="0.25">
      <c r="A121" s="169">
        <v>42670</v>
      </c>
      <c r="B121" s="116">
        <v>218.666666666667</v>
      </c>
      <c r="C121" s="116">
        <v>213.36666666666699</v>
      </c>
      <c r="D121" s="116">
        <v>211.86666666666699</v>
      </c>
      <c r="E121" s="116">
        <v>218.666666666667</v>
      </c>
      <c r="F121" s="116">
        <v>640.1</v>
      </c>
      <c r="G121">
        <v>8310</v>
      </c>
      <c r="H121" s="116"/>
      <c r="I121" s="116"/>
      <c r="L121" s="169">
        <v>42670</v>
      </c>
      <c r="M121" s="116">
        <v>213.566666666667</v>
      </c>
      <c r="N121" s="116">
        <v>218</v>
      </c>
      <c r="O121" s="116">
        <v>211.333333333333</v>
      </c>
      <c r="P121" s="116">
        <v>216.666666666667</v>
      </c>
      <c r="Q121" s="116">
        <v>640.70000000000005</v>
      </c>
      <c r="R121">
        <v>24996</v>
      </c>
    </row>
    <row r="122" spans="1:18" x14ac:dyDescent="0.25">
      <c r="A122" s="169">
        <v>42671</v>
      </c>
      <c r="B122" s="116">
        <v>215.38333333333301</v>
      </c>
      <c r="C122" s="116">
        <v>212.85</v>
      </c>
      <c r="D122" s="116">
        <v>209.26666666666699</v>
      </c>
      <c r="E122" s="116">
        <v>215.25</v>
      </c>
      <c r="F122" s="116">
        <v>638.54999999999995</v>
      </c>
      <c r="G122">
        <v>5178</v>
      </c>
      <c r="H122" s="116"/>
      <c r="I122" s="116"/>
      <c r="L122" s="169">
        <v>42671</v>
      </c>
      <c r="M122" s="116">
        <v>213.583333333333</v>
      </c>
      <c r="N122" s="116">
        <v>215.833333333333</v>
      </c>
      <c r="O122" s="116">
        <v>212.083333333333</v>
      </c>
      <c r="P122" s="116">
        <v>214.51666666666699</v>
      </c>
      <c r="Q122" s="116">
        <v>640.75</v>
      </c>
      <c r="R122">
        <v>30743</v>
      </c>
    </row>
    <row r="123" spans="1:18" x14ac:dyDescent="0.25">
      <c r="A123" s="169">
        <v>42673</v>
      </c>
      <c r="B123" s="116">
        <v>221.28333333333299</v>
      </c>
      <c r="C123" s="116">
        <v>218.2</v>
      </c>
      <c r="D123" s="116">
        <v>216</v>
      </c>
      <c r="E123" s="116">
        <v>216</v>
      </c>
      <c r="F123" s="116">
        <v>654.6</v>
      </c>
      <c r="G123">
        <v>3501</v>
      </c>
      <c r="H123" s="116"/>
      <c r="I123" s="116"/>
      <c r="L123" s="169">
        <v>42673</v>
      </c>
      <c r="M123" s="116">
        <v>218.416666666667</v>
      </c>
      <c r="N123" s="116">
        <v>221.666666666667</v>
      </c>
      <c r="O123" s="116">
        <v>216.23333333333301</v>
      </c>
      <c r="P123" s="116">
        <v>216.333333333333</v>
      </c>
      <c r="Q123" s="116">
        <v>655.25</v>
      </c>
      <c r="R123">
        <v>20299</v>
      </c>
    </row>
    <row r="124" spans="1:18" x14ac:dyDescent="0.25">
      <c r="A124" s="169">
        <v>42675</v>
      </c>
      <c r="B124" s="116">
        <v>222.333333333333</v>
      </c>
      <c r="C124" s="116">
        <v>215.75</v>
      </c>
      <c r="D124" s="116">
        <v>214.666666666667</v>
      </c>
      <c r="E124" s="116">
        <v>218.433333333333</v>
      </c>
      <c r="F124" s="116">
        <v>647.25</v>
      </c>
      <c r="G124">
        <v>7161</v>
      </c>
      <c r="H124" s="116"/>
      <c r="I124" s="116"/>
      <c r="L124" s="169">
        <v>42675</v>
      </c>
      <c r="M124" s="116">
        <v>215.51666666666699</v>
      </c>
      <c r="N124" s="116">
        <v>222.666666666667</v>
      </c>
      <c r="O124" s="116">
        <v>214.13333333333301</v>
      </c>
      <c r="P124" s="116">
        <v>217.333333333333</v>
      </c>
      <c r="Q124" s="116">
        <v>646.54999999999995</v>
      </c>
      <c r="R124">
        <v>70524</v>
      </c>
    </row>
    <row r="125" spans="1:18" x14ac:dyDescent="0.25">
      <c r="A125" s="169">
        <v>42676</v>
      </c>
      <c r="B125" s="116">
        <v>215.53333333333299</v>
      </c>
      <c r="C125" s="116">
        <v>211.98333333333301</v>
      </c>
      <c r="D125" s="116">
        <v>211.38333333333301</v>
      </c>
      <c r="E125" s="116">
        <v>215.4</v>
      </c>
      <c r="F125" s="116">
        <v>635.95000000000005</v>
      </c>
      <c r="G125">
        <v>2832</v>
      </c>
      <c r="H125" s="116"/>
      <c r="I125" s="116"/>
      <c r="L125" s="169">
        <v>42676</v>
      </c>
      <c r="M125" s="116">
        <v>212.26666666666699</v>
      </c>
      <c r="N125" s="116">
        <v>217.316666666667</v>
      </c>
      <c r="O125" s="116">
        <v>211.333333333333</v>
      </c>
      <c r="P125" s="116">
        <v>217.316666666667</v>
      </c>
      <c r="Q125" s="116">
        <v>636.79999999999995</v>
      </c>
      <c r="R125">
        <v>30254</v>
      </c>
    </row>
    <row r="126" spans="1:18" x14ac:dyDescent="0.25">
      <c r="A126" s="169">
        <v>42677</v>
      </c>
      <c r="B126" s="116">
        <v>216</v>
      </c>
      <c r="C126" s="116">
        <v>211</v>
      </c>
      <c r="D126" s="116">
        <v>209.4</v>
      </c>
      <c r="E126" s="116">
        <v>213.333333333333</v>
      </c>
      <c r="F126" s="116">
        <v>633</v>
      </c>
      <c r="G126">
        <v>7260</v>
      </c>
      <c r="H126" s="116"/>
      <c r="I126" s="116"/>
      <c r="L126" s="169">
        <v>42677</v>
      </c>
      <c r="M126" s="116">
        <v>211.05</v>
      </c>
      <c r="N126" s="116">
        <v>216.6</v>
      </c>
      <c r="O126" s="116">
        <v>208.666666666667</v>
      </c>
      <c r="P126" s="116">
        <v>213.96666666666701</v>
      </c>
      <c r="Q126" s="116">
        <v>633.15</v>
      </c>
      <c r="R126">
        <v>26719</v>
      </c>
    </row>
    <row r="127" spans="1:18" x14ac:dyDescent="0.25">
      <c r="A127" s="169">
        <v>42678</v>
      </c>
      <c r="B127" s="116">
        <v>212.63333333333301</v>
      </c>
      <c r="C127" s="116">
        <v>206.9</v>
      </c>
      <c r="D127" s="116">
        <v>202.45</v>
      </c>
      <c r="E127" s="116">
        <v>211.6</v>
      </c>
      <c r="F127" s="116">
        <v>620.70000000000005</v>
      </c>
      <c r="G127">
        <v>7441</v>
      </c>
      <c r="H127" s="116"/>
      <c r="I127" s="116"/>
      <c r="L127" s="169">
        <v>42678</v>
      </c>
      <c r="M127" s="116">
        <v>206.78333333333299</v>
      </c>
      <c r="N127" s="116">
        <v>213.11666666666699</v>
      </c>
      <c r="O127" s="116">
        <v>202.8</v>
      </c>
      <c r="P127" s="116">
        <v>209.666666666667</v>
      </c>
      <c r="Q127" s="116">
        <v>620.35</v>
      </c>
      <c r="R127">
        <v>38505</v>
      </c>
    </row>
    <row r="128" spans="1:18" x14ac:dyDescent="0.25">
      <c r="A128" s="169">
        <v>42681</v>
      </c>
      <c r="B128" s="116">
        <v>213.333333333333</v>
      </c>
      <c r="C128" s="116">
        <v>210.98333333333301</v>
      </c>
      <c r="D128" s="116">
        <v>204.816666666667</v>
      </c>
      <c r="E128" s="116">
        <v>206.9</v>
      </c>
      <c r="F128" s="116">
        <v>632.95000000000005</v>
      </c>
      <c r="G128">
        <v>3445</v>
      </c>
      <c r="H128" s="116"/>
      <c r="I128" s="116"/>
      <c r="L128" s="169">
        <v>42681</v>
      </c>
      <c r="M128" s="116">
        <v>212.1</v>
      </c>
      <c r="N128" s="116">
        <v>213.26666666666699</v>
      </c>
      <c r="O128" s="116">
        <v>203.01666666666699</v>
      </c>
      <c r="P128" s="116">
        <v>208.86666666666699</v>
      </c>
      <c r="Q128" s="116">
        <v>636.29999999999995</v>
      </c>
      <c r="R128">
        <v>24331</v>
      </c>
    </row>
    <row r="129" spans="1:18" x14ac:dyDescent="0.25">
      <c r="A129" s="169">
        <v>42682</v>
      </c>
      <c r="B129" s="116">
        <v>214.65</v>
      </c>
      <c r="C129" s="116">
        <v>211.15</v>
      </c>
      <c r="D129" s="116">
        <v>210.333333333333</v>
      </c>
      <c r="E129" s="116">
        <v>211.666666666667</v>
      </c>
      <c r="F129" s="116">
        <v>633.45000000000005</v>
      </c>
      <c r="G129">
        <v>4694</v>
      </c>
      <c r="H129" s="116"/>
      <c r="I129" s="116"/>
      <c r="L129" s="169">
        <v>42682</v>
      </c>
      <c r="M129" s="116">
        <v>211.65</v>
      </c>
      <c r="N129" s="116">
        <v>215.1</v>
      </c>
      <c r="O129" s="116">
        <v>208.36666666666699</v>
      </c>
      <c r="P129" s="116">
        <v>211.666666666667</v>
      </c>
      <c r="Q129" s="116">
        <v>634.95000000000005</v>
      </c>
      <c r="R129">
        <v>20380</v>
      </c>
    </row>
    <row r="130" spans="1:18" x14ac:dyDescent="0.25">
      <c r="A130" s="169">
        <v>42683</v>
      </c>
      <c r="B130" s="116">
        <v>211.583333333333</v>
      </c>
      <c r="C130" s="116">
        <v>210.25</v>
      </c>
      <c r="D130" s="116">
        <v>190.36666666666699</v>
      </c>
      <c r="E130" s="116">
        <v>196.666666666667</v>
      </c>
      <c r="F130" s="116">
        <v>630.75</v>
      </c>
      <c r="G130">
        <v>9377</v>
      </c>
      <c r="H130" s="116"/>
      <c r="I130" s="116"/>
      <c r="L130" s="169">
        <v>42683</v>
      </c>
      <c r="M130" s="116">
        <v>210.61666666666699</v>
      </c>
      <c r="N130" s="116">
        <v>211.666666666667</v>
      </c>
      <c r="O130" s="116">
        <v>180.03333333333299</v>
      </c>
      <c r="P130" s="116">
        <v>183.333333333333</v>
      </c>
      <c r="Q130" s="116">
        <v>631.85</v>
      </c>
      <c r="R130">
        <v>49019</v>
      </c>
    </row>
    <row r="131" spans="1:18" x14ac:dyDescent="0.25">
      <c r="A131" s="169">
        <v>42684</v>
      </c>
      <c r="B131" s="116">
        <v>216.03333333333299</v>
      </c>
      <c r="C131" s="116">
        <v>213.95</v>
      </c>
      <c r="D131" s="116">
        <v>212.316666666667</v>
      </c>
      <c r="E131" s="116">
        <v>213</v>
      </c>
      <c r="F131" s="116">
        <v>641.85</v>
      </c>
      <c r="G131">
        <v>3507</v>
      </c>
      <c r="H131" s="116"/>
      <c r="I131" s="116"/>
      <c r="L131" s="169">
        <v>42684</v>
      </c>
      <c r="M131" s="116">
        <v>212.183333333333</v>
      </c>
      <c r="N131" s="116">
        <v>215.666666666667</v>
      </c>
      <c r="O131" s="116">
        <v>210.333333333333</v>
      </c>
      <c r="P131" s="116">
        <v>212.816666666667</v>
      </c>
      <c r="Q131" s="116">
        <v>636.54999999999995</v>
      </c>
      <c r="R131">
        <v>22394</v>
      </c>
    </row>
    <row r="132" spans="1:18" x14ac:dyDescent="0.25">
      <c r="A132" s="169">
        <v>42685</v>
      </c>
      <c r="B132" s="116">
        <v>212.98333333333301</v>
      </c>
      <c r="C132" s="116">
        <v>205.53333333333299</v>
      </c>
      <c r="D132" s="116">
        <v>204.166666666667</v>
      </c>
      <c r="E132" s="116">
        <v>208.85</v>
      </c>
      <c r="F132" s="116">
        <v>616.6</v>
      </c>
      <c r="G132">
        <v>3643</v>
      </c>
      <c r="H132" s="116"/>
      <c r="I132" s="116"/>
      <c r="L132" s="169">
        <v>42685</v>
      </c>
      <c r="M132" s="116">
        <v>205.583333333333</v>
      </c>
      <c r="N132" s="116">
        <v>213.23333333333301</v>
      </c>
      <c r="O132" s="116">
        <v>204.933333333333</v>
      </c>
      <c r="P132" s="116">
        <v>210</v>
      </c>
      <c r="Q132" s="116">
        <v>616.75</v>
      </c>
      <c r="R132">
        <v>31748</v>
      </c>
    </row>
    <row r="133" spans="1:18" x14ac:dyDescent="0.25">
      <c r="A133" s="169">
        <v>42689</v>
      </c>
      <c r="B133" s="116">
        <v>205.36666666666699</v>
      </c>
      <c r="C133" s="116">
        <v>199.9</v>
      </c>
      <c r="D133" s="116">
        <v>198.333333333333</v>
      </c>
      <c r="E133" s="116">
        <v>204.5</v>
      </c>
      <c r="F133" s="116">
        <v>599.70000000000005</v>
      </c>
      <c r="G133">
        <v>5535</v>
      </c>
      <c r="H133" s="116"/>
      <c r="I133" s="116"/>
      <c r="L133" s="169">
        <v>42689</v>
      </c>
      <c r="M133" s="116">
        <v>199.11666666666699</v>
      </c>
      <c r="N133" s="116">
        <v>206.45</v>
      </c>
      <c r="O133" s="116">
        <v>196.666666666667</v>
      </c>
      <c r="P133" s="116">
        <v>205.46666666666701</v>
      </c>
      <c r="Q133" s="116">
        <v>597.35</v>
      </c>
      <c r="R133">
        <v>22493</v>
      </c>
    </row>
    <row r="134" spans="1:18" x14ac:dyDescent="0.25">
      <c r="A134" s="169">
        <v>42690</v>
      </c>
      <c r="B134" s="116">
        <v>204.1</v>
      </c>
      <c r="C134" s="116">
        <v>199.1</v>
      </c>
      <c r="D134" s="116">
        <v>197.9</v>
      </c>
      <c r="E134" s="116">
        <v>203</v>
      </c>
      <c r="F134" s="116">
        <v>597.29999999999995</v>
      </c>
      <c r="G134">
        <v>5118</v>
      </c>
      <c r="H134" s="116"/>
      <c r="I134" s="116"/>
      <c r="L134" s="169">
        <v>42690</v>
      </c>
      <c r="M134" s="116">
        <v>196.933333333333</v>
      </c>
      <c r="N134" s="116">
        <v>204.35</v>
      </c>
      <c r="O134" s="116">
        <v>196.03333333333299</v>
      </c>
      <c r="P134" s="116">
        <v>202.666666666667</v>
      </c>
      <c r="Q134" s="116">
        <v>590.79999999999995</v>
      </c>
      <c r="R134">
        <v>22670</v>
      </c>
    </row>
    <row r="135" spans="1:18" x14ac:dyDescent="0.25">
      <c r="A135" s="169">
        <v>42691</v>
      </c>
      <c r="B135" s="116">
        <v>200.566666666667</v>
      </c>
      <c r="C135" s="116">
        <v>197.25</v>
      </c>
      <c r="D135" s="116">
        <v>196.666666666667</v>
      </c>
      <c r="E135" s="116">
        <v>199.1</v>
      </c>
      <c r="F135" s="116">
        <v>591.75</v>
      </c>
      <c r="G135">
        <v>3890</v>
      </c>
      <c r="H135" s="116"/>
      <c r="I135" s="116"/>
      <c r="L135" s="169">
        <v>42691</v>
      </c>
      <c r="M135" s="116">
        <v>197.36666666666699</v>
      </c>
      <c r="N135" s="116">
        <v>200.666666666667</v>
      </c>
      <c r="O135" s="116">
        <v>196.5</v>
      </c>
      <c r="P135" s="116">
        <v>199.6</v>
      </c>
      <c r="Q135" s="116">
        <v>592.1</v>
      </c>
      <c r="R135">
        <v>20952</v>
      </c>
    </row>
    <row r="136" spans="1:18" x14ac:dyDescent="0.25">
      <c r="A136" s="169">
        <v>42692</v>
      </c>
      <c r="B136" s="116">
        <v>203</v>
      </c>
      <c r="C136" s="116">
        <v>201.36666666666699</v>
      </c>
      <c r="D136" s="116">
        <v>198.63333333333301</v>
      </c>
      <c r="E136" s="116">
        <v>198.666666666667</v>
      </c>
      <c r="F136" s="116">
        <v>604.1</v>
      </c>
      <c r="G136">
        <v>4515</v>
      </c>
      <c r="H136" s="116"/>
      <c r="I136" s="116"/>
      <c r="L136" s="169">
        <v>42692</v>
      </c>
      <c r="M136" s="116">
        <v>201.88333333333301</v>
      </c>
      <c r="N136" s="116">
        <v>203.45</v>
      </c>
      <c r="O136" s="116">
        <v>197.666666666667</v>
      </c>
      <c r="P136" s="116">
        <v>197.666666666667</v>
      </c>
      <c r="Q136" s="116">
        <v>605.65</v>
      </c>
      <c r="R136">
        <v>21764</v>
      </c>
    </row>
    <row r="137" spans="1:18" x14ac:dyDescent="0.25">
      <c r="A137" s="169">
        <v>42695</v>
      </c>
      <c r="B137" s="116">
        <v>212.566666666667</v>
      </c>
      <c r="C137" s="116">
        <v>205.28333333333299</v>
      </c>
      <c r="D137" s="116">
        <v>203.3</v>
      </c>
      <c r="E137" s="116">
        <v>203.3</v>
      </c>
      <c r="F137" s="116">
        <v>615.85</v>
      </c>
      <c r="G137">
        <v>10477</v>
      </c>
      <c r="H137" s="116"/>
      <c r="I137" s="116"/>
      <c r="L137" s="169">
        <v>42695</v>
      </c>
      <c r="M137" s="116">
        <v>205.433333333333</v>
      </c>
      <c r="N137" s="116">
        <v>212.583333333333</v>
      </c>
      <c r="O137" s="116">
        <v>201.333333333333</v>
      </c>
      <c r="P137" s="116">
        <v>201.333333333333</v>
      </c>
      <c r="Q137" s="116">
        <v>616.29999999999995</v>
      </c>
      <c r="R137">
        <v>70692</v>
      </c>
    </row>
    <row r="138" spans="1:18" x14ac:dyDescent="0.25">
      <c r="A138" s="169">
        <v>42696</v>
      </c>
      <c r="B138" s="116">
        <v>211.333333333333</v>
      </c>
      <c r="C138" s="116">
        <v>208.51666666666699</v>
      </c>
      <c r="D138" s="116">
        <v>202.333333333333</v>
      </c>
      <c r="E138" s="116">
        <v>211.316666666667</v>
      </c>
      <c r="F138" s="116">
        <v>625.54999999999995</v>
      </c>
      <c r="G138">
        <v>17698</v>
      </c>
      <c r="H138" s="116"/>
      <c r="I138" s="116"/>
      <c r="L138" s="169">
        <v>42696</v>
      </c>
      <c r="M138" s="116">
        <v>208.8</v>
      </c>
      <c r="N138" s="116">
        <v>211.666666666667</v>
      </c>
      <c r="O138" s="116">
        <v>201.666666666667</v>
      </c>
      <c r="P138" s="116">
        <v>211.583333333333</v>
      </c>
      <c r="Q138" s="116">
        <v>626.4</v>
      </c>
      <c r="R138">
        <v>161738</v>
      </c>
    </row>
    <row r="139" spans="1:18" x14ac:dyDescent="0.25">
      <c r="A139" s="169">
        <v>42697</v>
      </c>
      <c r="B139" s="116">
        <v>218</v>
      </c>
      <c r="C139" s="116">
        <v>216.8</v>
      </c>
      <c r="D139" s="116">
        <v>208.333333333333</v>
      </c>
      <c r="E139" s="116">
        <v>210</v>
      </c>
      <c r="F139" s="116">
        <v>650.4</v>
      </c>
      <c r="G139">
        <v>14873</v>
      </c>
      <c r="H139" s="116"/>
      <c r="I139" s="116"/>
      <c r="L139" s="169">
        <v>42697</v>
      </c>
      <c r="M139" s="116">
        <v>216.666666666667</v>
      </c>
      <c r="N139" s="116">
        <v>218.333333333333</v>
      </c>
      <c r="O139" s="116">
        <v>209</v>
      </c>
      <c r="P139" s="116">
        <v>213.333333333333</v>
      </c>
      <c r="Q139" s="116">
        <v>650</v>
      </c>
      <c r="R139">
        <v>119016</v>
      </c>
    </row>
    <row r="140" spans="1:18" x14ac:dyDescent="0.25">
      <c r="A140" s="169">
        <v>42698</v>
      </c>
      <c r="B140" s="116">
        <v>222</v>
      </c>
      <c r="C140" s="116">
        <v>217.78333333333299</v>
      </c>
      <c r="D140" s="116">
        <v>215.666666666667</v>
      </c>
      <c r="E140" s="116">
        <v>217</v>
      </c>
      <c r="F140" s="116">
        <v>653.35</v>
      </c>
      <c r="G140">
        <v>12523</v>
      </c>
      <c r="H140" s="116"/>
      <c r="I140" s="116"/>
      <c r="L140" s="169">
        <v>42698</v>
      </c>
      <c r="M140" s="116">
        <v>219.76666666666699</v>
      </c>
      <c r="N140" s="116">
        <v>222.333333333333</v>
      </c>
      <c r="O140" s="116">
        <v>212.9</v>
      </c>
      <c r="P140" s="116">
        <v>218.7</v>
      </c>
      <c r="Q140" s="116">
        <v>659.3</v>
      </c>
      <c r="R140">
        <v>84804</v>
      </c>
    </row>
    <row r="141" spans="1:18" x14ac:dyDescent="0.25">
      <c r="A141" s="169">
        <v>42699</v>
      </c>
      <c r="B141" s="116">
        <v>223.63333333333301</v>
      </c>
      <c r="C141" s="116">
        <v>219.666666666667</v>
      </c>
      <c r="D141" s="116">
        <v>218.333333333333</v>
      </c>
      <c r="E141" s="116">
        <v>218.333333333333</v>
      </c>
      <c r="F141" s="116">
        <v>659</v>
      </c>
      <c r="G141">
        <v>9217</v>
      </c>
      <c r="H141" s="116"/>
      <c r="I141" s="116"/>
      <c r="L141" s="169">
        <v>42699</v>
      </c>
      <c r="M141" s="116">
        <v>219.433333333333</v>
      </c>
      <c r="N141" s="116">
        <v>223.666666666667</v>
      </c>
      <c r="O141" s="116">
        <v>217.53333333333299</v>
      </c>
      <c r="P141" s="116">
        <v>222</v>
      </c>
      <c r="Q141" s="116">
        <v>658.3</v>
      </c>
      <c r="R141">
        <v>72535</v>
      </c>
    </row>
    <row r="142" spans="1:18" x14ac:dyDescent="0.25">
      <c r="A142" s="169">
        <v>42702</v>
      </c>
      <c r="B142" s="116">
        <v>222.63333333333301</v>
      </c>
      <c r="C142" s="116">
        <v>216.73333333333301</v>
      </c>
      <c r="D142" s="116">
        <v>215.583333333333</v>
      </c>
      <c r="E142" s="116">
        <v>219.63333333333301</v>
      </c>
      <c r="F142" s="116">
        <v>650.20000000000005</v>
      </c>
      <c r="G142">
        <v>5764</v>
      </c>
      <c r="H142" s="116"/>
      <c r="I142" s="116"/>
      <c r="L142" s="169">
        <v>42702</v>
      </c>
      <c r="M142" s="116">
        <v>216.01666666666699</v>
      </c>
      <c r="N142" s="116">
        <v>222.65</v>
      </c>
      <c r="O142" s="116">
        <v>215</v>
      </c>
      <c r="P142" s="116">
        <v>218.26666666666699</v>
      </c>
      <c r="Q142" s="116">
        <v>648.04999999999995</v>
      </c>
      <c r="R142">
        <v>33578</v>
      </c>
    </row>
    <row r="143" spans="1:18" x14ac:dyDescent="0.25">
      <c r="A143" s="169">
        <v>42703</v>
      </c>
      <c r="B143" s="116">
        <v>231</v>
      </c>
      <c r="C143" s="116">
        <v>224.35</v>
      </c>
      <c r="D143" s="116">
        <v>215.88333333333301</v>
      </c>
      <c r="E143" s="116">
        <v>217</v>
      </c>
      <c r="F143" s="116">
        <v>673.05</v>
      </c>
      <c r="G143">
        <v>36762</v>
      </c>
      <c r="H143" s="116"/>
      <c r="I143" s="116"/>
      <c r="L143" s="169">
        <v>42703</v>
      </c>
      <c r="M143" s="116">
        <v>224.4</v>
      </c>
      <c r="N143" s="116">
        <v>230.75</v>
      </c>
      <c r="O143" s="116">
        <v>216</v>
      </c>
      <c r="P143" s="116">
        <v>217.86666666666699</v>
      </c>
      <c r="Q143" s="116">
        <v>673.2</v>
      </c>
      <c r="R143">
        <v>137794</v>
      </c>
    </row>
    <row r="144" spans="1:18" x14ac:dyDescent="0.25">
      <c r="A144" s="169">
        <v>42704</v>
      </c>
      <c r="B144" s="116">
        <v>230.5</v>
      </c>
      <c r="C144" s="116">
        <v>226.066666666667</v>
      </c>
      <c r="D144" s="116">
        <v>225.05</v>
      </c>
      <c r="E144" s="116">
        <v>225.566666666667</v>
      </c>
      <c r="F144" s="116">
        <v>678.2</v>
      </c>
      <c r="G144">
        <v>15973</v>
      </c>
      <c r="H144" s="116"/>
      <c r="I144" s="116"/>
      <c r="L144" s="169">
        <v>42704</v>
      </c>
      <c r="M144" s="116">
        <v>225.4</v>
      </c>
      <c r="N144" s="116">
        <v>230</v>
      </c>
      <c r="O144" s="116">
        <v>225</v>
      </c>
      <c r="P144" s="116">
        <v>226.333333333333</v>
      </c>
      <c r="Q144" s="116">
        <v>676.2</v>
      </c>
      <c r="R144">
        <v>68151</v>
      </c>
    </row>
    <row r="145" spans="1:18" x14ac:dyDescent="0.25">
      <c r="A145" s="169">
        <v>42705</v>
      </c>
      <c r="B145" s="116">
        <v>228</v>
      </c>
      <c r="C145" s="116">
        <v>221.9</v>
      </c>
      <c r="D145" s="116">
        <v>221.183333333333</v>
      </c>
      <c r="E145" s="116">
        <v>227.25</v>
      </c>
      <c r="F145" s="116">
        <v>665.7</v>
      </c>
      <c r="G145">
        <v>6396</v>
      </c>
      <c r="H145" s="116"/>
      <c r="I145" s="116"/>
      <c r="L145" s="169">
        <v>42705</v>
      </c>
      <c r="M145" s="116">
        <v>221.7</v>
      </c>
      <c r="N145" s="116">
        <v>228.03333333333299</v>
      </c>
      <c r="O145" s="116">
        <v>221</v>
      </c>
      <c r="P145" s="116">
        <v>226.166666666667</v>
      </c>
      <c r="Q145" s="116">
        <v>665.1</v>
      </c>
      <c r="R145">
        <v>25497</v>
      </c>
    </row>
    <row r="146" spans="1:18" x14ac:dyDescent="0.25">
      <c r="A146" s="169">
        <v>42706</v>
      </c>
      <c r="B146" s="116">
        <v>221.166666666667</v>
      </c>
      <c r="C146" s="116">
        <v>219.01666666666699</v>
      </c>
      <c r="D146" s="116">
        <v>217.416666666667</v>
      </c>
      <c r="E146" s="116">
        <v>220.4</v>
      </c>
      <c r="F146" s="116">
        <v>657.05</v>
      </c>
      <c r="G146">
        <v>4597</v>
      </c>
      <c r="H146" s="116"/>
      <c r="I146" s="116"/>
      <c r="L146" s="169">
        <v>42706</v>
      </c>
      <c r="M146" s="116">
        <v>218.36666666666699</v>
      </c>
      <c r="N146" s="116">
        <v>221.066666666667</v>
      </c>
      <c r="O146" s="116">
        <v>217.26666666666699</v>
      </c>
      <c r="P146" s="116">
        <v>217.666666666667</v>
      </c>
      <c r="Q146" s="116">
        <v>655.1</v>
      </c>
      <c r="R146">
        <v>84711</v>
      </c>
    </row>
    <row r="147" spans="1:18" x14ac:dyDescent="0.25">
      <c r="A147" s="169">
        <v>42709</v>
      </c>
      <c r="B147" s="116">
        <v>221.28333333333299</v>
      </c>
      <c r="C147" s="116">
        <v>219.61666666666699</v>
      </c>
      <c r="D147" s="116">
        <v>215.333333333333</v>
      </c>
      <c r="E147" s="116">
        <v>219.6</v>
      </c>
      <c r="F147" s="116">
        <v>658.85</v>
      </c>
      <c r="G147">
        <v>3330</v>
      </c>
      <c r="H147" s="116"/>
      <c r="I147" s="116"/>
      <c r="L147" s="169">
        <v>42709</v>
      </c>
      <c r="M147" s="116">
        <v>219.05</v>
      </c>
      <c r="N147" s="116">
        <v>221.183333333333</v>
      </c>
      <c r="O147" s="116">
        <v>215.03333333333299</v>
      </c>
      <c r="P147" s="116">
        <v>218.333333333333</v>
      </c>
      <c r="Q147" s="116">
        <v>657.15</v>
      </c>
      <c r="R147">
        <v>20681</v>
      </c>
    </row>
    <row r="148" spans="1:18" x14ac:dyDescent="0.25">
      <c r="A148" s="169">
        <v>42710</v>
      </c>
      <c r="B148" s="116">
        <v>223.316666666667</v>
      </c>
      <c r="C148" s="116">
        <v>221.03333333333299</v>
      </c>
      <c r="D148" s="116">
        <v>217.183333333333</v>
      </c>
      <c r="E148" s="116">
        <v>222.98333333333301</v>
      </c>
      <c r="F148" s="116">
        <v>663.1</v>
      </c>
      <c r="G148">
        <v>3447</v>
      </c>
      <c r="H148" s="116"/>
      <c r="I148" s="116"/>
      <c r="L148" s="169">
        <v>42710</v>
      </c>
      <c r="M148" s="116">
        <v>220.9</v>
      </c>
      <c r="N148" s="116">
        <v>223.666666666667</v>
      </c>
      <c r="O148" s="116">
        <v>217.5</v>
      </c>
      <c r="P148" s="116">
        <v>220.65</v>
      </c>
      <c r="Q148" s="116">
        <v>662.7</v>
      </c>
      <c r="R148">
        <v>14633</v>
      </c>
    </row>
    <row r="149" spans="1:18" x14ac:dyDescent="0.25">
      <c r="A149" s="169">
        <v>42711</v>
      </c>
      <c r="B149" s="116">
        <v>223.75</v>
      </c>
      <c r="C149" s="116">
        <v>219.01666666666699</v>
      </c>
      <c r="D149" s="116">
        <v>218.333333333333</v>
      </c>
      <c r="E149" s="116">
        <v>222.333333333333</v>
      </c>
      <c r="F149" s="116">
        <v>657.05</v>
      </c>
      <c r="G149">
        <v>3797</v>
      </c>
      <c r="H149" s="116"/>
      <c r="I149" s="116"/>
      <c r="L149" s="169">
        <v>42711</v>
      </c>
      <c r="M149" s="116">
        <v>218.35</v>
      </c>
      <c r="N149" s="116">
        <v>224.65</v>
      </c>
      <c r="O149" s="116">
        <v>217.566666666667</v>
      </c>
      <c r="P149" s="116">
        <v>220.35</v>
      </c>
      <c r="Q149" s="116">
        <v>655.04999999999995</v>
      </c>
      <c r="R149">
        <v>25920</v>
      </c>
    </row>
    <row r="150" spans="1:18" x14ac:dyDescent="0.25">
      <c r="A150" s="169">
        <v>42712</v>
      </c>
      <c r="B150" s="116">
        <v>222.63333333333301</v>
      </c>
      <c r="C150" s="116">
        <v>219.816666666667</v>
      </c>
      <c r="D150" s="116">
        <v>219.01666666666699</v>
      </c>
      <c r="E150" s="116">
        <v>222.63333333333301</v>
      </c>
      <c r="F150" s="116">
        <v>659.45</v>
      </c>
      <c r="G150">
        <v>2096</v>
      </c>
      <c r="H150" s="116"/>
      <c r="I150" s="116"/>
      <c r="L150" s="169">
        <v>42712</v>
      </c>
      <c r="M150" s="116">
        <v>219.183333333333</v>
      </c>
      <c r="N150" s="116">
        <v>222.333333333333</v>
      </c>
      <c r="O150" s="116">
        <v>218.333333333333</v>
      </c>
      <c r="P150" s="116">
        <v>222.316666666667</v>
      </c>
      <c r="Q150" s="116">
        <v>657.55</v>
      </c>
      <c r="R150">
        <v>23944</v>
      </c>
    </row>
    <row r="151" spans="1:18" x14ac:dyDescent="0.25">
      <c r="A151" s="169">
        <v>42713</v>
      </c>
      <c r="B151" s="116">
        <v>228.333333333333</v>
      </c>
      <c r="C151" s="116">
        <v>225.433333333333</v>
      </c>
      <c r="D151" s="116">
        <v>217.65</v>
      </c>
      <c r="E151" s="116">
        <v>219.28333333333299</v>
      </c>
      <c r="F151" s="116">
        <v>676.3</v>
      </c>
      <c r="G151">
        <v>13443</v>
      </c>
      <c r="H151" s="116"/>
      <c r="I151" s="116"/>
      <c r="L151" s="169">
        <v>42713</v>
      </c>
      <c r="M151" s="116">
        <v>223.816666666667</v>
      </c>
      <c r="N151" s="116">
        <v>228.333333333333</v>
      </c>
      <c r="O151" s="116">
        <v>217.333333333333</v>
      </c>
      <c r="P151" s="116">
        <v>223</v>
      </c>
      <c r="Q151" s="116">
        <v>671.45</v>
      </c>
      <c r="R151">
        <v>42004</v>
      </c>
    </row>
    <row r="152" spans="1:18" x14ac:dyDescent="0.25">
      <c r="A152" s="169">
        <v>42716</v>
      </c>
      <c r="B152" s="116">
        <v>232</v>
      </c>
      <c r="C152" s="116">
        <v>225.38333333333301</v>
      </c>
      <c r="D152" s="116">
        <v>221.5</v>
      </c>
      <c r="E152" s="116">
        <v>223.98333333333301</v>
      </c>
      <c r="F152" s="116">
        <v>676.15</v>
      </c>
      <c r="G152">
        <v>13978</v>
      </c>
      <c r="H152" s="116"/>
      <c r="I152" s="116"/>
      <c r="L152" s="169">
        <v>42716</v>
      </c>
      <c r="M152" s="116">
        <v>226.1</v>
      </c>
      <c r="N152" s="116">
        <v>232.333333333333</v>
      </c>
      <c r="O152" s="116">
        <v>221.36666666666699</v>
      </c>
      <c r="P152" s="116">
        <v>223.333333333333</v>
      </c>
      <c r="Q152" s="116">
        <v>678.3</v>
      </c>
      <c r="R152">
        <v>79346</v>
      </c>
    </row>
    <row r="153" spans="1:18" x14ac:dyDescent="0.25">
      <c r="A153" s="169">
        <v>42717</v>
      </c>
      <c r="B153" s="116">
        <v>235.083333333333</v>
      </c>
      <c r="C153" s="116">
        <v>231.11666666666699</v>
      </c>
      <c r="D153" s="116">
        <v>226.21666666666701</v>
      </c>
      <c r="E153" s="116">
        <v>227.4</v>
      </c>
      <c r="F153" s="116">
        <v>693.35</v>
      </c>
      <c r="G153">
        <v>25920</v>
      </c>
      <c r="H153" s="116"/>
      <c r="I153" s="116"/>
      <c r="L153" s="169">
        <v>42717</v>
      </c>
      <c r="M153" s="116">
        <v>232.183333333333</v>
      </c>
      <c r="N153" s="116">
        <v>235.5</v>
      </c>
      <c r="O153" s="116">
        <v>224.38333333333301</v>
      </c>
      <c r="P153" s="116">
        <v>225</v>
      </c>
      <c r="Q153" s="116">
        <v>696.55</v>
      </c>
      <c r="R153">
        <v>115510</v>
      </c>
    </row>
    <row r="154" spans="1:18" x14ac:dyDescent="0.25">
      <c r="A154" s="169">
        <v>42718</v>
      </c>
      <c r="B154" s="116">
        <v>239.95</v>
      </c>
      <c r="C154" s="116">
        <v>228.666666666667</v>
      </c>
      <c r="D154" s="116">
        <v>227</v>
      </c>
      <c r="E154" s="116">
        <v>233.13333333333301</v>
      </c>
      <c r="F154" s="116">
        <v>686</v>
      </c>
      <c r="G154">
        <v>37677</v>
      </c>
      <c r="H154" s="116"/>
      <c r="I154" s="116"/>
      <c r="L154" s="169">
        <v>42718</v>
      </c>
      <c r="M154" s="116">
        <v>227.45</v>
      </c>
      <c r="N154" s="116">
        <v>240.21666666666701</v>
      </c>
      <c r="O154" s="116">
        <v>224.833333333333</v>
      </c>
      <c r="P154" s="116">
        <v>233.333333333333</v>
      </c>
      <c r="Q154" s="116">
        <v>682.35</v>
      </c>
      <c r="R154">
        <v>176855</v>
      </c>
    </row>
    <row r="155" spans="1:18" x14ac:dyDescent="0.25">
      <c r="A155" s="169">
        <v>42719</v>
      </c>
      <c r="B155" s="116">
        <v>232.166666666667</v>
      </c>
      <c r="C155" s="116">
        <v>230.13333333333301</v>
      </c>
      <c r="D155" s="116">
        <v>225.183333333333</v>
      </c>
      <c r="E155" s="116">
        <v>226.3</v>
      </c>
      <c r="F155" s="116">
        <v>690.4</v>
      </c>
      <c r="G155">
        <v>7461</v>
      </c>
      <c r="H155" s="116"/>
      <c r="I155" s="116"/>
      <c r="L155" s="169">
        <v>42719</v>
      </c>
      <c r="M155" s="116">
        <v>229.25</v>
      </c>
      <c r="N155" s="116">
        <v>232.433333333333</v>
      </c>
      <c r="O155" s="116">
        <v>225.083333333333</v>
      </c>
      <c r="P155" s="116">
        <v>225.35</v>
      </c>
      <c r="Q155" s="116">
        <v>687.75</v>
      </c>
      <c r="R155">
        <v>58836</v>
      </c>
    </row>
    <row r="156" spans="1:18" x14ac:dyDescent="0.25">
      <c r="A156" s="169">
        <v>42720</v>
      </c>
      <c r="B156" s="116">
        <v>232.3</v>
      </c>
      <c r="C156" s="116">
        <v>227.95</v>
      </c>
      <c r="D156" s="116">
        <v>225.666666666667</v>
      </c>
      <c r="E156" s="116">
        <v>230.01666666666699</v>
      </c>
      <c r="F156" s="116">
        <v>683.85</v>
      </c>
      <c r="G156">
        <v>6021</v>
      </c>
      <c r="H156" s="116"/>
      <c r="I156" s="116"/>
      <c r="L156" s="169">
        <v>42720</v>
      </c>
      <c r="M156" s="116">
        <v>227.46666666666701</v>
      </c>
      <c r="N156" s="116">
        <v>232.666666666667</v>
      </c>
      <c r="O156" s="116">
        <v>225</v>
      </c>
      <c r="P156" s="116">
        <v>229.96666666666701</v>
      </c>
      <c r="Q156" s="116">
        <v>682.4</v>
      </c>
      <c r="R156">
        <v>50628</v>
      </c>
    </row>
    <row r="157" spans="1:18" x14ac:dyDescent="0.25">
      <c r="A157" s="169">
        <v>42723</v>
      </c>
      <c r="B157" s="116">
        <v>230</v>
      </c>
      <c r="C157" s="116">
        <v>227.53333333333299</v>
      </c>
      <c r="D157" s="116">
        <v>225.35</v>
      </c>
      <c r="E157" s="116">
        <v>227.73333333333301</v>
      </c>
      <c r="F157" s="116">
        <v>682.6</v>
      </c>
      <c r="G157">
        <v>5291</v>
      </c>
      <c r="H157" s="116"/>
      <c r="I157" s="116"/>
      <c r="L157" s="169">
        <v>42723</v>
      </c>
      <c r="M157" s="116">
        <v>226.85</v>
      </c>
      <c r="N157" s="116">
        <v>230.583333333333</v>
      </c>
      <c r="O157" s="116">
        <v>226.03333333333299</v>
      </c>
      <c r="P157" s="116">
        <v>228.333333333333</v>
      </c>
      <c r="Q157" s="116">
        <v>680.55</v>
      </c>
      <c r="R157">
        <v>25820</v>
      </c>
    </row>
    <row r="158" spans="1:18" x14ac:dyDescent="0.25">
      <c r="A158" s="169">
        <v>42724</v>
      </c>
      <c r="B158" s="116">
        <v>234.3</v>
      </c>
      <c r="C158" s="116">
        <v>230.48333333333301</v>
      </c>
      <c r="D158" s="116">
        <v>227.35</v>
      </c>
      <c r="E158" s="116">
        <v>227.98333333333301</v>
      </c>
      <c r="F158" s="116">
        <v>691.45</v>
      </c>
      <c r="G158">
        <v>9977</v>
      </c>
      <c r="H158" s="116"/>
      <c r="I158" s="116"/>
      <c r="L158" s="169">
        <v>42724</v>
      </c>
      <c r="M158" s="116">
        <v>231.25</v>
      </c>
      <c r="N158" s="116">
        <v>234.98333333333301</v>
      </c>
      <c r="O158" s="116">
        <v>227.53333333333299</v>
      </c>
      <c r="P158" s="116">
        <v>228.65</v>
      </c>
      <c r="Q158" s="116">
        <v>693.75</v>
      </c>
      <c r="R158">
        <v>75414</v>
      </c>
    </row>
    <row r="159" spans="1:18" x14ac:dyDescent="0.25">
      <c r="A159" s="169">
        <v>42725</v>
      </c>
      <c r="B159" s="116">
        <v>232.28333333333299</v>
      </c>
      <c r="C159" s="116">
        <v>228.6</v>
      </c>
      <c r="D159" s="116">
        <v>227.36666666666699</v>
      </c>
      <c r="E159" s="116">
        <v>230.51666666666699</v>
      </c>
      <c r="F159" s="116">
        <v>685.8</v>
      </c>
      <c r="G159">
        <v>4622</v>
      </c>
      <c r="H159" s="116"/>
      <c r="I159" s="116"/>
      <c r="L159" s="169">
        <v>42725</v>
      </c>
      <c r="M159" s="116">
        <v>228.083333333333</v>
      </c>
      <c r="N159" s="116">
        <v>232.583333333333</v>
      </c>
      <c r="O159" s="116">
        <v>226.666666666667</v>
      </c>
      <c r="P159" s="116">
        <v>230</v>
      </c>
      <c r="Q159" s="116">
        <v>684.25</v>
      </c>
      <c r="R159">
        <v>28269</v>
      </c>
    </row>
    <row r="160" spans="1:18" x14ac:dyDescent="0.25">
      <c r="A160" s="169">
        <v>42726</v>
      </c>
      <c r="B160" s="116">
        <v>230.86666666666699</v>
      </c>
      <c r="C160" s="116">
        <v>225.78333333333299</v>
      </c>
      <c r="D160" s="116">
        <v>221.666666666667</v>
      </c>
      <c r="E160" s="116">
        <v>228.11666666666699</v>
      </c>
      <c r="F160" s="116">
        <v>677.35</v>
      </c>
      <c r="G160">
        <v>6946</v>
      </c>
      <c r="H160" s="116"/>
      <c r="I160" s="116"/>
      <c r="L160" s="169">
        <v>42726</v>
      </c>
      <c r="M160" s="116">
        <v>225.65</v>
      </c>
      <c r="N160" s="116">
        <v>231.3</v>
      </c>
      <c r="O160" s="116">
        <v>222</v>
      </c>
      <c r="P160" s="116">
        <v>229.933333333333</v>
      </c>
      <c r="Q160" s="116">
        <v>676.95</v>
      </c>
      <c r="R160">
        <v>47865</v>
      </c>
    </row>
    <row r="161" spans="1:18" x14ac:dyDescent="0.25">
      <c r="A161" s="169">
        <v>42727</v>
      </c>
      <c r="B161" s="116">
        <v>228.666666666667</v>
      </c>
      <c r="C161" s="116">
        <v>224.9</v>
      </c>
      <c r="D161" s="116">
        <v>224.433333333333</v>
      </c>
      <c r="E161" s="116">
        <v>226.35</v>
      </c>
      <c r="F161" s="116">
        <v>674.7</v>
      </c>
      <c r="G161">
        <v>7760</v>
      </c>
      <c r="H161" s="116"/>
      <c r="I161" s="116"/>
      <c r="L161" s="169">
        <v>42727</v>
      </c>
      <c r="M161" s="116">
        <v>224.25</v>
      </c>
      <c r="N161" s="116">
        <v>229.333333333333</v>
      </c>
      <c r="O161" s="116">
        <v>223.333333333333</v>
      </c>
      <c r="P161" s="116">
        <v>225</v>
      </c>
      <c r="Q161" s="116">
        <v>672.75</v>
      </c>
      <c r="R161">
        <v>41608</v>
      </c>
    </row>
    <row r="162" spans="1:18" x14ac:dyDescent="0.25">
      <c r="A162" s="169">
        <v>42730</v>
      </c>
      <c r="B162" s="116">
        <v>225.11666666666699</v>
      </c>
      <c r="C162" s="116">
        <v>221.083333333333</v>
      </c>
      <c r="D162" s="116">
        <v>220.4</v>
      </c>
      <c r="E162" s="116">
        <v>224.333333333333</v>
      </c>
      <c r="F162" s="116">
        <v>663.25</v>
      </c>
      <c r="G162">
        <v>4856</v>
      </c>
      <c r="H162" s="116"/>
      <c r="I162" s="116"/>
      <c r="L162" s="169">
        <v>42730</v>
      </c>
      <c r="M162" s="116">
        <v>220.85</v>
      </c>
      <c r="N162" s="116">
        <v>226.6</v>
      </c>
      <c r="O162" s="116">
        <v>220</v>
      </c>
      <c r="P162" s="116">
        <v>226.6</v>
      </c>
      <c r="Q162" s="116">
        <v>662.55</v>
      </c>
      <c r="R162">
        <v>31491</v>
      </c>
    </row>
    <row r="163" spans="1:18" x14ac:dyDescent="0.25">
      <c r="A163" s="169">
        <v>42731</v>
      </c>
      <c r="B163" s="116">
        <v>223.333333333333</v>
      </c>
      <c r="C163" s="116">
        <v>221.35</v>
      </c>
      <c r="D163" s="116">
        <v>220.61666666666699</v>
      </c>
      <c r="E163" s="116">
        <v>223.3</v>
      </c>
      <c r="F163" s="116">
        <v>664.05</v>
      </c>
      <c r="G163">
        <v>2535</v>
      </c>
      <c r="H163" s="116"/>
      <c r="I163" s="116"/>
      <c r="L163" s="169">
        <v>42731</v>
      </c>
      <c r="M163" s="116">
        <v>221.5</v>
      </c>
      <c r="N163" s="116">
        <v>223.63333333333301</v>
      </c>
      <c r="O163" s="116">
        <v>220.066666666667</v>
      </c>
      <c r="P163" s="116">
        <v>222.6</v>
      </c>
      <c r="Q163" s="116">
        <v>664.5</v>
      </c>
      <c r="R163">
        <v>22582</v>
      </c>
    </row>
    <row r="164" spans="1:18" x14ac:dyDescent="0.25">
      <c r="A164" s="169">
        <v>42732</v>
      </c>
      <c r="B164" s="116">
        <v>228.61666666666699</v>
      </c>
      <c r="C164" s="116">
        <v>225.4</v>
      </c>
      <c r="D164" s="116">
        <v>222.683333333333</v>
      </c>
      <c r="E164" s="116">
        <v>223.3</v>
      </c>
      <c r="F164" s="116">
        <v>676.2</v>
      </c>
      <c r="G164">
        <v>4312</v>
      </c>
      <c r="H164" s="116"/>
      <c r="I164" s="116"/>
      <c r="L164" s="169">
        <v>42732</v>
      </c>
      <c r="M164" s="116">
        <v>224.55</v>
      </c>
      <c r="N164" s="116">
        <v>228.933333333333</v>
      </c>
      <c r="O164" s="116">
        <v>222.03333333333299</v>
      </c>
      <c r="P164" s="116">
        <v>222.03333333333299</v>
      </c>
      <c r="Q164" s="116">
        <v>673.65</v>
      </c>
      <c r="R164">
        <v>28420</v>
      </c>
    </row>
    <row r="165" spans="1:18" x14ac:dyDescent="0.25">
      <c r="A165" s="169">
        <v>42733</v>
      </c>
      <c r="B165" s="116">
        <v>232</v>
      </c>
      <c r="C165" s="116">
        <v>228.36666666666699</v>
      </c>
      <c r="D165" s="116">
        <v>222.73333333333301</v>
      </c>
      <c r="E165" s="116">
        <v>224.36666666666699</v>
      </c>
      <c r="F165" s="116">
        <v>685.1</v>
      </c>
      <c r="G165">
        <v>3979</v>
      </c>
      <c r="H165" s="116"/>
      <c r="I165" s="116"/>
      <c r="L165" s="169">
        <v>42733</v>
      </c>
      <c r="M165" s="116">
        <v>227.61666666666699</v>
      </c>
      <c r="N165" s="116">
        <v>233.333333333333</v>
      </c>
      <c r="O165" s="116">
        <v>222.166666666667</v>
      </c>
      <c r="P165" s="116">
        <v>223.53333333333299</v>
      </c>
      <c r="Q165" s="116">
        <v>682.85</v>
      </c>
      <c r="R165">
        <v>47143</v>
      </c>
    </row>
    <row r="166" spans="1:18" x14ac:dyDescent="0.25">
      <c r="A166" s="169">
        <v>42734</v>
      </c>
      <c r="B166" s="116">
        <v>235</v>
      </c>
      <c r="C166" s="116">
        <v>230.15</v>
      </c>
      <c r="D166" s="116">
        <v>229.13333333333301</v>
      </c>
      <c r="E166" s="116">
        <v>230</v>
      </c>
      <c r="F166" s="116">
        <v>690.45</v>
      </c>
      <c r="G166">
        <v>5558</v>
      </c>
      <c r="H166" s="116"/>
      <c r="I166" s="116"/>
      <c r="L166" s="169">
        <v>42734</v>
      </c>
      <c r="M166" s="116">
        <v>231.083333333333</v>
      </c>
      <c r="N166" s="116">
        <v>235.25</v>
      </c>
      <c r="O166" s="116">
        <v>229</v>
      </c>
      <c r="P166" s="116">
        <v>231.333333333333</v>
      </c>
      <c r="Q166" s="116">
        <v>693.25</v>
      </c>
      <c r="R166">
        <v>39525</v>
      </c>
    </row>
    <row r="167" spans="1:18" x14ac:dyDescent="0.25">
      <c r="A167" s="169">
        <v>42737</v>
      </c>
      <c r="B167" s="116">
        <v>235</v>
      </c>
      <c r="C167" s="116">
        <v>232.833333333333</v>
      </c>
      <c r="D167" s="116">
        <v>232.03333333333299</v>
      </c>
      <c r="E167" s="116">
        <v>232.933333333333</v>
      </c>
      <c r="F167" s="116">
        <v>698.5</v>
      </c>
      <c r="G167">
        <v>3625</v>
      </c>
      <c r="H167" s="116"/>
      <c r="I167" s="116"/>
      <c r="L167" s="169">
        <v>42737</v>
      </c>
      <c r="M167" s="116">
        <v>232.38333333333301</v>
      </c>
      <c r="N167" s="116">
        <v>235.316666666667</v>
      </c>
      <c r="O167" s="116">
        <v>231</v>
      </c>
      <c r="P167" s="116">
        <v>231</v>
      </c>
      <c r="Q167" s="116">
        <v>697.15</v>
      </c>
      <c r="R167">
        <v>29275</v>
      </c>
    </row>
    <row r="168" spans="1:18" x14ac:dyDescent="0.25">
      <c r="A168" s="169">
        <v>42738</v>
      </c>
      <c r="B168" s="116">
        <v>242.666666666667</v>
      </c>
      <c r="C168" s="116">
        <v>236.28333333333299</v>
      </c>
      <c r="D168" s="116">
        <v>233.03333333333299</v>
      </c>
      <c r="E168" s="116">
        <v>233.03333333333299</v>
      </c>
      <c r="F168" s="116">
        <v>708.85</v>
      </c>
      <c r="G168">
        <v>21492</v>
      </c>
      <c r="H168" s="116"/>
      <c r="I168" s="116"/>
      <c r="L168" s="169">
        <v>42738</v>
      </c>
      <c r="M168" s="116">
        <v>235.5</v>
      </c>
      <c r="N168" s="116">
        <v>243</v>
      </c>
      <c r="O168" s="116">
        <v>232.2</v>
      </c>
      <c r="P168" s="116">
        <v>234.98333333333301</v>
      </c>
      <c r="Q168" s="116">
        <v>706.5</v>
      </c>
      <c r="R168">
        <v>124465</v>
      </c>
    </row>
    <row r="169" spans="1:18" x14ac:dyDescent="0.25">
      <c r="A169" s="169">
        <v>42739</v>
      </c>
      <c r="B169" s="116">
        <v>239.3</v>
      </c>
      <c r="C169" s="116">
        <v>233.933333333333</v>
      </c>
      <c r="D169" s="116">
        <v>232.36666666666699</v>
      </c>
      <c r="E169" s="116">
        <v>239.3</v>
      </c>
      <c r="F169" s="116">
        <v>701.8</v>
      </c>
      <c r="G169">
        <v>3454</v>
      </c>
      <c r="H169" s="116"/>
      <c r="I169" s="116"/>
      <c r="L169" s="169">
        <v>42739</v>
      </c>
      <c r="M169" s="116">
        <v>233.63333333333301</v>
      </c>
      <c r="N169" s="116">
        <v>237.9</v>
      </c>
      <c r="O169" s="116">
        <v>232.066666666667</v>
      </c>
      <c r="P169" s="116">
        <v>237.333333333333</v>
      </c>
      <c r="Q169" s="116">
        <v>700.9</v>
      </c>
      <c r="R169">
        <v>24041</v>
      </c>
    </row>
    <row r="170" spans="1:18" x14ac:dyDescent="0.25">
      <c r="A170" s="169">
        <v>42740</v>
      </c>
      <c r="B170" s="116">
        <v>235.666666666667</v>
      </c>
      <c r="C170" s="116">
        <v>233.86666666666699</v>
      </c>
      <c r="D170" s="116">
        <v>232.03333333333299</v>
      </c>
      <c r="E170" s="116">
        <v>235.03333333333299</v>
      </c>
      <c r="F170" s="116">
        <v>701.6</v>
      </c>
      <c r="G170">
        <v>3342</v>
      </c>
      <c r="H170" s="116"/>
      <c r="I170" s="116"/>
      <c r="L170" s="169">
        <v>42740</v>
      </c>
      <c r="M170" s="116">
        <v>233.28333333333299</v>
      </c>
      <c r="N170" s="116">
        <v>237.566666666667</v>
      </c>
      <c r="O170" s="116">
        <v>231.666666666667</v>
      </c>
      <c r="P170" s="116">
        <v>237.566666666667</v>
      </c>
      <c r="Q170" s="116">
        <v>699.85</v>
      </c>
      <c r="R170">
        <v>26238</v>
      </c>
    </row>
    <row r="171" spans="1:18" x14ac:dyDescent="0.25">
      <c r="A171" s="169">
        <v>42741</v>
      </c>
      <c r="B171" s="116">
        <v>235.3</v>
      </c>
      <c r="C171" s="116">
        <v>231.3</v>
      </c>
      <c r="D171" s="116">
        <v>230.11666666666699</v>
      </c>
      <c r="E171" s="116">
        <v>232.71666666666701</v>
      </c>
      <c r="F171" s="116">
        <v>693.9</v>
      </c>
      <c r="G171">
        <v>5088</v>
      </c>
      <c r="H171" s="116"/>
      <c r="I171" s="116"/>
      <c r="L171" s="169">
        <v>42741</v>
      </c>
      <c r="M171" s="116">
        <v>232.066666666667</v>
      </c>
      <c r="N171" s="116">
        <v>236.333333333333</v>
      </c>
      <c r="O171" s="116">
        <v>231.36666666666699</v>
      </c>
      <c r="P171" s="116">
        <v>233.28333333333299</v>
      </c>
      <c r="Q171" s="116">
        <v>696.2</v>
      </c>
      <c r="R171">
        <v>26879</v>
      </c>
    </row>
    <row r="172" spans="1:18" x14ac:dyDescent="0.25">
      <c r="A172" s="169">
        <v>42744</v>
      </c>
      <c r="B172" s="116">
        <v>234.433333333333</v>
      </c>
      <c r="C172" s="116">
        <v>232.36666666666699</v>
      </c>
      <c r="D172" s="116">
        <v>231.35</v>
      </c>
      <c r="E172" s="116">
        <v>231.583333333333</v>
      </c>
      <c r="F172" s="116">
        <v>697.1</v>
      </c>
      <c r="G172">
        <v>3458</v>
      </c>
      <c r="H172" s="116"/>
      <c r="I172" s="116"/>
      <c r="L172" s="169">
        <v>42744</v>
      </c>
      <c r="M172" s="116">
        <v>232.916666666667</v>
      </c>
      <c r="N172" s="116">
        <v>234.9</v>
      </c>
      <c r="O172" s="116">
        <v>230.05</v>
      </c>
      <c r="P172" s="116">
        <v>230.05</v>
      </c>
      <c r="Q172" s="116">
        <v>698.75</v>
      </c>
      <c r="R172">
        <v>14633</v>
      </c>
    </row>
    <row r="173" spans="1:18" x14ac:dyDescent="0.25">
      <c r="A173" s="169">
        <v>42745</v>
      </c>
      <c r="B173" s="116">
        <v>236.01666666666699</v>
      </c>
      <c r="C173" s="116">
        <v>232.53333333333299</v>
      </c>
      <c r="D173" s="116">
        <v>231.3</v>
      </c>
      <c r="E173" s="116">
        <v>232.7</v>
      </c>
      <c r="F173" s="116">
        <v>697.6</v>
      </c>
      <c r="G173">
        <v>2733</v>
      </c>
      <c r="H173" s="116"/>
      <c r="I173" s="116"/>
      <c r="L173" s="169">
        <v>42745</v>
      </c>
      <c r="M173" s="116">
        <v>232.76666666666699</v>
      </c>
      <c r="N173" s="116">
        <v>236.566666666667</v>
      </c>
      <c r="O173" s="116">
        <v>232.03333333333299</v>
      </c>
      <c r="P173" s="116">
        <v>234.9</v>
      </c>
      <c r="Q173" s="116">
        <v>698.3</v>
      </c>
      <c r="R173">
        <v>14413</v>
      </c>
    </row>
    <row r="174" spans="1:18" x14ac:dyDescent="0.25">
      <c r="A174" s="169">
        <v>42746</v>
      </c>
      <c r="B174" s="116">
        <v>235.666666666667</v>
      </c>
      <c r="C174" s="116">
        <v>233.4</v>
      </c>
      <c r="D174" s="116">
        <v>232.95</v>
      </c>
      <c r="E174" s="116">
        <v>232.95</v>
      </c>
      <c r="F174" s="116">
        <v>700.2</v>
      </c>
      <c r="G174">
        <v>2711</v>
      </c>
      <c r="H174" s="116"/>
      <c r="I174" s="116"/>
      <c r="L174" s="169">
        <v>42746</v>
      </c>
      <c r="M174" s="116">
        <v>234</v>
      </c>
      <c r="N174" s="116">
        <v>236</v>
      </c>
      <c r="O174" s="116">
        <v>233</v>
      </c>
      <c r="P174" s="116">
        <v>233.333333333333</v>
      </c>
      <c r="Q174" s="116">
        <v>702</v>
      </c>
      <c r="R174">
        <v>11335</v>
      </c>
    </row>
    <row r="175" spans="1:18" x14ac:dyDescent="0.25">
      <c r="A175" s="169">
        <v>42747</v>
      </c>
      <c r="B175" s="116">
        <v>235.333333333333</v>
      </c>
      <c r="C175" s="116">
        <v>232.98333333333301</v>
      </c>
      <c r="D175" s="116">
        <v>232</v>
      </c>
      <c r="E175" s="116">
        <v>234.166666666667</v>
      </c>
      <c r="F175" s="116">
        <v>698.95</v>
      </c>
      <c r="G175">
        <v>5284</v>
      </c>
      <c r="H175" s="116"/>
      <c r="I175" s="116"/>
      <c r="L175" s="169">
        <v>42747</v>
      </c>
      <c r="M175" s="116">
        <v>232.3</v>
      </c>
      <c r="N175" s="116">
        <v>236.333333333333</v>
      </c>
      <c r="O175" s="116">
        <v>231.01666666666699</v>
      </c>
      <c r="P175" s="116">
        <v>233.666666666667</v>
      </c>
      <c r="Q175" s="116">
        <v>696.9</v>
      </c>
      <c r="R175">
        <v>26407</v>
      </c>
    </row>
    <row r="176" spans="1:18" x14ac:dyDescent="0.25">
      <c r="A176" s="169">
        <v>42748</v>
      </c>
      <c r="B176" s="116">
        <v>233.55</v>
      </c>
      <c r="C176" s="116">
        <v>231.98333333333301</v>
      </c>
      <c r="D176" s="116">
        <v>231</v>
      </c>
      <c r="E176" s="116">
        <v>233.316666666667</v>
      </c>
      <c r="F176" s="116">
        <v>695.95</v>
      </c>
      <c r="G176">
        <v>2945</v>
      </c>
      <c r="H176" s="116"/>
      <c r="I176" s="116"/>
      <c r="L176" s="169">
        <v>42748</v>
      </c>
      <c r="M176" s="116">
        <v>231.15</v>
      </c>
      <c r="N176" s="116">
        <v>233.96666666666701</v>
      </c>
      <c r="O176" s="116">
        <v>230.5</v>
      </c>
      <c r="P176" s="116">
        <v>232.35</v>
      </c>
      <c r="Q176" s="116">
        <v>693.45</v>
      </c>
      <c r="R176">
        <v>13065</v>
      </c>
    </row>
    <row r="177" spans="1:18" x14ac:dyDescent="0.25">
      <c r="A177" s="169">
        <v>42751</v>
      </c>
      <c r="B177" s="116">
        <v>232.61666666666699</v>
      </c>
      <c r="C177" s="116">
        <v>231.88333333333301</v>
      </c>
      <c r="D177" s="116">
        <v>230</v>
      </c>
      <c r="E177" s="116">
        <v>231.03333333333299</v>
      </c>
      <c r="F177" s="116">
        <v>695.65</v>
      </c>
      <c r="G177">
        <v>3457</v>
      </c>
      <c r="H177" s="116"/>
      <c r="I177" s="116"/>
      <c r="L177" s="169">
        <v>42751</v>
      </c>
      <c r="M177" s="116">
        <v>231.666666666667</v>
      </c>
      <c r="N177" s="116">
        <v>232.666666666667</v>
      </c>
      <c r="O177" s="116">
        <v>228.76666666666699</v>
      </c>
      <c r="P177" s="116">
        <v>228.76666666666699</v>
      </c>
      <c r="Q177" s="116">
        <v>695</v>
      </c>
      <c r="R177">
        <v>12909</v>
      </c>
    </row>
    <row r="178" spans="1:18" x14ac:dyDescent="0.25">
      <c r="A178" s="169">
        <v>42752</v>
      </c>
      <c r="B178" s="116">
        <v>233.28333333333299</v>
      </c>
      <c r="C178" s="116">
        <v>232.28333333333299</v>
      </c>
      <c r="D178" s="116">
        <v>231.333333333333</v>
      </c>
      <c r="E178" s="116">
        <v>232.55</v>
      </c>
      <c r="F178" s="116">
        <v>696.85</v>
      </c>
      <c r="G178">
        <v>4468</v>
      </c>
      <c r="H178" s="116"/>
      <c r="I178" s="116"/>
      <c r="L178" s="169">
        <v>42752</v>
      </c>
      <c r="M178" s="116">
        <v>231.23333333333301</v>
      </c>
      <c r="N178" s="116">
        <v>233.36666666666699</v>
      </c>
      <c r="O178" s="116">
        <v>230.666666666667</v>
      </c>
      <c r="P178" s="116">
        <v>230.73333333333301</v>
      </c>
      <c r="Q178" s="116">
        <v>693.7</v>
      </c>
      <c r="R178">
        <v>7811</v>
      </c>
    </row>
    <row r="179" spans="1:18" x14ac:dyDescent="0.25">
      <c r="A179" s="169">
        <v>42753</v>
      </c>
      <c r="B179" s="116">
        <v>233.333333333333</v>
      </c>
      <c r="C179" s="116">
        <v>232.75</v>
      </c>
      <c r="D179" s="116">
        <v>231.75</v>
      </c>
      <c r="E179" s="116">
        <v>233.316666666667</v>
      </c>
      <c r="F179" s="116">
        <v>698.25</v>
      </c>
      <c r="G179">
        <v>2119</v>
      </c>
      <c r="H179" s="116"/>
      <c r="I179" s="116"/>
      <c r="L179" s="169">
        <v>42753</v>
      </c>
      <c r="M179" s="116">
        <v>233.48333333333301</v>
      </c>
      <c r="N179" s="116">
        <v>234.26666666666699</v>
      </c>
      <c r="O179" s="116">
        <v>231.666666666667</v>
      </c>
      <c r="P179" s="116">
        <v>234.26666666666699</v>
      </c>
      <c r="Q179" s="116">
        <v>700.45</v>
      </c>
      <c r="R179">
        <v>8884</v>
      </c>
    </row>
    <row r="180" spans="1:18" x14ac:dyDescent="0.25">
      <c r="A180" s="169">
        <v>42754</v>
      </c>
      <c r="B180" s="116">
        <v>233.8</v>
      </c>
      <c r="C180" s="116">
        <v>230.683333333333</v>
      </c>
      <c r="D180" s="116">
        <v>229.166666666667</v>
      </c>
      <c r="E180" s="116">
        <v>232.03333333333299</v>
      </c>
      <c r="F180" s="116">
        <v>692.05</v>
      </c>
      <c r="G180">
        <v>4892</v>
      </c>
      <c r="H180" s="116"/>
      <c r="I180" s="116"/>
      <c r="L180" s="169">
        <v>42754</v>
      </c>
      <c r="M180" s="116">
        <v>230.61666666666699</v>
      </c>
      <c r="N180" s="116">
        <v>233.35</v>
      </c>
      <c r="O180" s="116">
        <v>229.03333333333299</v>
      </c>
      <c r="P180" s="116">
        <v>231.666666666667</v>
      </c>
      <c r="Q180" s="116">
        <v>691.85</v>
      </c>
      <c r="R180">
        <v>8542</v>
      </c>
    </row>
    <row r="181" spans="1:18" x14ac:dyDescent="0.25">
      <c r="A181" s="169">
        <v>42755</v>
      </c>
      <c r="B181" s="116">
        <v>231.666666666667</v>
      </c>
      <c r="C181" s="116">
        <v>226.3</v>
      </c>
      <c r="D181" s="116">
        <v>225.666666666667</v>
      </c>
      <c r="E181" s="116">
        <v>228.98333333333301</v>
      </c>
      <c r="F181" s="116">
        <v>678.9</v>
      </c>
      <c r="G181">
        <v>4878</v>
      </c>
      <c r="H181" s="116"/>
      <c r="I181" s="116"/>
      <c r="L181" s="169">
        <v>42755</v>
      </c>
      <c r="M181" s="116">
        <v>226.88333333333301</v>
      </c>
      <c r="N181" s="116">
        <v>231.333333333333</v>
      </c>
      <c r="O181" s="116">
        <v>226.38333333333301</v>
      </c>
      <c r="P181" s="116">
        <v>228.4</v>
      </c>
      <c r="Q181" s="116">
        <v>680.65</v>
      </c>
      <c r="R181">
        <v>8300</v>
      </c>
    </row>
    <row r="182" spans="1:18" x14ac:dyDescent="0.25">
      <c r="A182" s="169">
        <v>42758</v>
      </c>
      <c r="B182" s="116">
        <v>230.8</v>
      </c>
      <c r="C182" s="116">
        <v>229.3</v>
      </c>
      <c r="D182" s="116">
        <v>227.333333333333</v>
      </c>
      <c r="E182" s="116">
        <v>228.3</v>
      </c>
      <c r="F182" s="116">
        <v>687.9</v>
      </c>
      <c r="G182">
        <v>3357</v>
      </c>
      <c r="H182" s="116"/>
      <c r="I182" s="116"/>
      <c r="L182" s="169">
        <v>42758</v>
      </c>
      <c r="M182" s="116">
        <v>229.833333333333</v>
      </c>
      <c r="N182" s="116">
        <v>231.5</v>
      </c>
      <c r="O182" s="116">
        <v>226.76666666666699</v>
      </c>
      <c r="P182" s="116">
        <v>228.65</v>
      </c>
      <c r="Q182" s="116">
        <v>689.5</v>
      </c>
      <c r="R182">
        <v>8124</v>
      </c>
    </row>
    <row r="183" spans="1:18" x14ac:dyDescent="0.25">
      <c r="A183" s="169">
        <v>42759</v>
      </c>
      <c r="B183" s="116">
        <v>235.666666666667</v>
      </c>
      <c r="C183" s="116">
        <v>234.71666666666701</v>
      </c>
      <c r="D183" s="116">
        <v>228.36666666666699</v>
      </c>
      <c r="E183" s="116">
        <v>228.36666666666699</v>
      </c>
      <c r="F183" s="116">
        <v>704.15</v>
      </c>
      <c r="G183">
        <v>3689</v>
      </c>
      <c r="H183" s="116"/>
      <c r="I183" s="116"/>
      <c r="L183" s="169">
        <v>42759</v>
      </c>
      <c r="M183" s="116">
        <v>234.566666666667</v>
      </c>
      <c r="N183" s="116">
        <v>236.13333333333301</v>
      </c>
      <c r="O183" s="116">
        <v>228.816666666667</v>
      </c>
      <c r="P183" s="116">
        <v>230.76666666666699</v>
      </c>
      <c r="Q183" s="116">
        <v>703.7</v>
      </c>
      <c r="R183">
        <v>16664</v>
      </c>
    </row>
    <row r="184" spans="1:18" x14ac:dyDescent="0.25">
      <c r="A184" s="169">
        <v>42760</v>
      </c>
      <c r="B184" s="116">
        <v>236.666666666667</v>
      </c>
      <c r="C184" s="116">
        <v>234.833333333333</v>
      </c>
      <c r="D184" s="116">
        <v>233.333333333333</v>
      </c>
      <c r="E184" s="116">
        <v>235</v>
      </c>
      <c r="F184" s="116">
        <v>704.5</v>
      </c>
      <c r="G184">
        <v>2728</v>
      </c>
      <c r="H184" s="116"/>
      <c r="I184" s="116"/>
      <c r="L184" s="169">
        <v>42760</v>
      </c>
      <c r="M184" s="116">
        <v>235.05</v>
      </c>
      <c r="N184" s="116">
        <v>236.98333333333301</v>
      </c>
      <c r="O184" s="116">
        <v>233.333333333333</v>
      </c>
      <c r="P184" s="116">
        <v>236</v>
      </c>
      <c r="Q184" s="116">
        <v>705.15</v>
      </c>
      <c r="R184">
        <v>15924</v>
      </c>
    </row>
    <row r="185" spans="1:18" x14ac:dyDescent="0.25">
      <c r="A185" s="169">
        <v>42762</v>
      </c>
      <c r="B185" s="116">
        <v>246.833333333333</v>
      </c>
      <c r="C185" s="116">
        <v>239.566666666667</v>
      </c>
      <c r="D185" s="116">
        <v>236.666666666667</v>
      </c>
      <c r="E185" s="116">
        <v>236.666666666667</v>
      </c>
      <c r="F185" s="116">
        <v>718.7</v>
      </c>
      <c r="G185">
        <v>11451</v>
      </c>
      <c r="H185" s="116"/>
      <c r="I185" s="116"/>
      <c r="L185" s="169">
        <v>42762</v>
      </c>
      <c r="M185" s="116">
        <v>240.28333333333299</v>
      </c>
      <c r="N185" s="116">
        <v>247.5</v>
      </c>
      <c r="O185" s="116">
        <v>235</v>
      </c>
      <c r="P185" s="116">
        <v>235</v>
      </c>
      <c r="Q185" s="116">
        <v>720.85</v>
      </c>
      <c r="R185">
        <v>53625</v>
      </c>
    </row>
    <row r="186" spans="1:18" x14ac:dyDescent="0.25">
      <c r="A186" s="169">
        <v>42765</v>
      </c>
      <c r="B186" s="116">
        <v>243.333333333333</v>
      </c>
      <c r="C186" s="116">
        <v>236.1</v>
      </c>
      <c r="D186" s="116">
        <v>235</v>
      </c>
      <c r="E186" s="116">
        <v>240.333333333333</v>
      </c>
      <c r="F186" s="116">
        <v>708.3</v>
      </c>
      <c r="G186">
        <v>6725</v>
      </c>
      <c r="H186" s="116"/>
      <c r="I186" s="116"/>
      <c r="L186" s="169">
        <v>42765</v>
      </c>
      <c r="M186" s="116">
        <v>236.333333333333</v>
      </c>
      <c r="N186" s="116">
        <v>242.916666666667</v>
      </c>
      <c r="O186" s="116">
        <v>235.666666666667</v>
      </c>
      <c r="P186" s="116">
        <v>241.3</v>
      </c>
      <c r="Q186" s="116">
        <v>709</v>
      </c>
      <c r="R186">
        <v>28609</v>
      </c>
    </row>
    <row r="187" spans="1:18" x14ac:dyDescent="0.25">
      <c r="A187" s="169">
        <v>42766</v>
      </c>
      <c r="B187" s="116">
        <v>241.65</v>
      </c>
      <c r="C187" s="116">
        <v>237.083333333333</v>
      </c>
      <c r="D187" s="116">
        <v>235.45</v>
      </c>
      <c r="E187" s="116">
        <v>238.3</v>
      </c>
      <c r="F187" s="116">
        <v>711.25</v>
      </c>
      <c r="G187">
        <v>6521</v>
      </c>
      <c r="H187" s="116"/>
      <c r="I187" s="116"/>
      <c r="L187" s="169">
        <v>42766</v>
      </c>
      <c r="M187" s="116">
        <v>237.88333333333301</v>
      </c>
      <c r="N187" s="116">
        <v>242.88333333333301</v>
      </c>
      <c r="O187" s="116">
        <v>234</v>
      </c>
      <c r="P187" s="116">
        <v>239.666666666667</v>
      </c>
      <c r="Q187" s="116">
        <v>713.65</v>
      </c>
      <c r="R187">
        <v>196775</v>
      </c>
    </row>
    <row r="188" spans="1:18" x14ac:dyDescent="0.25">
      <c r="A188" s="169">
        <v>42767</v>
      </c>
      <c r="B188" s="116">
        <v>243.3</v>
      </c>
      <c r="C188" s="116">
        <v>241.166666666667</v>
      </c>
      <c r="D188" s="116">
        <v>235.666666666667</v>
      </c>
      <c r="E188" s="116">
        <v>236.36666666666699</v>
      </c>
      <c r="F188" s="116">
        <v>723.5</v>
      </c>
      <c r="G188">
        <v>7077</v>
      </c>
      <c r="H188" s="116"/>
      <c r="I188" s="116"/>
      <c r="L188" s="169">
        <v>42767</v>
      </c>
      <c r="M188" s="116">
        <v>241.916666666667</v>
      </c>
      <c r="N188" s="116">
        <v>248.23333333333301</v>
      </c>
      <c r="O188" s="116">
        <v>235</v>
      </c>
      <c r="P188" s="116">
        <v>236.666666666667</v>
      </c>
      <c r="Q188" s="116">
        <v>725.75</v>
      </c>
      <c r="R188">
        <v>39373</v>
      </c>
    </row>
    <row r="189" spans="1:18" x14ac:dyDescent="0.25">
      <c r="A189" s="169">
        <v>42768</v>
      </c>
      <c r="B189" s="116">
        <v>244.166666666667</v>
      </c>
      <c r="C189" s="116">
        <v>241.2</v>
      </c>
      <c r="D189" s="116">
        <v>239.36666666666699</v>
      </c>
      <c r="E189" s="116">
        <v>241.166666666667</v>
      </c>
      <c r="F189" s="116">
        <v>723.6</v>
      </c>
      <c r="G189">
        <v>4650</v>
      </c>
      <c r="H189" s="116"/>
      <c r="I189" s="116"/>
      <c r="L189" s="169">
        <v>42768</v>
      </c>
      <c r="M189" s="116">
        <v>242.26666666666699</v>
      </c>
      <c r="N189" s="116">
        <v>245</v>
      </c>
      <c r="O189" s="116">
        <v>238.333333333333</v>
      </c>
      <c r="P189" s="116">
        <v>241.6</v>
      </c>
      <c r="Q189" s="116">
        <v>726.8</v>
      </c>
      <c r="R189">
        <v>41037</v>
      </c>
    </row>
    <row r="190" spans="1:18" x14ac:dyDescent="0.25">
      <c r="A190" s="169">
        <v>42769</v>
      </c>
      <c r="B190" s="116">
        <v>246</v>
      </c>
      <c r="C190" s="116">
        <v>244.46666666666701</v>
      </c>
      <c r="D190" s="116">
        <v>241.71666666666701</v>
      </c>
      <c r="E190" s="116">
        <v>243.333333333333</v>
      </c>
      <c r="F190" s="116">
        <v>733.4</v>
      </c>
      <c r="G190">
        <v>2940</v>
      </c>
      <c r="H190" s="116"/>
      <c r="I190" s="116"/>
      <c r="L190" s="169">
        <v>42769</v>
      </c>
      <c r="M190" s="116">
        <v>244.98333333333301</v>
      </c>
      <c r="N190" s="116">
        <v>246.5</v>
      </c>
      <c r="O190" s="116">
        <v>241</v>
      </c>
      <c r="P190" s="116">
        <v>242.51666666666699</v>
      </c>
      <c r="Q190" s="116">
        <v>734.95</v>
      </c>
      <c r="R190">
        <v>22011</v>
      </c>
    </row>
    <row r="191" spans="1:18" x14ac:dyDescent="0.25">
      <c r="A191" s="169">
        <v>42772</v>
      </c>
      <c r="B191" s="116">
        <v>247.3</v>
      </c>
      <c r="C191" s="116">
        <v>245.26666666666699</v>
      </c>
      <c r="D191" s="116">
        <v>241.71666666666701</v>
      </c>
      <c r="E191" s="116">
        <v>243.36666666666699</v>
      </c>
      <c r="F191" s="116">
        <v>735.8</v>
      </c>
      <c r="G191">
        <v>4062</v>
      </c>
      <c r="H191" s="116"/>
      <c r="I191" s="116"/>
      <c r="L191" s="169">
        <v>42772</v>
      </c>
      <c r="M191" s="116">
        <v>245.933333333333</v>
      </c>
      <c r="N191" s="116">
        <v>248.23333333333301</v>
      </c>
      <c r="O191" s="116">
        <v>241.35</v>
      </c>
      <c r="P191" s="116">
        <v>248.23333333333301</v>
      </c>
      <c r="Q191" s="116">
        <v>737.8</v>
      </c>
      <c r="R191">
        <v>19922</v>
      </c>
    </row>
    <row r="192" spans="1:18" x14ac:dyDescent="0.25">
      <c r="A192" s="169">
        <v>42773</v>
      </c>
      <c r="B192" s="116">
        <v>247.583333333333</v>
      </c>
      <c r="C192" s="116">
        <v>244.066666666667</v>
      </c>
      <c r="D192" s="116">
        <v>242.7</v>
      </c>
      <c r="E192" s="116">
        <v>246.63333333333301</v>
      </c>
      <c r="F192" s="116">
        <v>732.2</v>
      </c>
      <c r="G192">
        <v>3338</v>
      </c>
      <c r="H192" s="116"/>
      <c r="I192" s="116"/>
      <c r="L192" s="169">
        <v>42773</v>
      </c>
      <c r="M192" s="116">
        <v>244.01666666666699</v>
      </c>
      <c r="N192" s="116">
        <v>247.833333333333</v>
      </c>
      <c r="O192" s="116">
        <v>241.96666666666701</v>
      </c>
      <c r="P192" s="116">
        <v>246.333333333333</v>
      </c>
      <c r="Q192" s="116">
        <v>732.05</v>
      </c>
      <c r="R192">
        <v>16255</v>
      </c>
    </row>
    <row r="193" spans="1:18" x14ac:dyDescent="0.25">
      <c r="A193" s="169">
        <v>42774</v>
      </c>
      <c r="B193" s="116">
        <v>245.2</v>
      </c>
      <c r="C193" s="116">
        <v>241.9</v>
      </c>
      <c r="D193" s="116">
        <v>241.333333333333</v>
      </c>
      <c r="E193" s="116">
        <v>243.35</v>
      </c>
      <c r="F193" s="116">
        <v>725.7</v>
      </c>
      <c r="G193">
        <v>2714</v>
      </c>
      <c r="H193" s="116"/>
      <c r="I193" s="116"/>
      <c r="L193" s="169">
        <v>42774</v>
      </c>
      <c r="M193" s="116">
        <v>241.8</v>
      </c>
      <c r="N193" s="116">
        <v>244.98333333333301</v>
      </c>
      <c r="O193" s="116">
        <v>241</v>
      </c>
      <c r="P193" s="116">
        <v>244.166666666667</v>
      </c>
      <c r="Q193" s="116">
        <v>725.4</v>
      </c>
      <c r="R193">
        <v>9445</v>
      </c>
    </row>
    <row r="194" spans="1:18" x14ac:dyDescent="0.25">
      <c r="A194" s="169">
        <v>42775</v>
      </c>
      <c r="B194" s="116">
        <v>246.333333333333</v>
      </c>
      <c r="C194" s="116">
        <v>242.15</v>
      </c>
      <c r="D194" s="116">
        <v>241.666666666667</v>
      </c>
      <c r="E194" s="116">
        <v>242.88333333333301</v>
      </c>
      <c r="F194" s="116">
        <v>726.45</v>
      </c>
      <c r="G194">
        <v>2345</v>
      </c>
      <c r="H194" s="116"/>
      <c r="I194" s="116"/>
      <c r="L194" s="169">
        <v>42775</v>
      </c>
      <c r="M194" s="116">
        <v>241.566666666667</v>
      </c>
      <c r="N194" s="116">
        <v>246</v>
      </c>
      <c r="O194" s="116">
        <v>241.333333333333</v>
      </c>
      <c r="P194" s="116">
        <v>241.666666666667</v>
      </c>
      <c r="Q194" s="116">
        <v>724.7</v>
      </c>
      <c r="R194">
        <v>6969</v>
      </c>
    </row>
    <row r="195" spans="1:18" x14ac:dyDescent="0.25">
      <c r="A195" s="169">
        <v>42776</v>
      </c>
      <c r="B195" s="116">
        <v>244.333333333333</v>
      </c>
      <c r="C195" s="116">
        <v>240.23333333333301</v>
      </c>
      <c r="D195" s="116">
        <v>239.36666666666699</v>
      </c>
      <c r="E195" s="116">
        <v>244.333333333333</v>
      </c>
      <c r="F195" s="116">
        <v>720.7</v>
      </c>
      <c r="G195">
        <v>1839</v>
      </c>
      <c r="H195" s="116"/>
      <c r="I195" s="116"/>
      <c r="L195" s="169">
        <v>42776</v>
      </c>
      <c r="M195" s="116">
        <v>240.2</v>
      </c>
      <c r="N195" s="116">
        <v>245</v>
      </c>
      <c r="O195" s="116">
        <v>239.53333333333299</v>
      </c>
      <c r="P195" s="116">
        <v>243.316666666667</v>
      </c>
      <c r="Q195" s="116">
        <v>720.6</v>
      </c>
      <c r="R195">
        <v>7629</v>
      </c>
    </row>
    <row r="196" spans="1:18" x14ac:dyDescent="0.25">
      <c r="A196" s="169">
        <v>42779</v>
      </c>
      <c r="B196" s="116">
        <v>243.333333333333</v>
      </c>
      <c r="C196" s="116">
        <v>240.333333333333</v>
      </c>
      <c r="D196" s="116">
        <v>238.36666666666699</v>
      </c>
      <c r="E196" s="116">
        <v>241.333333333333</v>
      </c>
      <c r="F196" s="116">
        <v>721</v>
      </c>
      <c r="G196">
        <v>2410</v>
      </c>
      <c r="H196" s="116"/>
      <c r="I196" s="116"/>
      <c r="L196" s="169">
        <v>42779</v>
      </c>
      <c r="M196" s="116">
        <v>239.6</v>
      </c>
      <c r="N196" s="116">
        <v>244.21666666666701</v>
      </c>
      <c r="O196" s="116">
        <v>237</v>
      </c>
      <c r="P196" s="116">
        <v>243.26666666666699</v>
      </c>
      <c r="Q196" s="116">
        <v>718.8</v>
      </c>
      <c r="R196">
        <v>7551</v>
      </c>
    </row>
    <row r="197" spans="1:18" x14ac:dyDescent="0.25">
      <c r="A197" s="169">
        <v>42780</v>
      </c>
      <c r="B197" s="116">
        <v>241.566666666667</v>
      </c>
      <c r="C197" s="116">
        <v>238.38333333333301</v>
      </c>
      <c r="D197" s="116">
        <v>237.53333333333299</v>
      </c>
      <c r="E197" s="116">
        <v>241.566666666667</v>
      </c>
      <c r="F197" s="116">
        <v>715.15</v>
      </c>
      <c r="G197">
        <v>1352</v>
      </c>
      <c r="H197" s="116"/>
      <c r="I197" s="116"/>
      <c r="L197" s="169">
        <v>42780</v>
      </c>
      <c r="M197" s="116">
        <v>238.96666666666701</v>
      </c>
      <c r="N197" s="116">
        <v>242.05</v>
      </c>
      <c r="O197" s="116">
        <v>238.35</v>
      </c>
      <c r="P197" s="116">
        <v>239.333333333333</v>
      </c>
      <c r="Q197" s="116">
        <v>716.9</v>
      </c>
      <c r="R197">
        <v>3743</v>
      </c>
    </row>
    <row r="198" spans="1:18" x14ac:dyDescent="0.25">
      <c r="A198" s="169">
        <v>42781</v>
      </c>
      <c r="B198" s="116">
        <v>242.7</v>
      </c>
      <c r="C198" s="116">
        <v>232.45</v>
      </c>
      <c r="D198" s="116">
        <v>230.916666666667</v>
      </c>
      <c r="E198" s="116">
        <v>239.333333333333</v>
      </c>
      <c r="F198" s="116">
        <v>697.35</v>
      </c>
      <c r="G198">
        <v>6627</v>
      </c>
      <c r="H198" s="116"/>
      <c r="I198" s="116"/>
      <c r="L198" s="169">
        <v>42781</v>
      </c>
      <c r="M198" s="116">
        <v>232.76666666666699</v>
      </c>
      <c r="N198" s="116">
        <v>243</v>
      </c>
      <c r="O198" s="116">
        <v>231.666666666667</v>
      </c>
      <c r="P198" s="116">
        <v>239.36666666666699</v>
      </c>
      <c r="Q198" s="116">
        <v>698.3</v>
      </c>
      <c r="R198">
        <v>18504</v>
      </c>
    </row>
    <row r="199" spans="1:18" x14ac:dyDescent="0.25">
      <c r="A199" s="169">
        <v>42782</v>
      </c>
      <c r="B199" s="116">
        <v>236.4</v>
      </c>
      <c r="C199" s="116">
        <v>235.15</v>
      </c>
      <c r="D199" s="116">
        <v>233.7</v>
      </c>
      <c r="E199" s="116">
        <v>234.35</v>
      </c>
      <c r="F199" s="116">
        <v>705.45</v>
      </c>
      <c r="G199">
        <v>3196</v>
      </c>
      <c r="H199" s="116"/>
      <c r="I199" s="116"/>
      <c r="L199" s="169">
        <v>42782</v>
      </c>
      <c r="M199" s="116">
        <v>234.78333333333299</v>
      </c>
      <c r="N199" s="116">
        <v>237</v>
      </c>
      <c r="O199" s="116">
        <v>234.01666666666699</v>
      </c>
      <c r="P199" s="116">
        <v>234.333333333333</v>
      </c>
      <c r="Q199" s="116">
        <v>704.35</v>
      </c>
      <c r="R199">
        <v>11159</v>
      </c>
    </row>
    <row r="200" spans="1:18" x14ac:dyDescent="0.25">
      <c r="A200" s="169">
        <v>42783</v>
      </c>
      <c r="B200" s="116">
        <v>238</v>
      </c>
      <c r="C200" s="116">
        <v>232.683333333333</v>
      </c>
      <c r="D200" s="116">
        <v>231.066666666667</v>
      </c>
      <c r="E200" s="116">
        <v>238</v>
      </c>
      <c r="F200" s="116">
        <v>698.05</v>
      </c>
      <c r="G200">
        <v>3148</v>
      </c>
      <c r="H200" s="116"/>
      <c r="I200" s="116"/>
      <c r="L200" s="169">
        <v>42783</v>
      </c>
      <c r="M200" s="116">
        <v>232.183333333333</v>
      </c>
      <c r="N200" s="116">
        <v>237.98333333333301</v>
      </c>
      <c r="O200" s="116">
        <v>230.11666666666699</v>
      </c>
      <c r="P200" s="116">
        <v>235</v>
      </c>
      <c r="Q200" s="116">
        <v>696.55</v>
      </c>
      <c r="R200">
        <v>16340</v>
      </c>
    </row>
    <row r="201" spans="1:18" x14ac:dyDescent="0.25">
      <c r="A201" s="169">
        <v>42786</v>
      </c>
      <c r="B201" s="116">
        <v>236.98333333333301</v>
      </c>
      <c r="C201" s="116">
        <v>236.3</v>
      </c>
      <c r="D201" s="116">
        <v>233.7</v>
      </c>
      <c r="E201" s="116">
        <v>234</v>
      </c>
      <c r="F201" s="116">
        <v>708.9</v>
      </c>
      <c r="G201">
        <v>1832</v>
      </c>
      <c r="H201" s="116"/>
      <c r="I201" s="116"/>
      <c r="L201" s="169">
        <v>42786</v>
      </c>
      <c r="M201" s="116">
        <v>236.683333333333</v>
      </c>
      <c r="N201" s="116">
        <v>237.63333333333301</v>
      </c>
      <c r="O201" s="116">
        <v>233.38333333333301</v>
      </c>
      <c r="P201" s="116">
        <v>233.96666666666701</v>
      </c>
      <c r="Q201" s="116">
        <v>710.05</v>
      </c>
      <c r="R201">
        <v>12029</v>
      </c>
    </row>
    <row r="202" spans="1:18" x14ac:dyDescent="0.25">
      <c r="A202" s="169">
        <v>42787</v>
      </c>
      <c r="B202" s="116">
        <v>238.05</v>
      </c>
      <c r="C202" s="116">
        <v>236.9</v>
      </c>
      <c r="D202" s="116">
        <v>234.26666666666699</v>
      </c>
      <c r="E202" s="116">
        <v>237</v>
      </c>
      <c r="F202" s="116">
        <v>710.7</v>
      </c>
      <c r="G202">
        <v>4693</v>
      </c>
      <c r="H202" s="116"/>
      <c r="I202" s="116"/>
      <c r="L202" s="169">
        <v>42787</v>
      </c>
      <c r="M202" s="116">
        <v>237.71666666666701</v>
      </c>
      <c r="N202" s="116">
        <v>238.583333333333</v>
      </c>
      <c r="O202" s="116">
        <v>234.78333333333299</v>
      </c>
      <c r="P202" s="116">
        <v>238.333333333333</v>
      </c>
      <c r="Q202" s="116">
        <v>713.15</v>
      </c>
      <c r="R202">
        <v>9913</v>
      </c>
    </row>
    <row r="203" spans="1:18" x14ac:dyDescent="0.25">
      <c r="A203" s="169">
        <v>42788</v>
      </c>
      <c r="B203" s="116">
        <v>241.51666666666699</v>
      </c>
      <c r="C203" s="116">
        <v>237.28333333333299</v>
      </c>
      <c r="D203" s="116">
        <v>236.666666666667</v>
      </c>
      <c r="E203" s="116">
        <v>238.9</v>
      </c>
      <c r="F203" s="116">
        <v>711.85</v>
      </c>
      <c r="G203">
        <v>4769</v>
      </c>
      <c r="H203" s="116"/>
      <c r="I203" s="116"/>
      <c r="L203" s="169">
        <v>42788</v>
      </c>
      <c r="M203" s="116">
        <v>237.816666666667</v>
      </c>
      <c r="N203" s="116">
        <v>241</v>
      </c>
      <c r="O203" s="116">
        <v>236.933333333333</v>
      </c>
      <c r="P203" s="116">
        <v>236.95</v>
      </c>
      <c r="Q203" s="116">
        <v>713.45</v>
      </c>
      <c r="R203">
        <v>15651</v>
      </c>
    </row>
    <row r="204" spans="1:18" x14ac:dyDescent="0.25">
      <c r="A204" s="169">
        <v>42789</v>
      </c>
      <c r="B204" s="116">
        <v>238.333333333333</v>
      </c>
      <c r="C204" s="116">
        <v>236.48333333333301</v>
      </c>
      <c r="D204" s="116">
        <v>236</v>
      </c>
      <c r="E204" s="116">
        <v>237.36666666666699</v>
      </c>
      <c r="F204" s="116">
        <v>709.45</v>
      </c>
      <c r="G204">
        <v>96952</v>
      </c>
      <c r="H204" s="116"/>
      <c r="I204" s="116"/>
      <c r="L204" s="169">
        <v>42789</v>
      </c>
      <c r="M204" s="116">
        <v>236.1</v>
      </c>
      <c r="N204" s="116">
        <v>239.316666666667</v>
      </c>
      <c r="O204" s="116">
        <v>235.65</v>
      </c>
      <c r="P204" s="116">
        <v>237.86666666666699</v>
      </c>
      <c r="Q204" s="116">
        <v>708.3</v>
      </c>
      <c r="R204">
        <v>37119</v>
      </c>
    </row>
    <row r="205" spans="1:18" x14ac:dyDescent="0.25">
      <c r="A205" s="169">
        <v>42793</v>
      </c>
      <c r="B205" s="116">
        <v>236.25</v>
      </c>
      <c r="C205" s="116">
        <v>234</v>
      </c>
      <c r="D205" s="116">
        <v>233</v>
      </c>
      <c r="E205" s="116">
        <v>236.01666666666699</v>
      </c>
      <c r="F205" s="116">
        <v>702</v>
      </c>
      <c r="G205">
        <v>6165</v>
      </c>
      <c r="H205" s="116"/>
      <c r="I205" s="116"/>
      <c r="L205" s="169">
        <v>42793</v>
      </c>
      <c r="M205" s="116">
        <v>233</v>
      </c>
      <c r="N205" s="116">
        <v>236.333333333333</v>
      </c>
      <c r="O205" s="116">
        <v>231.666666666667</v>
      </c>
      <c r="P205" s="116">
        <v>236.333333333333</v>
      </c>
      <c r="Q205" s="116">
        <v>699</v>
      </c>
      <c r="R205">
        <v>18815</v>
      </c>
    </row>
    <row r="206" spans="1:18" x14ac:dyDescent="0.25">
      <c r="A206" s="169">
        <v>42794</v>
      </c>
      <c r="B206" s="116">
        <v>235</v>
      </c>
      <c r="C206" s="116">
        <v>232.35</v>
      </c>
      <c r="D206" s="116">
        <v>231.88333333333301</v>
      </c>
      <c r="E206" s="116">
        <v>232.71666666666701</v>
      </c>
      <c r="F206" s="116">
        <v>697.05</v>
      </c>
      <c r="G206">
        <v>2211</v>
      </c>
      <c r="H206" s="116"/>
      <c r="I206" s="116"/>
      <c r="L206" s="169">
        <v>42794</v>
      </c>
      <c r="M206" s="116">
        <v>233.21666666666701</v>
      </c>
      <c r="N206" s="116">
        <v>235</v>
      </c>
      <c r="O206" s="116">
        <v>231.666666666667</v>
      </c>
      <c r="P206" s="116">
        <v>231.683333333333</v>
      </c>
      <c r="Q206" s="116">
        <v>699.65</v>
      </c>
      <c r="R206">
        <v>15316</v>
      </c>
    </row>
    <row r="207" spans="1:18" x14ac:dyDescent="0.25">
      <c r="A207" s="169">
        <v>42795</v>
      </c>
      <c r="B207" s="116">
        <v>233.65</v>
      </c>
      <c r="C207" s="116">
        <v>230.45</v>
      </c>
      <c r="D207" s="116">
        <v>229.7</v>
      </c>
      <c r="E207" s="116">
        <v>233.65</v>
      </c>
      <c r="F207" s="116">
        <v>691.35</v>
      </c>
      <c r="G207">
        <v>3739</v>
      </c>
      <c r="H207" s="116"/>
      <c r="I207" s="116"/>
      <c r="L207" s="169">
        <v>42795</v>
      </c>
      <c r="M207" s="116">
        <v>230.45</v>
      </c>
      <c r="N207" s="116">
        <v>234.666666666667</v>
      </c>
      <c r="O207" s="116">
        <v>229.36666666666699</v>
      </c>
      <c r="P207" s="116">
        <v>233</v>
      </c>
      <c r="Q207" s="116">
        <v>691.35</v>
      </c>
      <c r="R207">
        <v>14093</v>
      </c>
    </row>
    <row r="208" spans="1:18" x14ac:dyDescent="0.25">
      <c r="A208" s="169">
        <v>42796</v>
      </c>
      <c r="B208" s="116">
        <v>232.78333333333299</v>
      </c>
      <c r="C208" s="116">
        <v>230.36666666666699</v>
      </c>
      <c r="D208" s="116">
        <v>229.666666666667</v>
      </c>
      <c r="E208" s="116">
        <v>230.35</v>
      </c>
      <c r="F208" s="116">
        <v>691.1</v>
      </c>
      <c r="G208">
        <v>5537</v>
      </c>
      <c r="H208" s="116"/>
      <c r="I208" s="116"/>
      <c r="L208" s="169">
        <v>42796</v>
      </c>
      <c r="M208" s="116">
        <v>231.433333333333</v>
      </c>
      <c r="N208" s="116">
        <v>235</v>
      </c>
      <c r="O208" s="116">
        <v>230.03333333333299</v>
      </c>
      <c r="P208" s="116">
        <v>233.166666666667</v>
      </c>
      <c r="Q208" s="116">
        <v>694.3</v>
      </c>
      <c r="R208">
        <v>31614</v>
      </c>
    </row>
    <row r="209" spans="1:18" x14ac:dyDescent="0.25">
      <c r="A209" s="169">
        <v>42797</v>
      </c>
      <c r="B209" s="116">
        <v>231.566666666667</v>
      </c>
      <c r="C209" s="116">
        <v>227.433333333333</v>
      </c>
      <c r="D209" s="116">
        <v>226.7</v>
      </c>
      <c r="E209" s="116">
        <v>231.23333333333301</v>
      </c>
      <c r="F209" s="116">
        <v>682.3</v>
      </c>
      <c r="G209">
        <v>2944</v>
      </c>
      <c r="H209" s="116"/>
      <c r="I209" s="116"/>
      <c r="L209" s="169">
        <v>42797</v>
      </c>
      <c r="M209" s="116">
        <v>227.583333333333</v>
      </c>
      <c r="N209" s="116">
        <v>231.98333333333301</v>
      </c>
      <c r="O209" s="116">
        <v>227.066666666667</v>
      </c>
      <c r="P209" s="116">
        <v>230.03333333333299</v>
      </c>
      <c r="Q209" s="116">
        <v>682.75</v>
      </c>
      <c r="R209">
        <v>18535</v>
      </c>
    </row>
    <row r="210" spans="1:18" x14ac:dyDescent="0.25">
      <c r="A210" s="169">
        <v>42800</v>
      </c>
      <c r="B210" s="116">
        <v>228.816666666667</v>
      </c>
      <c r="C210" s="116">
        <v>224.25</v>
      </c>
      <c r="D210" s="116">
        <v>223.666666666667</v>
      </c>
      <c r="E210" s="116">
        <v>227.583333333333</v>
      </c>
      <c r="F210" s="116">
        <v>672.75</v>
      </c>
      <c r="G210">
        <v>1668</v>
      </c>
      <c r="H210" s="116"/>
      <c r="I210" s="116"/>
      <c r="L210" s="169">
        <v>42800</v>
      </c>
      <c r="M210" s="116">
        <v>224.833333333333</v>
      </c>
      <c r="N210" s="116">
        <v>229.166666666667</v>
      </c>
      <c r="O210" s="116">
        <v>224.11666666666699</v>
      </c>
      <c r="P210" s="116">
        <v>228</v>
      </c>
      <c r="Q210" s="116">
        <v>674.5</v>
      </c>
      <c r="R210">
        <v>22394</v>
      </c>
    </row>
    <row r="211" spans="1:18" x14ac:dyDescent="0.25">
      <c r="A211" s="169">
        <v>42801</v>
      </c>
      <c r="B211" s="116">
        <v>230.46666666666701</v>
      </c>
      <c r="C211" s="116">
        <v>228.61666666666699</v>
      </c>
      <c r="D211" s="116">
        <v>222.03333333333299</v>
      </c>
      <c r="E211" s="116">
        <v>224.28333333333299</v>
      </c>
      <c r="F211" s="116">
        <v>685.85</v>
      </c>
      <c r="G211">
        <v>5275</v>
      </c>
      <c r="H211" s="116"/>
      <c r="I211" s="116"/>
      <c r="L211" s="169">
        <v>42801</v>
      </c>
      <c r="M211" s="116">
        <v>228.88333333333301</v>
      </c>
      <c r="N211" s="116">
        <v>230</v>
      </c>
      <c r="O211" s="116">
        <v>222.28333333333299</v>
      </c>
      <c r="P211" s="116">
        <v>225.88333333333301</v>
      </c>
      <c r="Q211" s="116">
        <v>686.65</v>
      </c>
      <c r="R211">
        <v>45412</v>
      </c>
    </row>
    <row r="212" spans="1:18" x14ac:dyDescent="0.25">
      <c r="A212" s="169">
        <v>42802</v>
      </c>
      <c r="B212" s="116">
        <v>230</v>
      </c>
      <c r="C212" s="116">
        <v>226.083333333333</v>
      </c>
      <c r="D212" s="116">
        <v>225.53333333333299</v>
      </c>
      <c r="E212" s="116">
        <v>229.98333333333301</v>
      </c>
      <c r="F212" s="116">
        <v>678.25</v>
      </c>
      <c r="G212">
        <v>4515</v>
      </c>
      <c r="H212" s="116"/>
      <c r="I212" s="116"/>
      <c r="L212" s="169">
        <v>42802</v>
      </c>
      <c r="M212" s="116">
        <v>226.316666666667</v>
      </c>
      <c r="N212" s="116">
        <v>230.666666666667</v>
      </c>
      <c r="O212" s="116">
        <v>225.1</v>
      </c>
      <c r="P212" s="116">
        <v>230.666666666667</v>
      </c>
      <c r="Q212" s="116">
        <v>678.95</v>
      </c>
      <c r="R212">
        <v>9450</v>
      </c>
    </row>
    <row r="213" spans="1:18" x14ac:dyDescent="0.25">
      <c r="A213" s="169">
        <v>42803</v>
      </c>
      <c r="B213" s="116">
        <v>229.166666666667</v>
      </c>
      <c r="C213" s="116">
        <v>224.583333333333</v>
      </c>
      <c r="D213" s="116">
        <v>223.333333333333</v>
      </c>
      <c r="E213" s="116">
        <v>228.71666666666701</v>
      </c>
      <c r="F213" s="116">
        <v>673.75</v>
      </c>
      <c r="G213">
        <v>1510</v>
      </c>
      <c r="H213" s="116"/>
      <c r="I213" s="116"/>
      <c r="L213" s="169">
        <v>42803</v>
      </c>
      <c r="M213" s="116">
        <v>224.083333333333</v>
      </c>
      <c r="N213" s="116">
        <v>228.3</v>
      </c>
      <c r="O213" s="116">
        <v>223.333333333333</v>
      </c>
      <c r="P213" s="116">
        <v>226.316666666667</v>
      </c>
      <c r="Q213" s="116">
        <v>672.25</v>
      </c>
      <c r="R213">
        <v>8819</v>
      </c>
    </row>
    <row r="214" spans="1:18" x14ac:dyDescent="0.25">
      <c r="A214" s="169">
        <v>42804</v>
      </c>
      <c r="B214" s="116">
        <v>226.666666666667</v>
      </c>
      <c r="C214" s="116">
        <v>222.8</v>
      </c>
      <c r="D214" s="116">
        <v>221.86666666666699</v>
      </c>
      <c r="E214" s="116">
        <v>223.85</v>
      </c>
      <c r="F214" s="116">
        <v>668.4</v>
      </c>
      <c r="G214">
        <v>2402</v>
      </c>
      <c r="H214" s="116"/>
      <c r="I214" s="116"/>
      <c r="L214" s="169">
        <v>42804</v>
      </c>
      <c r="M214" s="116">
        <v>223.35</v>
      </c>
      <c r="N214" s="116">
        <v>226.333333333333</v>
      </c>
      <c r="O214" s="116">
        <v>222.7</v>
      </c>
      <c r="P214" s="116">
        <v>225.11666666666699</v>
      </c>
      <c r="Q214" s="116">
        <v>670.05</v>
      </c>
      <c r="R214">
        <v>15405</v>
      </c>
    </row>
    <row r="215" spans="1:18" x14ac:dyDescent="0.25">
      <c r="A215" s="169">
        <v>42808</v>
      </c>
      <c r="B215" s="116">
        <v>229.666666666667</v>
      </c>
      <c r="C215" s="116">
        <v>228.4</v>
      </c>
      <c r="D215" s="116">
        <v>225.03333333333299</v>
      </c>
      <c r="E215" s="116">
        <v>229.63333333333301</v>
      </c>
      <c r="F215" s="116">
        <v>685.2</v>
      </c>
      <c r="G215">
        <v>2266</v>
      </c>
      <c r="H215" s="116"/>
      <c r="I215" s="116"/>
      <c r="L215" s="169">
        <v>42808</v>
      </c>
      <c r="M215" s="116">
        <v>228.3</v>
      </c>
      <c r="N215" s="116">
        <v>231.333333333333</v>
      </c>
      <c r="O215" s="116">
        <v>225.36666666666699</v>
      </c>
      <c r="P215" s="116">
        <v>228.333333333333</v>
      </c>
      <c r="Q215" s="116">
        <v>684.9</v>
      </c>
      <c r="R215">
        <v>23940</v>
      </c>
    </row>
    <row r="216" spans="1:18" x14ac:dyDescent="0.25">
      <c r="A216" s="169">
        <v>42809</v>
      </c>
      <c r="B216" s="116">
        <v>231.3</v>
      </c>
      <c r="C216" s="116">
        <v>230.25</v>
      </c>
      <c r="D216" s="116">
        <v>226.3</v>
      </c>
      <c r="E216" s="116">
        <v>228.8</v>
      </c>
      <c r="F216" s="116">
        <v>690.75</v>
      </c>
      <c r="G216">
        <v>3995</v>
      </c>
      <c r="H216" s="116"/>
      <c r="I216" s="116"/>
      <c r="L216" s="169">
        <v>42809</v>
      </c>
      <c r="M216" s="116">
        <v>230.8</v>
      </c>
      <c r="N216" s="116">
        <v>231.333333333333</v>
      </c>
      <c r="O216" s="116">
        <v>227.01666666666699</v>
      </c>
      <c r="P216" s="116">
        <v>227.98333333333301</v>
      </c>
      <c r="Q216" s="116">
        <v>692.4</v>
      </c>
      <c r="R216">
        <v>26063</v>
      </c>
    </row>
    <row r="217" spans="1:18" x14ac:dyDescent="0.25">
      <c r="A217" s="169">
        <v>42810</v>
      </c>
      <c r="B217" s="116">
        <v>239.65</v>
      </c>
      <c r="C217" s="116">
        <v>237.26666666666699</v>
      </c>
      <c r="D217" s="116">
        <v>230.25</v>
      </c>
      <c r="E217" s="116">
        <v>230.833333333333</v>
      </c>
      <c r="F217" s="116">
        <v>711.8</v>
      </c>
      <c r="G217">
        <v>6105</v>
      </c>
      <c r="H217" s="116"/>
      <c r="I217" s="116"/>
      <c r="L217" s="169">
        <v>42810</v>
      </c>
      <c r="M217" s="116">
        <v>238.25</v>
      </c>
      <c r="N217" s="116">
        <v>239.416666666667</v>
      </c>
      <c r="O217" s="116">
        <v>227.433333333333</v>
      </c>
      <c r="P217" s="116">
        <v>227.433333333333</v>
      </c>
      <c r="Q217" s="116">
        <v>714.75</v>
      </c>
      <c r="R217">
        <v>43140</v>
      </c>
    </row>
    <row r="218" spans="1:18" x14ac:dyDescent="0.25">
      <c r="A218" s="169">
        <v>42811</v>
      </c>
      <c r="B218" s="116">
        <v>241.96666666666701</v>
      </c>
      <c r="C218" s="116">
        <v>235.63333333333301</v>
      </c>
      <c r="D218" s="116">
        <v>234</v>
      </c>
      <c r="E218" s="116">
        <v>238.333333333333</v>
      </c>
      <c r="F218" s="116">
        <v>706.9</v>
      </c>
      <c r="G218">
        <v>3905</v>
      </c>
      <c r="H218" s="116"/>
      <c r="I218" s="116"/>
      <c r="L218" s="169">
        <v>42811</v>
      </c>
      <c r="M218" s="116">
        <v>234.71666666666701</v>
      </c>
      <c r="N218" s="116">
        <v>242.333333333333</v>
      </c>
      <c r="O218" s="116">
        <v>233.333333333333</v>
      </c>
      <c r="P218" s="116">
        <v>238.666666666667</v>
      </c>
      <c r="Q218" s="116">
        <v>704.15</v>
      </c>
      <c r="R218">
        <v>54797</v>
      </c>
    </row>
    <row r="219" spans="1:18" x14ac:dyDescent="0.25">
      <c r="A219" s="169">
        <v>42814</v>
      </c>
      <c r="B219" s="116">
        <v>239.35</v>
      </c>
      <c r="C219" s="116">
        <v>237.15</v>
      </c>
      <c r="D219" s="116">
        <v>235.03333333333299</v>
      </c>
      <c r="E219" s="116">
        <v>235.666666666667</v>
      </c>
      <c r="F219" s="116">
        <v>711.45</v>
      </c>
      <c r="G219">
        <v>3676</v>
      </c>
      <c r="H219" s="116"/>
      <c r="I219" s="116"/>
      <c r="L219" s="169">
        <v>42814</v>
      </c>
      <c r="M219" s="116">
        <v>237.916666666667</v>
      </c>
      <c r="N219" s="116">
        <v>239.6</v>
      </c>
      <c r="O219" s="116">
        <v>234.416666666667</v>
      </c>
      <c r="P219" s="116">
        <v>236.566666666667</v>
      </c>
      <c r="Q219" s="116">
        <v>713.75</v>
      </c>
      <c r="R219">
        <v>18133</v>
      </c>
    </row>
    <row r="220" spans="1:18" x14ac:dyDescent="0.25">
      <c r="A220" s="169">
        <v>42815</v>
      </c>
      <c r="B220" s="116">
        <v>238.28333333333299</v>
      </c>
      <c r="C220" s="116">
        <v>234.78333333333299</v>
      </c>
      <c r="D220" s="116">
        <v>234</v>
      </c>
      <c r="E220" s="116">
        <v>237.7</v>
      </c>
      <c r="F220" s="116">
        <v>704.35</v>
      </c>
      <c r="G220">
        <v>8421</v>
      </c>
      <c r="H220" s="116"/>
      <c r="I220" s="116"/>
      <c r="L220" s="169">
        <v>42815</v>
      </c>
      <c r="M220" s="116">
        <v>235.86666666666699</v>
      </c>
      <c r="N220" s="116">
        <v>239.833333333333</v>
      </c>
      <c r="O220" s="116">
        <v>234.416666666667</v>
      </c>
      <c r="P220" s="116">
        <v>237.916666666667</v>
      </c>
      <c r="Q220" s="116">
        <v>707.6</v>
      </c>
      <c r="R220">
        <v>15719</v>
      </c>
    </row>
    <row r="221" spans="1:18" x14ac:dyDescent="0.25">
      <c r="A221" s="169">
        <v>42816</v>
      </c>
      <c r="B221" s="116">
        <v>235.28333333333299</v>
      </c>
      <c r="C221" s="116">
        <v>233.88333333333301</v>
      </c>
      <c r="D221" s="116">
        <v>232.183333333333</v>
      </c>
      <c r="E221" s="116">
        <v>235</v>
      </c>
      <c r="F221" s="116">
        <v>701.65</v>
      </c>
      <c r="G221">
        <v>2026</v>
      </c>
      <c r="H221" s="116"/>
      <c r="I221" s="116"/>
      <c r="L221" s="169">
        <v>42816</v>
      </c>
      <c r="M221" s="116">
        <v>233.98333333333301</v>
      </c>
      <c r="N221" s="116">
        <v>235.316666666667</v>
      </c>
      <c r="O221" s="116">
        <v>232.666666666667</v>
      </c>
      <c r="P221" s="116">
        <v>232.666666666667</v>
      </c>
      <c r="Q221" s="116">
        <v>701.95</v>
      </c>
      <c r="R221">
        <v>8372</v>
      </c>
    </row>
    <row r="222" spans="1:18" x14ac:dyDescent="0.25">
      <c r="A222" s="169">
        <v>42817</v>
      </c>
      <c r="B222" s="116">
        <v>237.2</v>
      </c>
      <c r="C222" s="116">
        <v>235.51666666666699</v>
      </c>
      <c r="D222" s="116">
        <v>233.666666666667</v>
      </c>
      <c r="E222" s="116">
        <v>235.166666666667</v>
      </c>
      <c r="F222" s="116">
        <v>706.55</v>
      </c>
      <c r="G222">
        <v>2520</v>
      </c>
      <c r="H222" s="116"/>
      <c r="I222" s="116"/>
      <c r="L222" s="169">
        <v>42817</v>
      </c>
      <c r="M222" s="116">
        <v>236.683333333333</v>
      </c>
      <c r="N222" s="116">
        <v>238.333333333333</v>
      </c>
      <c r="O222" s="116">
        <v>233.583333333333</v>
      </c>
      <c r="P222" s="116">
        <v>236.63333333333301</v>
      </c>
      <c r="Q222" s="116">
        <v>710.05</v>
      </c>
      <c r="R222">
        <v>8701</v>
      </c>
    </row>
    <row r="223" spans="1:18" x14ac:dyDescent="0.25">
      <c r="A223" s="169">
        <v>42818</v>
      </c>
      <c r="B223" s="116">
        <v>237.833333333333</v>
      </c>
      <c r="C223" s="116">
        <v>233.63333333333301</v>
      </c>
      <c r="D223" s="116">
        <v>232.51666666666699</v>
      </c>
      <c r="E223" s="116">
        <v>235</v>
      </c>
      <c r="F223" s="116">
        <v>700.9</v>
      </c>
      <c r="G223">
        <v>5337</v>
      </c>
      <c r="H223" s="116"/>
      <c r="I223" s="116"/>
      <c r="L223" s="169">
        <v>42818</v>
      </c>
      <c r="M223" s="116">
        <v>234.05</v>
      </c>
      <c r="N223" s="116">
        <v>237.01666666666699</v>
      </c>
      <c r="O223" s="116">
        <v>233.666666666667</v>
      </c>
      <c r="P223" s="116">
        <v>237.01666666666699</v>
      </c>
      <c r="Q223" s="116">
        <v>702.15</v>
      </c>
      <c r="R223">
        <v>9147</v>
      </c>
    </row>
    <row r="224" spans="1:18" x14ac:dyDescent="0.25">
      <c r="A224" s="169">
        <v>42821</v>
      </c>
      <c r="B224" s="116">
        <v>234.73333333333301</v>
      </c>
      <c r="C224" s="116">
        <v>233.15</v>
      </c>
      <c r="D224" s="116">
        <v>231.88333333333301</v>
      </c>
      <c r="E224" s="116">
        <v>234.35</v>
      </c>
      <c r="F224" s="116">
        <v>699.45</v>
      </c>
      <c r="G224">
        <v>9126</v>
      </c>
      <c r="H224" s="116"/>
      <c r="I224" s="116"/>
      <c r="L224" s="169">
        <v>42821</v>
      </c>
      <c r="M224" s="116">
        <v>233.7</v>
      </c>
      <c r="N224" s="116">
        <v>235.816666666667</v>
      </c>
      <c r="O224" s="116">
        <v>232.416666666667</v>
      </c>
      <c r="P224" s="116">
        <v>234.05</v>
      </c>
      <c r="Q224" s="116">
        <v>701.1</v>
      </c>
      <c r="R224">
        <v>10145</v>
      </c>
    </row>
    <row r="225" spans="1:18" x14ac:dyDescent="0.25">
      <c r="A225" s="169">
        <v>42822</v>
      </c>
      <c r="B225" s="116">
        <v>235.85</v>
      </c>
      <c r="C225" s="116">
        <v>231.1</v>
      </c>
      <c r="D225" s="116">
        <v>230.666666666667</v>
      </c>
      <c r="E225" s="116">
        <v>234.63333333333301</v>
      </c>
      <c r="F225" s="116">
        <v>693.3</v>
      </c>
      <c r="G225">
        <v>3261</v>
      </c>
      <c r="H225" s="116"/>
      <c r="I225" s="116"/>
      <c r="L225" s="169">
        <v>42822</v>
      </c>
      <c r="M225" s="116">
        <v>231.45</v>
      </c>
      <c r="N225" s="116">
        <v>236.183333333333</v>
      </c>
      <c r="O225" s="116">
        <v>231.1</v>
      </c>
      <c r="P225" s="116">
        <v>235.65</v>
      </c>
      <c r="Q225" s="116">
        <v>694.35</v>
      </c>
      <c r="R225">
        <v>15193</v>
      </c>
    </row>
    <row r="226" spans="1:18" x14ac:dyDescent="0.25">
      <c r="A226" s="169">
        <v>42823</v>
      </c>
      <c r="B226" s="116">
        <v>238</v>
      </c>
      <c r="C226" s="116">
        <v>236.36666666666699</v>
      </c>
      <c r="D226" s="116">
        <v>231.833333333333</v>
      </c>
      <c r="E226" s="116">
        <v>233</v>
      </c>
      <c r="F226" s="116">
        <v>709.1</v>
      </c>
      <c r="G226">
        <v>18861</v>
      </c>
      <c r="H226" s="116"/>
      <c r="I226" s="116"/>
      <c r="L226" s="169">
        <v>42823</v>
      </c>
      <c r="M226" s="116">
        <v>233.45</v>
      </c>
      <c r="N226" s="116">
        <v>235</v>
      </c>
      <c r="O226" s="116">
        <v>231.666666666667</v>
      </c>
      <c r="P226" s="116">
        <v>231.666666666667</v>
      </c>
      <c r="Q226" s="116">
        <v>700.35</v>
      </c>
      <c r="R226">
        <v>19962</v>
      </c>
    </row>
    <row r="227" spans="1:18" x14ac:dyDescent="0.25">
      <c r="A227" s="169">
        <v>42824</v>
      </c>
      <c r="B227" s="116">
        <v>235.433333333333</v>
      </c>
      <c r="C227" s="116">
        <v>233.15</v>
      </c>
      <c r="D227" s="116">
        <v>232.36666666666699</v>
      </c>
      <c r="E227" s="116">
        <v>235.416666666667</v>
      </c>
      <c r="F227" s="116">
        <v>699.45</v>
      </c>
      <c r="G227">
        <v>2598</v>
      </c>
      <c r="H227" s="116"/>
      <c r="I227" s="116"/>
      <c r="L227" s="169">
        <v>42824</v>
      </c>
      <c r="M227" s="116">
        <v>233.066666666667</v>
      </c>
      <c r="N227" s="116">
        <v>234.666666666667</v>
      </c>
      <c r="O227" s="116">
        <v>231.36666666666699</v>
      </c>
      <c r="P227" s="116">
        <v>231.36666666666699</v>
      </c>
      <c r="Q227" s="116">
        <v>699.2</v>
      </c>
      <c r="R227">
        <v>5435</v>
      </c>
    </row>
    <row r="228" spans="1:18" x14ac:dyDescent="0.25">
      <c r="A228" s="169">
        <v>42825</v>
      </c>
      <c r="B228" s="116">
        <v>240.333333333333</v>
      </c>
      <c r="C228" s="116">
        <v>238.566666666667</v>
      </c>
      <c r="D228" s="116">
        <v>232.35</v>
      </c>
      <c r="E228" s="116">
        <v>232.833333333333</v>
      </c>
      <c r="F228" s="116">
        <v>715.7</v>
      </c>
      <c r="G228">
        <v>1895</v>
      </c>
      <c r="H228" s="116"/>
      <c r="I228" s="116"/>
      <c r="L228" s="169">
        <v>42825</v>
      </c>
      <c r="M228" s="116">
        <v>239.26666666666699</v>
      </c>
      <c r="N228" s="116">
        <v>241.96666666666701</v>
      </c>
      <c r="O228" s="116">
        <v>232.333333333333</v>
      </c>
      <c r="P228" s="116">
        <v>234.78333333333299</v>
      </c>
      <c r="Q228" s="116">
        <v>717.8</v>
      </c>
      <c r="R228">
        <v>39090</v>
      </c>
    </row>
    <row r="229" spans="1:18" x14ac:dyDescent="0.25">
      <c r="A229" s="169">
        <v>42828</v>
      </c>
      <c r="B229" s="116">
        <v>241.666666666667</v>
      </c>
      <c r="C229" s="116">
        <v>239.083333333333</v>
      </c>
      <c r="D229" s="116">
        <v>237.666666666667</v>
      </c>
      <c r="E229" s="116">
        <v>238.75</v>
      </c>
      <c r="F229" s="116">
        <v>717.25</v>
      </c>
      <c r="G229">
        <v>1567</v>
      </c>
      <c r="H229" s="116"/>
      <c r="I229" s="116"/>
      <c r="L229" s="169">
        <v>42828</v>
      </c>
      <c r="M229" s="116">
        <v>238.88333333333301</v>
      </c>
      <c r="N229" s="116">
        <v>242.333333333333</v>
      </c>
      <c r="O229" s="116">
        <v>235.76666666666699</v>
      </c>
      <c r="P229" s="116">
        <v>239.26666666666699</v>
      </c>
      <c r="Q229" s="116">
        <v>716.65</v>
      </c>
      <c r="R229">
        <v>15759</v>
      </c>
    </row>
    <row r="230" spans="1:18" x14ac:dyDescent="0.25">
      <c r="A230" s="169">
        <v>42830</v>
      </c>
      <c r="B230" s="116">
        <v>240.666666666667</v>
      </c>
      <c r="C230" s="116">
        <v>239.8</v>
      </c>
      <c r="D230" s="116">
        <v>235.7</v>
      </c>
      <c r="E230" s="116">
        <v>237.36666666666699</v>
      </c>
      <c r="F230" s="116">
        <v>719.4</v>
      </c>
      <c r="G230">
        <v>1782</v>
      </c>
      <c r="H230" s="116"/>
      <c r="I230" s="116"/>
      <c r="L230" s="169">
        <v>42830</v>
      </c>
      <c r="M230" s="116">
        <v>240.85</v>
      </c>
      <c r="N230" s="116">
        <v>241.666666666667</v>
      </c>
      <c r="O230" s="116">
        <v>233.183333333333</v>
      </c>
      <c r="P230" s="116">
        <v>233.183333333333</v>
      </c>
      <c r="Q230" s="116">
        <v>722.55</v>
      </c>
      <c r="R230">
        <v>20002</v>
      </c>
    </row>
    <row r="231" spans="1:18" x14ac:dyDescent="0.25">
      <c r="A231" s="169">
        <v>42831</v>
      </c>
      <c r="B231" s="116">
        <v>259.96666666666698</v>
      </c>
      <c r="C231" s="116">
        <v>254.25</v>
      </c>
      <c r="D231" s="116">
        <v>239.11666666666699</v>
      </c>
      <c r="E231" s="116">
        <v>240.666666666667</v>
      </c>
      <c r="F231" s="116">
        <v>762.75</v>
      </c>
      <c r="G231">
        <v>28620</v>
      </c>
      <c r="H231" s="116"/>
      <c r="I231" s="116"/>
      <c r="L231" s="169">
        <v>42831</v>
      </c>
      <c r="M231" s="116">
        <v>253.71666666666701</v>
      </c>
      <c r="N231" s="116">
        <v>260</v>
      </c>
      <c r="O231" s="116">
        <v>239.5</v>
      </c>
      <c r="P231" s="116">
        <v>241.833333333333</v>
      </c>
      <c r="Q231" s="116">
        <v>761.15</v>
      </c>
      <c r="R231">
        <v>239587</v>
      </c>
    </row>
    <row r="232" spans="1:18" x14ac:dyDescent="0.25">
      <c r="A232" s="169">
        <v>42832</v>
      </c>
      <c r="B232" s="116">
        <v>257.63333333333298</v>
      </c>
      <c r="C232" s="116">
        <v>250.96666666666701</v>
      </c>
      <c r="D232" s="116">
        <v>249.916666666667</v>
      </c>
      <c r="E232" s="116">
        <v>254.21666666666701</v>
      </c>
      <c r="F232" s="116">
        <v>752.9</v>
      </c>
      <c r="G232">
        <v>8735</v>
      </c>
      <c r="H232" s="116"/>
      <c r="I232" s="116"/>
      <c r="L232" s="169">
        <v>42832</v>
      </c>
      <c r="M232" s="116">
        <v>251.183333333333</v>
      </c>
      <c r="N232" s="116">
        <v>257.98333333333301</v>
      </c>
      <c r="O232" s="116">
        <v>249.433333333333</v>
      </c>
      <c r="P232" s="116">
        <v>253.583333333333</v>
      </c>
      <c r="Q232" s="116">
        <v>753.55</v>
      </c>
      <c r="R232">
        <v>38803</v>
      </c>
    </row>
    <row r="233" spans="1:18" x14ac:dyDescent="0.25">
      <c r="A233" s="169">
        <v>42835</v>
      </c>
      <c r="B233" s="116">
        <v>249.683333333333</v>
      </c>
      <c r="C233" s="116">
        <v>248.71666666666701</v>
      </c>
      <c r="D233" s="116">
        <v>245.083333333333</v>
      </c>
      <c r="E233" s="116">
        <v>249.683333333333</v>
      </c>
      <c r="F233" s="116">
        <v>746.15</v>
      </c>
      <c r="G233">
        <v>3840</v>
      </c>
      <c r="H233" s="116"/>
      <c r="I233" s="116"/>
      <c r="L233" s="169">
        <v>42835</v>
      </c>
      <c r="M233" s="116">
        <v>248.15</v>
      </c>
      <c r="N233" s="116">
        <v>253</v>
      </c>
      <c r="O233" s="116">
        <v>236.1</v>
      </c>
      <c r="P233" s="116">
        <v>253</v>
      </c>
      <c r="Q233" s="116">
        <v>744.45</v>
      </c>
      <c r="R233">
        <v>17284</v>
      </c>
    </row>
    <row r="234" spans="1:18" x14ac:dyDescent="0.25">
      <c r="A234" s="169">
        <v>42836</v>
      </c>
      <c r="B234" s="116">
        <v>251.63333333333301</v>
      </c>
      <c r="C234" s="116">
        <v>247.3</v>
      </c>
      <c r="D234" s="116">
        <v>246.78333333333299</v>
      </c>
      <c r="E234" s="116">
        <v>250.3</v>
      </c>
      <c r="F234" s="116">
        <v>741.9</v>
      </c>
      <c r="G234">
        <v>2229</v>
      </c>
      <c r="H234" s="116"/>
      <c r="I234" s="116"/>
      <c r="L234" s="169">
        <v>42836</v>
      </c>
      <c r="M234" s="116">
        <v>247.53333333333299</v>
      </c>
      <c r="N234" s="116">
        <v>251.666666666667</v>
      </c>
      <c r="O234" s="116">
        <v>247</v>
      </c>
      <c r="P234" s="116">
        <v>248.333333333333</v>
      </c>
      <c r="Q234" s="116">
        <v>742.6</v>
      </c>
      <c r="R234">
        <v>34201</v>
      </c>
    </row>
    <row r="235" spans="1:18" x14ac:dyDescent="0.25">
      <c r="A235" s="169">
        <v>42837</v>
      </c>
      <c r="B235" s="116">
        <v>255.55</v>
      </c>
      <c r="C235" s="116">
        <v>251.683333333333</v>
      </c>
      <c r="D235" s="116">
        <v>247.35</v>
      </c>
      <c r="E235" s="116">
        <v>248.98333333333301</v>
      </c>
      <c r="F235" s="116">
        <v>755.05</v>
      </c>
      <c r="G235">
        <v>5148</v>
      </c>
      <c r="H235" s="116"/>
      <c r="I235" s="116"/>
      <c r="L235" s="169">
        <v>42837</v>
      </c>
      <c r="M235" s="116">
        <v>251.45</v>
      </c>
      <c r="N235" s="116">
        <v>256.66666666666703</v>
      </c>
      <c r="O235" s="116">
        <v>248</v>
      </c>
      <c r="P235" s="116">
        <v>248.333333333333</v>
      </c>
      <c r="Q235" s="116">
        <v>754.35</v>
      </c>
      <c r="R235">
        <v>21940</v>
      </c>
    </row>
    <row r="236" spans="1:18" x14ac:dyDescent="0.25">
      <c r="A236" s="169">
        <v>42838</v>
      </c>
      <c r="B236" s="116">
        <v>251.666666666667</v>
      </c>
      <c r="C236" s="116">
        <v>243.416666666667</v>
      </c>
      <c r="D236" s="116">
        <v>241.53333333333299</v>
      </c>
      <c r="E236" s="116">
        <v>250</v>
      </c>
      <c r="F236" s="116">
        <v>730.25</v>
      </c>
      <c r="G236">
        <v>3633</v>
      </c>
      <c r="H236" s="116"/>
      <c r="I236" s="116"/>
      <c r="L236" s="169">
        <v>42838</v>
      </c>
      <c r="M236" s="116">
        <v>241.65</v>
      </c>
      <c r="N236" s="116">
        <v>253.316666666667</v>
      </c>
      <c r="O236" s="116">
        <v>239.4</v>
      </c>
      <c r="P236" s="116">
        <v>249.71666666666701</v>
      </c>
      <c r="Q236" s="116">
        <v>724.95</v>
      </c>
      <c r="R236">
        <v>30535</v>
      </c>
    </row>
    <row r="237" spans="1:18" x14ac:dyDescent="0.25">
      <c r="A237" s="169">
        <v>42842</v>
      </c>
      <c r="B237" s="116">
        <v>246.333333333333</v>
      </c>
      <c r="C237" s="116">
        <v>242.46666666666701</v>
      </c>
      <c r="D237" s="116">
        <v>242.21666666666701</v>
      </c>
      <c r="E237" s="116">
        <v>243.416666666667</v>
      </c>
      <c r="F237" s="116">
        <v>727.4</v>
      </c>
      <c r="G237">
        <v>3545</v>
      </c>
      <c r="H237" s="116"/>
      <c r="I237" s="116"/>
      <c r="L237" s="169">
        <v>42842</v>
      </c>
      <c r="M237" s="116">
        <v>243.066666666667</v>
      </c>
      <c r="N237" s="116">
        <v>246.666666666667</v>
      </c>
      <c r="O237" s="116">
        <v>240.333333333333</v>
      </c>
      <c r="P237" s="116">
        <v>240.333333333333</v>
      </c>
      <c r="Q237" s="116">
        <v>729.2</v>
      </c>
      <c r="R237">
        <v>11099</v>
      </c>
    </row>
    <row r="238" spans="1:18" x14ac:dyDescent="0.25">
      <c r="A238" s="169">
        <v>42843</v>
      </c>
      <c r="B238" s="116">
        <v>247.13333333333301</v>
      </c>
      <c r="C238" s="116">
        <v>242.86666666666699</v>
      </c>
      <c r="D238" s="116">
        <v>242.15</v>
      </c>
      <c r="E238" s="116">
        <v>244.96666666666701</v>
      </c>
      <c r="F238" s="116">
        <v>728.6</v>
      </c>
      <c r="G238">
        <v>2376</v>
      </c>
      <c r="H238" s="116"/>
      <c r="I238" s="116"/>
      <c r="L238" s="169">
        <v>42843</v>
      </c>
      <c r="M238" s="116">
        <v>242.316666666667</v>
      </c>
      <c r="N238" s="116">
        <v>247.48333333333301</v>
      </c>
      <c r="O238" s="116">
        <v>241.666666666667</v>
      </c>
      <c r="P238" s="116">
        <v>243.98333333333301</v>
      </c>
      <c r="Q238" s="116">
        <v>726.95</v>
      </c>
      <c r="R238">
        <v>8960</v>
      </c>
    </row>
    <row r="239" spans="1:18" x14ac:dyDescent="0.25">
      <c r="A239" s="169">
        <v>42844</v>
      </c>
      <c r="B239" s="116">
        <v>245.3</v>
      </c>
      <c r="C239" s="116">
        <v>244.51666666666699</v>
      </c>
      <c r="D239" s="116">
        <v>241.26666666666699</v>
      </c>
      <c r="E239" s="116">
        <v>245</v>
      </c>
      <c r="F239" s="116">
        <v>733.55</v>
      </c>
      <c r="G239">
        <v>1139</v>
      </c>
      <c r="H239" s="116"/>
      <c r="I239" s="116"/>
      <c r="L239" s="169">
        <v>42844</v>
      </c>
      <c r="M239" s="116">
        <v>243.6</v>
      </c>
      <c r="N239" s="116">
        <v>246.166666666667</v>
      </c>
      <c r="O239" s="116">
        <v>241.683333333333</v>
      </c>
      <c r="P239" s="116">
        <v>244.666666666667</v>
      </c>
      <c r="Q239" s="116">
        <v>730.8</v>
      </c>
      <c r="R239">
        <v>7952</v>
      </c>
    </row>
    <row r="240" spans="1:18" x14ac:dyDescent="0.25">
      <c r="A240" s="169">
        <v>42845</v>
      </c>
      <c r="B240" s="116">
        <v>247.833333333333</v>
      </c>
      <c r="C240" s="116">
        <v>242.71666666666701</v>
      </c>
      <c r="D240" s="116">
        <v>242.35</v>
      </c>
      <c r="E240" s="116">
        <v>245.3</v>
      </c>
      <c r="F240" s="116">
        <v>728.15</v>
      </c>
      <c r="G240">
        <v>2663</v>
      </c>
      <c r="H240" s="116"/>
      <c r="I240" s="116"/>
      <c r="L240" s="169">
        <v>42845</v>
      </c>
      <c r="M240" s="116">
        <v>243.01666666666699</v>
      </c>
      <c r="N240" s="116">
        <v>248.333333333333</v>
      </c>
      <c r="O240" s="116">
        <v>242.53333333333299</v>
      </c>
      <c r="P240" s="116">
        <v>246.98333333333301</v>
      </c>
      <c r="Q240" s="116">
        <v>729.05</v>
      </c>
      <c r="R240">
        <v>13760</v>
      </c>
    </row>
    <row r="241" spans="1:18" x14ac:dyDescent="0.25">
      <c r="A241" s="169">
        <v>42846</v>
      </c>
      <c r="B241" s="116">
        <v>246.63333333333301</v>
      </c>
      <c r="C241" s="116">
        <v>242.4</v>
      </c>
      <c r="D241" s="116">
        <v>241.7</v>
      </c>
      <c r="E241" s="116">
        <v>246.63333333333301</v>
      </c>
      <c r="F241" s="116">
        <v>727.2</v>
      </c>
      <c r="G241">
        <v>1647</v>
      </c>
      <c r="H241" s="116"/>
      <c r="I241" s="116"/>
      <c r="L241" s="169">
        <v>42846</v>
      </c>
      <c r="M241" s="116">
        <v>243.23333333333301</v>
      </c>
      <c r="N241" s="116">
        <v>247.416666666667</v>
      </c>
      <c r="O241" s="116">
        <v>242.01666666666699</v>
      </c>
      <c r="P241" s="116">
        <v>247.416666666667</v>
      </c>
      <c r="Q241" s="116">
        <v>729.7</v>
      </c>
      <c r="R241">
        <v>26662</v>
      </c>
    </row>
    <row r="242" spans="1:18" x14ac:dyDescent="0.25">
      <c r="A242" s="169">
        <v>42849</v>
      </c>
      <c r="B242" s="116">
        <v>246.666666666667</v>
      </c>
      <c r="C242" s="116">
        <v>242.35</v>
      </c>
      <c r="D242" s="116">
        <v>241.433333333333</v>
      </c>
      <c r="E242" s="116">
        <v>243</v>
      </c>
      <c r="F242" s="116">
        <v>727.05</v>
      </c>
      <c r="G242">
        <v>1865</v>
      </c>
      <c r="H242" s="116"/>
      <c r="I242" s="116"/>
      <c r="L242" s="169">
        <v>42849</v>
      </c>
      <c r="M242" s="116">
        <v>241.46666666666701</v>
      </c>
      <c r="N242" s="116">
        <v>246.65</v>
      </c>
      <c r="O242" s="116">
        <v>241.03333333333299</v>
      </c>
      <c r="P242" s="116">
        <v>243.98333333333301</v>
      </c>
      <c r="Q242" s="116">
        <v>724.4</v>
      </c>
      <c r="R242">
        <v>26390</v>
      </c>
    </row>
    <row r="243" spans="1:18" x14ac:dyDescent="0.25">
      <c r="A243" s="169">
        <v>42850</v>
      </c>
      <c r="B243" s="116">
        <v>243.666666666667</v>
      </c>
      <c r="C243" s="116">
        <v>240.86666666666699</v>
      </c>
      <c r="D243" s="116">
        <v>240.05</v>
      </c>
      <c r="E243" s="116">
        <v>243.3</v>
      </c>
      <c r="F243" s="116">
        <v>722.6</v>
      </c>
      <c r="G243">
        <v>1252</v>
      </c>
      <c r="H243" s="116"/>
      <c r="I243" s="116"/>
      <c r="L243" s="169">
        <v>42850</v>
      </c>
      <c r="M243" s="116">
        <v>241.933333333333</v>
      </c>
      <c r="N243" s="116">
        <v>244.416666666667</v>
      </c>
      <c r="O243" s="116">
        <v>241.066666666667</v>
      </c>
      <c r="P243" s="116">
        <v>241.46666666666701</v>
      </c>
      <c r="Q243" s="116">
        <v>725.8</v>
      </c>
      <c r="R243">
        <v>16161</v>
      </c>
    </row>
    <row r="244" spans="1:18" x14ac:dyDescent="0.25">
      <c r="A244" s="169">
        <v>42851</v>
      </c>
      <c r="B244" s="116">
        <v>244.38333333333301</v>
      </c>
      <c r="C244" s="116">
        <v>240.683333333333</v>
      </c>
      <c r="D244" s="116">
        <v>239.666666666667</v>
      </c>
      <c r="E244" s="116">
        <v>243.316666666667</v>
      </c>
      <c r="F244" s="116">
        <v>722.05</v>
      </c>
      <c r="G244">
        <v>2496</v>
      </c>
      <c r="H244" s="116"/>
      <c r="I244" s="116"/>
      <c r="L244" s="169">
        <v>42851</v>
      </c>
      <c r="M244" s="116">
        <v>241.083333333333</v>
      </c>
      <c r="N244" s="116">
        <v>246.666666666667</v>
      </c>
      <c r="O244" s="116">
        <v>240</v>
      </c>
      <c r="P244" s="116">
        <v>242.98333333333301</v>
      </c>
      <c r="Q244" s="116">
        <v>723.25</v>
      </c>
      <c r="R244">
        <v>15127</v>
      </c>
    </row>
    <row r="245" spans="1:18" x14ac:dyDescent="0.25">
      <c r="A245" s="169">
        <v>42852</v>
      </c>
      <c r="B245" s="116">
        <v>244.88333333333301</v>
      </c>
      <c r="C245" s="116">
        <v>242.333333333333</v>
      </c>
      <c r="D245" s="116">
        <v>239.36666666666699</v>
      </c>
      <c r="E245" s="116">
        <v>239.78333333333299</v>
      </c>
      <c r="F245" s="116">
        <v>727</v>
      </c>
      <c r="G245">
        <v>156505</v>
      </c>
      <c r="H245" s="116"/>
      <c r="I245" s="116"/>
      <c r="L245" s="169">
        <v>42852</v>
      </c>
      <c r="M245" s="116">
        <v>240.4</v>
      </c>
      <c r="N245" s="116">
        <v>245</v>
      </c>
      <c r="O245" s="116">
        <v>239.4</v>
      </c>
      <c r="P245" s="116">
        <v>241.73333333333301</v>
      </c>
      <c r="Q245" s="116">
        <v>721.2</v>
      </c>
      <c r="R245">
        <v>34695</v>
      </c>
    </row>
    <row r="246" spans="1:18" x14ac:dyDescent="0.25">
      <c r="A246" s="169">
        <v>42853</v>
      </c>
      <c r="B246" s="116">
        <v>241.96666666666701</v>
      </c>
      <c r="C246" s="116">
        <v>239.083333333333</v>
      </c>
      <c r="D246" s="116">
        <v>238.333333333333</v>
      </c>
      <c r="E246" s="116">
        <v>241.96666666666701</v>
      </c>
      <c r="F246" s="116">
        <v>717.25</v>
      </c>
      <c r="G246">
        <v>3436</v>
      </c>
      <c r="H246" s="116"/>
      <c r="I246" s="116"/>
      <c r="L246" s="169">
        <v>42853</v>
      </c>
      <c r="M246" s="116">
        <v>239.01666666666699</v>
      </c>
      <c r="N246" s="116">
        <v>242.38333333333301</v>
      </c>
      <c r="O246" s="116">
        <v>238.5</v>
      </c>
      <c r="P246" s="116">
        <v>242.3</v>
      </c>
      <c r="Q246" s="116">
        <v>717.05</v>
      </c>
      <c r="R246">
        <v>8270</v>
      </c>
    </row>
    <row r="247" spans="1:18" x14ac:dyDescent="0.25">
      <c r="A247" s="169">
        <v>42857</v>
      </c>
      <c r="B247" s="116">
        <v>242.4</v>
      </c>
      <c r="C247" s="116">
        <v>240.3</v>
      </c>
      <c r="D247" s="116">
        <v>239</v>
      </c>
      <c r="E247" s="116">
        <v>241.333333333333</v>
      </c>
      <c r="F247" s="116">
        <v>720.9</v>
      </c>
      <c r="G247">
        <v>1836</v>
      </c>
      <c r="H247" s="116"/>
      <c r="I247" s="116"/>
      <c r="L247" s="169">
        <v>42857</v>
      </c>
      <c r="M247" s="116">
        <v>239.71666666666701</v>
      </c>
      <c r="N247" s="116">
        <v>241.65</v>
      </c>
      <c r="O247" s="116">
        <v>239</v>
      </c>
      <c r="P247" s="116">
        <v>241.65</v>
      </c>
      <c r="Q247" s="116">
        <v>719.15</v>
      </c>
      <c r="R247">
        <v>12069</v>
      </c>
    </row>
    <row r="248" spans="1:18" x14ac:dyDescent="0.25">
      <c r="A248" s="169">
        <v>42858</v>
      </c>
      <c r="B248" s="116">
        <v>241.933333333333</v>
      </c>
      <c r="C248" s="116">
        <v>238.38333333333301</v>
      </c>
      <c r="D248" s="116">
        <v>238</v>
      </c>
      <c r="E248" s="116">
        <v>240.333333333333</v>
      </c>
      <c r="F248" s="116">
        <v>715.15</v>
      </c>
      <c r="G248">
        <v>2174</v>
      </c>
      <c r="H248" s="116"/>
      <c r="I248" s="116"/>
      <c r="L248" s="169">
        <v>42858</v>
      </c>
      <c r="M248" s="116">
        <v>239.48333333333301</v>
      </c>
      <c r="N248" s="116">
        <v>241.683333333333</v>
      </c>
      <c r="O248" s="116">
        <v>235</v>
      </c>
      <c r="P248" s="116">
        <v>240.166666666667</v>
      </c>
      <c r="Q248" s="116">
        <v>718.45</v>
      </c>
      <c r="R248">
        <v>8661</v>
      </c>
    </row>
    <row r="249" spans="1:18" x14ac:dyDescent="0.25">
      <c r="A249" s="169">
        <v>42859</v>
      </c>
      <c r="B249" s="116">
        <v>240.63333333333301</v>
      </c>
      <c r="C249" s="116">
        <v>237.01666666666699</v>
      </c>
      <c r="D249" s="116">
        <v>235.71666666666701</v>
      </c>
      <c r="E249" s="116">
        <v>240.63333333333301</v>
      </c>
      <c r="F249" s="116">
        <v>711.05</v>
      </c>
      <c r="G249">
        <v>1484</v>
      </c>
      <c r="H249" s="116"/>
      <c r="I249" s="116"/>
      <c r="L249" s="169">
        <v>42859</v>
      </c>
      <c r="M249" s="116">
        <v>236.833333333333</v>
      </c>
      <c r="N249" s="116">
        <v>241.333333333333</v>
      </c>
      <c r="O249" s="116">
        <v>236.333333333333</v>
      </c>
      <c r="P249" s="116">
        <v>240.63333333333301</v>
      </c>
      <c r="Q249" s="116">
        <v>710.5</v>
      </c>
      <c r="R249">
        <v>14123</v>
      </c>
    </row>
    <row r="250" spans="1:18" x14ac:dyDescent="0.25">
      <c r="A250" s="169">
        <v>42860</v>
      </c>
      <c r="B250" s="116">
        <v>237</v>
      </c>
      <c r="C250" s="116">
        <v>235.85</v>
      </c>
      <c r="D250" s="116">
        <v>235</v>
      </c>
      <c r="E250" s="116">
        <v>236.71666666666701</v>
      </c>
      <c r="F250" s="116">
        <v>707.55</v>
      </c>
      <c r="G250">
        <v>639</v>
      </c>
      <c r="H250" s="116"/>
      <c r="I250" s="116"/>
      <c r="L250" s="169">
        <v>42860</v>
      </c>
      <c r="M250" s="116">
        <v>236.4</v>
      </c>
      <c r="N250" s="116">
        <v>238.3</v>
      </c>
      <c r="O250" s="116">
        <v>235.61666666666699</v>
      </c>
      <c r="P250" s="116">
        <v>238.3</v>
      </c>
      <c r="Q250" s="116">
        <v>709.2</v>
      </c>
      <c r="R250">
        <v>12347</v>
      </c>
    </row>
    <row r="251" spans="1:18" x14ac:dyDescent="0.25">
      <c r="A251" s="169">
        <v>42863</v>
      </c>
      <c r="B251" s="116">
        <v>241</v>
      </c>
      <c r="C251" s="116">
        <v>239.2</v>
      </c>
      <c r="D251" s="116">
        <v>238</v>
      </c>
      <c r="E251" s="116">
        <v>238.2</v>
      </c>
      <c r="F251" s="116">
        <v>717.6</v>
      </c>
      <c r="G251">
        <v>1239</v>
      </c>
      <c r="H251" s="116"/>
      <c r="I251" s="116"/>
      <c r="L251" s="169">
        <v>42863</v>
      </c>
      <c r="M251" s="116">
        <v>238.066666666667</v>
      </c>
      <c r="N251" s="116">
        <v>241.666666666667</v>
      </c>
      <c r="O251" s="116">
        <v>236.666666666667</v>
      </c>
      <c r="P251" s="116">
        <v>236.666666666667</v>
      </c>
      <c r="Q251" s="116">
        <v>714.2</v>
      </c>
      <c r="R251">
        <v>9010</v>
      </c>
    </row>
    <row r="252" spans="1:18" x14ac:dyDescent="0.25">
      <c r="A252" s="169">
        <v>42864</v>
      </c>
      <c r="B252" s="116">
        <v>243.36666666666699</v>
      </c>
      <c r="C252" s="116">
        <v>238.88333333333301</v>
      </c>
      <c r="D252" s="116">
        <v>237.333333333333</v>
      </c>
      <c r="E252" s="116">
        <v>243.36666666666699</v>
      </c>
      <c r="F252" s="116">
        <v>716.65</v>
      </c>
      <c r="G252">
        <v>1718</v>
      </c>
      <c r="H252" s="116"/>
      <c r="I252" s="116"/>
      <c r="L252" s="169">
        <v>42864</v>
      </c>
      <c r="M252" s="116">
        <v>237.833333333333</v>
      </c>
      <c r="N252" s="116">
        <v>243.98333333333301</v>
      </c>
      <c r="O252" s="116">
        <v>236.666666666667</v>
      </c>
      <c r="P252" s="116">
        <v>238.98333333333301</v>
      </c>
      <c r="Q252" s="116">
        <v>713.5</v>
      </c>
      <c r="R252">
        <v>20482</v>
      </c>
    </row>
    <row r="253" spans="1:18" x14ac:dyDescent="0.25">
      <c r="A253" s="169">
        <v>42865</v>
      </c>
      <c r="B253" s="116">
        <v>256.66666666666703</v>
      </c>
      <c r="C253" s="116">
        <v>245.166666666667</v>
      </c>
      <c r="D253" s="116">
        <v>242.916666666667</v>
      </c>
      <c r="E253" s="116">
        <v>253.333333333333</v>
      </c>
      <c r="F253" s="116">
        <v>735.5</v>
      </c>
      <c r="G253">
        <v>22734</v>
      </c>
      <c r="H253" s="116"/>
      <c r="I253" s="116"/>
      <c r="L253" s="169">
        <v>42865</v>
      </c>
      <c r="M253" s="116">
        <v>242.566666666667</v>
      </c>
      <c r="N253" s="116">
        <v>259</v>
      </c>
      <c r="O253" s="116">
        <v>241.333333333333</v>
      </c>
      <c r="P253" s="116">
        <v>256.66666666666703</v>
      </c>
      <c r="Q253" s="116">
        <v>727.7</v>
      </c>
      <c r="R253">
        <v>199696</v>
      </c>
    </row>
    <row r="254" spans="1:18" x14ac:dyDescent="0.25">
      <c r="A254" s="169">
        <v>42866</v>
      </c>
      <c r="B254" s="116">
        <v>251.36666666666699</v>
      </c>
      <c r="C254" s="116">
        <v>245.28333333333299</v>
      </c>
      <c r="D254" s="116">
        <v>243.333333333333</v>
      </c>
      <c r="E254" s="116">
        <v>245.63333333333301</v>
      </c>
      <c r="F254" s="116">
        <v>735.85</v>
      </c>
      <c r="G254">
        <v>8888</v>
      </c>
      <c r="H254" s="116"/>
      <c r="I254" s="116"/>
      <c r="L254" s="169">
        <v>42866</v>
      </c>
      <c r="M254" s="116">
        <v>244.816666666667</v>
      </c>
      <c r="N254" s="116">
        <v>251.566666666667</v>
      </c>
      <c r="O254" s="116">
        <v>241.683333333333</v>
      </c>
      <c r="P254" s="116">
        <v>244.833333333333</v>
      </c>
      <c r="Q254" s="116">
        <v>734.45</v>
      </c>
      <c r="R254">
        <v>86252</v>
      </c>
    </row>
    <row r="255" spans="1:18" x14ac:dyDescent="0.25">
      <c r="A255" s="169">
        <v>42867</v>
      </c>
      <c r="B255" s="116">
        <v>247.333333333333</v>
      </c>
      <c r="C255" s="116">
        <v>244.35</v>
      </c>
      <c r="D255" s="116">
        <v>240.333333333333</v>
      </c>
      <c r="E255" s="116">
        <v>241</v>
      </c>
      <c r="F255" s="116">
        <v>733.05</v>
      </c>
      <c r="G255">
        <v>6005</v>
      </c>
      <c r="H255" s="116"/>
      <c r="I255" s="116"/>
      <c r="L255" s="169">
        <v>42867</v>
      </c>
      <c r="M255" s="116">
        <v>245.15</v>
      </c>
      <c r="N255" s="116">
        <v>247.333333333333</v>
      </c>
      <c r="O255" s="116">
        <v>240</v>
      </c>
      <c r="P255" s="116">
        <v>243.166666666667</v>
      </c>
      <c r="Q255" s="116">
        <v>735.45</v>
      </c>
      <c r="R255">
        <v>42028</v>
      </c>
    </row>
    <row r="256" spans="1:18" x14ac:dyDescent="0.25">
      <c r="A256" s="169">
        <v>42870</v>
      </c>
      <c r="B256" s="116">
        <v>246.86666666666699</v>
      </c>
      <c r="C256" s="116">
        <v>242.416666666667</v>
      </c>
      <c r="D256" s="116">
        <v>238.666666666667</v>
      </c>
      <c r="E256" s="116">
        <v>240.333333333333</v>
      </c>
      <c r="F256" s="116">
        <v>727.25</v>
      </c>
      <c r="G256">
        <v>4646</v>
      </c>
      <c r="H256" s="116"/>
      <c r="I256" s="116"/>
      <c r="L256" s="169">
        <v>42870</v>
      </c>
      <c r="M256" s="116">
        <v>243.333333333333</v>
      </c>
      <c r="N256" s="116">
        <v>247.96666666666701</v>
      </c>
      <c r="O256" s="116">
        <v>235.183333333333</v>
      </c>
      <c r="P256" s="116">
        <v>245</v>
      </c>
      <c r="Q256" s="116">
        <v>730</v>
      </c>
      <c r="R256">
        <v>19338</v>
      </c>
    </row>
    <row r="257" spans="1:18" x14ac:dyDescent="0.25">
      <c r="A257" s="169">
        <v>42871</v>
      </c>
      <c r="B257" s="116">
        <v>247.666666666667</v>
      </c>
      <c r="C257" s="116">
        <v>246.6</v>
      </c>
      <c r="D257" s="116">
        <v>241.96666666666701</v>
      </c>
      <c r="E257" s="116">
        <v>241.96666666666701</v>
      </c>
      <c r="F257" s="116">
        <v>739.8</v>
      </c>
      <c r="G257">
        <v>2908</v>
      </c>
      <c r="H257" s="116"/>
      <c r="I257" s="116"/>
      <c r="L257" s="169">
        <v>42871</v>
      </c>
      <c r="M257" s="116">
        <v>247.2</v>
      </c>
      <c r="N257" s="116">
        <v>247.98333333333301</v>
      </c>
      <c r="O257" s="116">
        <v>242.01666666666699</v>
      </c>
      <c r="P257" s="116">
        <v>243.98333333333301</v>
      </c>
      <c r="Q257" s="116">
        <v>741.6</v>
      </c>
      <c r="R257">
        <v>27103</v>
      </c>
    </row>
    <row r="258" spans="1:18" x14ac:dyDescent="0.25">
      <c r="A258" s="169">
        <v>42872</v>
      </c>
      <c r="B258" s="116">
        <v>252</v>
      </c>
      <c r="C258" s="116">
        <v>247.76666666666699</v>
      </c>
      <c r="D258" s="116">
        <v>245</v>
      </c>
      <c r="E258" s="116">
        <v>246.816666666667</v>
      </c>
      <c r="F258" s="116">
        <v>743.3</v>
      </c>
      <c r="G258">
        <v>2795</v>
      </c>
      <c r="H258" s="116"/>
      <c r="I258" s="116"/>
      <c r="L258" s="169">
        <v>42872</v>
      </c>
      <c r="M258" s="116">
        <v>246.1</v>
      </c>
      <c r="N258" s="116">
        <v>248.316666666667</v>
      </c>
      <c r="O258" s="116">
        <v>245</v>
      </c>
      <c r="P258" s="116">
        <v>247.3</v>
      </c>
      <c r="Q258" s="116">
        <v>738.3</v>
      </c>
      <c r="R258">
        <v>10445</v>
      </c>
    </row>
    <row r="259" spans="1:18" x14ac:dyDescent="0.25">
      <c r="A259" s="169">
        <v>42873</v>
      </c>
      <c r="B259" s="116">
        <v>247.666666666667</v>
      </c>
      <c r="C259" s="116">
        <v>244.066666666667</v>
      </c>
      <c r="D259" s="116">
        <v>242.1</v>
      </c>
      <c r="E259" s="116">
        <v>245.95</v>
      </c>
      <c r="F259" s="116">
        <v>732.2</v>
      </c>
      <c r="G259">
        <v>1387</v>
      </c>
      <c r="H259" s="116"/>
      <c r="I259" s="116"/>
      <c r="L259" s="169">
        <v>42873</v>
      </c>
      <c r="M259" s="116">
        <v>244.76666666666699</v>
      </c>
      <c r="N259" s="116">
        <v>246.316666666667</v>
      </c>
      <c r="O259" s="116">
        <v>241.666666666667</v>
      </c>
      <c r="P259" s="116">
        <v>241.666666666667</v>
      </c>
      <c r="Q259" s="116">
        <v>734.3</v>
      </c>
      <c r="R259">
        <v>14448</v>
      </c>
    </row>
    <row r="260" spans="1:18" x14ac:dyDescent="0.25">
      <c r="A260" s="169">
        <v>42874</v>
      </c>
      <c r="B260" s="116">
        <v>244.5</v>
      </c>
      <c r="C260" s="116">
        <v>240.23333333333301</v>
      </c>
      <c r="D260" s="116">
        <v>239.183333333333</v>
      </c>
      <c r="E260" s="116">
        <v>243.3</v>
      </c>
      <c r="F260" s="116">
        <v>720.7</v>
      </c>
      <c r="G260">
        <v>3577</v>
      </c>
      <c r="H260" s="116"/>
      <c r="I260" s="116"/>
      <c r="L260" s="169">
        <v>42874</v>
      </c>
      <c r="M260" s="116">
        <v>241.4</v>
      </c>
      <c r="N260" s="116">
        <v>244.73333333333301</v>
      </c>
      <c r="O260" s="116">
        <v>238.46666666666701</v>
      </c>
      <c r="P260" s="116">
        <v>243.45</v>
      </c>
      <c r="Q260" s="116">
        <v>724.2</v>
      </c>
      <c r="R260">
        <v>11422</v>
      </c>
    </row>
    <row r="261" spans="1:18" x14ac:dyDescent="0.25">
      <c r="A261" s="169">
        <v>42877</v>
      </c>
      <c r="B261" s="116">
        <v>244.3</v>
      </c>
      <c r="C261" s="116">
        <v>236.23333333333301</v>
      </c>
      <c r="D261" s="116">
        <v>235.433333333333</v>
      </c>
      <c r="E261" s="116">
        <v>244.3</v>
      </c>
      <c r="F261" s="116">
        <v>708.7</v>
      </c>
      <c r="G261">
        <v>3028</v>
      </c>
      <c r="H261" s="116"/>
      <c r="I261" s="116"/>
      <c r="L261" s="169">
        <v>42877</v>
      </c>
      <c r="M261" s="116">
        <v>236.63333333333301</v>
      </c>
      <c r="N261" s="116">
        <v>243.666666666667</v>
      </c>
      <c r="O261" s="116">
        <v>235.666666666667</v>
      </c>
      <c r="P261" s="116">
        <v>243.63333333333301</v>
      </c>
      <c r="Q261" s="116">
        <v>709.9</v>
      </c>
      <c r="R261">
        <v>10199</v>
      </c>
    </row>
    <row r="262" spans="1:18" x14ac:dyDescent="0.25">
      <c r="A262" s="169">
        <v>42878</v>
      </c>
      <c r="B262" s="116">
        <v>238.01666666666699</v>
      </c>
      <c r="C262" s="116">
        <v>231.38333333333301</v>
      </c>
      <c r="D262" s="116">
        <v>228.38333333333301</v>
      </c>
      <c r="E262" s="116">
        <v>238.01666666666699</v>
      </c>
      <c r="F262" s="116">
        <v>694.15</v>
      </c>
      <c r="G262">
        <v>2075</v>
      </c>
      <c r="H262" s="116"/>
      <c r="I262" s="116"/>
      <c r="L262" s="169">
        <v>42878</v>
      </c>
      <c r="M262" s="116">
        <v>231.63333333333301</v>
      </c>
      <c r="N262" s="116">
        <v>236.666666666667</v>
      </c>
      <c r="O262" s="116">
        <v>228.53333333333299</v>
      </c>
      <c r="P262" s="116">
        <v>236.65</v>
      </c>
      <c r="Q262" s="116">
        <v>694.9</v>
      </c>
      <c r="R262">
        <v>18833</v>
      </c>
    </row>
    <row r="263" spans="1:18" x14ac:dyDescent="0.25">
      <c r="A263" s="169">
        <v>42879</v>
      </c>
      <c r="B263" s="116">
        <v>232.23333333333301</v>
      </c>
      <c r="C263" s="116">
        <v>229.416666666667</v>
      </c>
      <c r="D263" s="116">
        <v>228.2</v>
      </c>
      <c r="E263" s="116">
        <v>231.38333333333301</v>
      </c>
      <c r="F263" s="116">
        <v>688.25</v>
      </c>
      <c r="G263">
        <v>1821</v>
      </c>
      <c r="H263" s="116"/>
      <c r="I263" s="116"/>
      <c r="L263" s="169">
        <v>42879</v>
      </c>
      <c r="M263" s="116">
        <v>230</v>
      </c>
      <c r="N263" s="116">
        <v>233.183333333333</v>
      </c>
      <c r="O263" s="116">
        <v>228.46666666666701</v>
      </c>
      <c r="P263" s="116">
        <v>230.4</v>
      </c>
      <c r="Q263" s="116">
        <v>690</v>
      </c>
      <c r="R263">
        <v>18633</v>
      </c>
    </row>
    <row r="264" spans="1:18" x14ac:dyDescent="0.25">
      <c r="A264" s="169">
        <v>42880</v>
      </c>
      <c r="B264" s="116">
        <v>233.166666666667</v>
      </c>
      <c r="C264" s="116">
        <v>232.46666666666701</v>
      </c>
      <c r="D264" s="116">
        <v>230</v>
      </c>
      <c r="E264" s="116">
        <v>230.666666666667</v>
      </c>
      <c r="F264" s="116">
        <v>697.4</v>
      </c>
      <c r="G264">
        <v>693</v>
      </c>
      <c r="H264" s="116"/>
      <c r="I264" s="116"/>
      <c r="L264" s="169">
        <v>42880</v>
      </c>
      <c r="M264" s="116">
        <v>233.15</v>
      </c>
      <c r="N264" s="116">
        <v>235.01666666666699</v>
      </c>
      <c r="O264" s="116">
        <v>228.666666666667</v>
      </c>
      <c r="P264" s="116">
        <v>228.666666666667</v>
      </c>
      <c r="Q264" s="116">
        <v>699.45</v>
      </c>
      <c r="R264">
        <v>5875</v>
      </c>
    </row>
    <row r="265" spans="1:18" x14ac:dyDescent="0.25">
      <c r="A265" s="169">
        <v>42881</v>
      </c>
      <c r="B265" s="116">
        <v>238.9</v>
      </c>
      <c r="C265" s="116">
        <v>235.78333333333299</v>
      </c>
      <c r="D265" s="116">
        <v>233.333333333333</v>
      </c>
      <c r="E265" s="116">
        <v>233.666666666667</v>
      </c>
      <c r="F265" s="116">
        <v>707.35</v>
      </c>
      <c r="G265">
        <v>1688</v>
      </c>
      <c r="H265" s="116"/>
      <c r="I265" s="116"/>
      <c r="L265" s="169">
        <v>42881</v>
      </c>
      <c r="M265" s="116">
        <v>237.01666666666699</v>
      </c>
      <c r="N265" s="116">
        <v>238.333333333333</v>
      </c>
      <c r="O265" s="116">
        <v>232.816666666667</v>
      </c>
      <c r="P265" s="116">
        <v>234.65</v>
      </c>
      <c r="Q265" s="116">
        <v>711.05</v>
      </c>
      <c r="R265">
        <v>9530</v>
      </c>
    </row>
    <row r="266" spans="1:18" x14ac:dyDescent="0.25">
      <c r="A266" s="169">
        <v>42884</v>
      </c>
      <c r="B266" s="116">
        <v>238.01666666666699</v>
      </c>
      <c r="C266" s="116">
        <v>235.23333333333301</v>
      </c>
      <c r="D266" s="116">
        <v>233.333333333333</v>
      </c>
      <c r="E266" s="116">
        <v>235.666666666667</v>
      </c>
      <c r="F266" s="116">
        <v>705.7</v>
      </c>
      <c r="G266">
        <v>153402</v>
      </c>
      <c r="H266" s="116"/>
      <c r="I266" s="116"/>
      <c r="L266" s="169">
        <v>42884</v>
      </c>
      <c r="M266" s="116">
        <v>235.9</v>
      </c>
      <c r="N266" s="116">
        <v>239</v>
      </c>
      <c r="O266" s="116">
        <v>232.7</v>
      </c>
      <c r="P266" s="116">
        <v>237.01666666666699</v>
      </c>
      <c r="Q266" s="116">
        <v>707.7</v>
      </c>
      <c r="R266">
        <v>171113</v>
      </c>
    </row>
    <row r="267" spans="1:18" x14ac:dyDescent="0.25">
      <c r="A267" s="169">
        <v>42885</v>
      </c>
      <c r="B267" s="116">
        <v>235.833333333333</v>
      </c>
      <c r="C267" s="116">
        <v>234.45</v>
      </c>
      <c r="D267" s="116">
        <v>233.26666666666699</v>
      </c>
      <c r="E267" s="116">
        <v>234.36666666666699</v>
      </c>
      <c r="F267" s="116">
        <v>703.35</v>
      </c>
      <c r="G267">
        <v>1483</v>
      </c>
      <c r="H267" s="116"/>
      <c r="I267" s="116"/>
      <c r="L267" s="169">
        <v>42885</v>
      </c>
      <c r="M267" s="116">
        <v>234.166666666667</v>
      </c>
      <c r="N267" s="116">
        <v>238.316666666667</v>
      </c>
      <c r="O267" s="116">
        <v>233.21666666666701</v>
      </c>
      <c r="P267" s="116">
        <v>238.316666666667</v>
      </c>
      <c r="Q267" s="116">
        <v>702.5</v>
      </c>
      <c r="R267">
        <v>6983</v>
      </c>
    </row>
    <row r="268" spans="1:18" x14ac:dyDescent="0.25">
      <c r="A268" s="169">
        <v>42886</v>
      </c>
      <c r="B268" s="116">
        <v>239.3</v>
      </c>
      <c r="C268" s="116">
        <v>237.833333333333</v>
      </c>
      <c r="D268" s="116">
        <v>234</v>
      </c>
      <c r="E268" s="116">
        <v>235.88333333333301</v>
      </c>
      <c r="F268" s="116">
        <v>713.5</v>
      </c>
      <c r="G268">
        <v>1359</v>
      </c>
      <c r="H268" s="116"/>
      <c r="I268" s="116"/>
      <c r="L268" s="169">
        <v>42886</v>
      </c>
      <c r="M268" s="116">
        <v>238.55</v>
      </c>
      <c r="N268" s="116">
        <v>239.666666666667</v>
      </c>
      <c r="O268" s="116">
        <v>233.7</v>
      </c>
      <c r="P268" s="116">
        <v>235.26666666666699</v>
      </c>
      <c r="Q268" s="116">
        <v>715.65</v>
      </c>
      <c r="R268">
        <v>8839</v>
      </c>
    </row>
    <row r="269" spans="1:18" x14ac:dyDescent="0.25">
      <c r="A269" s="169">
        <v>42887</v>
      </c>
      <c r="B269" s="116">
        <v>241</v>
      </c>
      <c r="C269" s="116">
        <v>238.583333333333</v>
      </c>
      <c r="D269" s="116">
        <v>237</v>
      </c>
      <c r="E269" s="116">
        <v>237.01666666666699</v>
      </c>
      <c r="F269" s="116">
        <v>715.75</v>
      </c>
      <c r="G269">
        <v>1283</v>
      </c>
      <c r="H269" s="116"/>
      <c r="I269" s="116"/>
      <c r="L269" s="169">
        <v>42887</v>
      </c>
      <c r="M269" s="116">
        <v>238.38333333333301</v>
      </c>
      <c r="N269" s="116">
        <v>241.46666666666701</v>
      </c>
      <c r="O269" s="116">
        <v>237</v>
      </c>
      <c r="P269" s="116">
        <v>238.28333333333299</v>
      </c>
      <c r="Q269" s="116">
        <v>715.15</v>
      </c>
      <c r="R269">
        <v>3724</v>
      </c>
    </row>
    <row r="270" spans="1:18" x14ac:dyDescent="0.25">
      <c r="A270" s="169">
        <v>42888</v>
      </c>
      <c r="B270" s="116">
        <v>240.26666666666699</v>
      </c>
      <c r="C270" s="116">
        <v>236.933333333333</v>
      </c>
      <c r="D270" s="116">
        <v>236</v>
      </c>
      <c r="E270" s="116">
        <v>239.96666666666701</v>
      </c>
      <c r="F270" s="116">
        <v>710.8</v>
      </c>
      <c r="G270">
        <v>2053</v>
      </c>
      <c r="H270" s="116"/>
      <c r="I270" s="116"/>
      <c r="L270" s="169">
        <v>42888</v>
      </c>
      <c r="M270" s="116">
        <v>237.183333333333</v>
      </c>
      <c r="N270" s="116">
        <v>240.36666666666699</v>
      </c>
      <c r="O270" s="116">
        <v>232.48333333333301</v>
      </c>
      <c r="P270" s="116">
        <v>237.666666666667</v>
      </c>
      <c r="Q270" s="116">
        <v>711.55</v>
      </c>
      <c r="R270">
        <v>9647</v>
      </c>
    </row>
    <row r="271" spans="1:18" x14ac:dyDescent="0.25">
      <c r="A271" s="169">
        <v>42891</v>
      </c>
      <c r="B271" s="116">
        <v>240.333333333333</v>
      </c>
      <c r="C271" s="116">
        <v>237.566666666667</v>
      </c>
      <c r="D271" s="116">
        <v>236.683333333333</v>
      </c>
      <c r="E271" s="116">
        <v>236.933333333333</v>
      </c>
      <c r="F271" s="116">
        <v>712.7</v>
      </c>
      <c r="G271">
        <v>1367</v>
      </c>
      <c r="H271" s="116"/>
      <c r="I271" s="116"/>
      <c r="L271" s="169">
        <v>42891</v>
      </c>
      <c r="M271" s="116">
        <v>237.98333333333301</v>
      </c>
      <c r="N271" s="116">
        <v>240.65</v>
      </c>
      <c r="O271" s="116">
        <v>237.1</v>
      </c>
      <c r="P271" s="116">
        <v>238.11666666666699</v>
      </c>
      <c r="Q271" s="116">
        <v>713.95</v>
      </c>
      <c r="R271">
        <v>7134</v>
      </c>
    </row>
    <row r="272" spans="1:18" x14ac:dyDescent="0.25">
      <c r="A272" s="169">
        <v>42892</v>
      </c>
      <c r="B272" s="116">
        <v>239.583333333333</v>
      </c>
      <c r="C272" s="116">
        <v>237.5</v>
      </c>
      <c r="D272" s="116">
        <v>236.666666666667</v>
      </c>
      <c r="E272" s="116">
        <v>238.683333333333</v>
      </c>
      <c r="F272" s="116">
        <v>712.5</v>
      </c>
      <c r="G272">
        <v>2135</v>
      </c>
      <c r="H272" s="116"/>
      <c r="I272" s="116"/>
      <c r="L272" s="169">
        <v>42892</v>
      </c>
      <c r="M272" s="116">
        <v>236.6</v>
      </c>
      <c r="N272" s="116">
        <v>239.666666666667</v>
      </c>
      <c r="O272" s="116">
        <v>234.01666666666699</v>
      </c>
      <c r="P272" s="116">
        <v>234.01666666666699</v>
      </c>
      <c r="Q272" s="116">
        <v>709.8</v>
      </c>
      <c r="R272">
        <v>4804</v>
      </c>
    </row>
    <row r="273" spans="1:18" x14ac:dyDescent="0.25">
      <c r="A273" s="169">
        <v>42893</v>
      </c>
      <c r="B273" s="116">
        <v>237.05</v>
      </c>
      <c r="C273" s="116">
        <v>235.36666666666699</v>
      </c>
      <c r="D273" s="116">
        <v>235</v>
      </c>
      <c r="E273" s="116">
        <v>235.63333333333301</v>
      </c>
      <c r="F273" s="116">
        <v>706.1</v>
      </c>
      <c r="G273">
        <v>1454</v>
      </c>
      <c r="H273" s="116"/>
      <c r="I273" s="116"/>
      <c r="L273" s="169">
        <v>42893</v>
      </c>
      <c r="M273" s="116">
        <v>235.53333333333299</v>
      </c>
      <c r="N273" s="116">
        <v>237.316666666667</v>
      </c>
      <c r="O273" s="116">
        <v>234.35</v>
      </c>
      <c r="P273" s="116">
        <v>236.63333333333301</v>
      </c>
      <c r="Q273" s="116">
        <v>706.6</v>
      </c>
      <c r="R273">
        <v>5199</v>
      </c>
    </row>
    <row r="274" spans="1:18" x14ac:dyDescent="0.25">
      <c r="A274" s="169">
        <v>42894</v>
      </c>
      <c r="B274" s="116">
        <v>237.28333333333299</v>
      </c>
      <c r="C274" s="116">
        <v>235.666666666667</v>
      </c>
      <c r="D274" s="116">
        <v>234.3</v>
      </c>
      <c r="E274" s="116">
        <v>235.7</v>
      </c>
      <c r="F274" s="116">
        <v>707</v>
      </c>
      <c r="G274">
        <v>569</v>
      </c>
      <c r="H274" s="116"/>
      <c r="I274" s="116"/>
      <c r="L274" s="169">
        <v>42894</v>
      </c>
      <c r="M274" s="116">
        <v>235.63333333333301</v>
      </c>
      <c r="N274" s="116">
        <v>238.26666666666699</v>
      </c>
      <c r="O274" s="116">
        <v>234.55</v>
      </c>
      <c r="P274" s="116">
        <v>235.333333333333</v>
      </c>
      <c r="Q274" s="116">
        <v>706.9</v>
      </c>
      <c r="R274">
        <v>53974</v>
      </c>
    </row>
    <row r="275" spans="1:18" x14ac:dyDescent="0.25">
      <c r="A275" s="169">
        <v>42895</v>
      </c>
      <c r="B275" s="116">
        <v>240.333333333333</v>
      </c>
      <c r="C275" s="116">
        <v>238.083333333333</v>
      </c>
      <c r="D275" s="116">
        <v>230.083333333333</v>
      </c>
      <c r="E275" s="116">
        <v>230.083333333333</v>
      </c>
      <c r="F275" s="116">
        <v>714.25</v>
      </c>
      <c r="G275">
        <v>2418</v>
      </c>
      <c r="H275" s="116"/>
      <c r="I275" s="116"/>
      <c r="L275" s="169">
        <v>42895</v>
      </c>
      <c r="M275" s="116">
        <v>239.48333333333301</v>
      </c>
      <c r="N275" s="116">
        <v>240.63333333333301</v>
      </c>
      <c r="O275" s="116">
        <v>233.933333333333</v>
      </c>
      <c r="P275" s="116">
        <v>235.433333333333</v>
      </c>
      <c r="Q275" s="116">
        <v>718.45</v>
      </c>
      <c r="R275">
        <v>10637</v>
      </c>
    </row>
    <row r="276" spans="1:18" x14ac:dyDescent="0.25">
      <c r="A276" s="169">
        <v>42898</v>
      </c>
      <c r="B276" s="116">
        <v>239.333333333333</v>
      </c>
      <c r="C276" s="116">
        <v>238.36666666666699</v>
      </c>
      <c r="D276" s="116">
        <v>234.666666666667</v>
      </c>
      <c r="E276" s="116">
        <v>237.566666666667</v>
      </c>
      <c r="F276" s="116">
        <v>715.1</v>
      </c>
      <c r="G276">
        <v>1175</v>
      </c>
      <c r="H276" s="116"/>
      <c r="I276" s="116"/>
      <c r="L276" s="169">
        <v>42898</v>
      </c>
      <c r="M276" s="116">
        <v>237.95</v>
      </c>
      <c r="N276" s="116">
        <v>240</v>
      </c>
      <c r="O276" s="116">
        <v>234.666666666667</v>
      </c>
      <c r="P276" s="116">
        <v>240</v>
      </c>
      <c r="Q276" s="116">
        <v>713.85</v>
      </c>
      <c r="R276">
        <v>9810</v>
      </c>
    </row>
    <row r="277" spans="1:18" x14ac:dyDescent="0.25">
      <c r="A277" s="169">
        <v>42899</v>
      </c>
      <c r="B277" s="116">
        <v>240.61666666666699</v>
      </c>
      <c r="C277" s="116">
        <v>239.1</v>
      </c>
      <c r="D277" s="116">
        <v>238.333333333333</v>
      </c>
      <c r="E277" s="116">
        <v>239.46666666666701</v>
      </c>
      <c r="F277" s="116">
        <v>717.3</v>
      </c>
      <c r="G277">
        <v>1346</v>
      </c>
      <c r="H277" s="116"/>
      <c r="I277" s="116"/>
      <c r="L277" s="169">
        <v>42899</v>
      </c>
      <c r="M277" s="116">
        <v>239.75</v>
      </c>
      <c r="N277" s="116">
        <v>240.083333333333</v>
      </c>
      <c r="O277" s="116">
        <v>238.333333333333</v>
      </c>
      <c r="P277" s="116">
        <v>238.65</v>
      </c>
      <c r="Q277" s="116">
        <v>719.25</v>
      </c>
      <c r="R277">
        <v>10573</v>
      </c>
    </row>
    <row r="278" spans="1:18" x14ac:dyDescent="0.25">
      <c r="A278" s="169">
        <v>42900</v>
      </c>
      <c r="B278" s="116">
        <v>239.833333333333</v>
      </c>
      <c r="C278" s="116">
        <v>238.416666666667</v>
      </c>
      <c r="D278" s="116">
        <v>238.333333333333</v>
      </c>
      <c r="E278" s="116">
        <v>239</v>
      </c>
      <c r="F278" s="116">
        <v>715.25</v>
      </c>
      <c r="G278">
        <v>590</v>
      </c>
      <c r="H278" s="116"/>
      <c r="I278" s="116"/>
      <c r="L278" s="169">
        <v>42900</v>
      </c>
      <c r="M278" s="116">
        <v>238.583333333333</v>
      </c>
      <c r="N278" s="116">
        <v>240</v>
      </c>
      <c r="O278" s="116">
        <v>238.333333333333</v>
      </c>
      <c r="P278" s="116">
        <v>240</v>
      </c>
      <c r="Q278" s="116">
        <v>715.75</v>
      </c>
      <c r="R278">
        <v>2676</v>
      </c>
    </row>
    <row r="279" spans="1:18" x14ac:dyDescent="0.25">
      <c r="A279" s="169">
        <v>42901</v>
      </c>
      <c r="B279" s="116">
        <v>243.01666666666699</v>
      </c>
      <c r="C279" s="116">
        <v>240.28333333333299</v>
      </c>
      <c r="D279" s="116">
        <v>238.88333333333301</v>
      </c>
      <c r="E279" s="116">
        <v>238.933333333333</v>
      </c>
      <c r="F279" s="116">
        <v>720.85</v>
      </c>
      <c r="G279">
        <v>2106</v>
      </c>
      <c r="H279" s="116"/>
      <c r="I279" s="116"/>
      <c r="L279" s="169">
        <v>42901</v>
      </c>
      <c r="M279" s="116">
        <v>240.86666666666699</v>
      </c>
      <c r="N279" s="116">
        <v>243</v>
      </c>
      <c r="O279" s="116">
        <v>235.666666666667</v>
      </c>
      <c r="P279" s="116">
        <v>235.666666666667</v>
      </c>
      <c r="Q279" s="116">
        <v>722.6</v>
      </c>
      <c r="R279">
        <v>29709</v>
      </c>
    </row>
    <row r="280" spans="1:18" x14ac:dyDescent="0.25">
      <c r="A280" s="169">
        <v>42902</v>
      </c>
      <c r="B280" s="116">
        <v>250.6</v>
      </c>
      <c r="C280" s="116">
        <v>248.083333333333</v>
      </c>
      <c r="D280" s="116">
        <v>238.75</v>
      </c>
      <c r="E280" s="116">
        <v>240.45</v>
      </c>
      <c r="F280" s="116">
        <v>744.25</v>
      </c>
      <c r="G280">
        <v>6203</v>
      </c>
      <c r="H280" s="116"/>
      <c r="I280" s="116"/>
      <c r="L280" s="169">
        <v>42902</v>
      </c>
      <c r="M280" s="116">
        <v>248.6</v>
      </c>
      <c r="N280" s="116">
        <v>250</v>
      </c>
      <c r="O280" s="116">
        <v>238.333333333333</v>
      </c>
      <c r="P280" s="116">
        <v>241.88333333333301</v>
      </c>
      <c r="Q280" s="116">
        <v>745.8</v>
      </c>
      <c r="R280">
        <v>392184</v>
      </c>
    </row>
    <row r="281" spans="1:18" x14ac:dyDescent="0.25">
      <c r="A281" s="169">
        <v>42905</v>
      </c>
      <c r="B281" s="116">
        <v>251.65</v>
      </c>
      <c r="C281" s="116">
        <v>246.86666666666699</v>
      </c>
      <c r="D281" s="116">
        <v>242.55</v>
      </c>
      <c r="E281" s="116">
        <v>251.333333333333</v>
      </c>
      <c r="F281" s="116">
        <v>740.6</v>
      </c>
      <c r="G281">
        <v>4642</v>
      </c>
      <c r="H281" s="116"/>
      <c r="I281" s="116"/>
      <c r="L281" s="169">
        <v>42905</v>
      </c>
      <c r="M281" s="116">
        <v>246.316666666667</v>
      </c>
      <c r="N281" s="116">
        <v>252.23333333333301</v>
      </c>
      <c r="O281" s="116">
        <v>241.666666666667</v>
      </c>
      <c r="P281" s="116">
        <v>252.23333333333301</v>
      </c>
      <c r="Q281" s="116">
        <v>738.95</v>
      </c>
      <c r="R281">
        <v>34953</v>
      </c>
    </row>
    <row r="282" spans="1:18" x14ac:dyDescent="0.25">
      <c r="A282" s="169">
        <v>42906</v>
      </c>
      <c r="B282" s="116">
        <v>251.63333333333301</v>
      </c>
      <c r="C282" s="116">
        <v>248.3</v>
      </c>
      <c r="D282" s="116">
        <v>242.4</v>
      </c>
      <c r="E282" s="116">
        <v>251.63333333333301</v>
      </c>
      <c r="F282" s="116">
        <v>744.9</v>
      </c>
      <c r="G282">
        <v>153282</v>
      </c>
      <c r="H282" s="116"/>
      <c r="I282" s="116"/>
      <c r="L282" s="169">
        <v>42906</v>
      </c>
      <c r="M282" s="116">
        <v>247.933333333333</v>
      </c>
      <c r="N282" s="116">
        <v>249.333333333333</v>
      </c>
      <c r="O282" s="116">
        <v>241.4</v>
      </c>
      <c r="P282" s="116">
        <v>246.65</v>
      </c>
      <c r="Q282" s="116">
        <v>743.8</v>
      </c>
      <c r="R282">
        <v>180867</v>
      </c>
    </row>
    <row r="283" spans="1:18" x14ac:dyDescent="0.25">
      <c r="A283" s="169">
        <v>42907</v>
      </c>
      <c r="B283" s="116">
        <v>248.53333333333299</v>
      </c>
      <c r="C283" s="116">
        <v>244.61666666666699</v>
      </c>
      <c r="D283" s="116">
        <v>242.933333333333</v>
      </c>
      <c r="E283" s="116">
        <v>247.96666666666701</v>
      </c>
      <c r="F283" s="116">
        <v>733.85</v>
      </c>
      <c r="G283">
        <v>253302</v>
      </c>
      <c r="H283" s="116"/>
      <c r="I283" s="116"/>
      <c r="L283" s="169">
        <v>42907</v>
      </c>
      <c r="M283" s="116">
        <v>243.666666666667</v>
      </c>
      <c r="N283" s="116">
        <v>248.683333333333</v>
      </c>
      <c r="O283" s="116">
        <v>243.333333333333</v>
      </c>
      <c r="P283" s="116">
        <v>245.48333333333301</v>
      </c>
      <c r="Q283" s="116">
        <v>731</v>
      </c>
      <c r="R283">
        <v>378946</v>
      </c>
    </row>
    <row r="284" spans="1:18" x14ac:dyDescent="0.25">
      <c r="A284" s="169">
        <v>42908</v>
      </c>
      <c r="B284" s="116">
        <v>245.916666666667</v>
      </c>
      <c r="C284" s="116">
        <v>241.583333333333</v>
      </c>
      <c r="D284" s="116">
        <v>240.03333333333299</v>
      </c>
      <c r="E284" s="116">
        <v>245</v>
      </c>
      <c r="F284" s="116">
        <v>724.75</v>
      </c>
      <c r="G284">
        <v>2629</v>
      </c>
      <c r="H284" s="116"/>
      <c r="I284" s="116"/>
      <c r="L284" s="169">
        <v>42908</v>
      </c>
      <c r="M284" s="116">
        <v>241</v>
      </c>
      <c r="N284" s="116">
        <v>246.21666666666701</v>
      </c>
      <c r="O284" s="116">
        <v>240</v>
      </c>
      <c r="P284" s="116">
        <v>246.21666666666701</v>
      </c>
      <c r="Q284" s="116">
        <v>723</v>
      </c>
      <c r="R284">
        <v>8167</v>
      </c>
    </row>
    <row r="285" spans="1:18" x14ac:dyDescent="0.25">
      <c r="A285" s="169">
        <v>42909</v>
      </c>
      <c r="B285" s="116">
        <v>241.3</v>
      </c>
      <c r="C285" s="116">
        <v>238.46666666666701</v>
      </c>
      <c r="D285" s="116">
        <v>234.3</v>
      </c>
      <c r="E285" s="116">
        <v>241.28333333333299</v>
      </c>
      <c r="F285" s="116">
        <v>715.4</v>
      </c>
      <c r="G285">
        <v>2162</v>
      </c>
      <c r="H285" s="116"/>
      <c r="I285" s="116"/>
      <c r="L285" s="169">
        <v>42909</v>
      </c>
      <c r="M285" s="116">
        <v>239.61666666666699</v>
      </c>
      <c r="N285" s="116">
        <v>244.316666666667</v>
      </c>
      <c r="O285" s="116">
        <v>236.066666666667</v>
      </c>
      <c r="P285" s="116">
        <v>244.316666666667</v>
      </c>
      <c r="Q285" s="116">
        <v>718.85</v>
      </c>
      <c r="R285">
        <v>34593</v>
      </c>
    </row>
    <row r="286" spans="1:18" x14ac:dyDescent="0.25">
      <c r="A286" s="169">
        <v>42913</v>
      </c>
      <c r="B286" s="116">
        <v>239.11666666666699</v>
      </c>
      <c r="C286" s="116">
        <v>237.01666666666699</v>
      </c>
      <c r="D286" s="116">
        <v>231.01666666666699</v>
      </c>
      <c r="E286" s="116">
        <v>238.333333333333</v>
      </c>
      <c r="F286" s="116">
        <v>711.05</v>
      </c>
      <c r="G286">
        <v>2025</v>
      </c>
      <c r="H286" s="116"/>
      <c r="I286" s="116"/>
      <c r="L286" s="169">
        <v>42913</v>
      </c>
      <c r="M286" s="116">
        <v>238.316666666667</v>
      </c>
      <c r="N286" s="116">
        <v>240.333333333333</v>
      </c>
      <c r="O286" s="116">
        <v>232.38333333333301</v>
      </c>
      <c r="P286" s="116">
        <v>240.333333333333</v>
      </c>
      <c r="Q286" s="116">
        <v>714.95</v>
      </c>
      <c r="R286">
        <v>58335</v>
      </c>
    </row>
    <row r="287" spans="1:18" x14ac:dyDescent="0.25">
      <c r="A287" s="169">
        <v>42914</v>
      </c>
      <c r="B287" s="116">
        <v>241.666666666667</v>
      </c>
      <c r="C287" s="116">
        <v>239.36666666666699</v>
      </c>
      <c r="D287" s="116">
        <v>236.75</v>
      </c>
      <c r="E287" s="116">
        <v>238.416666666667</v>
      </c>
      <c r="F287" s="116">
        <v>718.1</v>
      </c>
      <c r="G287">
        <v>1613</v>
      </c>
      <c r="H287" s="116"/>
      <c r="I287" s="116"/>
      <c r="L287" s="169">
        <v>42914</v>
      </c>
      <c r="M287" s="116">
        <v>240.15</v>
      </c>
      <c r="N287" s="116">
        <v>241.6</v>
      </c>
      <c r="O287" s="116">
        <v>235.35</v>
      </c>
      <c r="P287" s="116">
        <v>235.36666666666699</v>
      </c>
      <c r="Q287" s="116">
        <v>720.45</v>
      </c>
      <c r="R287">
        <v>17398</v>
      </c>
    </row>
    <row r="288" spans="1:18" x14ac:dyDescent="0.25">
      <c r="A288" s="169">
        <v>42915</v>
      </c>
      <c r="B288" s="116">
        <v>243.35</v>
      </c>
      <c r="C288" s="116">
        <v>240.51666666666699</v>
      </c>
      <c r="D288" s="116">
        <v>239.416666666667</v>
      </c>
      <c r="E288" s="116">
        <v>240.5</v>
      </c>
      <c r="F288" s="116">
        <v>721.55</v>
      </c>
      <c r="G288">
        <v>2059</v>
      </c>
      <c r="H288" s="116"/>
      <c r="I288" s="116"/>
      <c r="L288" s="169">
        <v>42915</v>
      </c>
      <c r="M288" s="116">
        <v>241.71666666666701</v>
      </c>
      <c r="N288" s="116">
        <v>243</v>
      </c>
      <c r="O288" s="116">
        <v>238</v>
      </c>
      <c r="P288" s="116">
        <v>239.066666666667</v>
      </c>
      <c r="Q288" s="116">
        <v>725.15</v>
      </c>
      <c r="R288">
        <v>11513</v>
      </c>
    </row>
    <row r="289" spans="1:18" x14ac:dyDescent="0.25">
      <c r="A289" s="169">
        <v>42916</v>
      </c>
      <c r="B289" s="116">
        <v>246.316666666667</v>
      </c>
      <c r="C289" s="116">
        <v>242.916666666667</v>
      </c>
      <c r="D289" s="116">
        <v>235.03333333333299</v>
      </c>
      <c r="E289" s="116">
        <v>238</v>
      </c>
      <c r="F289" s="116">
        <v>728.75</v>
      </c>
      <c r="G289">
        <v>5461</v>
      </c>
      <c r="H289" s="116"/>
      <c r="I289" s="116"/>
      <c r="L289" s="169">
        <v>42916</v>
      </c>
      <c r="M289" s="116">
        <v>242.46666666666701</v>
      </c>
      <c r="N289" s="116">
        <v>248.23333333333301</v>
      </c>
      <c r="O289" s="116">
        <v>236.85</v>
      </c>
      <c r="P289" s="116">
        <v>238.86666666666699</v>
      </c>
      <c r="Q289" s="116">
        <v>727.4</v>
      </c>
      <c r="R289">
        <v>15923</v>
      </c>
    </row>
    <row r="290" spans="1:18" x14ac:dyDescent="0.25">
      <c r="A290" s="169">
        <v>42919</v>
      </c>
      <c r="B290" s="116">
        <v>257.64999999999998</v>
      </c>
      <c r="C290" s="116">
        <v>251</v>
      </c>
      <c r="D290" s="116">
        <v>239.916666666667</v>
      </c>
      <c r="E290" s="116">
        <v>239.95</v>
      </c>
      <c r="F290" s="116">
        <v>753</v>
      </c>
      <c r="G290">
        <v>13430</v>
      </c>
      <c r="H290" s="116"/>
      <c r="I290" s="116"/>
      <c r="L290" s="169">
        <v>42919</v>
      </c>
      <c r="M290" s="116">
        <v>252.6</v>
      </c>
      <c r="N290" s="116">
        <v>258</v>
      </c>
      <c r="O290" s="116">
        <v>238.35</v>
      </c>
      <c r="P290" s="116">
        <v>238.35</v>
      </c>
      <c r="Q290" s="116">
        <v>757.8</v>
      </c>
      <c r="R290">
        <v>103364</v>
      </c>
    </row>
    <row r="291" spans="1:18" x14ac:dyDescent="0.25">
      <c r="A291" s="169">
        <v>42920</v>
      </c>
      <c r="B291" s="116">
        <v>253.7</v>
      </c>
      <c r="C291" s="116">
        <v>246.45</v>
      </c>
      <c r="D291" s="116">
        <v>245</v>
      </c>
      <c r="E291" s="116">
        <v>253.333333333333</v>
      </c>
      <c r="F291" s="116">
        <v>739.35</v>
      </c>
      <c r="G291">
        <v>2194</v>
      </c>
      <c r="H291" s="116"/>
      <c r="I291" s="116"/>
      <c r="L291" s="169">
        <v>42920</v>
      </c>
      <c r="M291" s="116">
        <v>245.816666666667</v>
      </c>
      <c r="N291" s="116">
        <v>254</v>
      </c>
      <c r="O291" s="116">
        <v>244.333333333333</v>
      </c>
      <c r="P291" s="116">
        <v>252.75</v>
      </c>
      <c r="Q291" s="116">
        <v>737.45</v>
      </c>
      <c r="R291">
        <v>18472</v>
      </c>
    </row>
    <row r="292" spans="1:18" x14ac:dyDescent="0.25">
      <c r="A292" s="169">
        <v>42921</v>
      </c>
      <c r="B292" s="116">
        <v>248.166666666667</v>
      </c>
      <c r="C292" s="116">
        <v>246.05</v>
      </c>
      <c r="D292" s="116">
        <v>244.76666666666699</v>
      </c>
      <c r="E292" s="116">
        <v>246</v>
      </c>
      <c r="F292" s="116">
        <v>738.15</v>
      </c>
      <c r="G292">
        <v>1040</v>
      </c>
      <c r="H292" s="116"/>
      <c r="I292" s="116"/>
      <c r="L292" s="169">
        <v>42921</v>
      </c>
      <c r="M292" s="116">
        <v>245.316666666667</v>
      </c>
      <c r="N292" s="116">
        <v>247.95</v>
      </c>
      <c r="O292" s="116">
        <v>245</v>
      </c>
      <c r="P292" s="116">
        <v>245.816666666667</v>
      </c>
      <c r="Q292" s="116">
        <v>735.95</v>
      </c>
      <c r="R292">
        <v>8985</v>
      </c>
    </row>
    <row r="293" spans="1:18" x14ac:dyDescent="0.25">
      <c r="A293" s="169">
        <v>42922</v>
      </c>
      <c r="B293" s="116">
        <v>248.333333333333</v>
      </c>
      <c r="C293" s="116">
        <v>245.26666666666699</v>
      </c>
      <c r="D293" s="116">
        <v>244.13333333333301</v>
      </c>
      <c r="E293" s="116">
        <v>245.1</v>
      </c>
      <c r="F293" s="116">
        <v>735.8</v>
      </c>
      <c r="G293">
        <v>2724</v>
      </c>
      <c r="H293" s="116"/>
      <c r="I293" s="116"/>
      <c r="L293" s="169">
        <v>42922</v>
      </c>
      <c r="M293" s="116">
        <v>246.03333333333299</v>
      </c>
      <c r="N293" s="116">
        <v>249</v>
      </c>
      <c r="O293" s="116">
        <v>243.833333333333</v>
      </c>
      <c r="P293" s="116">
        <v>247.65</v>
      </c>
      <c r="Q293" s="116">
        <v>738.1</v>
      </c>
      <c r="R293">
        <v>13031</v>
      </c>
    </row>
    <row r="294" spans="1:18" x14ac:dyDescent="0.25">
      <c r="A294" s="169">
        <v>42923</v>
      </c>
      <c r="B294" s="116">
        <v>247.933333333333</v>
      </c>
      <c r="C294" s="116">
        <v>246.45</v>
      </c>
      <c r="D294" s="116">
        <v>242.5</v>
      </c>
      <c r="E294" s="116">
        <v>246.666666666667</v>
      </c>
      <c r="F294" s="116">
        <v>739.35</v>
      </c>
      <c r="G294">
        <v>1481</v>
      </c>
      <c r="H294" s="116"/>
      <c r="I294" s="116"/>
      <c r="L294" s="169">
        <v>42923</v>
      </c>
      <c r="M294" s="116">
        <v>246.05</v>
      </c>
      <c r="N294" s="116">
        <v>247.63333333333301</v>
      </c>
      <c r="O294" s="116">
        <v>242.566666666667</v>
      </c>
      <c r="P294" s="116">
        <v>247.316666666667</v>
      </c>
      <c r="Q294" s="116">
        <v>738.15</v>
      </c>
      <c r="R294">
        <v>6343</v>
      </c>
    </row>
    <row r="295" spans="1:18" x14ac:dyDescent="0.25">
      <c r="A295" s="169">
        <v>42926</v>
      </c>
      <c r="B295" s="116">
        <v>249.333333333333</v>
      </c>
      <c r="C295" s="116">
        <v>246.666666666667</v>
      </c>
      <c r="D295" s="116">
        <v>245</v>
      </c>
      <c r="E295" s="116">
        <v>249.333333333333</v>
      </c>
      <c r="F295" s="116">
        <v>740</v>
      </c>
      <c r="G295">
        <v>1059</v>
      </c>
      <c r="H295" s="116"/>
      <c r="I295" s="116"/>
      <c r="L295" s="169">
        <v>42926</v>
      </c>
      <c r="M295" s="116">
        <v>246.78333333333299</v>
      </c>
      <c r="N295" s="116">
        <v>290.33333333333297</v>
      </c>
      <c r="O295" s="116">
        <v>245</v>
      </c>
      <c r="P295" s="116">
        <v>247.316666666667</v>
      </c>
      <c r="Q295" s="116">
        <v>740.35</v>
      </c>
      <c r="R295">
        <v>2607</v>
      </c>
    </row>
    <row r="296" spans="1:18" x14ac:dyDescent="0.25">
      <c r="A296" s="169">
        <v>42927</v>
      </c>
      <c r="B296" s="116">
        <v>249.13333333333301</v>
      </c>
      <c r="C296" s="116">
        <v>245.933333333333</v>
      </c>
      <c r="D296" s="116">
        <v>245.066666666667</v>
      </c>
      <c r="E296" s="116">
        <v>247.333333333333</v>
      </c>
      <c r="F296" s="116">
        <v>737.8</v>
      </c>
      <c r="G296">
        <v>959</v>
      </c>
      <c r="H296" s="116"/>
      <c r="I296" s="116"/>
      <c r="L296" s="169">
        <v>42927</v>
      </c>
      <c r="M296" s="116">
        <v>246.3</v>
      </c>
      <c r="N296" s="116">
        <v>250</v>
      </c>
      <c r="O296" s="116">
        <v>246</v>
      </c>
      <c r="P296" s="116">
        <v>250</v>
      </c>
      <c r="Q296" s="116">
        <v>738.9</v>
      </c>
      <c r="R296">
        <v>5772</v>
      </c>
    </row>
    <row r="297" spans="1:18" x14ac:dyDescent="0.25">
      <c r="A297" s="169">
        <v>42928</v>
      </c>
      <c r="B297" s="116">
        <v>250.933333333333</v>
      </c>
      <c r="C297" s="116">
        <v>247.96666666666701</v>
      </c>
      <c r="D297" s="116">
        <v>244.71666666666701</v>
      </c>
      <c r="E297" s="116">
        <v>247.26666666666699</v>
      </c>
      <c r="F297" s="116">
        <v>743.9</v>
      </c>
      <c r="G297">
        <v>4311</v>
      </c>
      <c r="H297" s="116"/>
      <c r="I297" s="116"/>
      <c r="L297" s="169">
        <v>42928</v>
      </c>
      <c r="M297" s="116">
        <v>248.666666666667</v>
      </c>
      <c r="N297" s="116">
        <v>251.6</v>
      </c>
      <c r="O297" s="116">
        <v>244.26666666666699</v>
      </c>
      <c r="P297" s="116">
        <v>245</v>
      </c>
      <c r="Q297" s="116">
        <v>746</v>
      </c>
      <c r="R297">
        <v>25144</v>
      </c>
    </row>
    <row r="298" spans="1:18" x14ac:dyDescent="0.25">
      <c r="A298" s="169">
        <v>42929</v>
      </c>
      <c r="B298" s="116">
        <v>249.03333333333299</v>
      </c>
      <c r="C298" s="116">
        <v>243.2</v>
      </c>
      <c r="D298" s="116">
        <v>242.316666666667</v>
      </c>
      <c r="E298" s="116">
        <v>249.03333333333299</v>
      </c>
      <c r="F298" s="116">
        <v>729.6</v>
      </c>
      <c r="G298">
        <v>2655</v>
      </c>
      <c r="H298" s="116"/>
      <c r="I298" s="116"/>
      <c r="L298" s="169">
        <v>42929</v>
      </c>
      <c r="M298" s="116">
        <v>243</v>
      </c>
      <c r="N298" s="116">
        <v>249.98333333333301</v>
      </c>
      <c r="O298" s="116">
        <v>241.86666666666699</v>
      </c>
      <c r="P298" s="116">
        <v>246.65</v>
      </c>
      <c r="Q298" s="116">
        <v>729</v>
      </c>
      <c r="R298">
        <v>10212</v>
      </c>
    </row>
    <row r="299" spans="1:18" x14ac:dyDescent="0.25">
      <c r="A299" s="169">
        <v>42930</v>
      </c>
      <c r="B299" s="116">
        <v>245.333333333333</v>
      </c>
      <c r="C299" s="116">
        <v>240.78333333333299</v>
      </c>
      <c r="D299" s="116">
        <v>239.333333333333</v>
      </c>
      <c r="E299" s="116">
        <v>245.333333333333</v>
      </c>
      <c r="F299" s="116">
        <v>722.35</v>
      </c>
      <c r="G299">
        <v>2128</v>
      </c>
      <c r="H299" s="116"/>
      <c r="I299" s="116"/>
      <c r="L299" s="169">
        <v>42930</v>
      </c>
      <c r="M299" s="116">
        <v>241.416666666667</v>
      </c>
      <c r="N299" s="116">
        <v>246.38333333333301</v>
      </c>
      <c r="O299" s="116">
        <v>239.2</v>
      </c>
      <c r="P299" s="116">
        <v>246.38333333333301</v>
      </c>
      <c r="Q299" s="116">
        <v>724.25</v>
      </c>
      <c r="R299">
        <v>15288</v>
      </c>
    </row>
    <row r="300" spans="1:18" x14ac:dyDescent="0.25">
      <c r="A300" s="169">
        <v>42933</v>
      </c>
      <c r="B300" s="116">
        <v>246.5</v>
      </c>
      <c r="C300" s="116">
        <v>241.51666666666699</v>
      </c>
      <c r="D300" s="116">
        <v>240.666666666667</v>
      </c>
      <c r="E300" s="116">
        <v>246.433333333333</v>
      </c>
      <c r="F300" s="116">
        <v>724.55</v>
      </c>
      <c r="G300">
        <v>1815</v>
      </c>
      <c r="H300" s="116"/>
      <c r="I300" s="116"/>
      <c r="L300" s="169">
        <v>42933</v>
      </c>
      <c r="M300" s="116">
        <v>241.683333333333</v>
      </c>
      <c r="N300" s="116">
        <v>244.98333333333301</v>
      </c>
      <c r="O300" s="116">
        <v>240.416666666667</v>
      </c>
      <c r="P300" s="116">
        <v>244.98333333333301</v>
      </c>
      <c r="Q300" s="116">
        <v>725.05</v>
      </c>
      <c r="R300">
        <v>4965</v>
      </c>
    </row>
    <row r="301" spans="1:18" x14ac:dyDescent="0.25">
      <c r="A301" s="169">
        <v>42934</v>
      </c>
      <c r="B301" s="116">
        <v>243.316666666667</v>
      </c>
      <c r="C301" s="116">
        <v>241.333333333333</v>
      </c>
      <c r="D301" s="116">
        <v>240.666666666667</v>
      </c>
      <c r="E301" s="116">
        <v>240.666666666667</v>
      </c>
      <c r="F301" s="116">
        <v>724</v>
      </c>
      <c r="G301">
        <v>794</v>
      </c>
      <c r="H301" s="116"/>
      <c r="I301" s="116"/>
      <c r="L301" s="169">
        <v>42934</v>
      </c>
      <c r="M301" s="116">
        <v>242.03333333333299</v>
      </c>
      <c r="N301" s="116">
        <v>244.333333333333</v>
      </c>
      <c r="O301" s="116">
        <v>240.35</v>
      </c>
      <c r="P301" s="116">
        <v>241.65</v>
      </c>
      <c r="Q301" s="116">
        <v>726.1</v>
      </c>
      <c r="R301">
        <v>9153</v>
      </c>
    </row>
    <row r="302" spans="1:18" x14ac:dyDescent="0.25">
      <c r="A302" s="169">
        <v>42935</v>
      </c>
      <c r="B302" s="116">
        <v>245.03333333333299</v>
      </c>
      <c r="C302" s="116">
        <v>242.75</v>
      </c>
      <c r="D302" s="116">
        <v>240.666666666667</v>
      </c>
      <c r="E302" s="116">
        <v>241.433333333333</v>
      </c>
      <c r="F302" s="116">
        <v>728.25</v>
      </c>
      <c r="G302">
        <v>2086</v>
      </c>
      <c r="H302" s="116"/>
      <c r="I302" s="116"/>
      <c r="L302" s="169">
        <v>42935</v>
      </c>
      <c r="M302" s="116">
        <v>243.2</v>
      </c>
      <c r="N302" s="116">
        <v>244.65</v>
      </c>
      <c r="O302" s="116">
        <v>240.816666666667</v>
      </c>
      <c r="P302" s="116">
        <v>242</v>
      </c>
      <c r="Q302" s="116">
        <v>729.6</v>
      </c>
      <c r="R302">
        <v>40563</v>
      </c>
    </row>
    <row r="303" spans="1:18" x14ac:dyDescent="0.25">
      <c r="A303" s="169">
        <v>42936</v>
      </c>
      <c r="B303" s="116">
        <v>245.21666666666701</v>
      </c>
      <c r="C303" s="116">
        <v>241.4</v>
      </c>
      <c r="D303" s="116">
        <v>240.01666666666699</v>
      </c>
      <c r="E303" s="116">
        <v>244.28333333333299</v>
      </c>
      <c r="F303" s="116">
        <v>724.2</v>
      </c>
      <c r="G303">
        <v>1359</v>
      </c>
      <c r="H303" s="116"/>
      <c r="I303" s="116"/>
      <c r="L303" s="169">
        <v>42936</v>
      </c>
      <c r="M303" s="116">
        <v>240.76666666666699</v>
      </c>
      <c r="N303" s="116">
        <v>245.63333333333301</v>
      </c>
      <c r="O303" s="116">
        <v>240.05</v>
      </c>
      <c r="P303" s="116">
        <v>244.916666666667</v>
      </c>
      <c r="Q303" s="116">
        <v>722.3</v>
      </c>
      <c r="R303">
        <v>9506</v>
      </c>
    </row>
    <row r="304" spans="1:18" x14ac:dyDescent="0.25">
      <c r="A304" s="169">
        <v>42937</v>
      </c>
      <c r="B304" s="116">
        <v>242</v>
      </c>
      <c r="C304" s="116">
        <v>240.73333333333301</v>
      </c>
      <c r="D304" s="116">
        <v>239.333333333333</v>
      </c>
      <c r="E304" s="116">
        <v>241.333333333333</v>
      </c>
      <c r="F304" s="116">
        <v>722.2</v>
      </c>
      <c r="G304">
        <v>1528</v>
      </c>
      <c r="H304" s="116"/>
      <c r="I304" s="116"/>
      <c r="L304" s="169">
        <v>42937</v>
      </c>
      <c r="M304" s="116">
        <v>241.066666666667</v>
      </c>
      <c r="N304" s="116">
        <v>243.13333333333301</v>
      </c>
      <c r="O304" s="116">
        <v>240.333333333333</v>
      </c>
      <c r="P304" s="116">
        <v>242.95</v>
      </c>
      <c r="Q304" s="116">
        <v>723.2</v>
      </c>
      <c r="R304">
        <v>5310</v>
      </c>
    </row>
    <row r="305" spans="1:18" x14ac:dyDescent="0.25">
      <c r="A305" s="169">
        <v>42940</v>
      </c>
      <c r="B305" s="116">
        <v>243.066666666667</v>
      </c>
      <c r="C305" s="116">
        <v>237.166666666667</v>
      </c>
      <c r="D305" s="116">
        <v>236</v>
      </c>
      <c r="E305" s="116">
        <v>240.73333333333301</v>
      </c>
      <c r="F305" s="116">
        <v>711.5</v>
      </c>
      <c r="G305">
        <v>1516</v>
      </c>
      <c r="H305" s="116"/>
      <c r="I305" s="116"/>
      <c r="L305" s="169">
        <v>42940</v>
      </c>
      <c r="M305" s="116">
        <v>236.48333333333301</v>
      </c>
      <c r="N305" s="116">
        <v>246.583333333333</v>
      </c>
      <c r="O305" s="116">
        <v>235.9</v>
      </c>
      <c r="P305" s="116">
        <v>246.583333333333</v>
      </c>
      <c r="Q305" s="116">
        <v>709.45</v>
      </c>
      <c r="R305">
        <v>10514</v>
      </c>
    </row>
    <row r="306" spans="1:18" x14ac:dyDescent="0.25">
      <c r="A306" s="169">
        <v>42941</v>
      </c>
      <c r="B306" s="116">
        <v>242.63333333333301</v>
      </c>
      <c r="C306" s="116">
        <v>241.083333333333</v>
      </c>
      <c r="D306" s="116">
        <v>233.333333333333</v>
      </c>
      <c r="E306" s="116">
        <v>238.333333333333</v>
      </c>
      <c r="F306" s="116">
        <v>723.25</v>
      </c>
      <c r="G306">
        <v>2206</v>
      </c>
      <c r="H306" s="116"/>
      <c r="I306" s="116"/>
      <c r="L306" s="169">
        <v>42941</v>
      </c>
      <c r="M306" s="116">
        <v>241.916666666667</v>
      </c>
      <c r="N306" s="116">
        <v>243.26666666666699</v>
      </c>
      <c r="O306" s="116">
        <v>232.666666666667</v>
      </c>
      <c r="P306" s="116">
        <v>240</v>
      </c>
      <c r="Q306" s="116">
        <v>725.75</v>
      </c>
      <c r="R306">
        <v>29689</v>
      </c>
    </row>
    <row r="307" spans="1:18" x14ac:dyDescent="0.25">
      <c r="A307" s="169">
        <v>42942</v>
      </c>
      <c r="B307" s="116">
        <v>242.666666666667</v>
      </c>
      <c r="C307" s="116">
        <v>241.21666666666701</v>
      </c>
      <c r="D307" s="116">
        <v>237.96666666666701</v>
      </c>
      <c r="E307" s="116">
        <v>241</v>
      </c>
      <c r="F307" s="116">
        <v>723.65</v>
      </c>
      <c r="G307">
        <v>1125</v>
      </c>
      <c r="H307" s="116"/>
      <c r="I307" s="116"/>
      <c r="L307" s="169">
        <v>42942</v>
      </c>
      <c r="M307" s="116">
        <v>240.78333333333299</v>
      </c>
      <c r="N307" s="116">
        <v>242.5</v>
      </c>
      <c r="O307" s="116">
        <v>238</v>
      </c>
      <c r="P307" s="116">
        <v>241.916666666667</v>
      </c>
      <c r="Q307" s="116">
        <v>722.35</v>
      </c>
      <c r="R307">
        <v>6810</v>
      </c>
    </row>
    <row r="308" spans="1:18" x14ac:dyDescent="0.25">
      <c r="A308" s="169">
        <v>42943</v>
      </c>
      <c r="B308" s="116">
        <v>240.85</v>
      </c>
      <c r="C308" s="116">
        <v>238.683333333333</v>
      </c>
      <c r="D308" s="116">
        <v>238.333333333333</v>
      </c>
      <c r="E308" s="116">
        <v>240.85</v>
      </c>
      <c r="F308" s="116">
        <v>716.05</v>
      </c>
      <c r="G308">
        <v>677</v>
      </c>
      <c r="H308" s="116"/>
      <c r="I308" s="116"/>
      <c r="L308" s="169">
        <v>42943</v>
      </c>
      <c r="M308" s="116">
        <v>238.7</v>
      </c>
      <c r="N308" s="116">
        <v>242.98333333333301</v>
      </c>
      <c r="O308" s="116">
        <v>238</v>
      </c>
      <c r="P308" s="116">
        <v>242.15</v>
      </c>
      <c r="Q308" s="116">
        <v>716.1</v>
      </c>
      <c r="R308">
        <v>10526</v>
      </c>
    </row>
    <row r="309" spans="1:18" x14ac:dyDescent="0.25">
      <c r="A309" s="169">
        <v>42944</v>
      </c>
      <c r="B309" s="116">
        <v>245.566666666667</v>
      </c>
      <c r="C309" s="116">
        <v>240.833333333333</v>
      </c>
      <c r="D309" s="116">
        <v>236.333333333333</v>
      </c>
      <c r="E309" s="116">
        <v>238</v>
      </c>
      <c r="F309" s="116">
        <v>722.5</v>
      </c>
      <c r="G309">
        <v>3022</v>
      </c>
      <c r="H309" s="116"/>
      <c r="I309" s="116"/>
      <c r="L309" s="169">
        <v>42944</v>
      </c>
      <c r="M309" s="116">
        <v>240.05</v>
      </c>
      <c r="N309" s="116">
        <v>244.433333333333</v>
      </c>
      <c r="O309" s="116">
        <v>236</v>
      </c>
      <c r="P309" s="116">
        <v>238.71666666666701</v>
      </c>
      <c r="Q309" s="116">
        <v>720.15</v>
      </c>
      <c r="R309">
        <v>32410</v>
      </c>
    </row>
    <row r="310" spans="1:18" x14ac:dyDescent="0.25">
      <c r="A310" s="169">
        <v>42947</v>
      </c>
      <c r="B310" s="116">
        <v>242.666666666667</v>
      </c>
      <c r="C310" s="116">
        <v>238.96666666666701</v>
      </c>
      <c r="D310" s="116">
        <v>237.9</v>
      </c>
      <c r="E310" s="116">
        <v>240.03333333333299</v>
      </c>
      <c r="F310" s="116">
        <v>716.9</v>
      </c>
      <c r="G310">
        <v>2562</v>
      </c>
      <c r="H310" s="116"/>
      <c r="I310" s="116"/>
      <c r="L310" s="169">
        <v>42947</v>
      </c>
      <c r="M310" s="116">
        <v>239.98333333333301</v>
      </c>
      <c r="N310" s="116">
        <v>242.666666666667</v>
      </c>
      <c r="O310" s="116">
        <v>238.333333333333</v>
      </c>
      <c r="P310" s="116">
        <v>238.38333333333301</v>
      </c>
      <c r="Q310" s="116">
        <v>719.95</v>
      </c>
      <c r="R310">
        <v>39907</v>
      </c>
    </row>
    <row r="311" spans="1:18" x14ac:dyDescent="0.25">
      <c r="A311" s="169">
        <v>42948</v>
      </c>
      <c r="B311" s="116">
        <v>244.666666666667</v>
      </c>
      <c r="C311" s="116">
        <v>238.25</v>
      </c>
      <c r="D311" s="116">
        <v>235</v>
      </c>
      <c r="E311" s="116">
        <v>241.666666666667</v>
      </c>
      <c r="F311" s="116">
        <v>714.75</v>
      </c>
      <c r="G311">
        <v>2200</v>
      </c>
      <c r="H311" s="116"/>
      <c r="I311" s="116"/>
      <c r="L311" s="169">
        <v>42948</v>
      </c>
      <c r="M311" s="116">
        <v>236.76666666666699</v>
      </c>
      <c r="N311" s="116">
        <v>241.55</v>
      </c>
      <c r="O311" s="116">
        <v>234.683333333333</v>
      </c>
      <c r="P311" s="116">
        <v>241.55</v>
      </c>
      <c r="Q311" s="116">
        <v>710.3</v>
      </c>
      <c r="R311">
        <v>12328</v>
      </c>
    </row>
    <row r="312" spans="1:18" x14ac:dyDescent="0.25">
      <c r="A312" s="169">
        <v>42949</v>
      </c>
      <c r="B312" s="116">
        <v>242</v>
      </c>
      <c r="C312" s="116">
        <v>238.333333333333</v>
      </c>
      <c r="D312" s="116">
        <v>235.36666666666699</v>
      </c>
      <c r="E312" s="116">
        <v>235.36666666666699</v>
      </c>
      <c r="F312" s="116">
        <v>715</v>
      </c>
      <c r="G312">
        <v>6131</v>
      </c>
      <c r="H312" s="116"/>
      <c r="I312" s="116"/>
      <c r="L312" s="169">
        <v>42949</v>
      </c>
      <c r="M312" s="116">
        <v>238.15</v>
      </c>
      <c r="N312" s="116">
        <v>241.666666666667</v>
      </c>
      <c r="O312" s="116">
        <v>235.63333333333301</v>
      </c>
      <c r="P312" s="116">
        <v>236</v>
      </c>
      <c r="Q312" s="116">
        <v>714.45</v>
      </c>
      <c r="R312">
        <v>17774</v>
      </c>
    </row>
    <row r="313" spans="1:18" x14ac:dyDescent="0.25">
      <c r="A313" s="169">
        <v>42950</v>
      </c>
      <c r="B313" s="116">
        <v>239.15</v>
      </c>
      <c r="C313" s="116">
        <v>237.35</v>
      </c>
      <c r="D313" s="116">
        <v>236.86666666666699</v>
      </c>
      <c r="E313" s="116">
        <v>238.333333333333</v>
      </c>
      <c r="F313" s="116">
        <v>712.05</v>
      </c>
      <c r="G313">
        <v>808</v>
      </c>
      <c r="H313" s="116"/>
      <c r="I313" s="116"/>
      <c r="L313" s="169">
        <v>42950</v>
      </c>
      <c r="M313" s="116">
        <v>238.36666666666699</v>
      </c>
      <c r="N313" s="116">
        <v>240</v>
      </c>
      <c r="O313" s="116">
        <v>237.416666666667</v>
      </c>
      <c r="P313" s="116">
        <v>238.15</v>
      </c>
      <c r="Q313" s="116">
        <v>715.1</v>
      </c>
      <c r="R313">
        <v>13478</v>
      </c>
    </row>
    <row r="314" spans="1:18" x14ac:dyDescent="0.25">
      <c r="A314" s="169">
        <v>42951</v>
      </c>
      <c r="B314" s="116">
        <v>239.21666666666701</v>
      </c>
      <c r="C314" s="116">
        <v>237.25</v>
      </c>
      <c r="D314" s="116">
        <v>236.566666666667</v>
      </c>
      <c r="E314" s="116">
        <v>237.666666666667</v>
      </c>
      <c r="F314" s="116">
        <v>711.75</v>
      </c>
      <c r="G314">
        <v>503</v>
      </c>
      <c r="H314" s="116"/>
      <c r="I314" s="116"/>
      <c r="L314" s="169">
        <v>42951</v>
      </c>
      <c r="M314" s="116">
        <v>237.96666666666701</v>
      </c>
      <c r="N314" s="116">
        <v>239.35</v>
      </c>
      <c r="O314" s="116">
        <v>236.666666666667</v>
      </c>
      <c r="P314" s="116">
        <v>239.35</v>
      </c>
      <c r="Q314" s="116">
        <v>713.9</v>
      </c>
      <c r="R314">
        <v>5375</v>
      </c>
    </row>
    <row r="315" spans="1:18" x14ac:dyDescent="0.25">
      <c r="A315" s="169">
        <v>42954</v>
      </c>
      <c r="B315" s="116">
        <v>237.86666666666699</v>
      </c>
      <c r="C315" s="116">
        <v>236.86666666666699</v>
      </c>
      <c r="D315" s="116">
        <v>235</v>
      </c>
      <c r="E315" s="116">
        <v>235.48333333333301</v>
      </c>
      <c r="F315" s="116">
        <v>710.6</v>
      </c>
      <c r="G315">
        <v>619</v>
      </c>
      <c r="H315" s="116"/>
      <c r="I315" s="116"/>
      <c r="L315" s="169">
        <v>42954</v>
      </c>
      <c r="M315" s="116">
        <v>236.85</v>
      </c>
      <c r="N315" s="116">
        <v>237.96666666666701</v>
      </c>
      <c r="O315" s="116">
        <v>234.333333333333</v>
      </c>
      <c r="P315" s="116">
        <v>235.666666666667</v>
      </c>
      <c r="Q315" s="116">
        <v>710.55</v>
      </c>
      <c r="R315">
        <v>12953</v>
      </c>
    </row>
    <row r="316" spans="1:18" x14ac:dyDescent="0.25">
      <c r="A316" s="169">
        <v>42955</v>
      </c>
      <c r="B316" s="116">
        <v>240.01666666666699</v>
      </c>
      <c r="C316" s="116">
        <v>237.36666666666699</v>
      </c>
      <c r="D316" s="116">
        <v>235.35</v>
      </c>
      <c r="E316" s="116">
        <v>237</v>
      </c>
      <c r="F316" s="116">
        <v>712.1</v>
      </c>
      <c r="G316">
        <v>863</v>
      </c>
      <c r="H316" s="116"/>
      <c r="I316" s="116"/>
      <c r="L316" s="169">
        <v>42955</v>
      </c>
      <c r="M316" s="116">
        <v>237.95</v>
      </c>
      <c r="N316" s="116">
        <v>239.183333333333</v>
      </c>
      <c r="O316" s="116">
        <v>235.03333333333299</v>
      </c>
      <c r="P316" s="116">
        <v>237.5</v>
      </c>
      <c r="Q316" s="116">
        <v>713.85</v>
      </c>
      <c r="R316">
        <v>8577</v>
      </c>
    </row>
    <row r="317" spans="1:18" x14ac:dyDescent="0.25">
      <c r="A317" s="169">
        <v>42956</v>
      </c>
      <c r="B317" s="116">
        <v>239.666666666667</v>
      </c>
      <c r="C317" s="116">
        <v>235.63333333333301</v>
      </c>
      <c r="D317" s="116">
        <v>233.333333333333</v>
      </c>
      <c r="E317" s="116">
        <v>239.11666666666699</v>
      </c>
      <c r="F317" s="116">
        <v>706.9</v>
      </c>
      <c r="G317">
        <v>1375</v>
      </c>
      <c r="H317" s="116"/>
      <c r="I317" s="116"/>
      <c r="L317" s="169">
        <v>42956</v>
      </c>
      <c r="M317" s="116">
        <v>234.183333333333</v>
      </c>
      <c r="N317" s="116">
        <v>243.2</v>
      </c>
      <c r="O317" s="116">
        <v>233.15</v>
      </c>
      <c r="P317" s="116">
        <v>236.03333333333299</v>
      </c>
      <c r="Q317" s="116">
        <v>702.55</v>
      </c>
      <c r="R317">
        <v>12491</v>
      </c>
    </row>
    <row r="318" spans="1:18" x14ac:dyDescent="0.25">
      <c r="A318" s="169">
        <v>42957</v>
      </c>
      <c r="B318" s="116">
        <v>236.666666666667</v>
      </c>
      <c r="C318" s="116">
        <v>233.63333333333301</v>
      </c>
      <c r="D318" s="116">
        <v>226.8</v>
      </c>
      <c r="E318" s="116">
        <v>233</v>
      </c>
      <c r="F318" s="116">
        <v>700.9</v>
      </c>
      <c r="G318">
        <v>2500</v>
      </c>
      <c r="H318" s="116"/>
      <c r="I318" s="116"/>
      <c r="L318" s="169">
        <v>42957</v>
      </c>
      <c r="M318" s="116">
        <v>235.5</v>
      </c>
      <c r="N318" s="116">
        <v>238.333333333333</v>
      </c>
      <c r="O318" s="116">
        <v>226.7</v>
      </c>
      <c r="P318" s="116">
        <v>235</v>
      </c>
      <c r="Q318" s="116">
        <v>706.5</v>
      </c>
      <c r="R318">
        <v>17004</v>
      </c>
    </row>
    <row r="319" spans="1:18" x14ac:dyDescent="0.25">
      <c r="A319" s="169">
        <v>42958</v>
      </c>
      <c r="B319" s="116">
        <v>238.63333333333301</v>
      </c>
      <c r="C319" s="116">
        <v>231.833333333333</v>
      </c>
      <c r="D319" s="116">
        <v>226.7</v>
      </c>
      <c r="E319" s="116">
        <v>227.35</v>
      </c>
      <c r="F319" s="116">
        <v>695.5</v>
      </c>
      <c r="G319">
        <v>1123</v>
      </c>
      <c r="H319" s="116"/>
      <c r="I319" s="116"/>
      <c r="L319" s="169">
        <v>42958</v>
      </c>
      <c r="M319" s="116">
        <v>232.26666666666699</v>
      </c>
      <c r="N319" s="116">
        <v>234.98333333333301</v>
      </c>
      <c r="O319" s="116">
        <v>226.666666666667</v>
      </c>
      <c r="P319" s="116">
        <v>227.05</v>
      </c>
      <c r="Q319" s="116">
        <v>696.8</v>
      </c>
      <c r="R319">
        <v>10031</v>
      </c>
    </row>
    <row r="320" spans="1:18" x14ac:dyDescent="0.25">
      <c r="A320" s="169">
        <v>42961</v>
      </c>
      <c r="B320" s="116">
        <v>240.666666666667</v>
      </c>
      <c r="C320" s="116">
        <v>235.73333333333301</v>
      </c>
      <c r="D320" s="116">
        <v>235.05</v>
      </c>
      <c r="E320" s="116">
        <v>240.333333333333</v>
      </c>
      <c r="F320" s="116">
        <v>707.2</v>
      </c>
      <c r="G320">
        <v>4762</v>
      </c>
      <c r="H320" s="116"/>
      <c r="I320" s="116"/>
      <c r="L320" s="169">
        <v>42961</v>
      </c>
      <c r="M320" s="116">
        <v>235.38333333333301</v>
      </c>
      <c r="N320" s="116">
        <v>239.95</v>
      </c>
      <c r="O320" s="116">
        <v>234.65</v>
      </c>
      <c r="P320" s="116">
        <v>237.26666666666699</v>
      </c>
      <c r="Q320" s="116">
        <v>706.15</v>
      </c>
      <c r="R320">
        <v>26947</v>
      </c>
    </row>
    <row r="321" spans="1:18" x14ac:dyDescent="0.25">
      <c r="A321" s="169">
        <v>42963</v>
      </c>
      <c r="B321" s="116">
        <v>238.28333333333299</v>
      </c>
      <c r="C321" s="116">
        <v>237.1</v>
      </c>
      <c r="D321" s="116">
        <v>234.5</v>
      </c>
      <c r="E321" s="116">
        <v>235.73333333333301</v>
      </c>
      <c r="F321" s="116">
        <v>711.3</v>
      </c>
      <c r="G321">
        <v>5301</v>
      </c>
      <c r="H321" s="116"/>
      <c r="I321" s="116"/>
      <c r="L321" s="169">
        <v>42963</v>
      </c>
      <c r="M321" s="116">
        <v>236.51666666666699</v>
      </c>
      <c r="N321" s="116">
        <v>238.98333333333301</v>
      </c>
      <c r="O321" s="116">
        <v>235</v>
      </c>
      <c r="P321" s="116">
        <v>238.333333333333</v>
      </c>
      <c r="Q321" s="116">
        <v>709.55</v>
      </c>
      <c r="R321">
        <v>9377</v>
      </c>
    </row>
    <row r="322" spans="1:18" x14ac:dyDescent="0.25">
      <c r="A322" s="169">
        <v>42964</v>
      </c>
      <c r="B322" s="116">
        <v>238.8</v>
      </c>
      <c r="C322" s="116">
        <v>235.28333333333299</v>
      </c>
      <c r="D322" s="116">
        <v>234.71666666666701</v>
      </c>
      <c r="E322" s="116">
        <v>236.666666666667</v>
      </c>
      <c r="F322" s="116">
        <v>705.85</v>
      </c>
      <c r="G322">
        <v>1922</v>
      </c>
      <c r="H322" s="116"/>
      <c r="I322" s="116"/>
      <c r="L322" s="169">
        <v>42964</v>
      </c>
      <c r="M322" s="116">
        <v>236.55</v>
      </c>
      <c r="N322" s="116">
        <v>239.916666666667</v>
      </c>
      <c r="O322" s="116">
        <v>235.666666666667</v>
      </c>
      <c r="P322" s="116">
        <v>237.566666666667</v>
      </c>
      <c r="Q322" s="116">
        <v>709.65</v>
      </c>
      <c r="R322">
        <v>20894</v>
      </c>
    </row>
    <row r="323" spans="1:18" x14ac:dyDescent="0.25">
      <c r="A323" s="169">
        <v>42965</v>
      </c>
      <c r="B323" s="116">
        <v>236.666666666667</v>
      </c>
      <c r="C323" s="116">
        <v>235.583333333333</v>
      </c>
      <c r="D323" s="116">
        <v>234.78333333333299</v>
      </c>
      <c r="E323" s="116">
        <v>236.416666666667</v>
      </c>
      <c r="F323" s="116">
        <v>706.75</v>
      </c>
      <c r="G323">
        <v>442</v>
      </c>
      <c r="H323" s="116"/>
      <c r="I323" s="116"/>
      <c r="L323" s="169">
        <v>42965</v>
      </c>
      <c r="M323" s="116">
        <v>236.066666666667</v>
      </c>
      <c r="N323" s="116">
        <v>236.833333333333</v>
      </c>
      <c r="O323" s="116">
        <v>234</v>
      </c>
      <c r="P323" s="116">
        <v>235.683333333333</v>
      </c>
      <c r="Q323" s="116">
        <v>708.2</v>
      </c>
      <c r="R323">
        <v>12148</v>
      </c>
    </row>
    <row r="324" spans="1:18" x14ac:dyDescent="0.25">
      <c r="A324" s="169">
        <v>42968</v>
      </c>
      <c r="B324" s="116">
        <v>237.63333333333301</v>
      </c>
      <c r="C324" s="116">
        <v>235.25</v>
      </c>
      <c r="D324" s="116">
        <v>234.4</v>
      </c>
      <c r="E324" s="116">
        <v>236.666666666667</v>
      </c>
      <c r="F324" s="116">
        <v>705.75</v>
      </c>
      <c r="G324">
        <v>310</v>
      </c>
      <c r="H324" s="116"/>
      <c r="I324" s="116"/>
      <c r="L324" s="169">
        <v>42968</v>
      </c>
      <c r="M324" s="116">
        <v>235.53333333333299</v>
      </c>
      <c r="N324" s="116">
        <v>238.21666666666701</v>
      </c>
      <c r="O324" s="116">
        <v>233.833333333333</v>
      </c>
      <c r="P324" s="116">
        <v>236</v>
      </c>
      <c r="Q324" s="116">
        <v>706.6</v>
      </c>
      <c r="R324">
        <v>6825</v>
      </c>
    </row>
    <row r="325" spans="1:18" x14ac:dyDescent="0.25">
      <c r="A325" s="169">
        <v>42969</v>
      </c>
      <c r="B325" s="116">
        <v>236.96666666666701</v>
      </c>
      <c r="C325" s="116">
        <v>235.25</v>
      </c>
      <c r="D325" s="116">
        <v>233.416666666667</v>
      </c>
      <c r="E325" s="116">
        <v>233.51666666666699</v>
      </c>
      <c r="F325" s="116">
        <v>705.75</v>
      </c>
      <c r="G325">
        <v>2645</v>
      </c>
      <c r="H325" s="116"/>
      <c r="I325" s="116"/>
      <c r="L325" s="169">
        <v>42969</v>
      </c>
      <c r="M325" s="116">
        <v>235.63333333333301</v>
      </c>
      <c r="N325" s="116">
        <v>236.666666666667</v>
      </c>
      <c r="O325" s="116">
        <v>234.5</v>
      </c>
      <c r="P325" s="116">
        <v>234.5</v>
      </c>
      <c r="Q325" s="116">
        <v>706.9</v>
      </c>
      <c r="R325">
        <v>20093</v>
      </c>
    </row>
    <row r="326" spans="1:18" x14ac:dyDescent="0.25">
      <c r="A326" s="169">
        <v>42970</v>
      </c>
      <c r="B326" s="116">
        <v>238.416666666667</v>
      </c>
      <c r="C326" s="116">
        <v>235.46666666666701</v>
      </c>
      <c r="D326" s="116">
        <v>234.4</v>
      </c>
      <c r="E326" s="116">
        <v>237.3</v>
      </c>
      <c r="F326" s="116">
        <v>706.4</v>
      </c>
      <c r="G326">
        <v>987</v>
      </c>
      <c r="H326" s="116"/>
      <c r="I326" s="116"/>
      <c r="L326" s="169">
        <v>42970</v>
      </c>
      <c r="M326" s="116">
        <v>235.316666666667</v>
      </c>
      <c r="N326" s="116">
        <v>236.86666666666699</v>
      </c>
      <c r="O326" s="116">
        <v>233.86666666666699</v>
      </c>
      <c r="P326" s="116">
        <v>233.86666666666699</v>
      </c>
      <c r="Q326" s="116">
        <v>705.95</v>
      </c>
      <c r="R326">
        <v>5605</v>
      </c>
    </row>
    <row r="327" spans="1:18" x14ac:dyDescent="0.25">
      <c r="A327" s="169">
        <v>42971</v>
      </c>
      <c r="B327" s="116">
        <v>237.333333333333</v>
      </c>
      <c r="C327" s="116">
        <v>234.46666666666701</v>
      </c>
      <c r="D327" s="116">
        <v>233.28333333333299</v>
      </c>
      <c r="E327" s="116">
        <v>235.73333333333301</v>
      </c>
      <c r="F327" s="116">
        <v>703.4</v>
      </c>
      <c r="G327">
        <v>1052</v>
      </c>
      <c r="H327" s="116"/>
      <c r="I327" s="116"/>
      <c r="L327" s="169">
        <v>42971</v>
      </c>
      <c r="M327" s="116">
        <v>236.36666666666699</v>
      </c>
      <c r="N327" s="116">
        <v>236.666666666667</v>
      </c>
      <c r="O327" s="116">
        <v>232.666666666667</v>
      </c>
      <c r="P327" s="116">
        <v>235.333333333333</v>
      </c>
      <c r="Q327" s="116">
        <v>709.1</v>
      </c>
      <c r="R327">
        <v>7201</v>
      </c>
    </row>
    <row r="328" spans="1:18" x14ac:dyDescent="0.25">
      <c r="A328" s="169">
        <v>42975</v>
      </c>
      <c r="B328" s="116">
        <v>236</v>
      </c>
      <c r="C328" s="116">
        <v>224.183333333333</v>
      </c>
      <c r="D328" s="116">
        <v>223.333333333333</v>
      </c>
      <c r="E328" s="116">
        <v>231.666666666667</v>
      </c>
      <c r="F328" s="116">
        <v>672.55</v>
      </c>
      <c r="G328">
        <v>6052661</v>
      </c>
      <c r="H328" s="116"/>
      <c r="I328" s="116"/>
      <c r="L328" s="169">
        <v>42975</v>
      </c>
      <c r="M328" s="116">
        <v>231.61666666666699</v>
      </c>
      <c r="N328" s="116">
        <v>236.65</v>
      </c>
      <c r="O328" s="116">
        <v>225.73333333333301</v>
      </c>
      <c r="P328" s="116">
        <v>233.333333333333</v>
      </c>
      <c r="Q328" s="116">
        <v>694.85</v>
      </c>
      <c r="R328">
        <v>382715</v>
      </c>
    </row>
    <row r="329" spans="1:18" x14ac:dyDescent="0.25">
      <c r="A329" s="169">
        <v>42976</v>
      </c>
      <c r="B329" s="116">
        <v>230.666666666667</v>
      </c>
      <c r="C329" s="116">
        <v>226.816666666667</v>
      </c>
      <c r="D329" s="116">
        <v>224.666666666667</v>
      </c>
      <c r="E329" s="116">
        <v>227.666666666667</v>
      </c>
      <c r="F329" s="116">
        <v>680.45</v>
      </c>
      <c r="G329">
        <v>156283</v>
      </c>
      <c r="H329" s="116"/>
      <c r="I329" s="116"/>
      <c r="L329" s="169">
        <v>42976</v>
      </c>
      <c r="M329" s="116">
        <v>227.01666666666699</v>
      </c>
      <c r="N329" s="116">
        <v>230.73333333333301</v>
      </c>
      <c r="O329" s="116">
        <v>225.183333333333</v>
      </c>
      <c r="P329" s="116">
        <v>229.333333333333</v>
      </c>
      <c r="Q329" s="116">
        <v>681.05</v>
      </c>
      <c r="R329">
        <v>365866</v>
      </c>
    </row>
    <row r="330" spans="1:18" x14ac:dyDescent="0.25">
      <c r="A330" s="169">
        <v>42977</v>
      </c>
      <c r="B330" s="116">
        <v>234.48333333333301</v>
      </c>
      <c r="C330" s="116">
        <v>232.65</v>
      </c>
      <c r="D330" s="116">
        <v>227.3</v>
      </c>
      <c r="E330" s="116">
        <v>228</v>
      </c>
      <c r="F330" s="116">
        <v>697.95</v>
      </c>
      <c r="G330">
        <v>26483</v>
      </c>
      <c r="H330" s="116"/>
      <c r="I330" s="116"/>
      <c r="L330" s="169">
        <v>42977</v>
      </c>
      <c r="M330" s="116">
        <v>233.71666666666701</v>
      </c>
      <c r="N330" s="116">
        <v>234.96666666666701</v>
      </c>
      <c r="O330" s="116">
        <v>227.11666666666699</v>
      </c>
      <c r="P330" s="116">
        <v>228.933333333333</v>
      </c>
      <c r="Q330" s="116">
        <v>701.15</v>
      </c>
      <c r="R330">
        <v>295714</v>
      </c>
    </row>
    <row r="331" spans="1:18" x14ac:dyDescent="0.25">
      <c r="A331" s="169">
        <v>42978</v>
      </c>
      <c r="B331" s="116">
        <v>234.61666666666699</v>
      </c>
      <c r="C331" s="116">
        <v>228.88333333333301</v>
      </c>
      <c r="D331" s="116">
        <v>228.333333333333</v>
      </c>
      <c r="E331" s="116">
        <v>233.666666666667</v>
      </c>
      <c r="F331" s="116">
        <v>686.65</v>
      </c>
      <c r="G331">
        <v>9711</v>
      </c>
      <c r="H331" s="116"/>
      <c r="I331" s="116"/>
      <c r="L331" s="169">
        <v>42978</v>
      </c>
      <c r="M331" s="116">
        <v>229.55</v>
      </c>
      <c r="N331" s="116">
        <v>234.76666666666699</v>
      </c>
      <c r="O331" s="116">
        <v>228.666666666667</v>
      </c>
      <c r="P331" s="116">
        <v>234.73333333333301</v>
      </c>
      <c r="Q331" s="116">
        <v>688.65</v>
      </c>
      <c r="R331">
        <v>49448</v>
      </c>
    </row>
    <row r="332" spans="1:18" x14ac:dyDescent="0.25">
      <c r="A332" s="169">
        <v>42979</v>
      </c>
      <c r="B332" s="116">
        <v>231.666666666667</v>
      </c>
      <c r="C332" s="116">
        <v>227.48333333333301</v>
      </c>
      <c r="D332" s="116">
        <v>226.333333333333</v>
      </c>
      <c r="E332" s="116">
        <v>231.666666666667</v>
      </c>
      <c r="F332" s="116">
        <v>682.45</v>
      </c>
      <c r="G332">
        <v>4837</v>
      </c>
      <c r="H332" s="116"/>
      <c r="I332" s="116"/>
      <c r="L332" s="169">
        <v>42979</v>
      </c>
      <c r="M332" s="116">
        <v>227.51666666666699</v>
      </c>
      <c r="N332" s="116">
        <v>231.98333333333301</v>
      </c>
      <c r="O332" s="116">
        <v>225.666666666667</v>
      </c>
      <c r="P332" s="116">
        <v>231.6</v>
      </c>
      <c r="Q332" s="116">
        <v>682.55</v>
      </c>
      <c r="R332">
        <v>52015</v>
      </c>
    </row>
    <row r="333" spans="1:18" x14ac:dyDescent="0.25">
      <c r="A333" s="169">
        <v>42982</v>
      </c>
      <c r="B333" s="116">
        <v>235</v>
      </c>
      <c r="C333" s="116">
        <v>225.03333333333299</v>
      </c>
      <c r="D333" s="116">
        <v>223.7</v>
      </c>
      <c r="E333" s="116">
        <v>235</v>
      </c>
      <c r="F333" s="116">
        <v>675.1</v>
      </c>
      <c r="G333">
        <v>120970</v>
      </c>
      <c r="H333" s="116"/>
      <c r="I333" s="116"/>
      <c r="L333" s="169">
        <v>42982</v>
      </c>
      <c r="M333" s="116">
        <v>225.2</v>
      </c>
      <c r="N333" s="116">
        <v>230.333333333333</v>
      </c>
      <c r="O333" s="116">
        <v>223.63333333333301</v>
      </c>
      <c r="P333" s="116">
        <v>230.333333333333</v>
      </c>
      <c r="Q333" s="116">
        <v>675.6</v>
      </c>
      <c r="R333">
        <v>42014</v>
      </c>
    </row>
    <row r="334" spans="1:18" x14ac:dyDescent="0.25">
      <c r="A334" s="169">
        <v>42983</v>
      </c>
      <c r="B334" s="116">
        <v>226.666666666667</v>
      </c>
      <c r="C334" s="116">
        <v>225.666666666667</v>
      </c>
      <c r="D334" s="116">
        <v>223.666666666667</v>
      </c>
      <c r="E334" s="116">
        <v>226.666666666667</v>
      </c>
      <c r="F334" s="116">
        <v>677</v>
      </c>
      <c r="G334">
        <v>4220</v>
      </c>
      <c r="H334" s="116"/>
      <c r="I334" s="116"/>
      <c r="L334" s="169">
        <v>42983</v>
      </c>
      <c r="M334" s="116">
        <v>225.25</v>
      </c>
      <c r="N334" s="116">
        <v>228.63333333333301</v>
      </c>
      <c r="O334" s="116">
        <v>223.333333333333</v>
      </c>
      <c r="P334" s="116">
        <v>228.63333333333301</v>
      </c>
      <c r="Q334" s="116">
        <v>675.75</v>
      </c>
      <c r="R334">
        <v>37600</v>
      </c>
    </row>
    <row r="335" spans="1:18" x14ac:dyDescent="0.25">
      <c r="A335" s="169">
        <v>42984</v>
      </c>
      <c r="B335" s="116">
        <v>229.333333333333</v>
      </c>
      <c r="C335" s="116">
        <v>227.21666666666701</v>
      </c>
      <c r="D335" s="116">
        <v>225</v>
      </c>
      <c r="E335" s="116">
        <v>225</v>
      </c>
      <c r="F335" s="116">
        <v>681.65</v>
      </c>
      <c r="G335">
        <v>2556</v>
      </c>
      <c r="H335" s="116"/>
      <c r="I335" s="116"/>
      <c r="L335" s="169">
        <v>42984</v>
      </c>
      <c r="M335" s="116">
        <v>226.916666666667</v>
      </c>
      <c r="N335" s="116">
        <v>228</v>
      </c>
      <c r="O335" s="116">
        <v>224.65</v>
      </c>
      <c r="P335" s="116">
        <v>224.65</v>
      </c>
      <c r="Q335" s="116">
        <v>680.75</v>
      </c>
      <c r="R335">
        <v>31382</v>
      </c>
    </row>
    <row r="336" spans="1:18" x14ac:dyDescent="0.25">
      <c r="A336" s="169">
        <v>42985</v>
      </c>
      <c r="B336" s="116">
        <v>231.6</v>
      </c>
      <c r="C336" s="116">
        <v>228.01666666666699</v>
      </c>
      <c r="D336" s="116">
        <v>226</v>
      </c>
      <c r="E336" s="116">
        <v>231.6</v>
      </c>
      <c r="F336" s="116">
        <v>684.05</v>
      </c>
      <c r="G336">
        <v>840</v>
      </c>
      <c r="H336" s="116"/>
      <c r="I336" s="116"/>
      <c r="L336" s="169">
        <v>42985</v>
      </c>
      <c r="M336" s="116">
        <v>227.583333333333</v>
      </c>
      <c r="N336" s="116">
        <v>229.333333333333</v>
      </c>
      <c r="O336" s="116">
        <v>225.683333333333</v>
      </c>
      <c r="P336" s="116">
        <v>229.333333333333</v>
      </c>
      <c r="Q336" s="116">
        <v>682.75</v>
      </c>
      <c r="R336">
        <v>28046</v>
      </c>
    </row>
    <row r="337" spans="1:18" x14ac:dyDescent="0.25">
      <c r="A337" s="169">
        <v>42986</v>
      </c>
      <c r="B337" s="116">
        <v>229.933333333333</v>
      </c>
      <c r="C337" s="116">
        <v>226.26666666666699</v>
      </c>
      <c r="D337" s="116">
        <v>225</v>
      </c>
      <c r="E337" s="116">
        <v>225.666666666667</v>
      </c>
      <c r="F337" s="116">
        <v>678.8</v>
      </c>
      <c r="G337">
        <v>4034</v>
      </c>
      <c r="H337" s="116"/>
      <c r="I337" s="116"/>
      <c r="L337" s="169">
        <v>42986</v>
      </c>
      <c r="M337" s="116">
        <v>227.2</v>
      </c>
      <c r="N337" s="116">
        <v>228.666666666667</v>
      </c>
      <c r="O337" s="116">
        <v>224.05</v>
      </c>
      <c r="P337" s="116">
        <v>227.666666666667</v>
      </c>
      <c r="Q337" s="116">
        <v>681.6</v>
      </c>
      <c r="R337">
        <v>28175</v>
      </c>
    </row>
    <row r="338" spans="1:18" x14ac:dyDescent="0.25">
      <c r="A338" s="169">
        <v>42989</v>
      </c>
      <c r="B338" s="116">
        <v>228.9</v>
      </c>
      <c r="C338" s="116">
        <v>226</v>
      </c>
      <c r="D338" s="116">
        <v>225</v>
      </c>
      <c r="E338" s="116">
        <v>226.683333333333</v>
      </c>
      <c r="F338" s="116">
        <v>678</v>
      </c>
      <c r="G338">
        <v>1452</v>
      </c>
      <c r="H338" s="116"/>
      <c r="I338" s="116"/>
      <c r="L338" s="169">
        <v>42989</v>
      </c>
      <c r="M338" s="116">
        <v>226.46666666666701</v>
      </c>
      <c r="N338" s="116">
        <v>229.3</v>
      </c>
      <c r="O338" s="116">
        <v>225.816666666667</v>
      </c>
      <c r="P338" s="116">
        <v>229.3</v>
      </c>
      <c r="Q338" s="116">
        <v>679.4</v>
      </c>
      <c r="R338">
        <v>33275</v>
      </c>
    </row>
    <row r="339" spans="1:18" x14ac:dyDescent="0.25">
      <c r="A339" s="169">
        <v>42990</v>
      </c>
      <c r="B339" s="116">
        <v>227.333333333333</v>
      </c>
      <c r="C339" s="116">
        <v>226.38333333333301</v>
      </c>
      <c r="D339" s="116">
        <v>224.833333333333</v>
      </c>
      <c r="E339" s="116">
        <v>226.666666666667</v>
      </c>
      <c r="F339" s="116">
        <v>679.15</v>
      </c>
      <c r="G339">
        <v>2298</v>
      </c>
      <c r="H339" s="116"/>
      <c r="I339" s="116"/>
      <c r="L339" s="169">
        <v>42990</v>
      </c>
      <c r="M339" s="116">
        <v>226.2</v>
      </c>
      <c r="N339" s="116">
        <v>227.833333333333</v>
      </c>
      <c r="O339" s="116">
        <v>225.6</v>
      </c>
      <c r="P339" s="116">
        <v>227.833333333333</v>
      </c>
      <c r="Q339" s="116">
        <v>678.6</v>
      </c>
      <c r="R339">
        <v>20668</v>
      </c>
    </row>
    <row r="340" spans="1:18" x14ac:dyDescent="0.25">
      <c r="A340" s="169">
        <v>42991</v>
      </c>
      <c r="B340" s="116">
        <v>227.45</v>
      </c>
      <c r="C340" s="116">
        <v>224.96666666666701</v>
      </c>
      <c r="D340" s="116">
        <v>223</v>
      </c>
      <c r="E340" s="116">
        <v>227.45</v>
      </c>
      <c r="F340" s="116">
        <v>674.9</v>
      </c>
      <c r="G340">
        <v>1566</v>
      </c>
      <c r="H340" s="116"/>
      <c r="I340" s="116"/>
      <c r="L340" s="169">
        <v>42991</v>
      </c>
      <c r="M340" s="116">
        <v>226.333333333333</v>
      </c>
      <c r="N340" s="116">
        <v>227.13333333333301</v>
      </c>
      <c r="O340" s="116">
        <v>225.35</v>
      </c>
      <c r="P340" s="116">
        <v>225.35</v>
      </c>
      <c r="Q340" s="116">
        <v>679</v>
      </c>
      <c r="R340">
        <v>41268</v>
      </c>
    </row>
    <row r="341" spans="1:18" x14ac:dyDescent="0.25">
      <c r="A341" s="169">
        <v>42992</v>
      </c>
      <c r="B341" s="116">
        <v>227</v>
      </c>
      <c r="C341" s="116">
        <v>225.4</v>
      </c>
      <c r="D341" s="116">
        <v>224.333333333333</v>
      </c>
      <c r="E341" s="116">
        <v>224.333333333333</v>
      </c>
      <c r="F341" s="116">
        <v>676.2</v>
      </c>
      <c r="G341">
        <v>1849</v>
      </c>
      <c r="H341" s="116"/>
      <c r="I341" s="116"/>
      <c r="L341" s="169">
        <v>42992</v>
      </c>
      <c r="M341" s="116">
        <v>225.45</v>
      </c>
      <c r="N341" s="116">
        <v>227</v>
      </c>
      <c r="O341" s="116">
        <v>225.166666666667</v>
      </c>
      <c r="P341" s="116">
        <v>225.98333333333301</v>
      </c>
      <c r="Q341" s="116">
        <v>676.35</v>
      </c>
      <c r="R341">
        <v>18414</v>
      </c>
    </row>
    <row r="342" spans="1:18" x14ac:dyDescent="0.25">
      <c r="A342" s="169">
        <v>42993</v>
      </c>
      <c r="B342" s="116">
        <v>228.8</v>
      </c>
      <c r="C342" s="116">
        <v>227.3</v>
      </c>
      <c r="D342" s="116">
        <v>224.083333333333</v>
      </c>
      <c r="E342" s="116">
        <v>225.666666666667</v>
      </c>
      <c r="F342" s="116">
        <v>681.9</v>
      </c>
      <c r="G342">
        <v>1468</v>
      </c>
      <c r="H342" s="116"/>
      <c r="I342" s="116"/>
      <c r="L342" s="169">
        <v>42993</v>
      </c>
      <c r="M342" s="116">
        <v>226.85</v>
      </c>
      <c r="N342" s="116">
        <v>229.666666666667</v>
      </c>
      <c r="O342" s="116">
        <v>221.166666666667</v>
      </c>
      <c r="P342" s="116">
        <v>226.666666666667</v>
      </c>
      <c r="Q342" s="116">
        <v>680.55</v>
      </c>
      <c r="R342">
        <v>44091</v>
      </c>
    </row>
    <row r="343" spans="1:18" x14ac:dyDescent="0.25">
      <c r="A343" s="169">
        <v>42996</v>
      </c>
      <c r="B343" s="116">
        <v>229.666666666667</v>
      </c>
      <c r="C343" s="116">
        <v>228.96666666666701</v>
      </c>
      <c r="D343" s="116">
        <v>226</v>
      </c>
      <c r="E343" s="116">
        <v>229</v>
      </c>
      <c r="F343" s="116">
        <v>686.9</v>
      </c>
      <c r="G343">
        <v>2459</v>
      </c>
      <c r="H343" s="116"/>
      <c r="I343" s="116"/>
      <c r="L343" s="169">
        <v>42996</v>
      </c>
      <c r="M343" s="116">
        <v>228.566666666667</v>
      </c>
      <c r="N343" s="116">
        <v>229.333333333333</v>
      </c>
      <c r="O343" s="116">
        <v>225.333333333333</v>
      </c>
      <c r="P343" s="116">
        <v>229.166666666667</v>
      </c>
      <c r="Q343" s="116">
        <v>685.7</v>
      </c>
      <c r="R343">
        <v>24937</v>
      </c>
    </row>
    <row r="344" spans="1:18" x14ac:dyDescent="0.25">
      <c r="A344" s="169">
        <v>42997</v>
      </c>
      <c r="B344" s="116">
        <v>229.066666666667</v>
      </c>
      <c r="C344" s="116">
        <v>226.9</v>
      </c>
      <c r="D344" s="116">
        <v>225.35</v>
      </c>
      <c r="E344" s="116">
        <v>227.4</v>
      </c>
      <c r="F344" s="116">
        <v>680.7</v>
      </c>
      <c r="G344">
        <v>1299</v>
      </c>
      <c r="H344" s="116"/>
      <c r="I344" s="116"/>
      <c r="L344" s="169">
        <v>42997</v>
      </c>
      <c r="M344" s="116">
        <v>226.6</v>
      </c>
      <c r="N344" s="116">
        <v>230</v>
      </c>
      <c r="O344" s="116">
        <v>224.933333333333</v>
      </c>
      <c r="P344" s="116">
        <v>229.333333333333</v>
      </c>
      <c r="Q344" s="116">
        <v>679.8</v>
      </c>
      <c r="R344">
        <v>23325</v>
      </c>
    </row>
    <row r="345" spans="1:18" x14ac:dyDescent="0.25">
      <c r="A345" s="169">
        <v>42998</v>
      </c>
      <c r="B345" s="116">
        <v>230.666666666667</v>
      </c>
      <c r="C345" s="116">
        <v>228.15</v>
      </c>
      <c r="D345" s="116">
        <v>225</v>
      </c>
      <c r="E345" s="116">
        <v>225</v>
      </c>
      <c r="F345" s="116">
        <v>684.45</v>
      </c>
      <c r="G345">
        <v>7987</v>
      </c>
      <c r="H345" s="116"/>
      <c r="I345" s="116"/>
      <c r="L345" s="169">
        <v>42998</v>
      </c>
      <c r="M345" s="116">
        <v>227.8</v>
      </c>
      <c r="N345" s="116">
        <v>230.333333333333</v>
      </c>
      <c r="O345" s="116">
        <v>226.11666666666699</v>
      </c>
      <c r="P345" s="116">
        <v>227.55</v>
      </c>
      <c r="Q345" s="116">
        <v>683.4</v>
      </c>
      <c r="R345">
        <v>14930</v>
      </c>
    </row>
    <row r="346" spans="1:18" x14ac:dyDescent="0.25">
      <c r="A346" s="169">
        <v>42999</v>
      </c>
      <c r="B346" s="116">
        <v>231.78333333333299</v>
      </c>
      <c r="C346" s="116">
        <v>228.01666666666699</v>
      </c>
      <c r="D346" s="116">
        <v>224.51666666666699</v>
      </c>
      <c r="E346" s="116">
        <v>228</v>
      </c>
      <c r="F346" s="116">
        <v>684.05</v>
      </c>
      <c r="G346">
        <v>6879</v>
      </c>
      <c r="H346" s="116"/>
      <c r="I346" s="116"/>
      <c r="L346" s="169">
        <v>42999</v>
      </c>
      <c r="M346" s="116">
        <v>226.566666666667</v>
      </c>
      <c r="N346" s="116">
        <v>228.38333333333301</v>
      </c>
      <c r="O346" s="116">
        <v>225.166666666667</v>
      </c>
      <c r="P346" s="116">
        <v>227.7</v>
      </c>
      <c r="Q346" s="116">
        <v>679.7</v>
      </c>
      <c r="R346">
        <v>24573</v>
      </c>
    </row>
    <row r="347" spans="1:18" x14ac:dyDescent="0.25">
      <c r="A347" s="169">
        <v>43000</v>
      </c>
      <c r="B347" s="116">
        <v>226.6</v>
      </c>
      <c r="C347" s="116">
        <v>225.2</v>
      </c>
      <c r="D347" s="116">
        <v>220</v>
      </c>
      <c r="E347" s="116">
        <v>225.683333333333</v>
      </c>
      <c r="F347" s="116">
        <v>675.6</v>
      </c>
      <c r="G347">
        <v>1990</v>
      </c>
      <c r="H347" s="116"/>
      <c r="I347" s="116"/>
      <c r="L347" s="169">
        <v>43000</v>
      </c>
      <c r="M347" s="116">
        <v>226.2</v>
      </c>
      <c r="N347" s="116">
        <v>228.316666666667</v>
      </c>
      <c r="O347" s="116">
        <v>224.95</v>
      </c>
      <c r="P347" s="116">
        <v>228.316666666667</v>
      </c>
      <c r="Q347" s="116">
        <v>678.6</v>
      </c>
      <c r="R347">
        <v>26746</v>
      </c>
    </row>
    <row r="348" spans="1:18" x14ac:dyDescent="0.25">
      <c r="A348" s="169">
        <v>43003</v>
      </c>
      <c r="B348" s="116">
        <v>226.666666666667</v>
      </c>
      <c r="C348" s="116">
        <v>222.76666666666699</v>
      </c>
      <c r="D348" s="116">
        <v>221.333333333333</v>
      </c>
      <c r="E348" s="116">
        <v>226.333333333333</v>
      </c>
      <c r="F348" s="116">
        <v>668.3</v>
      </c>
      <c r="G348">
        <v>1405</v>
      </c>
      <c r="H348" s="116"/>
      <c r="I348" s="116"/>
      <c r="L348" s="169">
        <v>43003</v>
      </c>
      <c r="M348" s="116">
        <v>222.78333333333299</v>
      </c>
      <c r="N348" s="116">
        <v>226.333333333333</v>
      </c>
      <c r="O348" s="116">
        <v>222</v>
      </c>
      <c r="P348" s="116">
        <v>225.066666666667</v>
      </c>
      <c r="Q348" s="116">
        <v>668.35</v>
      </c>
      <c r="R348">
        <v>22632</v>
      </c>
    </row>
    <row r="349" spans="1:18" x14ac:dyDescent="0.25">
      <c r="A349" s="169">
        <v>43004</v>
      </c>
      <c r="B349" s="116">
        <v>226.63333333333301</v>
      </c>
      <c r="C349" s="116">
        <v>223.86666666666699</v>
      </c>
      <c r="D349" s="116">
        <v>222.7</v>
      </c>
      <c r="E349" s="116">
        <v>223.5</v>
      </c>
      <c r="F349" s="116">
        <v>671.6</v>
      </c>
      <c r="G349">
        <v>1069</v>
      </c>
      <c r="H349" s="116"/>
      <c r="I349" s="116"/>
      <c r="L349" s="169">
        <v>43004</v>
      </c>
      <c r="M349" s="116">
        <v>223.51666666666699</v>
      </c>
      <c r="N349" s="116">
        <v>226.666666666667</v>
      </c>
      <c r="O349" s="116">
        <v>223</v>
      </c>
      <c r="P349" s="116">
        <v>224.85</v>
      </c>
      <c r="Q349" s="116">
        <v>670.55</v>
      </c>
      <c r="R349">
        <v>17722</v>
      </c>
    </row>
    <row r="350" spans="1:18" x14ac:dyDescent="0.25">
      <c r="A350" s="169">
        <v>43005</v>
      </c>
      <c r="B350" s="116">
        <v>225.61666666666699</v>
      </c>
      <c r="C350" s="116">
        <v>223.61666666666699</v>
      </c>
      <c r="D350" s="116">
        <v>221.666666666667</v>
      </c>
      <c r="E350" s="116">
        <v>221.71666666666701</v>
      </c>
      <c r="F350" s="116">
        <v>670.85</v>
      </c>
      <c r="G350">
        <v>1950</v>
      </c>
      <c r="H350" s="116"/>
      <c r="I350" s="116"/>
      <c r="L350" s="169">
        <v>43005</v>
      </c>
      <c r="M350" s="116">
        <v>226</v>
      </c>
      <c r="N350" s="116">
        <v>226.816666666667</v>
      </c>
      <c r="O350" s="116">
        <v>222</v>
      </c>
      <c r="P350" s="116">
        <v>226.333333333333</v>
      </c>
      <c r="Q350" s="116">
        <v>678</v>
      </c>
      <c r="R350">
        <v>33256</v>
      </c>
    </row>
    <row r="351" spans="1:18" x14ac:dyDescent="0.25">
      <c r="A351" s="169">
        <v>43006</v>
      </c>
      <c r="B351" s="116">
        <v>227.666666666667</v>
      </c>
      <c r="C351" s="116">
        <v>225.78333333333299</v>
      </c>
      <c r="D351" s="116">
        <v>221.98333333333301</v>
      </c>
      <c r="E351" s="116">
        <v>227.65</v>
      </c>
      <c r="F351" s="116">
        <v>677.35</v>
      </c>
      <c r="G351">
        <v>951</v>
      </c>
      <c r="H351" s="116"/>
      <c r="I351" s="116"/>
      <c r="L351" s="169">
        <v>43006</v>
      </c>
      <c r="M351" s="116">
        <v>226.8</v>
      </c>
      <c r="N351" s="116">
        <v>228.28333333333299</v>
      </c>
      <c r="O351" s="116">
        <v>222.7</v>
      </c>
      <c r="P351" s="116">
        <v>226.4</v>
      </c>
      <c r="Q351" s="116">
        <v>680.4</v>
      </c>
      <c r="R351">
        <v>26529</v>
      </c>
    </row>
    <row r="352" spans="1:18" x14ac:dyDescent="0.25">
      <c r="A352" s="169">
        <v>43007</v>
      </c>
      <c r="B352" s="116">
        <v>234</v>
      </c>
      <c r="C352" s="116">
        <v>229.416666666667</v>
      </c>
      <c r="D352" s="116">
        <v>223.85</v>
      </c>
      <c r="E352" s="116">
        <v>226.166666666667</v>
      </c>
      <c r="F352" s="116">
        <v>688.25</v>
      </c>
      <c r="G352">
        <v>1267</v>
      </c>
      <c r="H352" s="116"/>
      <c r="I352" s="116"/>
      <c r="L352" s="169">
        <v>43007</v>
      </c>
      <c r="M352" s="116">
        <v>227.433333333333</v>
      </c>
      <c r="N352" s="116">
        <v>232.96666666666701</v>
      </c>
      <c r="O352" s="116">
        <v>223.88333333333301</v>
      </c>
      <c r="P352" s="116">
        <v>227.01666666666699</v>
      </c>
      <c r="Q352" s="116">
        <v>682.3</v>
      </c>
      <c r="R352">
        <v>45397</v>
      </c>
    </row>
    <row r="353" spans="1:18" x14ac:dyDescent="0.25">
      <c r="A353" s="169">
        <v>43011</v>
      </c>
      <c r="B353" s="116">
        <v>233.333333333333</v>
      </c>
      <c r="C353" s="116">
        <v>225.61666666666699</v>
      </c>
      <c r="D353" s="116">
        <v>223.666666666667</v>
      </c>
      <c r="E353" s="116">
        <v>233.333333333333</v>
      </c>
      <c r="F353" s="116">
        <v>676.85</v>
      </c>
      <c r="G353">
        <v>2136</v>
      </c>
      <c r="H353" s="116"/>
      <c r="I353" s="116"/>
      <c r="L353" s="169">
        <v>43011</v>
      </c>
      <c r="M353" s="116">
        <v>225.98333333333301</v>
      </c>
      <c r="N353" s="116">
        <v>231.63333333333301</v>
      </c>
      <c r="O353" s="116">
        <v>224.98333333333301</v>
      </c>
      <c r="P353" s="116">
        <v>228.833333333333</v>
      </c>
      <c r="Q353" s="116">
        <v>677.95</v>
      </c>
      <c r="R353">
        <v>24385</v>
      </c>
    </row>
    <row r="354" spans="1:18" x14ac:dyDescent="0.25">
      <c r="A354" s="169">
        <v>43012</v>
      </c>
      <c r="B354" s="116">
        <v>226.98333333333301</v>
      </c>
      <c r="C354" s="116">
        <v>221.85</v>
      </c>
      <c r="D354" s="116">
        <v>220.61666666666699</v>
      </c>
      <c r="E354" s="116">
        <v>226.333333333333</v>
      </c>
      <c r="F354" s="116">
        <v>665.55</v>
      </c>
      <c r="G354">
        <v>308985</v>
      </c>
      <c r="H354" s="116"/>
      <c r="I354" s="116"/>
      <c r="L354" s="169">
        <v>43012</v>
      </c>
      <c r="M354" s="116">
        <v>225.75</v>
      </c>
      <c r="N354" s="116">
        <v>227</v>
      </c>
      <c r="O354" s="116">
        <v>222.4</v>
      </c>
      <c r="P354" s="116">
        <v>226.6</v>
      </c>
      <c r="Q354" s="116">
        <v>677.25</v>
      </c>
      <c r="R354">
        <v>339296</v>
      </c>
    </row>
    <row r="355" spans="1:18" x14ac:dyDescent="0.25">
      <c r="A355" s="169">
        <v>43013</v>
      </c>
      <c r="B355" s="116">
        <v>225.3</v>
      </c>
      <c r="C355" s="116">
        <v>223.28333333333299</v>
      </c>
      <c r="D355" s="116">
        <v>222</v>
      </c>
      <c r="E355" s="116">
        <v>222</v>
      </c>
      <c r="F355" s="116">
        <v>669.85</v>
      </c>
      <c r="G355">
        <v>41174</v>
      </c>
      <c r="H355" s="116"/>
      <c r="I355" s="116"/>
      <c r="L355" s="169">
        <v>43013</v>
      </c>
      <c r="M355" s="116">
        <v>223.48333333333301</v>
      </c>
      <c r="N355" s="116">
        <v>225.916666666667</v>
      </c>
      <c r="O355" s="116">
        <v>222.166666666667</v>
      </c>
      <c r="P355" s="116">
        <v>222.333333333333</v>
      </c>
      <c r="Q355" s="116">
        <v>670.45</v>
      </c>
      <c r="R355">
        <v>37768</v>
      </c>
    </row>
    <row r="356" spans="1:18" x14ac:dyDescent="0.25">
      <c r="A356" s="169">
        <v>43014</v>
      </c>
      <c r="B356" s="116">
        <v>225.183333333333</v>
      </c>
      <c r="C356" s="116">
        <v>223.61666666666699</v>
      </c>
      <c r="D356" s="116">
        <v>222.666666666667</v>
      </c>
      <c r="E356" s="116">
        <v>224.95</v>
      </c>
      <c r="F356" s="116">
        <v>670.85</v>
      </c>
      <c r="G356">
        <v>1451</v>
      </c>
      <c r="H356" s="116"/>
      <c r="I356" s="116"/>
      <c r="L356" s="169">
        <v>43014</v>
      </c>
      <c r="M356" s="116">
        <v>223.316666666667</v>
      </c>
      <c r="N356" s="116">
        <v>225.666666666667</v>
      </c>
      <c r="O356" s="116">
        <v>222.53333333333299</v>
      </c>
      <c r="P356" s="116">
        <v>225.6</v>
      </c>
      <c r="Q356" s="116">
        <v>669.95</v>
      </c>
      <c r="R356">
        <v>27220</v>
      </c>
    </row>
    <row r="357" spans="1:18" x14ac:dyDescent="0.25">
      <c r="A357" s="169">
        <v>43017</v>
      </c>
      <c r="B357" s="116">
        <v>224.166666666667</v>
      </c>
      <c r="C357" s="116">
        <v>222.566666666667</v>
      </c>
      <c r="D357" s="116">
        <v>216.8</v>
      </c>
      <c r="E357" s="116">
        <v>223.333333333333</v>
      </c>
      <c r="F357" s="116">
        <v>667.7</v>
      </c>
      <c r="G357">
        <v>2478</v>
      </c>
      <c r="H357" s="116"/>
      <c r="I357" s="116"/>
      <c r="L357" s="169">
        <v>43017</v>
      </c>
      <c r="M357" s="116">
        <v>224.55</v>
      </c>
      <c r="N357" s="116">
        <v>225.333333333333</v>
      </c>
      <c r="O357" s="116">
        <v>222.666666666667</v>
      </c>
      <c r="P357" s="116">
        <v>222.666666666667</v>
      </c>
      <c r="Q357" s="116">
        <v>673.65</v>
      </c>
      <c r="R357">
        <v>32151</v>
      </c>
    </row>
    <row r="358" spans="1:18" x14ac:dyDescent="0.25">
      <c r="A358" s="169">
        <v>43018</v>
      </c>
      <c r="B358" s="116">
        <v>226.6</v>
      </c>
      <c r="C358" s="116">
        <v>224.15</v>
      </c>
      <c r="D358" s="116">
        <v>223.816666666667</v>
      </c>
      <c r="E358" s="116">
        <v>223.816666666667</v>
      </c>
      <c r="F358" s="116">
        <v>672.45</v>
      </c>
      <c r="G358">
        <v>1436</v>
      </c>
      <c r="H358" s="116"/>
      <c r="I358" s="116"/>
      <c r="L358" s="169">
        <v>43018</v>
      </c>
      <c r="M358" s="116">
        <v>224.833333333333</v>
      </c>
      <c r="N358" s="116">
        <v>226.48333333333301</v>
      </c>
      <c r="O358" s="116">
        <v>223.433333333333</v>
      </c>
      <c r="P358" s="116">
        <v>225</v>
      </c>
      <c r="Q358" s="116">
        <v>674.5</v>
      </c>
      <c r="R358">
        <v>27964</v>
      </c>
    </row>
    <row r="359" spans="1:18" x14ac:dyDescent="0.25">
      <c r="A359" s="169">
        <v>43019</v>
      </c>
      <c r="B359" s="116">
        <v>229.666666666667</v>
      </c>
      <c r="C359" s="116">
        <v>229.03333333333299</v>
      </c>
      <c r="D359" s="116">
        <v>224</v>
      </c>
      <c r="E359" s="116">
        <v>225.316666666667</v>
      </c>
      <c r="F359" s="116">
        <v>687.1</v>
      </c>
      <c r="G359">
        <v>2716</v>
      </c>
      <c r="H359" s="116"/>
      <c r="I359" s="116"/>
      <c r="L359" s="169">
        <v>43019</v>
      </c>
      <c r="M359" s="116">
        <v>229.25</v>
      </c>
      <c r="N359" s="116">
        <v>229.666666666667</v>
      </c>
      <c r="O359" s="116">
        <v>223.683333333333</v>
      </c>
      <c r="P359" s="116">
        <v>225.566666666667</v>
      </c>
      <c r="Q359" s="116">
        <v>687.75</v>
      </c>
      <c r="R359">
        <v>107132</v>
      </c>
    </row>
    <row r="360" spans="1:18" x14ac:dyDescent="0.25">
      <c r="A360" s="169">
        <v>43020</v>
      </c>
      <c r="B360" s="116">
        <v>232.98333333333301</v>
      </c>
      <c r="C360" s="116">
        <v>231.86666666666699</v>
      </c>
      <c r="D360" s="116">
        <v>229.15</v>
      </c>
      <c r="E360" s="116">
        <v>232.95</v>
      </c>
      <c r="F360" s="116">
        <v>695.6</v>
      </c>
      <c r="G360">
        <v>102225</v>
      </c>
      <c r="H360" s="116"/>
      <c r="I360" s="116"/>
      <c r="L360" s="169">
        <v>43020</v>
      </c>
      <c r="M360" s="116">
        <v>233.11666666666699</v>
      </c>
      <c r="N360" s="116">
        <v>233.65</v>
      </c>
      <c r="O360" s="116">
        <v>228.333333333333</v>
      </c>
      <c r="P360" s="116">
        <v>232.666666666667</v>
      </c>
      <c r="Q360" s="116">
        <v>699.35</v>
      </c>
      <c r="R360">
        <v>95737</v>
      </c>
    </row>
    <row r="361" spans="1:18" x14ac:dyDescent="0.25">
      <c r="A361" s="169">
        <v>43021</v>
      </c>
      <c r="B361" s="116">
        <v>233</v>
      </c>
      <c r="C361" s="116">
        <v>229.11666666666699</v>
      </c>
      <c r="D361" s="116">
        <v>228.083333333333</v>
      </c>
      <c r="E361" s="116">
        <v>232.816666666667</v>
      </c>
      <c r="F361" s="116">
        <v>687.35</v>
      </c>
      <c r="G361">
        <v>151678</v>
      </c>
      <c r="H361" s="116"/>
      <c r="I361" s="116"/>
      <c r="L361" s="169">
        <v>43021</v>
      </c>
      <c r="M361" s="116">
        <v>231.566666666667</v>
      </c>
      <c r="N361" s="116">
        <v>233.13333333333301</v>
      </c>
      <c r="O361" s="116">
        <v>229.333333333333</v>
      </c>
      <c r="P361" s="116">
        <v>233.11666666666699</v>
      </c>
      <c r="Q361" s="116">
        <v>694.7</v>
      </c>
      <c r="R361">
        <v>12459</v>
      </c>
    </row>
    <row r="362" spans="1:18" x14ac:dyDescent="0.25">
      <c r="A362" s="169">
        <v>43024</v>
      </c>
      <c r="B362" s="116">
        <v>234</v>
      </c>
      <c r="C362" s="116">
        <v>232.916666666667</v>
      </c>
      <c r="D362" s="116">
        <v>230.95</v>
      </c>
      <c r="E362" s="116">
        <v>231.75</v>
      </c>
      <c r="F362" s="116">
        <v>698.75</v>
      </c>
      <c r="G362">
        <v>1409</v>
      </c>
      <c r="H362" s="116"/>
      <c r="I362" s="116"/>
      <c r="L362" s="169">
        <v>43024</v>
      </c>
      <c r="M362" s="116">
        <v>233.066666666667</v>
      </c>
      <c r="N362" s="116">
        <v>235</v>
      </c>
      <c r="O362" s="116">
        <v>230.4</v>
      </c>
      <c r="P362" s="116">
        <v>232.23333333333301</v>
      </c>
      <c r="Q362" s="116">
        <v>699.2</v>
      </c>
      <c r="R362">
        <v>21052</v>
      </c>
    </row>
    <row r="363" spans="1:18" x14ac:dyDescent="0.25">
      <c r="A363" s="169">
        <v>43025</v>
      </c>
      <c r="B363" s="116">
        <v>233</v>
      </c>
      <c r="C363" s="116">
        <v>229.13333333333301</v>
      </c>
      <c r="D363" s="116">
        <v>227</v>
      </c>
      <c r="E363" s="116">
        <v>230.73333333333301</v>
      </c>
      <c r="F363" s="116">
        <v>687.4</v>
      </c>
      <c r="G363">
        <v>929</v>
      </c>
      <c r="H363" s="116"/>
      <c r="I363" s="116"/>
      <c r="L363" s="169">
        <v>43025</v>
      </c>
      <c r="M363" s="116">
        <v>227.316666666667</v>
      </c>
      <c r="N363" s="116">
        <v>233</v>
      </c>
      <c r="O363" s="116">
        <v>226.63333333333301</v>
      </c>
      <c r="P363" s="116">
        <v>231.95</v>
      </c>
      <c r="Q363" s="116">
        <v>681.95</v>
      </c>
      <c r="R363">
        <v>11322</v>
      </c>
    </row>
    <row r="364" spans="1:18" x14ac:dyDescent="0.25">
      <c r="A364" s="169">
        <v>43026</v>
      </c>
      <c r="B364" s="116">
        <v>229.333333333333</v>
      </c>
      <c r="C364" s="116">
        <v>228.65</v>
      </c>
      <c r="D364" s="116">
        <v>226.7</v>
      </c>
      <c r="E364" s="116">
        <v>228.333333333333</v>
      </c>
      <c r="F364" s="116">
        <v>685.95</v>
      </c>
      <c r="G364">
        <v>758</v>
      </c>
      <c r="H364" s="116"/>
      <c r="I364" s="116"/>
      <c r="L364" s="169">
        <v>43026</v>
      </c>
      <c r="M364" s="116">
        <v>228.316666666667</v>
      </c>
      <c r="N364" s="116">
        <v>229.666666666667</v>
      </c>
      <c r="O364" s="116">
        <v>226.333333333333</v>
      </c>
      <c r="P364" s="116">
        <v>226.38333333333301</v>
      </c>
      <c r="Q364" s="116">
        <v>684.95</v>
      </c>
      <c r="R364">
        <v>12427</v>
      </c>
    </row>
    <row r="365" spans="1:18" x14ac:dyDescent="0.25">
      <c r="A365" s="169">
        <v>43027</v>
      </c>
      <c r="B365" s="116">
        <v>231.6</v>
      </c>
      <c r="C365" s="116">
        <v>230.1</v>
      </c>
      <c r="D365" s="116">
        <v>226.7</v>
      </c>
      <c r="E365" s="116">
        <v>230.333333333333</v>
      </c>
      <c r="F365" s="116">
        <v>690.3</v>
      </c>
      <c r="G365">
        <v>799</v>
      </c>
      <c r="H365" s="116"/>
      <c r="I365" s="116"/>
      <c r="L365" s="169">
        <v>43027</v>
      </c>
      <c r="M365" s="116">
        <v>230.066666666667</v>
      </c>
      <c r="N365" s="116">
        <v>231.96666666666701</v>
      </c>
      <c r="O365" s="116">
        <v>225.666666666667</v>
      </c>
      <c r="P365" s="116">
        <v>228.333333333333</v>
      </c>
      <c r="Q365" s="116">
        <v>690.2</v>
      </c>
      <c r="R365">
        <v>4647</v>
      </c>
    </row>
    <row r="366" spans="1:18" x14ac:dyDescent="0.25">
      <c r="A366" s="169">
        <v>43031</v>
      </c>
      <c r="B366" s="116">
        <v>233.916666666667</v>
      </c>
      <c r="C366" s="116">
        <v>231.7</v>
      </c>
      <c r="D366" s="116">
        <v>230.75</v>
      </c>
      <c r="E366" s="116">
        <v>231</v>
      </c>
      <c r="F366" s="116">
        <v>695.1</v>
      </c>
      <c r="G366">
        <v>101147</v>
      </c>
      <c r="H366" s="116"/>
      <c r="I366" s="116"/>
      <c r="L366" s="169">
        <v>43031</v>
      </c>
      <c r="M366" s="116">
        <v>231.95</v>
      </c>
      <c r="N366" s="116">
        <v>234</v>
      </c>
      <c r="O366" s="116">
        <v>228.35</v>
      </c>
      <c r="P366" s="116">
        <v>228.35</v>
      </c>
      <c r="Q366" s="116">
        <v>695.85</v>
      </c>
      <c r="R366">
        <v>23270</v>
      </c>
    </row>
    <row r="367" spans="1:18" x14ac:dyDescent="0.25">
      <c r="A367" s="169">
        <v>43032</v>
      </c>
      <c r="B367" s="116">
        <v>232.666666666667</v>
      </c>
      <c r="C367" s="116">
        <v>230.63333333333301</v>
      </c>
      <c r="D367" s="116">
        <v>230.05</v>
      </c>
      <c r="E367" s="116">
        <v>232.333333333333</v>
      </c>
      <c r="F367" s="116">
        <v>691.9</v>
      </c>
      <c r="G367">
        <v>573</v>
      </c>
      <c r="H367" s="116"/>
      <c r="I367" s="116"/>
      <c r="L367" s="169">
        <v>43032</v>
      </c>
      <c r="M367" s="116">
        <v>231.6</v>
      </c>
      <c r="N367" s="116">
        <v>232.78333333333299</v>
      </c>
      <c r="O367" s="116">
        <v>229.333333333333</v>
      </c>
      <c r="P367" s="116">
        <v>229.333333333333</v>
      </c>
      <c r="Q367" s="116">
        <v>694.8</v>
      </c>
      <c r="R367">
        <v>15888</v>
      </c>
    </row>
    <row r="368" spans="1:18" x14ac:dyDescent="0.25">
      <c r="A368" s="169">
        <v>43033</v>
      </c>
      <c r="B368" s="116">
        <v>233.666666666667</v>
      </c>
      <c r="C368" s="116">
        <v>231.55</v>
      </c>
      <c r="D368" s="116">
        <v>227.4</v>
      </c>
      <c r="E368" s="116">
        <v>233.333333333333</v>
      </c>
      <c r="F368" s="116">
        <v>694.65</v>
      </c>
      <c r="G368">
        <v>1766</v>
      </c>
      <c r="H368" s="116"/>
      <c r="I368" s="116"/>
      <c r="L368" s="169">
        <v>43033</v>
      </c>
      <c r="M368" s="116">
        <v>232.48333333333301</v>
      </c>
      <c r="N368" s="116">
        <v>234.96666666666701</v>
      </c>
      <c r="O368" s="116">
        <v>228.666666666667</v>
      </c>
      <c r="P368" s="116">
        <v>230.433333333333</v>
      </c>
      <c r="Q368" s="116">
        <v>697.45</v>
      </c>
      <c r="R368">
        <v>28054</v>
      </c>
    </row>
    <row r="369" spans="1:18" x14ac:dyDescent="0.25">
      <c r="A369" s="169">
        <v>43034</v>
      </c>
      <c r="B369" s="116">
        <v>235.666666666667</v>
      </c>
      <c r="C369" s="116">
        <v>230.21666666666701</v>
      </c>
      <c r="D369" s="116">
        <v>228.98333333333301</v>
      </c>
      <c r="E369" s="116">
        <v>232.666666666667</v>
      </c>
      <c r="F369" s="116">
        <v>690.65</v>
      </c>
      <c r="G369">
        <v>1268</v>
      </c>
      <c r="H369" s="116"/>
      <c r="I369" s="116"/>
      <c r="L369" s="169">
        <v>43034</v>
      </c>
      <c r="M369" s="116">
        <v>229.65</v>
      </c>
      <c r="N369" s="116">
        <v>236.666666666667</v>
      </c>
      <c r="O369" s="116">
        <v>228.35</v>
      </c>
      <c r="P369" s="116">
        <v>233.3</v>
      </c>
      <c r="Q369" s="116">
        <v>688.95</v>
      </c>
      <c r="R369">
        <v>69510</v>
      </c>
    </row>
    <row r="370" spans="1:18" x14ac:dyDescent="0.25">
      <c r="A370" s="169">
        <v>43035</v>
      </c>
      <c r="B370" s="116">
        <v>233.333333333333</v>
      </c>
      <c r="C370" s="116">
        <v>230.6</v>
      </c>
      <c r="D370" s="116">
        <v>227.666666666667</v>
      </c>
      <c r="E370" s="116">
        <v>231.066666666667</v>
      </c>
      <c r="F370" s="116">
        <v>691.8</v>
      </c>
      <c r="G370">
        <v>1935</v>
      </c>
      <c r="H370" s="116"/>
      <c r="I370" s="116"/>
      <c r="L370" s="169">
        <v>43035</v>
      </c>
      <c r="M370" s="116">
        <v>230.833333333333</v>
      </c>
      <c r="N370" s="116">
        <v>233.666666666667</v>
      </c>
      <c r="O370" s="116">
        <v>228.73333333333301</v>
      </c>
      <c r="P370" s="116">
        <v>228.75</v>
      </c>
      <c r="Q370" s="116">
        <v>692.5</v>
      </c>
      <c r="R370">
        <v>35217</v>
      </c>
    </row>
    <row r="371" spans="1:18" x14ac:dyDescent="0.25">
      <c r="A371" s="169">
        <v>43038</v>
      </c>
      <c r="B371" s="116">
        <v>237.333333333333</v>
      </c>
      <c r="C371" s="116">
        <v>230.85</v>
      </c>
      <c r="D371" s="116">
        <v>230.666666666667</v>
      </c>
      <c r="E371" s="116">
        <v>231.333333333333</v>
      </c>
      <c r="F371" s="116">
        <v>692.55</v>
      </c>
      <c r="G371">
        <v>29056</v>
      </c>
      <c r="H371" s="116"/>
      <c r="I371" s="116"/>
      <c r="L371" s="169">
        <v>43038</v>
      </c>
      <c r="M371" s="116">
        <v>231.95</v>
      </c>
      <c r="N371" s="116">
        <v>233.98333333333301</v>
      </c>
      <c r="O371" s="116">
        <v>229.333333333333</v>
      </c>
      <c r="P371" s="116">
        <v>229.333333333333</v>
      </c>
      <c r="Q371" s="116">
        <v>695.85</v>
      </c>
      <c r="R371">
        <v>26626</v>
      </c>
    </row>
    <row r="372" spans="1:18" x14ac:dyDescent="0.25">
      <c r="A372" s="169">
        <v>43039</v>
      </c>
      <c r="B372" s="116">
        <v>233.333333333333</v>
      </c>
      <c r="C372" s="116">
        <v>230.75</v>
      </c>
      <c r="D372" s="116">
        <v>230</v>
      </c>
      <c r="E372" s="116">
        <v>232.2</v>
      </c>
      <c r="F372" s="116">
        <v>692.25</v>
      </c>
      <c r="G372">
        <v>1369</v>
      </c>
      <c r="H372" s="116"/>
      <c r="I372" s="116"/>
      <c r="L372" s="169">
        <v>43039</v>
      </c>
      <c r="M372" s="116">
        <v>230.666666666667</v>
      </c>
      <c r="N372" s="116">
        <v>233.23333333333301</v>
      </c>
      <c r="O372" s="116">
        <v>229.35</v>
      </c>
      <c r="P372" s="116">
        <v>230</v>
      </c>
      <c r="Q372" s="116">
        <v>692</v>
      </c>
      <c r="R372">
        <v>26456</v>
      </c>
    </row>
    <row r="373" spans="1:18" x14ac:dyDescent="0.25">
      <c r="A373" s="169">
        <v>43040</v>
      </c>
      <c r="B373" s="116">
        <v>232.5</v>
      </c>
      <c r="C373" s="116">
        <v>228.7</v>
      </c>
      <c r="D373" s="116">
        <v>227.85</v>
      </c>
      <c r="E373" s="116">
        <v>232.316666666667</v>
      </c>
      <c r="F373" s="116">
        <v>686.1</v>
      </c>
      <c r="G373">
        <v>1572</v>
      </c>
      <c r="H373" s="116"/>
      <c r="I373" s="116"/>
      <c r="L373" s="169">
        <v>43040</v>
      </c>
      <c r="M373" s="116">
        <v>228.6</v>
      </c>
      <c r="N373" s="116">
        <v>234</v>
      </c>
      <c r="O373" s="116">
        <v>227.333333333333</v>
      </c>
      <c r="P373" s="116">
        <v>234</v>
      </c>
      <c r="Q373" s="116">
        <v>685.8</v>
      </c>
      <c r="R373">
        <v>33025</v>
      </c>
    </row>
    <row r="374" spans="1:18" x14ac:dyDescent="0.25">
      <c r="A374" s="169">
        <v>43041</v>
      </c>
      <c r="B374" s="116">
        <v>229.316666666667</v>
      </c>
      <c r="C374" s="116">
        <v>227.433333333333</v>
      </c>
      <c r="D374" s="116">
        <v>226.7</v>
      </c>
      <c r="E374" s="116">
        <v>228.98333333333301</v>
      </c>
      <c r="F374" s="116">
        <v>682.3</v>
      </c>
      <c r="G374">
        <v>434</v>
      </c>
      <c r="H374" s="116"/>
      <c r="I374" s="116"/>
      <c r="L374" s="169">
        <v>43041</v>
      </c>
      <c r="M374" s="116">
        <v>227.183333333333</v>
      </c>
      <c r="N374" s="116">
        <v>230.1</v>
      </c>
      <c r="O374" s="116">
        <v>226</v>
      </c>
      <c r="P374" s="116">
        <v>228.6</v>
      </c>
      <c r="Q374" s="116">
        <v>681.55</v>
      </c>
      <c r="R374">
        <v>12377</v>
      </c>
    </row>
    <row r="375" spans="1:18" x14ac:dyDescent="0.25">
      <c r="A375" s="169">
        <v>43042</v>
      </c>
      <c r="B375" s="116">
        <v>231.01666666666699</v>
      </c>
      <c r="C375" s="116">
        <v>228.65</v>
      </c>
      <c r="D375" s="116">
        <v>226.7</v>
      </c>
      <c r="E375" s="116">
        <v>227.666666666667</v>
      </c>
      <c r="F375" s="116">
        <v>685.95</v>
      </c>
      <c r="G375">
        <v>1139</v>
      </c>
      <c r="H375" s="116"/>
      <c r="I375" s="116"/>
      <c r="L375" s="169">
        <v>43042</v>
      </c>
      <c r="M375" s="116">
        <v>229.63333333333301</v>
      </c>
      <c r="N375" s="116">
        <v>231.666666666667</v>
      </c>
      <c r="O375" s="116">
        <v>227.833333333333</v>
      </c>
      <c r="P375" s="116">
        <v>228.01666666666699</v>
      </c>
      <c r="Q375" s="116">
        <v>688.9</v>
      </c>
      <c r="R375">
        <v>22166</v>
      </c>
    </row>
    <row r="376" spans="1:18" x14ac:dyDescent="0.25">
      <c r="A376" s="169">
        <v>43045</v>
      </c>
      <c r="B376" s="116">
        <v>230</v>
      </c>
      <c r="C376" s="116">
        <v>228.8</v>
      </c>
      <c r="D376" s="116">
        <v>227.95</v>
      </c>
      <c r="E376" s="116">
        <v>229</v>
      </c>
      <c r="F376" s="116">
        <v>686.4</v>
      </c>
      <c r="G376">
        <v>1844</v>
      </c>
      <c r="H376" s="116"/>
      <c r="I376" s="116"/>
      <c r="L376" s="169">
        <v>43045</v>
      </c>
      <c r="M376" s="116">
        <v>229.86666666666699</v>
      </c>
      <c r="N376" s="116">
        <v>230.05</v>
      </c>
      <c r="O376" s="116">
        <v>227.4</v>
      </c>
      <c r="P376" s="116">
        <v>227.4</v>
      </c>
      <c r="Q376" s="116">
        <v>689.6</v>
      </c>
      <c r="R376">
        <v>9142</v>
      </c>
    </row>
    <row r="377" spans="1:18" x14ac:dyDescent="0.25">
      <c r="A377" s="169">
        <v>43046</v>
      </c>
      <c r="B377" s="116">
        <v>231.583333333333</v>
      </c>
      <c r="C377" s="116">
        <v>226.4</v>
      </c>
      <c r="D377" s="116">
        <v>225.35</v>
      </c>
      <c r="E377" s="116">
        <v>228.333333333333</v>
      </c>
      <c r="F377" s="116">
        <v>679.2</v>
      </c>
      <c r="G377">
        <v>910</v>
      </c>
      <c r="H377" s="116"/>
      <c r="I377" s="116"/>
      <c r="L377" s="169">
        <v>43046</v>
      </c>
      <c r="M377" s="116">
        <v>226.13333333333301</v>
      </c>
      <c r="N377" s="116">
        <v>232.666666666667</v>
      </c>
      <c r="O377" s="116">
        <v>225.28333333333299</v>
      </c>
      <c r="P377" s="116">
        <v>230.21666666666701</v>
      </c>
      <c r="Q377" s="116">
        <v>678.4</v>
      </c>
      <c r="R377">
        <v>25817</v>
      </c>
    </row>
    <row r="378" spans="1:18" x14ac:dyDescent="0.25">
      <c r="A378" s="169">
        <v>43047</v>
      </c>
      <c r="B378" s="116">
        <v>229.083333333333</v>
      </c>
      <c r="C378" s="116">
        <v>225.03333333333299</v>
      </c>
      <c r="D378" s="116">
        <v>224.65</v>
      </c>
      <c r="E378" s="116">
        <v>228.95</v>
      </c>
      <c r="F378" s="116">
        <v>675.1</v>
      </c>
      <c r="G378">
        <v>896</v>
      </c>
      <c r="H378" s="116"/>
      <c r="I378" s="116"/>
      <c r="L378" s="169">
        <v>43047</v>
      </c>
      <c r="M378" s="116">
        <v>225.35</v>
      </c>
      <c r="N378" s="116">
        <v>229.666666666667</v>
      </c>
      <c r="O378" s="116">
        <v>224.03333333333299</v>
      </c>
      <c r="P378" s="116">
        <v>229.666666666667</v>
      </c>
      <c r="Q378" s="116">
        <v>676.05</v>
      </c>
      <c r="R378">
        <v>34572</v>
      </c>
    </row>
    <row r="379" spans="1:18" x14ac:dyDescent="0.25">
      <c r="A379" s="169">
        <v>43048</v>
      </c>
      <c r="B379" s="116">
        <v>226.333333333333</v>
      </c>
      <c r="C379" s="116">
        <v>224.05</v>
      </c>
      <c r="D379" s="116">
        <v>222.38333333333301</v>
      </c>
      <c r="E379" s="116">
        <v>226.166666666667</v>
      </c>
      <c r="F379" s="116">
        <v>672.15</v>
      </c>
      <c r="G379">
        <v>1186</v>
      </c>
      <c r="H379" s="116"/>
      <c r="I379" s="116"/>
      <c r="L379" s="169">
        <v>43048</v>
      </c>
      <c r="M379" s="116">
        <v>223.566666666667</v>
      </c>
      <c r="N379" s="116">
        <v>226.65</v>
      </c>
      <c r="O379" s="116">
        <v>222.666666666667</v>
      </c>
      <c r="P379" s="116">
        <v>224.333333333333</v>
      </c>
      <c r="Q379" s="116">
        <v>670.7</v>
      </c>
      <c r="R379">
        <v>17101</v>
      </c>
    </row>
    <row r="380" spans="1:18" x14ac:dyDescent="0.25">
      <c r="A380" s="169">
        <v>43049</v>
      </c>
      <c r="B380" s="116">
        <v>228</v>
      </c>
      <c r="C380" s="116">
        <v>226.666666666667</v>
      </c>
      <c r="D380" s="116">
        <v>225.01666666666699</v>
      </c>
      <c r="E380" s="116">
        <v>225.666666666667</v>
      </c>
      <c r="F380" s="116">
        <v>680</v>
      </c>
      <c r="G380">
        <v>588</v>
      </c>
      <c r="H380" s="116"/>
      <c r="I380" s="116"/>
      <c r="L380" s="169">
        <v>43049</v>
      </c>
      <c r="M380" s="116">
        <v>227.45</v>
      </c>
      <c r="N380" s="116">
        <v>228.333333333333</v>
      </c>
      <c r="O380" s="116">
        <v>222.7</v>
      </c>
      <c r="P380" s="116">
        <v>222.7</v>
      </c>
      <c r="Q380" s="116">
        <v>682.35</v>
      </c>
      <c r="R380">
        <v>7512</v>
      </c>
    </row>
    <row r="381" spans="1:18" x14ac:dyDescent="0.25">
      <c r="A381" s="169">
        <v>43052</v>
      </c>
      <c r="B381" s="116">
        <v>229.65</v>
      </c>
      <c r="C381" s="116">
        <v>225.45</v>
      </c>
      <c r="D381" s="116">
        <v>222.51666666666699</v>
      </c>
      <c r="E381" s="116">
        <v>229.3</v>
      </c>
      <c r="F381" s="116">
        <v>676.35</v>
      </c>
      <c r="G381">
        <v>985</v>
      </c>
      <c r="H381" s="116"/>
      <c r="I381" s="116"/>
      <c r="L381" s="169">
        <v>43052</v>
      </c>
      <c r="M381" s="116">
        <v>225.46666666666701</v>
      </c>
      <c r="N381" s="116">
        <v>229.833333333333</v>
      </c>
      <c r="O381" s="116">
        <v>224.96666666666701</v>
      </c>
      <c r="P381" s="116">
        <v>229.816666666667</v>
      </c>
      <c r="Q381" s="116">
        <v>676.4</v>
      </c>
      <c r="R381">
        <v>8048</v>
      </c>
    </row>
    <row r="382" spans="1:18" x14ac:dyDescent="0.25">
      <c r="A382" s="169">
        <v>43053</v>
      </c>
      <c r="B382" s="116">
        <v>227.45</v>
      </c>
      <c r="C382" s="116">
        <v>223.7</v>
      </c>
      <c r="D382" s="116">
        <v>223.666666666667</v>
      </c>
      <c r="E382" s="116">
        <v>224.683333333333</v>
      </c>
      <c r="F382" s="116">
        <v>671.1</v>
      </c>
      <c r="G382">
        <v>341</v>
      </c>
      <c r="H382" s="116"/>
      <c r="I382" s="116"/>
      <c r="L382" s="169">
        <v>43053</v>
      </c>
      <c r="M382" s="116">
        <v>224.11666666666699</v>
      </c>
      <c r="N382" s="116">
        <v>227.38333333333301</v>
      </c>
      <c r="O382" s="116">
        <v>223.65</v>
      </c>
      <c r="P382" s="116">
        <v>226</v>
      </c>
      <c r="Q382" s="116">
        <v>672.35</v>
      </c>
      <c r="R382">
        <v>5998</v>
      </c>
    </row>
    <row r="383" spans="1:18" x14ac:dyDescent="0.25">
      <c r="A383" s="169">
        <v>43054</v>
      </c>
      <c r="B383" s="116">
        <v>226.333333333333</v>
      </c>
      <c r="C383" s="116">
        <v>222.933333333333</v>
      </c>
      <c r="D383" s="116">
        <v>222.333333333333</v>
      </c>
      <c r="E383" s="116">
        <v>225.71666666666701</v>
      </c>
      <c r="F383" s="116">
        <v>668.8</v>
      </c>
      <c r="G383">
        <v>577</v>
      </c>
      <c r="H383" s="116"/>
      <c r="I383" s="116"/>
      <c r="L383" s="169">
        <v>43054</v>
      </c>
      <c r="M383" s="116">
        <v>222.583333333333</v>
      </c>
      <c r="N383" s="116">
        <v>225.63333333333301</v>
      </c>
      <c r="O383" s="116">
        <v>221.9</v>
      </c>
      <c r="P383" s="116">
        <v>225</v>
      </c>
      <c r="Q383" s="116">
        <v>667.75</v>
      </c>
      <c r="R383">
        <v>6426</v>
      </c>
    </row>
    <row r="384" spans="1:18" x14ac:dyDescent="0.25">
      <c r="A384" s="169">
        <v>43055</v>
      </c>
      <c r="B384" s="116">
        <v>226</v>
      </c>
      <c r="C384" s="116">
        <v>222.73333333333301</v>
      </c>
      <c r="D384" s="116">
        <v>221.7</v>
      </c>
      <c r="E384" s="116">
        <v>222.55</v>
      </c>
      <c r="F384" s="116">
        <v>668.2</v>
      </c>
      <c r="G384">
        <v>361</v>
      </c>
      <c r="H384" s="116"/>
      <c r="I384" s="116"/>
      <c r="L384" s="169">
        <v>43055</v>
      </c>
      <c r="M384" s="116">
        <v>223.13333333333301</v>
      </c>
      <c r="N384" s="116">
        <v>226.316666666667</v>
      </c>
      <c r="O384" s="116">
        <v>222.666666666667</v>
      </c>
      <c r="P384" s="116">
        <v>225.88333333333301</v>
      </c>
      <c r="Q384" s="116">
        <v>669.4</v>
      </c>
      <c r="R384">
        <v>11301</v>
      </c>
    </row>
    <row r="385" spans="1:18" x14ac:dyDescent="0.25">
      <c r="A385" s="169">
        <v>43056</v>
      </c>
      <c r="B385" s="116">
        <v>226.316666666667</v>
      </c>
      <c r="C385" s="116">
        <v>224.433333333333</v>
      </c>
      <c r="D385" s="116">
        <v>222.53333333333299</v>
      </c>
      <c r="E385" s="116">
        <v>223.01666666666699</v>
      </c>
      <c r="F385" s="116">
        <v>673.3</v>
      </c>
      <c r="G385">
        <v>2169</v>
      </c>
      <c r="H385" s="116"/>
      <c r="I385" s="116"/>
      <c r="L385" s="169">
        <v>43056</v>
      </c>
      <c r="M385" s="116">
        <v>224.75</v>
      </c>
      <c r="N385" s="116">
        <v>226.166666666667</v>
      </c>
      <c r="O385" s="116">
        <v>221.666666666667</v>
      </c>
      <c r="P385" s="116">
        <v>221.666666666667</v>
      </c>
      <c r="Q385" s="116">
        <v>674.25</v>
      </c>
      <c r="R385">
        <v>14699</v>
      </c>
    </row>
    <row r="386" spans="1:18" x14ac:dyDescent="0.25">
      <c r="A386" s="169">
        <v>43059</v>
      </c>
      <c r="B386" s="116">
        <v>226.3</v>
      </c>
      <c r="C386" s="116">
        <v>223.55</v>
      </c>
      <c r="D386" s="116">
        <v>222</v>
      </c>
      <c r="E386" s="116">
        <v>225</v>
      </c>
      <c r="F386" s="116">
        <v>670.65</v>
      </c>
      <c r="G386">
        <v>597</v>
      </c>
      <c r="H386" s="116"/>
      <c r="I386" s="116"/>
      <c r="L386" s="169">
        <v>43059</v>
      </c>
      <c r="M386" s="116">
        <v>224.1</v>
      </c>
      <c r="N386" s="116">
        <v>226.666666666667</v>
      </c>
      <c r="O386" s="116">
        <v>223.183333333333</v>
      </c>
      <c r="P386" s="116">
        <v>226.15</v>
      </c>
      <c r="Q386" s="116">
        <v>672.3</v>
      </c>
      <c r="R386">
        <v>12137</v>
      </c>
    </row>
    <row r="387" spans="1:18" x14ac:dyDescent="0.25">
      <c r="A387" s="169">
        <v>43060</v>
      </c>
      <c r="B387" s="116">
        <v>229</v>
      </c>
      <c r="C387" s="116">
        <v>225.95</v>
      </c>
      <c r="D387" s="116">
        <v>224.38333333333301</v>
      </c>
      <c r="E387" s="116">
        <v>225</v>
      </c>
      <c r="F387" s="116">
        <v>677.85</v>
      </c>
      <c r="G387">
        <v>25989</v>
      </c>
      <c r="H387" s="116"/>
      <c r="I387" s="116"/>
      <c r="L387" s="169">
        <v>43060</v>
      </c>
      <c r="M387" s="116">
        <v>227.75</v>
      </c>
      <c r="N387" s="116">
        <v>228.71666666666701</v>
      </c>
      <c r="O387" s="116">
        <v>222.86666666666699</v>
      </c>
      <c r="P387" s="116">
        <v>222.86666666666699</v>
      </c>
      <c r="Q387" s="116">
        <v>683.25</v>
      </c>
      <c r="R387">
        <v>5762</v>
      </c>
    </row>
    <row r="388" spans="1:18" x14ac:dyDescent="0.25">
      <c r="A388" s="169">
        <v>43061</v>
      </c>
      <c r="B388" s="116">
        <v>231.4</v>
      </c>
      <c r="C388" s="116">
        <v>223.76666666666699</v>
      </c>
      <c r="D388" s="116">
        <v>222</v>
      </c>
      <c r="E388" s="116">
        <v>231.4</v>
      </c>
      <c r="F388" s="116">
        <v>671.3</v>
      </c>
      <c r="G388">
        <v>1053971</v>
      </c>
      <c r="H388" s="116"/>
      <c r="I388" s="116"/>
      <c r="L388" s="169">
        <v>43061</v>
      </c>
      <c r="M388" s="116">
        <v>227.433333333333</v>
      </c>
      <c r="N388" s="116">
        <v>229.98333333333301</v>
      </c>
      <c r="O388" s="116">
        <v>222.666666666667</v>
      </c>
      <c r="P388" s="116">
        <v>229.98333333333301</v>
      </c>
      <c r="Q388" s="116">
        <v>682.3</v>
      </c>
      <c r="R388">
        <v>454901</v>
      </c>
    </row>
    <row r="389" spans="1:18" x14ac:dyDescent="0.25">
      <c r="A389" s="169">
        <v>43062</v>
      </c>
      <c r="B389" s="116">
        <v>226.23333333333301</v>
      </c>
      <c r="C389" s="116">
        <v>222.26666666666699</v>
      </c>
      <c r="D389" s="116">
        <v>221.36666666666699</v>
      </c>
      <c r="E389" s="116">
        <v>225.933333333333</v>
      </c>
      <c r="F389" s="116">
        <v>666.8</v>
      </c>
      <c r="G389">
        <v>2677</v>
      </c>
      <c r="H389" s="116"/>
      <c r="I389" s="116"/>
      <c r="L389" s="169">
        <v>43062</v>
      </c>
      <c r="M389" s="116">
        <v>222.3</v>
      </c>
      <c r="N389" s="116">
        <v>226.166666666667</v>
      </c>
      <c r="O389" s="116">
        <v>221.28333333333299</v>
      </c>
      <c r="P389" s="116">
        <v>226.166666666667</v>
      </c>
      <c r="Q389" s="116">
        <v>666.9</v>
      </c>
      <c r="R389">
        <v>29975</v>
      </c>
    </row>
    <row r="390" spans="1:18" x14ac:dyDescent="0.25">
      <c r="A390" s="169">
        <v>43063</v>
      </c>
      <c r="B390" s="116">
        <v>224.95</v>
      </c>
      <c r="C390" s="116">
        <v>222.36666666666699</v>
      </c>
      <c r="D390" s="116">
        <v>221.833333333333</v>
      </c>
      <c r="E390" s="116">
        <v>223.35</v>
      </c>
      <c r="F390" s="116">
        <v>667.1</v>
      </c>
      <c r="G390">
        <v>1538</v>
      </c>
      <c r="H390" s="116"/>
      <c r="I390" s="116"/>
      <c r="L390" s="169">
        <v>43063</v>
      </c>
      <c r="M390" s="116">
        <v>222.333333333333</v>
      </c>
      <c r="N390" s="116">
        <v>224.933333333333</v>
      </c>
      <c r="O390" s="116">
        <v>221.76666666666699</v>
      </c>
      <c r="P390" s="116">
        <v>222.683333333333</v>
      </c>
      <c r="Q390" s="116">
        <v>667</v>
      </c>
      <c r="R390">
        <v>13083</v>
      </c>
    </row>
    <row r="391" spans="1:18" x14ac:dyDescent="0.25">
      <c r="A391" s="169">
        <v>43066</v>
      </c>
      <c r="B391" s="116">
        <v>223.183333333333</v>
      </c>
      <c r="C391" s="116">
        <v>222.183333333333</v>
      </c>
      <c r="D391" s="116">
        <v>221.666666666667</v>
      </c>
      <c r="E391" s="116">
        <v>222.083333333333</v>
      </c>
      <c r="F391" s="116">
        <v>666.55</v>
      </c>
      <c r="G391">
        <v>1628</v>
      </c>
      <c r="H391" s="116"/>
      <c r="I391" s="116"/>
      <c r="L391" s="169">
        <v>43066</v>
      </c>
      <c r="M391" s="116">
        <v>222.816666666667</v>
      </c>
      <c r="N391" s="116">
        <v>224.53333333333299</v>
      </c>
      <c r="O391" s="116">
        <v>221.433333333333</v>
      </c>
      <c r="P391" s="116">
        <v>222.683333333333</v>
      </c>
      <c r="Q391" s="116">
        <v>668.45</v>
      </c>
      <c r="R391">
        <v>30231</v>
      </c>
    </row>
    <row r="392" spans="1:18" x14ac:dyDescent="0.25">
      <c r="A392" s="169">
        <v>43067</v>
      </c>
      <c r="B392" s="116">
        <v>226.333333333333</v>
      </c>
      <c r="C392" s="116">
        <v>221.75</v>
      </c>
      <c r="D392" s="116">
        <v>221.53333333333299</v>
      </c>
      <c r="E392" s="116">
        <v>221.666666666667</v>
      </c>
      <c r="F392" s="116">
        <v>665.25</v>
      </c>
      <c r="G392">
        <v>1634</v>
      </c>
      <c r="H392" s="116"/>
      <c r="I392" s="116"/>
      <c r="L392" s="169">
        <v>43067</v>
      </c>
      <c r="M392" s="116">
        <v>221.683333333333</v>
      </c>
      <c r="N392" s="116">
        <v>225</v>
      </c>
      <c r="O392" s="116">
        <v>221.583333333333</v>
      </c>
      <c r="P392" s="116">
        <v>223.96666666666701</v>
      </c>
      <c r="Q392" s="116">
        <v>665.05</v>
      </c>
      <c r="R392">
        <v>66348</v>
      </c>
    </row>
    <row r="393" spans="1:18" x14ac:dyDescent="0.25">
      <c r="A393" s="169">
        <v>43068</v>
      </c>
      <c r="B393" s="116">
        <v>223.55</v>
      </c>
      <c r="C393" s="116">
        <v>221.28333333333299</v>
      </c>
      <c r="D393" s="116">
        <v>220.71666666666701</v>
      </c>
      <c r="E393" s="116">
        <v>223.55</v>
      </c>
      <c r="F393" s="116">
        <v>663.85</v>
      </c>
      <c r="G393">
        <v>1211</v>
      </c>
      <c r="H393" s="116"/>
      <c r="I393" s="116"/>
      <c r="L393" s="169">
        <v>43068</v>
      </c>
      <c r="M393" s="116">
        <v>221.65</v>
      </c>
      <c r="N393" s="116">
        <v>224.3</v>
      </c>
      <c r="O393" s="116">
        <v>220.833333333333</v>
      </c>
      <c r="P393" s="116">
        <v>224.3</v>
      </c>
      <c r="Q393" s="116">
        <v>664.95</v>
      </c>
      <c r="R393">
        <v>32881</v>
      </c>
    </row>
    <row r="394" spans="1:18" x14ac:dyDescent="0.25">
      <c r="A394" s="169">
        <v>43069</v>
      </c>
      <c r="B394" s="116">
        <v>224.76666666666699</v>
      </c>
      <c r="C394" s="116">
        <v>220.71666666666701</v>
      </c>
      <c r="D394" s="116">
        <v>220.666666666667</v>
      </c>
      <c r="E394" s="116">
        <v>222.76666666666699</v>
      </c>
      <c r="F394" s="116">
        <v>662.15</v>
      </c>
      <c r="G394">
        <v>1764</v>
      </c>
      <c r="H394" s="116"/>
      <c r="I394" s="116"/>
      <c r="L394" s="169">
        <v>43069</v>
      </c>
      <c r="M394" s="116">
        <v>220.333333333333</v>
      </c>
      <c r="N394" s="116">
        <v>223.48333333333301</v>
      </c>
      <c r="O394" s="116">
        <v>219.63333333333301</v>
      </c>
      <c r="P394" s="116">
        <v>222.01666666666699</v>
      </c>
      <c r="Q394" s="116">
        <v>661</v>
      </c>
      <c r="R394">
        <v>119555</v>
      </c>
    </row>
    <row r="395" spans="1:18" x14ac:dyDescent="0.25">
      <c r="A395" s="169">
        <v>43070</v>
      </c>
      <c r="B395" s="116">
        <v>224</v>
      </c>
      <c r="C395" s="116">
        <v>218.833333333333</v>
      </c>
      <c r="D395" s="116">
        <v>217.333333333333</v>
      </c>
      <c r="E395" s="116">
        <v>221.4</v>
      </c>
      <c r="F395" s="116">
        <v>656.5</v>
      </c>
      <c r="G395">
        <v>3360</v>
      </c>
      <c r="H395" s="116"/>
      <c r="I395" s="116"/>
      <c r="L395" s="169">
        <v>43070</v>
      </c>
      <c r="M395" s="116">
        <v>216.53333333333299</v>
      </c>
      <c r="N395" s="116">
        <v>223.88333333333301</v>
      </c>
      <c r="O395" s="116">
        <v>216</v>
      </c>
      <c r="P395" s="116">
        <v>220.48333333333301</v>
      </c>
      <c r="Q395" s="116">
        <v>649.6</v>
      </c>
      <c r="R395">
        <v>21324</v>
      </c>
    </row>
    <row r="396" spans="1:18" x14ac:dyDescent="0.25">
      <c r="A396" s="169">
        <v>43073</v>
      </c>
      <c r="B396" s="116">
        <v>218.8</v>
      </c>
      <c r="C396" s="116">
        <v>216.15</v>
      </c>
      <c r="D396" s="116">
        <v>215.333333333333</v>
      </c>
      <c r="E396" s="116">
        <v>218.35</v>
      </c>
      <c r="F396" s="116">
        <v>648.45000000000005</v>
      </c>
      <c r="G396">
        <v>44334</v>
      </c>
      <c r="H396" s="116"/>
      <c r="I396" s="116"/>
      <c r="L396" s="169">
        <v>43073</v>
      </c>
      <c r="M396" s="116">
        <v>216.666666666667</v>
      </c>
      <c r="N396" s="116">
        <v>218.65</v>
      </c>
      <c r="O396" s="116">
        <v>214.333333333333</v>
      </c>
      <c r="P396" s="116">
        <v>217.333333333333</v>
      </c>
      <c r="Q396" s="116">
        <v>650</v>
      </c>
      <c r="R396">
        <v>158863</v>
      </c>
    </row>
    <row r="397" spans="1:18" x14ac:dyDescent="0.25">
      <c r="A397" s="169">
        <v>43074</v>
      </c>
      <c r="B397" s="116">
        <v>218.75</v>
      </c>
      <c r="C397" s="116">
        <v>214.65</v>
      </c>
      <c r="D397" s="116">
        <v>203.7</v>
      </c>
      <c r="E397" s="116">
        <v>218.75</v>
      </c>
      <c r="F397" s="116">
        <v>643.95000000000005</v>
      </c>
      <c r="G397">
        <v>1308</v>
      </c>
      <c r="H397" s="116"/>
      <c r="I397" s="116"/>
      <c r="L397" s="169">
        <v>43074</v>
      </c>
      <c r="M397" s="116">
        <v>214.666666666667</v>
      </c>
      <c r="N397" s="116">
        <v>217.61666666666699</v>
      </c>
      <c r="O397" s="116">
        <v>213.76666666666699</v>
      </c>
      <c r="P397" s="116">
        <v>214.36666666666699</v>
      </c>
      <c r="Q397" s="116">
        <v>644</v>
      </c>
      <c r="R397">
        <v>162082</v>
      </c>
    </row>
    <row r="398" spans="1:18" x14ac:dyDescent="0.25">
      <c r="A398" s="169">
        <v>43075</v>
      </c>
      <c r="B398" s="116">
        <v>225</v>
      </c>
      <c r="C398" s="116">
        <v>223.4</v>
      </c>
      <c r="D398" s="116">
        <v>213.6</v>
      </c>
      <c r="E398" s="116">
        <v>213.6</v>
      </c>
      <c r="F398" s="116">
        <v>670.2</v>
      </c>
      <c r="G398">
        <v>4065</v>
      </c>
      <c r="H398" s="116"/>
      <c r="I398" s="116"/>
      <c r="L398" s="169">
        <v>43075</v>
      </c>
      <c r="M398" s="116">
        <v>223.433333333333</v>
      </c>
      <c r="N398" s="116">
        <v>225.666666666667</v>
      </c>
      <c r="O398" s="116">
        <v>215.333333333333</v>
      </c>
      <c r="P398" s="116">
        <v>216</v>
      </c>
      <c r="Q398" s="116">
        <v>670.3</v>
      </c>
      <c r="R398">
        <v>87470</v>
      </c>
    </row>
    <row r="399" spans="1:18" x14ac:dyDescent="0.25">
      <c r="A399" s="169">
        <v>43076</v>
      </c>
      <c r="B399" s="116">
        <v>228.51666666666699</v>
      </c>
      <c r="C399" s="116">
        <v>224.45</v>
      </c>
      <c r="D399" s="116">
        <v>220</v>
      </c>
      <c r="E399" s="116">
        <v>227.5</v>
      </c>
      <c r="F399" s="116">
        <v>673.35</v>
      </c>
      <c r="G399">
        <v>2111</v>
      </c>
      <c r="H399" s="116"/>
      <c r="I399" s="116"/>
      <c r="L399" s="169">
        <v>43076</v>
      </c>
      <c r="M399" s="116">
        <v>223.85</v>
      </c>
      <c r="N399" s="116">
        <v>227.75</v>
      </c>
      <c r="O399" s="116">
        <v>219.98333333333301</v>
      </c>
      <c r="P399" s="116">
        <v>226.666666666667</v>
      </c>
      <c r="Q399" s="116">
        <v>671.55</v>
      </c>
      <c r="R399">
        <v>45354</v>
      </c>
    </row>
    <row r="400" spans="1:18" x14ac:dyDescent="0.25">
      <c r="A400" s="169">
        <v>43077</v>
      </c>
      <c r="B400" s="116">
        <v>226.666666666667</v>
      </c>
      <c r="C400" s="116">
        <v>222.61666666666699</v>
      </c>
      <c r="D400" s="116">
        <v>221.666666666667</v>
      </c>
      <c r="E400" s="116">
        <v>225.833333333333</v>
      </c>
      <c r="F400" s="116">
        <v>667.85</v>
      </c>
      <c r="G400">
        <v>4774</v>
      </c>
      <c r="H400" s="116"/>
      <c r="I400" s="116"/>
      <c r="L400" s="169">
        <v>43077</v>
      </c>
      <c r="M400" s="116">
        <v>223.26666666666699</v>
      </c>
      <c r="N400" s="116">
        <v>227.333333333333</v>
      </c>
      <c r="O400" s="116">
        <v>221.1</v>
      </c>
      <c r="P400" s="116">
        <v>225.666666666667</v>
      </c>
      <c r="Q400" s="116">
        <v>669.8</v>
      </c>
      <c r="R400">
        <v>77806</v>
      </c>
    </row>
    <row r="401" spans="1:18" x14ac:dyDescent="0.25">
      <c r="A401" s="169">
        <v>43080</v>
      </c>
      <c r="B401" s="116">
        <v>229.26666666666699</v>
      </c>
      <c r="C401" s="116">
        <v>225.166666666667</v>
      </c>
      <c r="D401" s="116">
        <v>224.683333333333</v>
      </c>
      <c r="E401" s="116">
        <v>229.26666666666699</v>
      </c>
      <c r="F401" s="116">
        <v>675.5</v>
      </c>
      <c r="G401">
        <v>3960</v>
      </c>
      <c r="H401" s="116"/>
      <c r="I401" s="116"/>
      <c r="L401" s="169">
        <v>43080</v>
      </c>
      <c r="M401" s="116">
        <v>224.75</v>
      </c>
      <c r="N401" s="116">
        <v>228.26666666666699</v>
      </c>
      <c r="O401" s="116">
        <v>224</v>
      </c>
      <c r="P401" s="116">
        <v>225.03333333333299</v>
      </c>
      <c r="Q401" s="116">
        <v>674.25</v>
      </c>
      <c r="R401">
        <v>48575</v>
      </c>
    </row>
    <row r="402" spans="1:18" x14ac:dyDescent="0.25">
      <c r="A402" s="169">
        <v>43081</v>
      </c>
      <c r="B402" s="116">
        <v>227.333333333333</v>
      </c>
      <c r="C402" s="116">
        <v>225.28333333333299</v>
      </c>
      <c r="D402" s="116">
        <v>225</v>
      </c>
      <c r="E402" s="116">
        <v>227.333333333333</v>
      </c>
      <c r="F402" s="116">
        <v>675.85</v>
      </c>
      <c r="G402">
        <v>971</v>
      </c>
      <c r="H402" s="116"/>
      <c r="I402" s="116"/>
      <c r="L402" s="169">
        <v>43081</v>
      </c>
      <c r="M402" s="116">
        <v>224.933333333333</v>
      </c>
      <c r="N402" s="116">
        <v>227</v>
      </c>
      <c r="O402" s="116">
        <v>224.333333333333</v>
      </c>
      <c r="P402" s="116">
        <v>227</v>
      </c>
      <c r="Q402" s="116">
        <v>674.8</v>
      </c>
      <c r="R402">
        <v>39252</v>
      </c>
    </row>
    <row r="403" spans="1:18" x14ac:dyDescent="0.25">
      <c r="A403" s="169">
        <v>43082</v>
      </c>
      <c r="B403" s="116">
        <v>227.833333333333</v>
      </c>
      <c r="C403" s="116">
        <v>221.8</v>
      </c>
      <c r="D403" s="116">
        <v>220.316666666667</v>
      </c>
      <c r="E403" s="116">
        <v>226.666666666667</v>
      </c>
      <c r="F403" s="116">
        <v>665.4</v>
      </c>
      <c r="G403">
        <v>2443</v>
      </c>
      <c r="H403" s="116"/>
      <c r="I403" s="116"/>
      <c r="L403" s="169">
        <v>43082</v>
      </c>
      <c r="M403" s="116">
        <v>221.5</v>
      </c>
      <c r="N403" s="116">
        <v>227.98333333333301</v>
      </c>
      <c r="O403" s="116">
        <v>220.316666666667</v>
      </c>
      <c r="P403" s="116">
        <v>227.98333333333301</v>
      </c>
      <c r="Q403" s="116">
        <v>664.5</v>
      </c>
      <c r="R403">
        <v>44403</v>
      </c>
    </row>
    <row r="404" spans="1:18" x14ac:dyDescent="0.25">
      <c r="A404" s="169">
        <v>43083</v>
      </c>
      <c r="B404" s="116">
        <v>224.63333333333301</v>
      </c>
      <c r="C404" s="116">
        <v>219.15</v>
      </c>
      <c r="D404" s="116">
        <v>218.5</v>
      </c>
      <c r="E404" s="116">
        <v>222.96666666666701</v>
      </c>
      <c r="F404" s="116">
        <v>657.45</v>
      </c>
      <c r="G404">
        <v>1651</v>
      </c>
      <c r="H404" s="116"/>
      <c r="I404" s="116"/>
      <c r="L404" s="169">
        <v>43083</v>
      </c>
      <c r="M404" s="116">
        <v>218.13333333333301</v>
      </c>
      <c r="N404" s="116">
        <v>224.65</v>
      </c>
      <c r="O404" s="116">
        <v>217.51666666666699</v>
      </c>
      <c r="P404" s="116">
        <v>224.65</v>
      </c>
      <c r="Q404" s="116">
        <v>654.4</v>
      </c>
      <c r="R404">
        <v>43719</v>
      </c>
    </row>
    <row r="405" spans="1:18" x14ac:dyDescent="0.25">
      <c r="A405" s="169">
        <v>43084</v>
      </c>
      <c r="B405" s="116">
        <v>221.666666666667</v>
      </c>
      <c r="C405" s="116">
        <v>215.416666666667</v>
      </c>
      <c r="D405" s="116">
        <v>214.933333333333</v>
      </c>
      <c r="E405" s="116">
        <v>219.28333333333299</v>
      </c>
      <c r="F405" s="116">
        <v>646.25</v>
      </c>
      <c r="G405">
        <v>3662</v>
      </c>
      <c r="H405" s="116"/>
      <c r="I405" s="116"/>
      <c r="L405" s="169">
        <v>43084</v>
      </c>
      <c r="M405" s="116">
        <v>215</v>
      </c>
      <c r="N405" s="116">
        <v>222</v>
      </c>
      <c r="O405" s="116">
        <v>214.4</v>
      </c>
      <c r="P405" s="116">
        <v>221.46666666666701</v>
      </c>
      <c r="Q405" s="116">
        <v>645</v>
      </c>
      <c r="R405">
        <v>37393</v>
      </c>
    </row>
    <row r="406" spans="1:18" x14ac:dyDescent="0.25">
      <c r="A406" s="169">
        <v>43087</v>
      </c>
      <c r="B406" s="116">
        <v>222</v>
      </c>
      <c r="C406" s="116">
        <v>221.183333333333</v>
      </c>
      <c r="D406" s="116">
        <v>213.333333333333</v>
      </c>
      <c r="E406" s="116">
        <v>214</v>
      </c>
      <c r="F406" s="116">
        <v>663.55</v>
      </c>
      <c r="G406">
        <v>1561</v>
      </c>
      <c r="H406" s="116"/>
      <c r="I406" s="116"/>
      <c r="L406" s="169">
        <v>43087</v>
      </c>
      <c r="M406" s="116">
        <v>222.083333333333</v>
      </c>
      <c r="N406" s="116">
        <v>223</v>
      </c>
      <c r="O406" s="116">
        <v>214.833333333333</v>
      </c>
      <c r="P406" s="116">
        <v>215.833333333333</v>
      </c>
      <c r="Q406" s="116">
        <v>666.25</v>
      </c>
      <c r="R406">
        <v>51098</v>
      </c>
    </row>
    <row r="407" spans="1:18" x14ac:dyDescent="0.25">
      <c r="A407" s="169">
        <v>43088</v>
      </c>
      <c r="B407" s="116">
        <v>224.066666666667</v>
      </c>
      <c r="C407" s="116">
        <v>221.36666666666699</v>
      </c>
      <c r="D407" s="116">
        <v>220.166666666667</v>
      </c>
      <c r="E407" s="116">
        <v>223.8</v>
      </c>
      <c r="F407" s="116">
        <v>664.1</v>
      </c>
      <c r="G407">
        <v>1105</v>
      </c>
      <c r="H407" s="116"/>
      <c r="I407" s="116"/>
      <c r="L407" s="169">
        <v>43088</v>
      </c>
      <c r="M407" s="116">
        <v>221</v>
      </c>
      <c r="N407" s="116">
        <v>225</v>
      </c>
      <c r="O407" s="116">
        <v>220.36666666666699</v>
      </c>
      <c r="P407" s="116">
        <v>220.433333333333</v>
      </c>
      <c r="Q407" s="116">
        <v>663</v>
      </c>
      <c r="R407">
        <v>14866</v>
      </c>
    </row>
    <row r="408" spans="1:18" x14ac:dyDescent="0.25">
      <c r="A408" s="169">
        <v>43089</v>
      </c>
      <c r="B408" s="116">
        <v>222.933333333333</v>
      </c>
      <c r="C408" s="116">
        <v>221.683333333333</v>
      </c>
      <c r="D408" s="116">
        <v>219</v>
      </c>
      <c r="E408" s="116">
        <v>221</v>
      </c>
      <c r="F408" s="116">
        <v>665.05</v>
      </c>
      <c r="G408">
        <v>486</v>
      </c>
      <c r="H408" s="116"/>
      <c r="I408" s="116"/>
      <c r="L408" s="169">
        <v>43089</v>
      </c>
      <c r="M408" s="116">
        <v>223.183333333333</v>
      </c>
      <c r="N408" s="116">
        <v>223.333333333333</v>
      </c>
      <c r="O408" s="116">
        <v>221</v>
      </c>
      <c r="P408" s="116">
        <v>221</v>
      </c>
      <c r="Q408" s="116">
        <v>669.55</v>
      </c>
      <c r="R408">
        <v>11872</v>
      </c>
    </row>
    <row r="409" spans="1:18" x14ac:dyDescent="0.25">
      <c r="A409" s="169">
        <v>43090</v>
      </c>
      <c r="B409" s="116">
        <v>225</v>
      </c>
      <c r="C409" s="116">
        <v>223.88333333333301</v>
      </c>
      <c r="D409" s="116">
        <v>222.2</v>
      </c>
      <c r="E409" s="116">
        <v>223.61666666666699</v>
      </c>
      <c r="F409" s="116">
        <v>671.65</v>
      </c>
      <c r="G409">
        <v>787</v>
      </c>
      <c r="H409" s="116"/>
      <c r="I409" s="116"/>
      <c r="L409" s="169">
        <v>43090</v>
      </c>
      <c r="M409" s="116">
        <v>224.833333333333</v>
      </c>
      <c r="N409" s="116">
        <v>225</v>
      </c>
      <c r="O409" s="116">
        <v>222.5</v>
      </c>
      <c r="P409" s="116">
        <v>223</v>
      </c>
      <c r="Q409" s="116">
        <v>674.5</v>
      </c>
      <c r="R409">
        <v>15692</v>
      </c>
    </row>
    <row r="410" spans="1:18" x14ac:dyDescent="0.25">
      <c r="A410" s="169">
        <v>43091</v>
      </c>
      <c r="B410" s="116">
        <v>231.583333333333</v>
      </c>
      <c r="C410" s="116">
        <v>229.11666666666699</v>
      </c>
      <c r="D410" s="116">
        <v>224.333333333333</v>
      </c>
      <c r="E410" s="116">
        <v>224.416666666667</v>
      </c>
      <c r="F410" s="116">
        <v>687.35</v>
      </c>
      <c r="G410">
        <v>5224</v>
      </c>
      <c r="H410" s="116"/>
      <c r="I410" s="116"/>
      <c r="L410" s="169">
        <v>43091</v>
      </c>
      <c r="M410" s="116">
        <v>229.63333333333301</v>
      </c>
      <c r="N410" s="116">
        <v>231.666666666667</v>
      </c>
      <c r="O410" s="116">
        <v>223.35</v>
      </c>
      <c r="P410" s="116">
        <v>225.666666666667</v>
      </c>
      <c r="Q410" s="116">
        <v>688.9</v>
      </c>
      <c r="R410">
        <v>39855</v>
      </c>
    </row>
    <row r="411" spans="1:18" x14ac:dyDescent="0.25">
      <c r="A411" s="169">
        <v>43095</v>
      </c>
      <c r="B411" s="116">
        <v>233.333333333333</v>
      </c>
      <c r="C411" s="116">
        <v>231.4</v>
      </c>
      <c r="D411" s="116">
        <v>230.7</v>
      </c>
      <c r="E411" s="116">
        <v>231.316666666667</v>
      </c>
      <c r="F411" s="116">
        <v>694.2</v>
      </c>
      <c r="G411">
        <v>35322</v>
      </c>
      <c r="H411" s="116"/>
      <c r="I411" s="116"/>
      <c r="L411" s="169">
        <v>43095</v>
      </c>
      <c r="M411" s="116">
        <v>231.85</v>
      </c>
      <c r="N411" s="116">
        <v>233.666666666667</v>
      </c>
      <c r="O411" s="116">
        <v>229.666666666667</v>
      </c>
      <c r="P411" s="116">
        <v>229.666666666667</v>
      </c>
      <c r="Q411" s="116">
        <v>695.55</v>
      </c>
      <c r="R411">
        <v>18477</v>
      </c>
    </row>
    <row r="412" spans="1:18" x14ac:dyDescent="0.25">
      <c r="A412" s="169">
        <v>43096</v>
      </c>
      <c r="B412" s="116">
        <v>234.65</v>
      </c>
      <c r="C412" s="116">
        <v>232.01666666666699</v>
      </c>
      <c r="D412" s="116">
        <v>230.333333333333</v>
      </c>
      <c r="E412" s="116">
        <v>234</v>
      </c>
      <c r="F412" s="116">
        <v>696.05</v>
      </c>
      <c r="G412">
        <v>2133</v>
      </c>
      <c r="H412" s="116"/>
      <c r="I412" s="116"/>
      <c r="L412" s="169">
        <v>43096</v>
      </c>
      <c r="M412" s="116">
        <v>231.25</v>
      </c>
      <c r="N412" s="116">
        <v>234.98333333333301</v>
      </c>
      <c r="O412" s="116">
        <v>230.01666666666699</v>
      </c>
      <c r="P412" s="116">
        <v>233.65</v>
      </c>
      <c r="Q412" s="116">
        <v>693.75</v>
      </c>
      <c r="R412">
        <v>16544</v>
      </c>
    </row>
    <row r="413" spans="1:18" x14ac:dyDescent="0.25">
      <c r="A413" s="169">
        <v>43097</v>
      </c>
      <c r="B413" s="116">
        <v>232.88333333333301</v>
      </c>
      <c r="C413" s="116">
        <v>232.01666666666699</v>
      </c>
      <c r="D413" s="116">
        <v>230</v>
      </c>
      <c r="E413" s="116">
        <v>232.88333333333301</v>
      </c>
      <c r="F413" s="116">
        <v>696.05</v>
      </c>
      <c r="G413">
        <v>894</v>
      </c>
      <c r="H413" s="116"/>
      <c r="I413" s="116"/>
      <c r="L413" s="169">
        <v>43097</v>
      </c>
      <c r="M413" s="116">
        <v>231.73333333333301</v>
      </c>
      <c r="N413" s="116">
        <v>233.23333333333301</v>
      </c>
      <c r="O413" s="116">
        <v>231.183333333333</v>
      </c>
      <c r="P413" s="116">
        <v>231.333333333333</v>
      </c>
      <c r="Q413" s="116">
        <v>695.2</v>
      </c>
      <c r="R413">
        <v>11201</v>
      </c>
    </row>
    <row r="414" spans="1:18" x14ac:dyDescent="0.25">
      <c r="A414" s="169">
        <v>43098</v>
      </c>
      <c r="B414" s="116">
        <v>234.76666666666699</v>
      </c>
      <c r="C414" s="116">
        <v>229.933333333333</v>
      </c>
      <c r="D414" s="116">
        <v>228.333333333333</v>
      </c>
      <c r="E414" s="116">
        <v>232.98333333333301</v>
      </c>
      <c r="F414" s="116">
        <v>689.8</v>
      </c>
      <c r="G414">
        <v>2932</v>
      </c>
      <c r="H414" s="116"/>
      <c r="I414" s="116"/>
      <c r="L414" s="169">
        <v>43098</v>
      </c>
      <c r="M414" s="116">
        <v>233.03333333333299</v>
      </c>
      <c r="N414" s="116">
        <v>235</v>
      </c>
      <c r="O414" s="116">
        <v>227.75</v>
      </c>
      <c r="P414" s="116">
        <v>234.666666666667</v>
      </c>
      <c r="Q414" s="116">
        <v>699.1</v>
      </c>
      <c r="R414">
        <v>34382</v>
      </c>
    </row>
    <row r="415" spans="1:18" x14ac:dyDescent="0.25">
      <c r="A415" s="169">
        <v>43101</v>
      </c>
      <c r="B415" s="116">
        <v>235.666666666667</v>
      </c>
      <c r="C415" s="116">
        <v>230.35</v>
      </c>
      <c r="D415" s="116">
        <v>228.833333333333</v>
      </c>
      <c r="E415" s="116">
        <v>231.5</v>
      </c>
      <c r="F415" s="116">
        <v>691.05</v>
      </c>
      <c r="G415">
        <v>5142</v>
      </c>
      <c r="H415" s="116"/>
      <c r="I415" s="116"/>
      <c r="L415" s="169">
        <v>43101</v>
      </c>
      <c r="M415" s="116">
        <v>232.76666666666699</v>
      </c>
      <c r="N415" s="116">
        <v>236.666666666667</v>
      </c>
      <c r="O415" s="116">
        <v>231.416666666667</v>
      </c>
      <c r="P415" s="116">
        <v>235</v>
      </c>
      <c r="Q415" s="116">
        <v>698.3</v>
      </c>
      <c r="R415">
        <v>20186</v>
      </c>
    </row>
    <row r="416" spans="1:18" x14ac:dyDescent="0.25">
      <c r="A416" s="169">
        <v>43102</v>
      </c>
      <c r="B416" s="116">
        <v>235</v>
      </c>
      <c r="C416" s="116">
        <v>228.083333333333</v>
      </c>
      <c r="D416" s="116">
        <v>227.066666666667</v>
      </c>
      <c r="E416" s="116">
        <v>234.98333333333301</v>
      </c>
      <c r="F416" s="116">
        <v>684.25</v>
      </c>
      <c r="G416">
        <v>692</v>
      </c>
      <c r="H416" s="116"/>
      <c r="I416" s="116"/>
      <c r="L416" s="169">
        <v>43102</v>
      </c>
      <c r="M416" s="116">
        <v>228.433333333333</v>
      </c>
      <c r="N416" s="116">
        <v>234.36666666666699</v>
      </c>
      <c r="O416" s="116">
        <v>227.583333333333</v>
      </c>
      <c r="P416" s="116">
        <v>233.5</v>
      </c>
      <c r="Q416" s="116">
        <v>685.3</v>
      </c>
      <c r="R416">
        <v>14701</v>
      </c>
    </row>
    <row r="417" spans="1:18" x14ac:dyDescent="0.25">
      <c r="A417" s="169">
        <v>43103</v>
      </c>
      <c r="B417" s="116">
        <v>230.5</v>
      </c>
      <c r="C417" s="116">
        <v>228.183333333333</v>
      </c>
      <c r="D417" s="116">
        <v>226.666666666667</v>
      </c>
      <c r="E417" s="116">
        <v>228.333333333333</v>
      </c>
      <c r="F417" s="116">
        <v>684.55</v>
      </c>
      <c r="G417">
        <v>969</v>
      </c>
      <c r="H417" s="116"/>
      <c r="I417" s="116"/>
      <c r="L417" s="169">
        <v>43103</v>
      </c>
      <c r="M417" s="116">
        <v>227.9</v>
      </c>
      <c r="N417" s="116">
        <v>230.316666666667</v>
      </c>
      <c r="O417" s="116">
        <v>226.683333333333</v>
      </c>
      <c r="P417" s="116">
        <v>226.683333333333</v>
      </c>
      <c r="Q417" s="116">
        <v>683.7</v>
      </c>
      <c r="R417">
        <v>8555</v>
      </c>
    </row>
    <row r="418" spans="1:18" x14ac:dyDescent="0.25">
      <c r="A418" s="169">
        <v>43104</v>
      </c>
      <c r="B418" s="116">
        <v>235</v>
      </c>
      <c r="C418" s="116">
        <v>231.73333333333301</v>
      </c>
      <c r="D418" s="116">
        <v>226.666666666667</v>
      </c>
      <c r="E418" s="116">
        <v>226.683333333333</v>
      </c>
      <c r="F418" s="116">
        <v>695.2</v>
      </c>
      <c r="G418">
        <v>1342</v>
      </c>
      <c r="H418" s="116"/>
      <c r="I418" s="116"/>
      <c r="L418" s="169">
        <v>43104</v>
      </c>
      <c r="M418" s="116">
        <v>231.38333333333301</v>
      </c>
      <c r="N418" s="116">
        <v>233.333333333333</v>
      </c>
      <c r="O418" s="116">
        <v>228.333333333333</v>
      </c>
      <c r="P418" s="116">
        <v>229.98333333333301</v>
      </c>
      <c r="Q418" s="116">
        <v>694.15</v>
      </c>
      <c r="R418">
        <v>18553</v>
      </c>
    </row>
    <row r="419" spans="1:18" x14ac:dyDescent="0.25">
      <c r="A419" s="169">
        <v>43105</v>
      </c>
      <c r="B419" s="116">
        <v>235</v>
      </c>
      <c r="C419" s="116">
        <v>229.833333333333</v>
      </c>
      <c r="D419" s="116">
        <v>228.35</v>
      </c>
      <c r="E419" s="116">
        <v>228.35</v>
      </c>
      <c r="F419" s="116">
        <v>689.5</v>
      </c>
      <c r="G419">
        <v>7532</v>
      </c>
      <c r="H419" s="116"/>
      <c r="I419" s="116"/>
      <c r="L419" s="169">
        <v>43105</v>
      </c>
      <c r="M419" s="116">
        <v>227.86666666666699</v>
      </c>
      <c r="N419" s="116">
        <v>234</v>
      </c>
      <c r="O419" s="116">
        <v>227.23333333333301</v>
      </c>
      <c r="P419" s="116">
        <v>234</v>
      </c>
      <c r="Q419" s="116">
        <v>683.6</v>
      </c>
      <c r="R419">
        <v>21305</v>
      </c>
    </row>
    <row r="420" spans="1:18" x14ac:dyDescent="0.25">
      <c r="A420" s="169">
        <v>43108</v>
      </c>
      <c r="B420" s="116">
        <v>234.416666666667</v>
      </c>
      <c r="C420" s="116">
        <v>228.95</v>
      </c>
      <c r="D420" s="116">
        <v>226.71666666666701</v>
      </c>
      <c r="E420" s="116">
        <v>226.71666666666701</v>
      </c>
      <c r="F420" s="116">
        <v>686.85</v>
      </c>
      <c r="G420">
        <v>2457</v>
      </c>
      <c r="H420" s="116"/>
      <c r="I420" s="116"/>
      <c r="L420" s="169">
        <v>43108</v>
      </c>
      <c r="M420" s="116">
        <v>228.933333333333</v>
      </c>
      <c r="N420" s="116">
        <v>230.666666666667</v>
      </c>
      <c r="O420" s="116">
        <v>227.933333333333</v>
      </c>
      <c r="P420" s="116">
        <v>230.666666666667</v>
      </c>
      <c r="Q420" s="116">
        <v>686.8</v>
      </c>
      <c r="R420">
        <v>430393</v>
      </c>
    </row>
    <row r="421" spans="1:18" x14ac:dyDescent="0.25">
      <c r="A421" s="169">
        <v>43109</v>
      </c>
      <c r="B421" s="116">
        <v>233.316666666667</v>
      </c>
      <c r="C421" s="116">
        <v>230.05</v>
      </c>
      <c r="D421" s="116">
        <v>229.333333333333</v>
      </c>
      <c r="E421" s="116">
        <v>232.98333333333301</v>
      </c>
      <c r="F421" s="116">
        <v>690.15</v>
      </c>
      <c r="G421">
        <v>1999</v>
      </c>
      <c r="H421" s="116"/>
      <c r="I421" s="116"/>
      <c r="L421" s="169">
        <v>43109</v>
      </c>
      <c r="M421" s="116">
        <v>229.666666666667</v>
      </c>
      <c r="N421" s="116">
        <v>233.333333333333</v>
      </c>
      <c r="O421" s="116">
        <v>229</v>
      </c>
      <c r="P421" s="116">
        <v>230.666666666667</v>
      </c>
      <c r="Q421" s="116">
        <v>689</v>
      </c>
      <c r="R421">
        <v>192326</v>
      </c>
    </row>
    <row r="422" spans="1:18" x14ac:dyDescent="0.25">
      <c r="A422" s="169">
        <v>43110</v>
      </c>
      <c r="B422" s="116">
        <v>233.333333333333</v>
      </c>
      <c r="C422" s="116">
        <v>229.066666666667</v>
      </c>
      <c r="D422" s="116">
        <v>229</v>
      </c>
      <c r="E422" s="116">
        <v>233.166666666667</v>
      </c>
      <c r="F422" s="116">
        <v>687.2</v>
      </c>
      <c r="G422">
        <v>215722</v>
      </c>
      <c r="H422" s="116"/>
      <c r="I422" s="116"/>
      <c r="L422" s="169">
        <v>43110</v>
      </c>
      <c r="M422" s="116">
        <v>229.61666666666699</v>
      </c>
      <c r="N422" s="116">
        <v>232.816666666667</v>
      </c>
      <c r="O422" s="116">
        <v>228.55</v>
      </c>
      <c r="P422" s="116">
        <v>229.166666666667</v>
      </c>
      <c r="Q422" s="116">
        <v>688.85</v>
      </c>
      <c r="R422">
        <v>145246</v>
      </c>
    </row>
    <row r="423" spans="1:18" x14ac:dyDescent="0.25">
      <c r="A423" s="169">
        <v>43111</v>
      </c>
      <c r="B423" s="116">
        <v>236.666666666667</v>
      </c>
      <c r="C423" s="116">
        <v>233.816666666667</v>
      </c>
      <c r="D423" s="116">
        <v>229.01666666666699</v>
      </c>
      <c r="E423" s="116">
        <v>229.01666666666699</v>
      </c>
      <c r="F423" s="116">
        <v>701.45</v>
      </c>
      <c r="G423">
        <v>4017</v>
      </c>
      <c r="H423" s="116"/>
      <c r="I423" s="116"/>
      <c r="L423" s="169">
        <v>43111</v>
      </c>
      <c r="M423" s="116">
        <v>234</v>
      </c>
      <c r="N423" s="116">
        <v>237.4</v>
      </c>
      <c r="O423" s="116">
        <v>228</v>
      </c>
      <c r="P423" s="116">
        <v>229.63333333333301</v>
      </c>
      <c r="Q423" s="116">
        <v>702</v>
      </c>
      <c r="R423">
        <v>102191</v>
      </c>
    </row>
    <row r="424" spans="1:18" x14ac:dyDescent="0.25">
      <c r="A424" s="169">
        <v>43112</v>
      </c>
      <c r="B424" s="116">
        <v>239.6</v>
      </c>
      <c r="C424" s="116">
        <v>236.1</v>
      </c>
      <c r="D424" s="116">
        <v>232.333333333333</v>
      </c>
      <c r="E424" s="116">
        <v>235</v>
      </c>
      <c r="F424" s="116">
        <v>708.3</v>
      </c>
      <c r="G424">
        <v>2605</v>
      </c>
      <c r="H424" s="116"/>
      <c r="I424" s="116"/>
      <c r="L424" s="169">
        <v>43112</v>
      </c>
      <c r="M424" s="116">
        <v>236.63333333333301</v>
      </c>
      <c r="N424" s="116">
        <v>239.666666666667</v>
      </c>
      <c r="O424" s="116">
        <v>231.666666666667</v>
      </c>
      <c r="P424" s="116">
        <v>235.666666666667</v>
      </c>
      <c r="Q424" s="116">
        <v>709.9</v>
      </c>
      <c r="R424">
        <v>68302</v>
      </c>
    </row>
    <row r="425" spans="1:18" x14ac:dyDescent="0.25">
      <c r="A425" s="169">
        <v>43115</v>
      </c>
      <c r="B425" s="116">
        <v>239.76666666666699</v>
      </c>
      <c r="C425" s="116">
        <v>233.71666666666701</v>
      </c>
      <c r="D425" s="116">
        <v>232.666666666667</v>
      </c>
      <c r="E425" s="116">
        <v>237.96666666666701</v>
      </c>
      <c r="F425" s="116">
        <v>701.15</v>
      </c>
      <c r="G425">
        <v>1732</v>
      </c>
      <c r="H425" s="116"/>
      <c r="I425" s="116"/>
      <c r="L425" s="169">
        <v>43115</v>
      </c>
      <c r="M425" s="116">
        <v>233.316666666667</v>
      </c>
      <c r="N425" s="116">
        <v>239.51666666666699</v>
      </c>
      <c r="O425" s="116">
        <v>231.8</v>
      </c>
      <c r="P425" s="116">
        <v>238.15</v>
      </c>
      <c r="Q425" s="116">
        <v>699.95</v>
      </c>
      <c r="R425">
        <v>65765</v>
      </c>
    </row>
    <row r="426" spans="1:18" x14ac:dyDescent="0.25">
      <c r="A426" s="169">
        <v>43116</v>
      </c>
      <c r="B426" s="116">
        <v>236.416666666667</v>
      </c>
      <c r="C426" s="116">
        <v>228.98333333333301</v>
      </c>
      <c r="D426" s="116">
        <v>227.51666666666699</v>
      </c>
      <c r="E426" s="116">
        <v>230.7</v>
      </c>
      <c r="F426" s="116">
        <v>686.95</v>
      </c>
      <c r="G426">
        <v>1083</v>
      </c>
      <c r="H426" s="116"/>
      <c r="I426" s="116"/>
      <c r="L426" s="169">
        <v>43116</v>
      </c>
      <c r="M426" s="116">
        <v>230.13333333333301</v>
      </c>
      <c r="N426" s="116">
        <v>233.8</v>
      </c>
      <c r="O426" s="116">
        <v>227.416666666667</v>
      </c>
      <c r="P426" s="116">
        <v>232.23333333333301</v>
      </c>
      <c r="Q426" s="116">
        <v>690.4</v>
      </c>
      <c r="R426">
        <v>80254</v>
      </c>
    </row>
    <row r="427" spans="1:18" x14ac:dyDescent="0.25">
      <c r="A427" s="169">
        <v>43117</v>
      </c>
      <c r="B427" s="116">
        <v>241.666666666667</v>
      </c>
      <c r="C427" s="116">
        <v>232</v>
      </c>
      <c r="D427" s="116">
        <v>226.98333333333301</v>
      </c>
      <c r="E427" s="116">
        <v>226.98333333333301</v>
      </c>
      <c r="F427" s="116">
        <v>696</v>
      </c>
      <c r="G427">
        <v>2020</v>
      </c>
      <c r="H427" s="116"/>
      <c r="I427" s="116"/>
      <c r="L427" s="169">
        <v>43117</v>
      </c>
      <c r="M427" s="116">
        <v>231.8</v>
      </c>
      <c r="N427" s="116">
        <v>241.333333333333</v>
      </c>
      <c r="O427" s="116">
        <v>228.35</v>
      </c>
      <c r="P427" s="116">
        <v>230.35</v>
      </c>
      <c r="Q427" s="116">
        <v>695.4</v>
      </c>
      <c r="R427">
        <v>53628</v>
      </c>
    </row>
    <row r="428" spans="1:18" x14ac:dyDescent="0.25">
      <c r="A428" s="169">
        <v>43118</v>
      </c>
      <c r="B428" s="116">
        <v>236.666666666667</v>
      </c>
      <c r="C428" s="116">
        <v>233.23333333333301</v>
      </c>
      <c r="D428" s="116">
        <v>231.75</v>
      </c>
      <c r="E428" s="116">
        <v>233.333333333333</v>
      </c>
      <c r="F428" s="116">
        <v>699.7</v>
      </c>
      <c r="G428">
        <v>1951</v>
      </c>
      <c r="H428" s="116"/>
      <c r="I428" s="116"/>
      <c r="L428" s="169">
        <v>43118</v>
      </c>
      <c r="M428" s="116">
        <v>234.15</v>
      </c>
      <c r="N428" s="116">
        <v>238.3</v>
      </c>
      <c r="O428" s="116">
        <v>231.71666666666701</v>
      </c>
      <c r="P428" s="116">
        <v>232.2</v>
      </c>
      <c r="Q428" s="116">
        <v>702.45</v>
      </c>
      <c r="R428">
        <v>21891</v>
      </c>
    </row>
    <row r="429" spans="1:18" x14ac:dyDescent="0.25">
      <c r="A429" s="169">
        <v>43119</v>
      </c>
      <c r="B429" s="116">
        <v>236.01666666666699</v>
      </c>
      <c r="C429" s="116">
        <v>233.9</v>
      </c>
      <c r="D429" s="116">
        <v>231.666666666667</v>
      </c>
      <c r="E429" s="116">
        <v>232.35</v>
      </c>
      <c r="F429" s="116">
        <v>701.7</v>
      </c>
      <c r="G429">
        <v>1180</v>
      </c>
      <c r="H429" s="116"/>
      <c r="I429" s="116"/>
      <c r="L429" s="169">
        <v>43119</v>
      </c>
      <c r="M429" s="116">
        <v>233.083333333333</v>
      </c>
      <c r="N429" s="116">
        <v>236.7</v>
      </c>
      <c r="O429" s="116">
        <v>232.333333333333</v>
      </c>
      <c r="P429" s="116">
        <v>234</v>
      </c>
      <c r="Q429" s="116">
        <v>699.25</v>
      </c>
      <c r="R429">
        <v>214485</v>
      </c>
    </row>
    <row r="430" spans="1:18" x14ac:dyDescent="0.25">
      <c r="A430" s="169">
        <v>43122</v>
      </c>
      <c r="B430" s="116">
        <v>237.95</v>
      </c>
      <c r="C430" s="116">
        <v>233.01666666666699</v>
      </c>
      <c r="D430" s="116">
        <v>231.73333333333301</v>
      </c>
      <c r="E430" s="116">
        <v>234.3</v>
      </c>
      <c r="F430" s="116">
        <v>699.05</v>
      </c>
      <c r="G430">
        <v>1244</v>
      </c>
      <c r="H430" s="116"/>
      <c r="I430" s="116"/>
      <c r="L430" s="169">
        <v>43122</v>
      </c>
      <c r="M430" s="116">
        <v>233.333333333333</v>
      </c>
      <c r="N430" s="116">
        <v>238</v>
      </c>
      <c r="O430" s="116">
        <v>231.36666666666699</v>
      </c>
      <c r="P430" s="116">
        <v>233</v>
      </c>
      <c r="Q430" s="116">
        <v>700</v>
      </c>
      <c r="R430">
        <v>28661</v>
      </c>
    </row>
    <row r="431" spans="1:18" x14ac:dyDescent="0.25">
      <c r="A431" s="169">
        <v>43123</v>
      </c>
      <c r="B431" s="116">
        <v>234.666666666667</v>
      </c>
      <c r="C431" s="116">
        <v>231.316666666667</v>
      </c>
      <c r="D431" s="116">
        <v>228.4</v>
      </c>
      <c r="E431" s="116">
        <v>233.35</v>
      </c>
      <c r="F431" s="116">
        <v>693.95</v>
      </c>
      <c r="G431">
        <v>3844</v>
      </c>
      <c r="H431" s="116"/>
      <c r="I431" s="116"/>
      <c r="L431" s="169">
        <v>43123</v>
      </c>
      <c r="M431" s="116">
        <v>229.21666666666701</v>
      </c>
      <c r="N431" s="116">
        <v>234.55</v>
      </c>
      <c r="O431" s="116">
        <v>227.916666666667</v>
      </c>
      <c r="P431" s="116">
        <v>234.1</v>
      </c>
      <c r="Q431" s="116">
        <v>687.65</v>
      </c>
      <c r="R431">
        <v>37943</v>
      </c>
    </row>
    <row r="432" spans="1:18" x14ac:dyDescent="0.25">
      <c r="A432" s="169">
        <v>43124</v>
      </c>
      <c r="B432" s="116">
        <v>232.3</v>
      </c>
      <c r="C432" s="116">
        <v>230.666666666667</v>
      </c>
      <c r="D432" s="116">
        <v>229</v>
      </c>
      <c r="E432" s="116">
        <v>229.333333333333</v>
      </c>
      <c r="F432" s="116">
        <v>692</v>
      </c>
      <c r="G432">
        <v>659</v>
      </c>
      <c r="H432" s="116"/>
      <c r="I432" s="116"/>
      <c r="L432" s="169">
        <v>43124</v>
      </c>
      <c r="M432" s="116">
        <v>229.73333333333301</v>
      </c>
      <c r="N432" s="116">
        <v>231.566666666667</v>
      </c>
      <c r="O432" s="116">
        <v>227.833333333333</v>
      </c>
      <c r="P432" s="116">
        <v>227.833333333333</v>
      </c>
      <c r="Q432" s="116">
        <v>689.2</v>
      </c>
      <c r="R432">
        <v>7519</v>
      </c>
    </row>
    <row r="433" spans="1:18" x14ac:dyDescent="0.25">
      <c r="A433" s="169">
        <v>43125</v>
      </c>
      <c r="B433" s="116">
        <v>232</v>
      </c>
      <c r="C433" s="116">
        <v>228.75</v>
      </c>
      <c r="D433" s="116">
        <v>228.333333333333</v>
      </c>
      <c r="E433" s="116">
        <v>231.316666666667</v>
      </c>
      <c r="F433" s="116">
        <v>686.25</v>
      </c>
      <c r="G433">
        <v>1004</v>
      </c>
      <c r="H433" s="116"/>
      <c r="I433" s="116"/>
      <c r="L433" s="169">
        <v>43125</v>
      </c>
      <c r="M433" s="116">
        <v>229.85</v>
      </c>
      <c r="N433" s="116">
        <v>232.666666666667</v>
      </c>
      <c r="O433" s="116">
        <v>228.333333333333</v>
      </c>
      <c r="P433" s="116">
        <v>232.666666666667</v>
      </c>
      <c r="Q433" s="116">
        <v>689.55</v>
      </c>
      <c r="R433">
        <v>25590</v>
      </c>
    </row>
    <row r="434" spans="1:18" x14ac:dyDescent="0.25">
      <c r="A434" s="169">
        <v>43129</v>
      </c>
      <c r="B434" s="116">
        <v>231.65</v>
      </c>
      <c r="C434" s="116">
        <v>228.4</v>
      </c>
      <c r="D434" s="116">
        <v>227.51666666666699</v>
      </c>
      <c r="E434" s="116">
        <v>228.666666666667</v>
      </c>
      <c r="F434" s="116">
        <v>685.2</v>
      </c>
      <c r="G434">
        <v>1634</v>
      </c>
      <c r="H434" s="116"/>
      <c r="I434" s="116"/>
      <c r="L434" s="169">
        <v>43129</v>
      </c>
      <c r="M434" s="116">
        <v>230.38333333333301</v>
      </c>
      <c r="N434" s="116">
        <v>231.666666666667</v>
      </c>
      <c r="O434" s="116">
        <v>226.65</v>
      </c>
      <c r="P434" s="116">
        <v>228.666666666667</v>
      </c>
      <c r="Q434" s="116">
        <v>691.15</v>
      </c>
      <c r="R434">
        <v>48290</v>
      </c>
    </row>
    <row r="435" spans="1:18" x14ac:dyDescent="0.25">
      <c r="A435" s="169">
        <v>43130</v>
      </c>
      <c r="B435" s="116">
        <v>231</v>
      </c>
      <c r="C435" s="116">
        <v>228.61666666666699</v>
      </c>
      <c r="D435" s="116">
        <v>227.03333333333299</v>
      </c>
      <c r="E435" s="116">
        <v>229.73333333333301</v>
      </c>
      <c r="F435" s="116">
        <v>685.85</v>
      </c>
      <c r="G435">
        <v>1401</v>
      </c>
      <c r="H435" s="116"/>
      <c r="I435" s="116"/>
      <c r="L435" s="169">
        <v>43130</v>
      </c>
      <c r="M435" s="116">
        <v>229.916666666667</v>
      </c>
      <c r="N435" s="116">
        <v>233.316666666667</v>
      </c>
      <c r="O435" s="116">
        <v>226.833333333333</v>
      </c>
      <c r="P435" s="116">
        <v>233.316666666667</v>
      </c>
      <c r="Q435" s="116">
        <v>689.75</v>
      </c>
      <c r="R435">
        <v>26219</v>
      </c>
    </row>
    <row r="436" spans="1:18" x14ac:dyDescent="0.25">
      <c r="A436" s="169">
        <v>43131</v>
      </c>
      <c r="B436" s="116">
        <v>230.63333333333301</v>
      </c>
      <c r="C436" s="116">
        <v>229.03333333333299</v>
      </c>
      <c r="D436" s="116">
        <v>228.333333333333</v>
      </c>
      <c r="E436" s="116">
        <v>228.71666666666701</v>
      </c>
      <c r="F436" s="116">
        <v>687.1</v>
      </c>
      <c r="G436">
        <v>1048</v>
      </c>
      <c r="H436" s="116"/>
      <c r="I436" s="116"/>
      <c r="L436" s="169">
        <v>43131</v>
      </c>
      <c r="M436" s="116">
        <v>229.78333333333299</v>
      </c>
      <c r="N436" s="116">
        <v>230.683333333333</v>
      </c>
      <c r="O436" s="116">
        <v>227.78333333333299</v>
      </c>
      <c r="P436" s="116">
        <v>228.333333333333</v>
      </c>
      <c r="Q436" s="116">
        <v>689.35</v>
      </c>
      <c r="R436">
        <v>23410</v>
      </c>
    </row>
    <row r="437" spans="1:18" x14ac:dyDescent="0.25">
      <c r="A437" s="169">
        <v>43132</v>
      </c>
      <c r="B437" s="116">
        <v>236.666666666667</v>
      </c>
      <c r="C437" s="116">
        <v>231.9</v>
      </c>
      <c r="D437" s="116">
        <v>230.35</v>
      </c>
      <c r="E437" s="116">
        <v>231.316666666667</v>
      </c>
      <c r="F437" s="116">
        <v>695.7</v>
      </c>
      <c r="G437">
        <v>5030</v>
      </c>
      <c r="H437" s="116"/>
      <c r="I437" s="116"/>
      <c r="L437" s="169">
        <v>43132</v>
      </c>
      <c r="M437" s="116">
        <v>231.88333333333301</v>
      </c>
      <c r="N437" s="116">
        <v>237.333333333333</v>
      </c>
      <c r="O437" s="116">
        <v>229.76666666666699</v>
      </c>
      <c r="P437" s="116">
        <v>230</v>
      </c>
      <c r="Q437" s="116">
        <v>695.65</v>
      </c>
      <c r="R437">
        <v>44230</v>
      </c>
    </row>
    <row r="438" spans="1:18" x14ac:dyDescent="0.25">
      <c r="A438" s="169">
        <v>43133</v>
      </c>
      <c r="B438" s="116">
        <v>231.98333333333301</v>
      </c>
      <c r="C438" s="116">
        <v>224.53333333333299</v>
      </c>
      <c r="D438" s="116">
        <v>218.666666666667</v>
      </c>
      <c r="E438" s="116">
        <v>229.666666666667</v>
      </c>
      <c r="F438" s="116">
        <v>673.6</v>
      </c>
      <c r="G438">
        <v>3929</v>
      </c>
      <c r="H438" s="116"/>
      <c r="I438" s="116"/>
      <c r="L438" s="169">
        <v>43133</v>
      </c>
      <c r="M438" s="116">
        <v>223.416666666667</v>
      </c>
      <c r="N438" s="116">
        <v>231.9</v>
      </c>
      <c r="O438" s="116">
        <v>222.61666666666699</v>
      </c>
      <c r="P438" s="116">
        <v>231</v>
      </c>
      <c r="Q438" s="116">
        <v>670.25</v>
      </c>
      <c r="R438">
        <v>308964</v>
      </c>
    </row>
    <row r="439" spans="1:18" x14ac:dyDescent="0.25">
      <c r="A439" s="169">
        <v>43136</v>
      </c>
      <c r="B439" s="116">
        <v>231.666666666667</v>
      </c>
      <c r="C439" s="116">
        <v>225.833333333333</v>
      </c>
      <c r="D439" s="116">
        <v>223.333333333333</v>
      </c>
      <c r="E439" s="116">
        <v>223.333333333333</v>
      </c>
      <c r="F439" s="116">
        <v>677.5</v>
      </c>
      <c r="G439">
        <v>2473</v>
      </c>
      <c r="H439" s="116"/>
      <c r="I439" s="116"/>
      <c r="L439" s="169">
        <v>43136</v>
      </c>
      <c r="M439" s="116">
        <v>225.4</v>
      </c>
      <c r="N439" s="116">
        <v>231</v>
      </c>
      <c r="O439" s="116">
        <v>224</v>
      </c>
      <c r="P439" s="116">
        <v>225</v>
      </c>
      <c r="Q439" s="116">
        <v>676.2</v>
      </c>
      <c r="R439">
        <v>34900</v>
      </c>
    </row>
    <row r="440" spans="1:18" x14ac:dyDescent="0.25">
      <c r="A440" s="169">
        <v>43137</v>
      </c>
      <c r="B440" s="116">
        <v>226.53333333333299</v>
      </c>
      <c r="C440" s="116">
        <v>214.11666666666699</v>
      </c>
      <c r="D440" s="116">
        <v>209.333333333333</v>
      </c>
      <c r="E440" s="116">
        <v>226.53333333333299</v>
      </c>
      <c r="F440" s="116">
        <v>642.35</v>
      </c>
      <c r="G440">
        <v>2936</v>
      </c>
      <c r="H440" s="116"/>
      <c r="I440" s="116"/>
      <c r="L440" s="169">
        <v>43137</v>
      </c>
      <c r="M440" s="116">
        <v>215.183333333333</v>
      </c>
      <c r="N440" s="116">
        <v>223</v>
      </c>
      <c r="O440" s="116">
        <v>200.05</v>
      </c>
      <c r="P440" s="116">
        <v>223</v>
      </c>
      <c r="Q440" s="116">
        <v>645.54999999999995</v>
      </c>
      <c r="R440">
        <v>81666</v>
      </c>
    </row>
    <row r="441" spans="1:18" x14ac:dyDescent="0.25">
      <c r="A441" s="169">
        <v>43138</v>
      </c>
      <c r="B441" s="116">
        <v>222</v>
      </c>
      <c r="C441" s="116">
        <v>218.933333333333</v>
      </c>
      <c r="D441" s="116">
        <v>217.03333333333299</v>
      </c>
      <c r="E441" s="116">
        <v>219.666666666667</v>
      </c>
      <c r="F441" s="116">
        <v>656.8</v>
      </c>
      <c r="G441">
        <v>13758</v>
      </c>
      <c r="H441" s="116"/>
      <c r="I441" s="116"/>
      <c r="L441" s="169">
        <v>43138</v>
      </c>
      <c r="M441" s="116">
        <v>219.86666666666699</v>
      </c>
      <c r="N441" s="116">
        <v>221.61666666666699</v>
      </c>
      <c r="O441" s="116">
        <v>216.666666666667</v>
      </c>
      <c r="P441" s="116">
        <v>221.61666666666699</v>
      </c>
      <c r="Q441" s="116">
        <v>659.6</v>
      </c>
      <c r="R441">
        <v>100546</v>
      </c>
    </row>
    <row r="442" spans="1:18" x14ac:dyDescent="0.25">
      <c r="A442" s="169">
        <v>43139</v>
      </c>
      <c r="B442" s="116">
        <v>224.03333333333299</v>
      </c>
      <c r="C442" s="116">
        <v>222.96666666666701</v>
      </c>
      <c r="D442" s="116">
        <v>219.433333333333</v>
      </c>
      <c r="E442" s="116">
        <v>221.666666666667</v>
      </c>
      <c r="F442" s="116">
        <v>668.9</v>
      </c>
      <c r="G442">
        <v>3907</v>
      </c>
      <c r="H442" s="116"/>
      <c r="I442" s="116"/>
      <c r="L442" s="169">
        <v>43139</v>
      </c>
      <c r="M442" s="116">
        <v>222.51666666666699</v>
      </c>
      <c r="N442" s="116">
        <v>223.63333333333301</v>
      </c>
      <c r="O442" s="116">
        <v>220.183333333333</v>
      </c>
      <c r="P442" s="116">
        <v>221.683333333333</v>
      </c>
      <c r="Q442" s="116">
        <v>667.55</v>
      </c>
      <c r="R442">
        <v>56954</v>
      </c>
    </row>
    <row r="443" spans="1:18" x14ac:dyDescent="0.25">
      <c r="A443" s="169">
        <v>43140</v>
      </c>
      <c r="B443" s="116">
        <v>221</v>
      </c>
      <c r="C443" s="116">
        <v>218.26666666666699</v>
      </c>
      <c r="D443" s="116">
        <v>217.083333333333</v>
      </c>
      <c r="E443" s="116">
        <v>218.4</v>
      </c>
      <c r="F443" s="116">
        <v>654.79999999999995</v>
      </c>
      <c r="G443">
        <v>963</v>
      </c>
      <c r="H443" s="116"/>
      <c r="I443" s="116"/>
      <c r="L443" s="169">
        <v>43140</v>
      </c>
      <c r="M443" s="116">
        <v>218.38333333333301</v>
      </c>
      <c r="N443" s="116">
        <v>222.46666666666701</v>
      </c>
      <c r="O443" s="116">
        <v>217.8</v>
      </c>
      <c r="P443" s="116">
        <v>222.46666666666701</v>
      </c>
      <c r="Q443" s="116">
        <v>655.15</v>
      </c>
      <c r="R443">
        <v>13810</v>
      </c>
    </row>
    <row r="444" spans="1:18" x14ac:dyDescent="0.25">
      <c r="A444" s="169">
        <v>43143</v>
      </c>
      <c r="B444" s="116">
        <v>221.73333333333301</v>
      </c>
      <c r="C444" s="116">
        <v>219.066666666667</v>
      </c>
      <c r="D444" s="116">
        <v>218.333333333333</v>
      </c>
      <c r="E444" s="116">
        <v>218.333333333333</v>
      </c>
      <c r="F444" s="116">
        <v>657.2</v>
      </c>
      <c r="G444">
        <v>500</v>
      </c>
      <c r="H444" s="116"/>
      <c r="I444" s="116"/>
      <c r="L444" s="169">
        <v>43143</v>
      </c>
      <c r="M444" s="116">
        <v>218.95</v>
      </c>
      <c r="N444" s="116">
        <v>222.316666666667</v>
      </c>
      <c r="O444" s="116">
        <v>217.666666666667</v>
      </c>
      <c r="P444" s="116">
        <v>222.316666666667</v>
      </c>
      <c r="Q444" s="116">
        <v>656.85</v>
      </c>
      <c r="R444">
        <v>12206</v>
      </c>
    </row>
    <row r="445" spans="1:18" x14ac:dyDescent="0.25">
      <c r="A445" s="169">
        <v>43145</v>
      </c>
      <c r="B445" s="116">
        <v>220.666666666667</v>
      </c>
      <c r="C445" s="116">
        <v>218.76666666666699</v>
      </c>
      <c r="D445" s="116">
        <v>218.666666666667</v>
      </c>
      <c r="E445" s="116">
        <v>220</v>
      </c>
      <c r="F445" s="116">
        <v>656.3</v>
      </c>
      <c r="G445">
        <v>885</v>
      </c>
      <c r="H445" s="116"/>
      <c r="I445" s="116"/>
      <c r="L445" s="169">
        <v>43145</v>
      </c>
      <c r="M445" s="116">
        <v>218.61666666666699</v>
      </c>
      <c r="N445" s="116">
        <v>221.55</v>
      </c>
      <c r="O445" s="116">
        <v>218.05</v>
      </c>
      <c r="P445" s="116">
        <v>220</v>
      </c>
      <c r="Q445" s="116">
        <v>655.85</v>
      </c>
      <c r="R445">
        <v>16915</v>
      </c>
    </row>
    <row r="446" spans="1:18" x14ac:dyDescent="0.25">
      <c r="A446" s="169">
        <v>43146</v>
      </c>
      <c r="B446" s="116">
        <v>219.98333333333301</v>
      </c>
      <c r="C446" s="116">
        <v>213.65</v>
      </c>
      <c r="D446" s="116">
        <v>212.666666666667</v>
      </c>
      <c r="E446" s="116">
        <v>218.666666666667</v>
      </c>
      <c r="F446" s="116">
        <v>640.95000000000005</v>
      </c>
      <c r="G446">
        <v>1619</v>
      </c>
      <c r="H446" s="116"/>
      <c r="I446" s="116"/>
      <c r="L446" s="169">
        <v>43146</v>
      </c>
      <c r="M446" s="116">
        <v>212.96666666666701</v>
      </c>
      <c r="N446" s="116">
        <v>219.6</v>
      </c>
      <c r="O446" s="116">
        <v>211.76666666666699</v>
      </c>
      <c r="P446" s="116">
        <v>218.333333333333</v>
      </c>
      <c r="Q446" s="116">
        <v>638.9</v>
      </c>
      <c r="R446">
        <v>21847</v>
      </c>
    </row>
    <row r="447" spans="1:18" x14ac:dyDescent="0.25">
      <c r="A447" s="169">
        <v>43147</v>
      </c>
      <c r="B447" s="116">
        <v>216.666666666667</v>
      </c>
      <c r="C447" s="116">
        <v>213.066666666667</v>
      </c>
      <c r="D447" s="116">
        <v>210</v>
      </c>
      <c r="E447" s="116">
        <v>210</v>
      </c>
      <c r="F447" s="116">
        <v>639.20000000000005</v>
      </c>
      <c r="G447">
        <v>1010</v>
      </c>
      <c r="H447" s="116"/>
      <c r="I447" s="116"/>
      <c r="L447" s="169">
        <v>43147</v>
      </c>
      <c r="M447" s="116">
        <v>212.3</v>
      </c>
      <c r="N447" s="116">
        <v>214.96666666666701</v>
      </c>
      <c r="O447" s="116">
        <v>212</v>
      </c>
      <c r="P447" s="116">
        <v>212.666666666667</v>
      </c>
      <c r="Q447" s="116">
        <v>636.9</v>
      </c>
      <c r="R447">
        <v>10288</v>
      </c>
    </row>
    <row r="448" spans="1:18" x14ac:dyDescent="0.25">
      <c r="A448" s="169">
        <v>43150</v>
      </c>
      <c r="B448" s="116">
        <v>213.36666666666699</v>
      </c>
      <c r="C448" s="116">
        <v>211.166666666667</v>
      </c>
      <c r="D448" s="116">
        <v>210</v>
      </c>
      <c r="E448" s="116">
        <v>213.333333333333</v>
      </c>
      <c r="F448" s="116">
        <v>633.5</v>
      </c>
      <c r="G448">
        <v>635</v>
      </c>
      <c r="H448" s="116"/>
      <c r="I448" s="116"/>
      <c r="L448" s="169">
        <v>43150</v>
      </c>
      <c r="M448" s="116">
        <v>211.21666666666701</v>
      </c>
      <c r="N448" s="116">
        <v>214.65</v>
      </c>
      <c r="O448" s="116">
        <v>210</v>
      </c>
      <c r="P448" s="116">
        <v>213.4</v>
      </c>
      <c r="Q448" s="116">
        <v>633.65</v>
      </c>
      <c r="R448">
        <v>5427</v>
      </c>
    </row>
    <row r="449" spans="1:18" x14ac:dyDescent="0.25">
      <c r="A449" s="169">
        <v>43151</v>
      </c>
      <c r="B449" s="116">
        <v>212.45</v>
      </c>
      <c r="C449" s="116">
        <v>210.13333333333301</v>
      </c>
      <c r="D449" s="116">
        <v>209</v>
      </c>
      <c r="E449" s="116">
        <v>211.05</v>
      </c>
      <c r="F449" s="116">
        <v>630.4</v>
      </c>
      <c r="G449">
        <v>5777</v>
      </c>
      <c r="H449" s="116"/>
      <c r="I449" s="116"/>
      <c r="L449" s="169">
        <v>43151</v>
      </c>
      <c r="M449" s="116">
        <v>209.36666666666699</v>
      </c>
      <c r="N449" s="116">
        <v>214.46666666666701</v>
      </c>
      <c r="O449" s="116">
        <v>208.51666666666699</v>
      </c>
      <c r="P449" s="116">
        <v>214.46666666666701</v>
      </c>
      <c r="Q449" s="116">
        <v>628.1</v>
      </c>
      <c r="R449">
        <v>7607</v>
      </c>
    </row>
    <row r="450" spans="1:18" x14ac:dyDescent="0.25">
      <c r="A450" s="169">
        <v>43152</v>
      </c>
      <c r="B450" s="116">
        <v>211.083333333333</v>
      </c>
      <c r="C450" s="116">
        <v>208.11666666666699</v>
      </c>
      <c r="D450" s="116">
        <v>206.816666666667</v>
      </c>
      <c r="E450" s="116">
        <v>209.333333333333</v>
      </c>
      <c r="F450" s="116">
        <v>624.35</v>
      </c>
      <c r="G450">
        <v>13062</v>
      </c>
      <c r="H450" s="116"/>
      <c r="I450" s="116"/>
      <c r="L450" s="169">
        <v>43152</v>
      </c>
      <c r="M450" s="116">
        <v>207.75</v>
      </c>
      <c r="N450" s="116">
        <v>213.316666666667</v>
      </c>
      <c r="O450" s="116">
        <v>207.03333333333299</v>
      </c>
      <c r="P450" s="116">
        <v>213.316666666667</v>
      </c>
      <c r="Q450" s="116">
        <v>623.25</v>
      </c>
      <c r="R450">
        <v>7289</v>
      </c>
    </row>
    <row r="451" spans="1:18" x14ac:dyDescent="0.25">
      <c r="A451" s="169">
        <v>43153</v>
      </c>
      <c r="B451" s="116">
        <v>207.9</v>
      </c>
      <c r="C451" s="116">
        <v>206.85</v>
      </c>
      <c r="D451" s="116">
        <v>206.666666666667</v>
      </c>
      <c r="E451" s="116">
        <v>207</v>
      </c>
      <c r="F451" s="116">
        <v>620.54999999999995</v>
      </c>
      <c r="G451">
        <v>421</v>
      </c>
      <c r="H451" s="116"/>
      <c r="I451" s="116"/>
      <c r="L451" s="169">
        <v>43153</v>
      </c>
      <c r="M451" s="116">
        <v>206.78333333333299</v>
      </c>
      <c r="N451" s="116">
        <v>208.85</v>
      </c>
      <c r="O451" s="116">
        <v>205.416666666667</v>
      </c>
      <c r="P451" s="116">
        <v>208.333333333333</v>
      </c>
      <c r="Q451" s="116">
        <v>620.35</v>
      </c>
      <c r="R451">
        <v>53133</v>
      </c>
    </row>
    <row r="452" spans="1:18" x14ac:dyDescent="0.25">
      <c r="A452" s="169">
        <v>43154</v>
      </c>
      <c r="B452" s="116">
        <v>213.23333333333301</v>
      </c>
      <c r="C452" s="116">
        <v>209.05</v>
      </c>
      <c r="D452" s="116">
        <v>206.03333333333299</v>
      </c>
      <c r="E452" s="116">
        <v>206.03333333333299</v>
      </c>
      <c r="F452" s="116">
        <v>627.15</v>
      </c>
      <c r="G452">
        <v>874</v>
      </c>
      <c r="H452" s="116"/>
      <c r="I452" s="116"/>
      <c r="L452" s="169">
        <v>43154</v>
      </c>
      <c r="M452" s="116">
        <v>207.53333333333299</v>
      </c>
      <c r="N452" s="116">
        <v>210.666666666667</v>
      </c>
      <c r="O452" s="116">
        <v>205.85</v>
      </c>
      <c r="P452" s="116">
        <v>208.3</v>
      </c>
      <c r="Q452" s="116">
        <v>622.6</v>
      </c>
      <c r="R452">
        <v>42533</v>
      </c>
    </row>
    <row r="453" spans="1:18" x14ac:dyDescent="0.25">
      <c r="A453" s="169">
        <v>43157</v>
      </c>
      <c r="B453" s="116">
        <v>210.63333333333301</v>
      </c>
      <c r="C453" s="116">
        <v>209</v>
      </c>
      <c r="D453" s="116">
        <v>208.35</v>
      </c>
      <c r="E453" s="116">
        <v>208.5</v>
      </c>
      <c r="F453" s="116">
        <v>627</v>
      </c>
      <c r="G453">
        <v>287</v>
      </c>
      <c r="H453" s="116"/>
      <c r="I453" s="116"/>
      <c r="L453" s="169">
        <v>43157</v>
      </c>
      <c r="M453" s="116">
        <v>208.73333333333301</v>
      </c>
      <c r="N453" s="116">
        <v>212.183333333333</v>
      </c>
      <c r="O453" s="116">
        <v>207.816666666667</v>
      </c>
      <c r="P453" s="116">
        <v>208.333333333333</v>
      </c>
      <c r="Q453" s="116">
        <v>626.20000000000005</v>
      </c>
      <c r="R453">
        <v>14133</v>
      </c>
    </row>
    <row r="454" spans="1:18" x14ac:dyDescent="0.25">
      <c r="A454" s="169">
        <v>43158</v>
      </c>
      <c r="B454" s="116">
        <v>210.73333333333301</v>
      </c>
      <c r="C454" s="116">
        <v>208.6</v>
      </c>
      <c r="D454" s="116">
        <v>208.36666666666699</v>
      </c>
      <c r="E454" s="116">
        <v>208.36666666666699</v>
      </c>
      <c r="F454" s="116">
        <v>625.79999999999995</v>
      </c>
      <c r="G454">
        <v>474</v>
      </c>
      <c r="H454" s="116"/>
      <c r="I454" s="116"/>
      <c r="L454" s="169">
        <v>43158</v>
      </c>
      <c r="M454" s="116">
        <v>208.95</v>
      </c>
      <c r="N454" s="116">
        <v>211.3</v>
      </c>
      <c r="O454" s="116">
        <v>208.03333333333299</v>
      </c>
      <c r="P454" s="116">
        <v>208.85</v>
      </c>
      <c r="Q454" s="116">
        <v>626.85</v>
      </c>
      <c r="R454">
        <v>10262</v>
      </c>
    </row>
    <row r="455" spans="1:18" x14ac:dyDescent="0.25">
      <c r="A455" s="169">
        <v>43159</v>
      </c>
      <c r="B455" s="116">
        <v>210</v>
      </c>
      <c r="C455" s="116">
        <v>207.916666666667</v>
      </c>
      <c r="D455" s="116">
        <v>207.23333333333301</v>
      </c>
      <c r="E455" s="116">
        <v>208.333333333333</v>
      </c>
      <c r="F455" s="116">
        <v>623.75</v>
      </c>
      <c r="G455">
        <v>5050</v>
      </c>
      <c r="H455" s="116"/>
      <c r="I455" s="116"/>
      <c r="L455" s="169">
        <v>43159</v>
      </c>
      <c r="M455" s="116">
        <v>208.13333333333301</v>
      </c>
      <c r="N455" s="116">
        <v>209.96666666666701</v>
      </c>
      <c r="O455" s="116">
        <v>207.333333333333</v>
      </c>
      <c r="P455" s="116">
        <v>208.333333333333</v>
      </c>
      <c r="Q455" s="116">
        <v>624.4</v>
      </c>
      <c r="R455">
        <v>261310</v>
      </c>
    </row>
    <row r="456" spans="1:18" x14ac:dyDescent="0.25">
      <c r="A456" s="169">
        <v>43160</v>
      </c>
      <c r="B456" s="116">
        <v>211.333333333333</v>
      </c>
      <c r="C456" s="116">
        <v>208.1</v>
      </c>
      <c r="D456" s="116">
        <v>207.8</v>
      </c>
      <c r="E456" s="116">
        <v>209.63333333333301</v>
      </c>
      <c r="F456" s="116">
        <v>624.29999999999995</v>
      </c>
      <c r="G456">
        <v>34986</v>
      </c>
      <c r="H456" s="116"/>
      <c r="I456" s="116"/>
      <c r="L456" s="169">
        <v>43160</v>
      </c>
      <c r="M456" s="116">
        <v>208.15</v>
      </c>
      <c r="N456" s="116">
        <v>211.2</v>
      </c>
      <c r="O456" s="116">
        <v>207.38333333333301</v>
      </c>
      <c r="P456" s="116">
        <v>209.23333333333301</v>
      </c>
      <c r="Q456" s="116">
        <v>624.45000000000005</v>
      </c>
      <c r="R456">
        <v>11590</v>
      </c>
    </row>
    <row r="457" spans="1:18" x14ac:dyDescent="0.25">
      <c r="A457" s="169">
        <v>43164</v>
      </c>
      <c r="B457" s="116">
        <v>209.21666666666701</v>
      </c>
      <c r="C457" s="116">
        <v>203.7</v>
      </c>
      <c r="D457" s="116">
        <v>202.833333333333</v>
      </c>
      <c r="E457" s="116">
        <v>207.666666666667</v>
      </c>
      <c r="F457" s="116">
        <v>611.1</v>
      </c>
      <c r="G457">
        <v>751</v>
      </c>
      <c r="H457" s="116"/>
      <c r="I457" s="116"/>
      <c r="L457" s="169">
        <v>43164</v>
      </c>
      <c r="M457" s="116">
        <v>203.6</v>
      </c>
      <c r="N457" s="116">
        <v>209.933333333333</v>
      </c>
      <c r="O457" s="116">
        <v>203.316666666667</v>
      </c>
      <c r="P457" s="116">
        <v>208.333333333333</v>
      </c>
      <c r="Q457" s="116">
        <v>610.79999999999995</v>
      </c>
      <c r="R457">
        <v>56927</v>
      </c>
    </row>
    <row r="458" spans="1:18" x14ac:dyDescent="0.25">
      <c r="A458" s="169">
        <v>43165</v>
      </c>
      <c r="B458" s="116">
        <v>205.96666666666701</v>
      </c>
      <c r="C458" s="116">
        <v>200.316666666667</v>
      </c>
      <c r="D458" s="116">
        <v>200.183333333333</v>
      </c>
      <c r="E458" s="116">
        <v>203.75</v>
      </c>
      <c r="F458" s="116">
        <v>600.95000000000005</v>
      </c>
      <c r="G458">
        <v>1040</v>
      </c>
      <c r="H458" s="116"/>
      <c r="I458" s="116"/>
      <c r="L458" s="169">
        <v>43165</v>
      </c>
      <c r="M458" s="116">
        <v>200.316666666667</v>
      </c>
      <c r="N458" s="116">
        <v>206</v>
      </c>
      <c r="O458" s="116">
        <v>199.7</v>
      </c>
      <c r="P458" s="116">
        <v>206</v>
      </c>
      <c r="Q458" s="116">
        <v>600.95000000000005</v>
      </c>
      <c r="R458">
        <v>24658</v>
      </c>
    </row>
    <row r="459" spans="1:18" x14ac:dyDescent="0.25">
      <c r="A459" s="169">
        <v>43166</v>
      </c>
      <c r="B459" s="116">
        <v>205.76666666666699</v>
      </c>
      <c r="C459" s="116">
        <v>198.28333333333299</v>
      </c>
      <c r="D459" s="116">
        <v>191.666666666667</v>
      </c>
      <c r="E459" s="116">
        <v>200</v>
      </c>
      <c r="F459" s="116">
        <v>594.85</v>
      </c>
      <c r="G459">
        <v>14325</v>
      </c>
      <c r="H459" s="116"/>
      <c r="I459" s="116"/>
      <c r="L459" s="169">
        <v>43166</v>
      </c>
      <c r="M459" s="116">
        <v>192.566666666667</v>
      </c>
      <c r="N459" s="116">
        <v>205.28333333333299</v>
      </c>
      <c r="O459" s="116">
        <v>188.5</v>
      </c>
      <c r="P459" s="116">
        <v>200.316666666667</v>
      </c>
      <c r="Q459" s="116">
        <v>577.70000000000005</v>
      </c>
      <c r="R459">
        <v>33825</v>
      </c>
    </row>
    <row r="460" spans="1:18" x14ac:dyDescent="0.25">
      <c r="A460" s="169">
        <v>43167</v>
      </c>
      <c r="B460" s="116">
        <v>196.63333333333301</v>
      </c>
      <c r="C460" s="116">
        <v>193.13333333333301</v>
      </c>
      <c r="D460" s="116">
        <v>190</v>
      </c>
      <c r="E460" s="116">
        <v>193.333333333333</v>
      </c>
      <c r="F460" s="116">
        <v>579.4</v>
      </c>
      <c r="G460">
        <v>2344</v>
      </c>
      <c r="H460" s="116"/>
      <c r="I460" s="116"/>
      <c r="L460" s="169">
        <v>43167</v>
      </c>
      <c r="M460" s="116">
        <v>193.15</v>
      </c>
      <c r="N460" s="116">
        <v>196.23333333333301</v>
      </c>
      <c r="O460" s="116">
        <v>191.35</v>
      </c>
      <c r="P460" s="116">
        <v>192.98333333333301</v>
      </c>
      <c r="Q460" s="116">
        <v>579.45000000000005</v>
      </c>
      <c r="R460">
        <v>45034</v>
      </c>
    </row>
    <row r="461" spans="1:18" x14ac:dyDescent="0.25">
      <c r="A461" s="169">
        <v>43168</v>
      </c>
      <c r="B461" s="116">
        <v>195</v>
      </c>
      <c r="C461" s="116">
        <v>195</v>
      </c>
      <c r="D461" s="116">
        <v>190.03333333333299</v>
      </c>
      <c r="E461" s="116">
        <v>190.03333333333299</v>
      </c>
      <c r="F461" s="116">
        <v>585</v>
      </c>
      <c r="G461">
        <v>68776</v>
      </c>
      <c r="H461" s="116"/>
      <c r="I461" s="116"/>
      <c r="L461" s="169">
        <v>43168</v>
      </c>
      <c r="M461" s="116">
        <v>194.28333333333299</v>
      </c>
      <c r="N461" s="116">
        <v>195.666666666667</v>
      </c>
      <c r="O461" s="116">
        <v>193.333333333333</v>
      </c>
      <c r="P461" s="116">
        <v>193.7</v>
      </c>
      <c r="Q461" s="116">
        <v>582.85</v>
      </c>
      <c r="R461">
        <v>14577</v>
      </c>
    </row>
    <row r="462" spans="1:18" x14ac:dyDescent="0.25">
      <c r="A462" s="169">
        <v>43171</v>
      </c>
      <c r="B462" s="116">
        <v>198.46666666666701</v>
      </c>
      <c r="C462" s="116">
        <v>196.88333333333301</v>
      </c>
      <c r="D462" s="116">
        <v>190.96666666666701</v>
      </c>
      <c r="E462" s="116">
        <v>194.7</v>
      </c>
      <c r="F462" s="116">
        <v>590.65</v>
      </c>
      <c r="G462">
        <v>1136</v>
      </c>
      <c r="H462" s="116"/>
      <c r="I462" s="116"/>
      <c r="L462" s="169">
        <v>43171</v>
      </c>
      <c r="M462" s="116">
        <v>197.86666666666699</v>
      </c>
      <c r="N462" s="116">
        <v>198.333333333333</v>
      </c>
      <c r="O462" s="116">
        <v>194</v>
      </c>
      <c r="P462" s="116">
        <v>195.666666666667</v>
      </c>
      <c r="Q462" s="116">
        <v>593.6</v>
      </c>
      <c r="R462">
        <v>31250</v>
      </c>
    </row>
    <row r="463" spans="1:18" x14ac:dyDescent="0.25">
      <c r="A463" s="169">
        <v>43172</v>
      </c>
      <c r="B463" s="116">
        <v>203.65</v>
      </c>
      <c r="C463" s="116">
        <v>202.11666666666699</v>
      </c>
      <c r="D463" s="116">
        <v>197.01666666666699</v>
      </c>
      <c r="E463" s="116">
        <v>199.55</v>
      </c>
      <c r="F463" s="116">
        <v>606.35</v>
      </c>
      <c r="G463">
        <v>593</v>
      </c>
      <c r="H463" s="116"/>
      <c r="I463" s="116"/>
      <c r="L463" s="169">
        <v>43172</v>
      </c>
      <c r="M463" s="116">
        <v>202.01666666666699</v>
      </c>
      <c r="N463" s="116">
        <v>203.3</v>
      </c>
      <c r="O463" s="116">
        <v>196.666666666667</v>
      </c>
      <c r="P463" s="116">
        <v>199.25</v>
      </c>
      <c r="Q463" s="116">
        <v>606.04999999999995</v>
      </c>
      <c r="R463">
        <v>15038</v>
      </c>
    </row>
    <row r="464" spans="1:18" x14ac:dyDescent="0.25">
      <c r="A464" s="169">
        <v>43173</v>
      </c>
      <c r="B464" s="116">
        <v>205.666666666667</v>
      </c>
      <c r="C464" s="116">
        <v>202.566666666667</v>
      </c>
      <c r="D464" s="116">
        <v>198.333333333333</v>
      </c>
      <c r="E464" s="116">
        <v>200.333333333333</v>
      </c>
      <c r="F464" s="116">
        <v>607.70000000000005</v>
      </c>
      <c r="G464">
        <v>1533</v>
      </c>
      <c r="H464" s="116"/>
      <c r="I464" s="116"/>
      <c r="L464" s="169">
        <v>43173</v>
      </c>
      <c r="M464" s="116">
        <v>202.5</v>
      </c>
      <c r="N464" s="116">
        <v>202.933333333333</v>
      </c>
      <c r="O464" s="116">
        <v>198.35</v>
      </c>
      <c r="P464" s="116">
        <v>198.35</v>
      </c>
      <c r="Q464" s="116">
        <v>607.5</v>
      </c>
      <c r="R464">
        <v>11781</v>
      </c>
    </row>
    <row r="465" spans="1:18" x14ac:dyDescent="0.25">
      <c r="A465" s="169">
        <v>43174</v>
      </c>
      <c r="B465" s="116">
        <v>212.666666666667</v>
      </c>
      <c r="C465" s="116">
        <v>209.666666666667</v>
      </c>
      <c r="D465" s="116">
        <v>204.5</v>
      </c>
      <c r="E465" s="116">
        <v>204.5</v>
      </c>
      <c r="F465" s="116">
        <v>629</v>
      </c>
      <c r="G465">
        <v>1637</v>
      </c>
      <c r="H465" s="116"/>
      <c r="I465" s="116"/>
      <c r="L465" s="169">
        <v>43174</v>
      </c>
      <c r="M465" s="116">
        <v>209.833333333333</v>
      </c>
      <c r="N465" s="116">
        <v>213.98333333333301</v>
      </c>
      <c r="O465" s="116">
        <v>201.96666666666701</v>
      </c>
      <c r="P465" s="116">
        <v>201.96666666666701</v>
      </c>
      <c r="Q465" s="116">
        <v>629.5</v>
      </c>
      <c r="R465">
        <v>17418</v>
      </c>
    </row>
    <row r="466" spans="1:18" x14ac:dyDescent="0.25">
      <c r="A466" s="169">
        <v>43175</v>
      </c>
      <c r="B466" s="116">
        <v>211.63333333333301</v>
      </c>
      <c r="C466" s="116">
        <v>205.166666666667</v>
      </c>
      <c r="D466" s="116">
        <v>202.916666666667</v>
      </c>
      <c r="E466" s="116">
        <v>210.333333333333</v>
      </c>
      <c r="F466" s="116">
        <v>615.5</v>
      </c>
      <c r="G466">
        <v>1782</v>
      </c>
      <c r="H466" s="116"/>
      <c r="I466" s="116"/>
      <c r="L466" s="169">
        <v>43175</v>
      </c>
      <c r="M466" s="116">
        <v>205.36666666666699</v>
      </c>
      <c r="N466" s="116">
        <v>210.566666666667</v>
      </c>
      <c r="O466" s="116">
        <v>202</v>
      </c>
      <c r="P466" s="116">
        <v>209.15</v>
      </c>
      <c r="Q466" s="116">
        <v>616.1</v>
      </c>
      <c r="R466">
        <v>35359</v>
      </c>
    </row>
    <row r="467" spans="1:18" x14ac:dyDescent="0.25">
      <c r="A467" s="169">
        <v>43178</v>
      </c>
      <c r="B467" s="116">
        <v>203.666666666667</v>
      </c>
      <c r="C467" s="116">
        <v>200.26666666666699</v>
      </c>
      <c r="D467" s="116">
        <v>199.333333333333</v>
      </c>
      <c r="E467" s="116">
        <v>203.35</v>
      </c>
      <c r="F467" s="116">
        <v>600.79999999999995</v>
      </c>
      <c r="G467">
        <v>1232</v>
      </c>
      <c r="H467" s="116"/>
      <c r="I467" s="116"/>
      <c r="L467" s="169">
        <v>43178</v>
      </c>
      <c r="M467" s="116">
        <v>199.88333333333301</v>
      </c>
      <c r="N467" s="116">
        <v>204.566666666667</v>
      </c>
      <c r="O467" s="116">
        <v>198.333333333333</v>
      </c>
      <c r="P467" s="116">
        <v>204</v>
      </c>
      <c r="Q467" s="116">
        <v>599.65</v>
      </c>
      <c r="R467">
        <v>17884</v>
      </c>
    </row>
    <row r="468" spans="1:18" x14ac:dyDescent="0.25">
      <c r="A468" s="169">
        <v>43179</v>
      </c>
      <c r="B468" s="116">
        <v>203</v>
      </c>
      <c r="C468" s="116">
        <v>199.4</v>
      </c>
      <c r="D468" s="116">
        <v>198.683333333333</v>
      </c>
      <c r="E468" s="116">
        <v>199.666666666667</v>
      </c>
      <c r="F468" s="116">
        <v>598.20000000000005</v>
      </c>
      <c r="G468">
        <v>604</v>
      </c>
      <c r="H468" s="116"/>
      <c r="I468" s="116"/>
      <c r="L468" s="169">
        <v>43179</v>
      </c>
      <c r="M468" s="116">
        <v>198.88333333333301</v>
      </c>
      <c r="N468" s="116">
        <v>203.03333333333299</v>
      </c>
      <c r="O468" s="116">
        <v>198.23333333333301</v>
      </c>
      <c r="P468" s="116">
        <v>200.25</v>
      </c>
      <c r="Q468" s="116">
        <v>596.65</v>
      </c>
      <c r="R468">
        <v>8790</v>
      </c>
    </row>
    <row r="469" spans="1:18" x14ac:dyDescent="0.25">
      <c r="A469" s="169">
        <v>43180</v>
      </c>
      <c r="B469" s="116">
        <v>203</v>
      </c>
      <c r="C469" s="116">
        <v>197.416666666667</v>
      </c>
      <c r="D469" s="116">
        <v>195.566666666667</v>
      </c>
      <c r="E469" s="116">
        <v>198.333333333333</v>
      </c>
      <c r="F469" s="116">
        <v>592.25</v>
      </c>
      <c r="G469">
        <v>1225</v>
      </c>
      <c r="H469" s="116"/>
      <c r="I469" s="116"/>
      <c r="L469" s="169">
        <v>43180</v>
      </c>
      <c r="M469" s="116">
        <v>197.4</v>
      </c>
      <c r="N469" s="116">
        <v>200.86666666666699</v>
      </c>
      <c r="O469" s="116">
        <v>196.666666666667</v>
      </c>
      <c r="P469" s="116">
        <v>199.333333333333</v>
      </c>
      <c r="Q469" s="116">
        <v>592.20000000000005</v>
      </c>
      <c r="R469">
        <v>12733</v>
      </c>
    </row>
    <row r="470" spans="1:18" x14ac:dyDescent="0.25">
      <c r="A470" s="169">
        <v>43181</v>
      </c>
      <c r="B470" s="116">
        <v>200.083333333333</v>
      </c>
      <c r="C470" s="116">
        <v>196.45</v>
      </c>
      <c r="D470" s="116">
        <v>195.65</v>
      </c>
      <c r="E470" s="116">
        <v>199.13333333333301</v>
      </c>
      <c r="F470" s="116">
        <v>589.35</v>
      </c>
      <c r="G470">
        <v>5243</v>
      </c>
      <c r="H470" s="116"/>
      <c r="I470" s="116"/>
      <c r="L470" s="169">
        <v>43181</v>
      </c>
      <c r="M470" s="116">
        <v>196.96666666666701</v>
      </c>
      <c r="N470" s="116">
        <v>201.666666666667</v>
      </c>
      <c r="O470" s="116">
        <v>196</v>
      </c>
      <c r="P470" s="116">
        <v>201.666666666667</v>
      </c>
      <c r="Q470" s="116">
        <v>590.9</v>
      </c>
      <c r="R470">
        <v>12173</v>
      </c>
    </row>
    <row r="471" spans="1:18" x14ac:dyDescent="0.25">
      <c r="A471" s="169">
        <v>43182</v>
      </c>
      <c r="B471" s="116">
        <v>201.6</v>
      </c>
      <c r="C471" s="116">
        <v>198.61666666666699</v>
      </c>
      <c r="D471" s="116">
        <v>191</v>
      </c>
      <c r="E471" s="116">
        <v>195.1</v>
      </c>
      <c r="F471" s="116">
        <v>595.85</v>
      </c>
      <c r="G471">
        <v>14778</v>
      </c>
      <c r="H471" s="116"/>
      <c r="I471" s="116"/>
      <c r="L471" s="169">
        <v>43182</v>
      </c>
      <c r="M471" s="116">
        <v>198.23333333333301</v>
      </c>
      <c r="N471" s="116">
        <v>202.6</v>
      </c>
      <c r="O471" s="116">
        <v>193.316666666667</v>
      </c>
      <c r="P471" s="116">
        <v>193.333333333333</v>
      </c>
      <c r="Q471" s="116">
        <v>594.70000000000005</v>
      </c>
      <c r="R471">
        <v>43694</v>
      </c>
    </row>
    <row r="472" spans="1:18" x14ac:dyDescent="0.25">
      <c r="A472" s="169">
        <v>43185</v>
      </c>
      <c r="B472" s="116">
        <v>206.333333333333</v>
      </c>
      <c r="C472" s="116">
        <v>200.8</v>
      </c>
      <c r="D472" s="116">
        <v>197</v>
      </c>
      <c r="E472" s="116">
        <v>198.333333333333</v>
      </c>
      <c r="F472" s="116">
        <v>602.4</v>
      </c>
      <c r="G472">
        <v>14279</v>
      </c>
      <c r="H472" s="116"/>
      <c r="I472" s="116"/>
      <c r="L472" s="169">
        <v>43185</v>
      </c>
      <c r="M472" s="116">
        <v>202.21666666666701</v>
      </c>
      <c r="N472" s="116">
        <v>203.35</v>
      </c>
      <c r="O472" s="116">
        <v>197</v>
      </c>
      <c r="P472" s="116">
        <v>200</v>
      </c>
      <c r="Q472" s="116">
        <v>606.65</v>
      </c>
      <c r="R472">
        <v>192065</v>
      </c>
    </row>
    <row r="473" spans="1:18" x14ac:dyDescent="0.25">
      <c r="A473" s="169">
        <v>43186</v>
      </c>
      <c r="B473" s="116">
        <v>202.61666666666699</v>
      </c>
      <c r="C473" s="116">
        <v>200.63333333333301</v>
      </c>
      <c r="D473" s="116">
        <v>199.333333333333</v>
      </c>
      <c r="E473" s="116">
        <v>201.666666666667</v>
      </c>
      <c r="F473" s="116">
        <v>601.9</v>
      </c>
      <c r="G473">
        <v>1185</v>
      </c>
      <c r="H473" s="116"/>
      <c r="I473" s="116"/>
      <c r="L473" s="169">
        <v>43186</v>
      </c>
      <c r="M473" s="116">
        <v>200.01666666666699</v>
      </c>
      <c r="N473" s="116">
        <v>203.333333333333</v>
      </c>
      <c r="O473" s="116">
        <v>199.03333333333299</v>
      </c>
      <c r="P473" s="116">
        <v>203.183333333333</v>
      </c>
      <c r="Q473" s="116">
        <v>600.04999999999995</v>
      </c>
      <c r="R473">
        <v>70284</v>
      </c>
    </row>
    <row r="474" spans="1:18" x14ac:dyDescent="0.25">
      <c r="A474" s="169">
        <v>43187</v>
      </c>
      <c r="B474" s="116">
        <v>201.666666666667</v>
      </c>
      <c r="C474" s="116">
        <v>200.38333333333301</v>
      </c>
      <c r="D474" s="116">
        <v>196.666666666667</v>
      </c>
      <c r="E474" s="116">
        <v>198.45</v>
      </c>
      <c r="F474" s="116">
        <v>601.15</v>
      </c>
      <c r="G474">
        <v>2187</v>
      </c>
      <c r="H474" s="116"/>
      <c r="I474" s="116"/>
      <c r="L474" s="169">
        <v>43187</v>
      </c>
      <c r="M474" s="116">
        <v>198.95</v>
      </c>
      <c r="N474" s="116">
        <v>202.316666666667</v>
      </c>
      <c r="O474" s="116">
        <v>197.333333333333</v>
      </c>
      <c r="P474" s="116">
        <v>202</v>
      </c>
      <c r="Q474" s="116">
        <v>596.85</v>
      </c>
      <c r="R474">
        <v>11205</v>
      </c>
    </row>
    <row r="475" spans="1:18" x14ac:dyDescent="0.25">
      <c r="A475" s="169">
        <v>43192</v>
      </c>
      <c r="B475" s="116">
        <v>200.416666666667</v>
      </c>
      <c r="C475" s="116">
        <v>199.05</v>
      </c>
      <c r="D475" s="116">
        <v>196.833333333333</v>
      </c>
      <c r="E475" s="116">
        <v>198.666666666667</v>
      </c>
      <c r="F475" s="116">
        <v>597.15</v>
      </c>
      <c r="G475">
        <v>893</v>
      </c>
      <c r="H475" s="116"/>
      <c r="I475" s="116"/>
      <c r="L475" s="169">
        <v>43192</v>
      </c>
      <c r="M475" s="116">
        <v>198.95</v>
      </c>
      <c r="N475" s="116">
        <v>200.48333333333301</v>
      </c>
      <c r="O475" s="116">
        <v>198</v>
      </c>
      <c r="P475" s="116">
        <v>199.666666666667</v>
      </c>
      <c r="Q475" s="116">
        <v>596.85</v>
      </c>
      <c r="R475">
        <v>12659</v>
      </c>
    </row>
    <row r="476" spans="1:18" x14ac:dyDescent="0.25">
      <c r="A476" s="169">
        <v>43193</v>
      </c>
      <c r="B476" s="116">
        <v>205.666666666667</v>
      </c>
      <c r="C476" s="116">
        <v>198.05</v>
      </c>
      <c r="D476" s="116">
        <v>196.833333333333</v>
      </c>
      <c r="E476" s="116">
        <v>199.666666666667</v>
      </c>
      <c r="F476" s="116">
        <v>594.15</v>
      </c>
      <c r="G476">
        <v>2559</v>
      </c>
      <c r="H476" s="116"/>
      <c r="I476" s="116"/>
      <c r="L476" s="169">
        <v>43193</v>
      </c>
      <c r="M476" s="116">
        <v>197.666666666667</v>
      </c>
      <c r="N476" s="116">
        <v>201.48333333333301</v>
      </c>
      <c r="O476" s="116">
        <v>196.85</v>
      </c>
      <c r="P476" s="116">
        <v>198.333333333333</v>
      </c>
      <c r="Q476" s="116">
        <v>593</v>
      </c>
      <c r="R476">
        <v>9766</v>
      </c>
    </row>
    <row r="477" spans="1:18" x14ac:dyDescent="0.25">
      <c r="A477" s="169">
        <v>43194</v>
      </c>
      <c r="B477" s="116">
        <v>199.316666666667</v>
      </c>
      <c r="C477" s="116">
        <v>196.066666666667</v>
      </c>
      <c r="D477" s="116">
        <v>195.53333333333299</v>
      </c>
      <c r="E477" s="116">
        <v>195.666666666667</v>
      </c>
      <c r="F477" s="116">
        <v>588.20000000000005</v>
      </c>
      <c r="G477">
        <v>681</v>
      </c>
      <c r="H477" s="116"/>
      <c r="I477" s="116"/>
      <c r="L477" s="169">
        <v>43194</v>
      </c>
      <c r="M477" s="116">
        <v>196.65</v>
      </c>
      <c r="N477" s="116">
        <v>199.333333333333</v>
      </c>
      <c r="O477" s="116">
        <v>196.333333333333</v>
      </c>
      <c r="P477" s="116">
        <v>199.333333333333</v>
      </c>
      <c r="Q477" s="116">
        <v>589.95000000000005</v>
      </c>
      <c r="R477">
        <v>56200</v>
      </c>
    </row>
    <row r="478" spans="1:18" x14ac:dyDescent="0.25">
      <c r="A478" s="169">
        <v>43195</v>
      </c>
      <c r="B478" s="116">
        <v>199.666666666667</v>
      </c>
      <c r="C478" s="116">
        <v>195.01666666666699</v>
      </c>
      <c r="D478" s="116">
        <v>195</v>
      </c>
      <c r="E478" s="116">
        <v>196.4</v>
      </c>
      <c r="F478" s="116">
        <v>585.04999999999995</v>
      </c>
      <c r="G478">
        <v>1489</v>
      </c>
      <c r="H478" s="116"/>
      <c r="I478" s="116"/>
      <c r="L478" s="169">
        <v>43195</v>
      </c>
      <c r="M478" s="116">
        <v>195</v>
      </c>
      <c r="N478" s="116">
        <v>199.15</v>
      </c>
      <c r="O478" s="116">
        <v>194.7</v>
      </c>
      <c r="P478" s="116">
        <v>198.566666666667</v>
      </c>
      <c r="Q478" s="116">
        <v>585</v>
      </c>
      <c r="R478">
        <v>175830</v>
      </c>
    </row>
    <row r="479" spans="1:18" x14ac:dyDescent="0.25">
      <c r="A479" s="169">
        <v>43196</v>
      </c>
      <c r="B479" s="116">
        <v>198.15</v>
      </c>
      <c r="C479" s="116">
        <v>195.45</v>
      </c>
      <c r="D479" s="116">
        <v>193.666666666667</v>
      </c>
      <c r="E479" s="116">
        <v>193.666666666667</v>
      </c>
      <c r="F479" s="116">
        <v>586.35</v>
      </c>
      <c r="G479">
        <v>1184</v>
      </c>
      <c r="H479" s="116"/>
      <c r="I479" s="116"/>
      <c r="L479" s="169">
        <v>43196</v>
      </c>
      <c r="M479" s="116">
        <v>195.4</v>
      </c>
      <c r="N479" s="116">
        <v>198.96666666666701</v>
      </c>
      <c r="O479" s="116">
        <v>194.51666666666699</v>
      </c>
      <c r="P479" s="116">
        <v>195.333333333333</v>
      </c>
      <c r="Q479" s="116">
        <v>586.20000000000005</v>
      </c>
      <c r="R479">
        <v>23174</v>
      </c>
    </row>
    <row r="480" spans="1:18" x14ac:dyDescent="0.25">
      <c r="A480" s="169">
        <v>43199</v>
      </c>
      <c r="B480" s="116">
        <v>197.75</v>
      </c>
      <c r="C480" s="116">
        <v>195.333333333333</v>
      </c>
      <c r="D480" s="116">
        <v>195</v>
      </c>
      <c r="E480" s="116">
        <v>196.35</v>
      </c>
      <c r="F480" s="116">
        <v>586</v>
      </c>
      <c r="G480">
        <v>3057</v>
      </c>
      <c r="H480" s="116"/>
      <c r="I480" s="116"/>
      <c r="L480" s="169">
        <v>43199</v>
      </c>
      <c r="M480" s="116">
        <v>195.28333333333299</v>
      </c>
      <c r="N480" s="116">
        <v>198.3</v>
      </c>
      <c r="O480" s="116">
        <v>193.38333333333301</v>
      </c>
      <c r="P480" s="116">
        <v>196.63333333333301</v>
      </c>
      <c r="Q480" s="116">
        <v>585.85</v>
      </c>
      <c r="R480">
        <v>23310</v>
      </c>
    </row>
    <row r="481" spans="1:18" x14ac:dyDescent="0.25">
      <c r="A481" s="169">
        <v>43200</v>
      </c>
      <c r="B481" s="116">
        <v>197.53333333333299</v>
      </c>
      <c r="C481" s="116">
        <v>195.333333333333</v>
      </c>
      <c r="D481" s="116">
        <v>193.75</v>
      </c>
      <c r="E481" s="116">
        <v>197.13333333333301</v>
      </c>
      <c r="F481" s="116">
        <v>586</v>
      </c>
      <c r="G481">
        <v>3222</v>
      </c>
      <c r="H481" s="116"/>
      <c r="I481" s="116"/>
      <c r="L481" s="169">
        <v>43200</v>
      </c>
      <c r="M481" s="116">
        <v>195.7</v>
      </c>
      <c r="N481" s="116">
        <v>198.166666666667</v>
      </c>
      <c r="O481" s="116">
        <v>194.183333333333</v>
      </c>
      <c r="P481" s="116">
        <v>196.65</v>
      </c>
      <c r="Q481" s="116">
        <v>587.1</v>
      </c>
      <c r="R481">
        <v>32817</v>
      </c>
    </row>
    <row r="482" spans="1:18" x14ac:dyDescent="0.25">
      <c r="A482" s="169">
        <v>43201</v>
      </c>
      <c r="B482" s="116">
        <v>204.6</v>
      </c>
      <c r="C482" s="116">
        <v>199.48333333333301</v>
      </c>
      <c r="D482" s="116">
        <v>195</v>
      </c>
      <c r="E482" s="116">
        <v>196.666666666667</v>
      </c>
      <c r="F482" s="116">
        <v>598.45000000000005</v>
      </c>
      <c r="G482">
        <v>481209</v>
      </c>
      <c r="H482" s="116"/>
      <c r="I482" s="116"/>
      <c r="L482" s="169">
        <v>43201</v>
      </c>
      <c r="M482" s="116">
        <v>199.76666666666699</v>
      </c>
      <c r="N482" s="116">
        <v>204.933333333333</v>
      </c>
      <c r="O482" s="116">
        <v>194.1</v>
      </c>
      <c r="P482" s="116">
        <v>196.333333333333</v>
      </c>
      <c r="Q482" s="116">
        <v>599.29999999999995</v>
      </c>
      <c r="R482">
        <v>645174</v>
      </c>
    </row>
    <row r="483" spans="1:18" x14ac:dyDescent="0.25">
      <c r="A483" s="169">
        <v>43202</v>
      </c>
      <c r="B483" s="116">
        <v>206.333333333333</v>
      </c>
      <c r="C483" s="116">
        <v>202.2</v>
      </c>
      <c r="D483" s="116">
        <v>201.1</v>
      </c>
      <c r="E483" s="116">
        <v>202.666666666667</v>
      </c>
      <c r="F483" s="116">
        <v>606.6</v>
      </c>
      <c r="G483">
        <v>3071</v>
      </c>
      <c r="H483" s="116"/>
      <c r="I483" s="116"/>
      <c r="L483" s="169">
        <v>43202</v>
      </c>
      <c r="M483" s="116">
        <v>202.21666666666701</v>
      </c>
      <c r="N483" s="116">
        <v>206.63333333333301</v>
      </c>
      <c r="O483" s="116">
        <v>201.65</v>
      </c>
      <c r="P483" s="116">
        <v>202.316666666667</v>
      </c>
      <c r="Q483" s="116">
        <v>606.65</v>
      </c>
      <c r="R483">
        <v>69392</v>
      </c>
    </row>
    <row r="484" spans="1:18" x14ac:dyDescent="0.25">
      <c r="A484" s="169">
        <v>43203</v>
      </c>
      <c r="B484" s="116">
        <v>209.333333333333</v>
      </c>
      <c r="C484" s="116">
        <v>208.7</v>
      </c>
      <c r="D484" s="116">
        <v>202.933333333333</v>
      </c>
      <c r="E484" s="116">
        <v>205.333333333333</v>
      </c>
      <c r="F484" s="116">
        <v>626.1</v>
      </c>
      <c r="G484">
        <v>3041</v>
      </c>
      <c r="H484" s="116"/>
      <c r="I484" s="116"/>
      <c r="L484" s="169">
        <v>43203</v>
      </c>
      <c r="M484" s="116">
        <v>208.816666666667</v>
      </c>
      <c r="N484" s="116">
        <v>210</v>
      </c>
      <c r="O484" s="116">
        <v>202.21666666666701</v>
      </c>
      <c r="P484" s="116">
        <v>202.21666666666701</v>
      </c>
      <c r="Q484" s="116">
        <v>626.45000000000005</v>
      </c>
      <c r="R484">
        <v>118421</v>
      </c>
    </row>
    <row r="485" spans="1:18" x14ac:dyDescent="0.25">
      <c r="A485" s="169">
        <v>43206</v>
      </c>
      <c r="B485" s="116">
        <v>211.98333333333301</v>
      </c>
      <c r="C485" s="116">
        <v>210.36666666666699</v>
      </c>
      <c r="D485" s="116">
        <v>203.73333333333301</v>
      </c>
      <c r="E485" s="116">
        <v>206</v>
      </c>
      <c r="F485" s="116">
        <v>631.1</v>
      </c>
      <c r="G485">
        <v>877</v>
      </c>
      <c r="H485" s="116"/>
      <c r="I485" s="116"/>
      <c r="L485" s="169">
        <v>43206</v>
      </c>
      <c r="M485" s="116">
        <v>210.73333333333301</v>
      </c>
      <c r="N485" s="116">
        <v>211.666666666667</v>
      </c>
      <c r="O485" s="116">
        <v>204</v>
      </c>
      <c r="P485" s="116">
        <v>208.816666666667</v>
      </c>
      <c r="Q485" s="116">
        <v>632.20000000000005</v>
      </c>
      <c r="R485">
        <v>23637</v>
      </c>
    </row>
    <row r="486" spans="1:18" x14ac:dyDescent="0.25">
      <c r="A486" s="169">
        <v>43207</v>
      </c>
      <c r="B486" s="116">
        <v>213.26666666666699</v>
      </c>
      <c r="C486" s="116">
        <v>208.46666666666701</v>
      </c>
      <c r="D486" s="116">
        <v>208.416666666667</v>
      </c>
      <c r="E486" s="116">
        <v>210.36666666666699</v>
      </c>
      <c r="F486" s="116">
        <v>625.4</v>
      </c>
      <c r="G486">
        <v>582</v>
      </c>
      <c r="H486" s="116"/>
      <c r="I486" s="116"/>
      <c r="L486" s="169">
        <v>43207</v>
      </c>
      <c r="M486" s="116">
        <v>209.71666666666701</v>
      </c>
      <c r="N486" s="116">
        <v>213.3</v>
      </c>
      <c r="O486" s="116">
        <v>208.333333333333</v>
      </c>
      <c r="P486" s="116">
        <v>209.35</v>
      </c>
      <c r="Q486" s="116">
        <v>629.15</v>
      </c>
      <c r="R486">
        <v>15156</v>
      </c>
    </row>
    <row r="487" spans="1:18" x14ac:dyDescent="0.25">
      <c r="A487" s="169">
        <v>43208</v>
      </c>
      <c r="B487" s="116">
        <v>212.333333333333</v>
      </c>
      <c r="C487" s="116">
        <v>211.55</v>
      </c>
      <c r="D487" s="116">
        <v>208.7</v>
      </c>
      <c r="E487" s="116">
        <v>210.666666666667</v>
      </c>
      <c r="F487" s="116">
        <v>634.65</v>
      </c>
      <c r="G487">
        <v>1265</v>
      </c>
      <c r="H487" s="116"/>
      <c r="I487" s="116"/>
      <c r="L487" s="169">
        <v>43208</v>
      </c>
      <c r="M487" s="116">
        <v>212.36666666666699</v>
      </c>
      <c r="N487" s="116">
        <v>213.333333333333</v>
      </c>
      <c r="O487" s="116">
        <v>210</v>
      </c>
      <c r="P487" s="116">
        <v>211.3</v>
      </c>
      <c r="Q487" s="116">
        <v>637.1</v>
      </c>
      <c r="R487">
        <v>18157</v>
      </c>
    </row>
    <row r="488" spans="1:18" x14ac:dyDescent="0.25">
      <c r="A488" s="169">
        <v>43209</v>
      </c>
      <c r="B488" s="116">
        <v>219.433333333333</v>
      </c>
      <c r="C488" s="116">
        <v>218.7</v>
      </c>
      <c r="D488" s="116">
        <v>213.26666666666699</v>
      </c>
      <c r="E488" s="116">
        <v>213.26666666666699</v>
      </c>
      <c r="F488" s="116">
        <v>656.1</v>
      </c>
      <c r="G488">
        <v>1760</v>
      </c>
      <c r="H488" s="116"/>
      <c r="I488" s="116"/>
      <c r="L488" s="169">
        <v>43209</v>
      </c>
      <c r="M488" s="116">
        <v>218.53333333333299</v>
      </c>
      <c r="N488" s="116">
        <v>223.3</v>
      </c>
      <c r="O488" s="116">
        <v>213.333333333333</v>
      </c>
      <c r="P488" s="116">
        <v>213.333333333333</v>
      </c>
      <c r="Q488" s="116">
        <v>655.6</v>
      </c>
      <c r="R488">
        <v>70066</v>
      </c>
    </row>
    <row r="489" spans="1:18" x14ac:dyDescent="0.25">
      <c r="A489" s="169">
        <v>43210</v>
      </c>
      <c r="B489" s="116">
        <v>227</v>
      </c>
      <c r="C489" s="116">
        <v>225.78333333333299</v>
      </c>
      <c r="D489" s="116">
        <v>216.583333333333</v>
      </c>
      <c r="E489" s="116">
        <v>218.683333333333</v>
      </c>
      <c r="F489" s="116">
        <v>677.35</v>
      </c>
      <c r="G489">
        <v>22816</v>
      </c>
      <c r="H489" s="116"/>
      <c r="I489" s="116"/>
      <c r="L489" s="169">
        <v>43210</v>
      </c>
      <c r="M489" s="116">
        <v>225.05</v>
      </c>
      <c r="N489" s="116">
        <v>227</v>
      </c>
      <c r="O489" s="116">
        <v>216.333333333333</v>
      </c>
      <c r="P489" s="116">
        <v>220</v>
      </c>
      <c r="Q489" s="116">
        <v>675.15</v>
      </c>
      <c r="R489">
        <v>200392</v>
      </c>
    </row>
    <row r="490" spans="1:18" x14ac:dyDescent="0.25">
      <c r="A490" s="169">
        <v>43213</v>
      </c>
      <c r="B490" s="116">
        <v>229.166666666667</v>
      </c>
      <c r="C490" s="116">
        <v>226.05</v>
      </c>
      <c r="D490" s="116">
        <v>222.666666666667</v>
      </c>
      <c r="E490" s="116">
        <v>226.316666666667</v>
      </c>
      <c r="F490" s="116">
        <v>678.15</v>
      </c>
      <c r="G490">
        <v>2323</v>
      </c>
      <c r="H490" s="116"/>
      <c r="I490" s="116"/>
      <c r="L490" s="169">
        <v>43213</v>
      </c>
      <c r="M490" s="116">
        <v>225.36666666666699</v>
      </c>
      <c r="N490" s="116">
        <v>230</v>
      </c>
      <c r="O490" s="116">
        <v>224</v>
      </c>
      <c r="P490" s="116">
        <v>225.98333333333301</v>
      </c>
      <c r="Q490" s="116">
        <v>676.1</v>
      </c>
      <c r="R490">
        <v>33377</v>
      </c>
    </row>
    <row r="491" spans="1:18" x14ac:dyDescent="0.25">
      <c r="A491" s="169">
        <v>43214</v>
      </c>
      <c r="B491" s="116">
        <v>228.333333333333</v>
      </c>
      <c r="C491" s="116">
        <v>227.65</v>
      </c>
      <c r="D491" s="116">
        <v>225.28333333333299</v>
      </c>
      <c r="E491" s="116">
        <v>226.833333333333</v>
      </c>
      <c r="F491" s="116">
        <v>682.95</v>
      </c>
      <c r="G491">
        <v>1036</v>
      </c>
      <c r="H491" s="116"/>
      <c r="I491" s="116"/>
      <c r="L491" s="169">
        <v>43214</v>
      </c>
      <c r="M491" s="116">
        <v>228.416666666667</v>
      </c>
      <c r="N491" s="116">
        <v>229.316666666667</v>
      </c>
      <c r="O491" s="116">
        <v>225</v>
      </c>
      <c r="P491" s="116">
        <v>225.933333333333</v>
      </c>
      <c r="Q491" s="116">
        <v>685.25</v>
      </c>
      <c r="R491">
        <v>15728</v>
      </c>
    </row>
    <row r="492" spans="1:18" x14ac:dyDescent="0.25">
      <c r="A492" s="169">
        <v>43215</v>
      </c>
      <c r="B492" s="116">
        <v>230.666666666667</v>
      </c>
      <c r="C492" s="116">
        <v>228.583333333333</v>
      </c>
      <c r="D492" s="116">
        <v>223.88333333333301</v>
      </c>
      <c r="E492" s="116">
        <v>227.65</v>
      </c>
      <c r="F492" s="116">
        <v>685.75</v>
      </c>
      <c r="G492">
        <v>1228</v>
      </c>
      <c r="H492" s="116"/>
      <c r="I492" s="116"/>
      <c r="L492" s="169">
        <v>43215</v>
      </c>
      <c r="M492" s="116">
        <v>228.03333333333299</v>
      </c>
      <c r="N492" s="116">
        <v>230</v>
      </c>
      <c r="O492" s="116">
        <v>226.666666666667</v>
      </c>
      <c r="P492" s="116">
        <v>230</v>
      </c>
      <c r="Q492" s="116">
        <v>684.1</v>
      </c>
      <c r="R492">
        <v>39512</v>
      </c>
    </row>
    <row r="493" spans="1:18" x14ac:dyDescent="0.25">
      <c r="A493" s="169">
        <v>43216</v>
      </c>
      <c r="B493" s="116">
        <v>228.333333333333</v>
      </c>
      <c r="C493" s="116">
        <v>225.96666666666701</v>
      </c>
      <c r="D493" s="116">
        <v>222.066666666667</v>
      </c>
      <c r="E493" s="116">
        <v>228.333333333333</v>
      </c>
      <c r="F493" s="116">
        <v>677.9</v>
      </c>
      <c r="G493">
        <v>5755</v>
      </c>
      <c r="H493" s="116"/>
      <c r="I493" s="116"/>
      <c r="L493" s="169">
        <v>43216</v>
      </c>
      <c r="M493" s="116">
        <v>226.35</v>
      </c>
      <c r="N493" s="116">
        <v>229.86666666666699</v>
      </c>
      <c r="O493" s="116">
        <v>221.7</v>
      </c>
      <c r="P493" s="116">
        <v>229.86666666666699</v>
      </c>
      <c r="Q493" s="116">
        <v>679.05</v>
      </c>
      <c r="R493">
        <v>14017</v>
      </c>
    </row>
    <row r="494" spans="1:18" x14ac:dyDescent="0.25">
      <c r="A494" s="169">
        <v>43217</v>
      </c>
      <c r="B494" s="116">
        <v>230</v>
      </c>
      <c r="C494" s="116">
        <v>223.3</v>
      </c>
      <c r="D494" s="116">
        <v>221.666666666667</v>
      </c>
      <c r="E494" s="116">
        <v>227.51666666666699</v>
      </c>
      <c r="F494" s="116">
        <v>669.9</v>
      </c>
      <c r="G494">
        <v>903</v>
      </c>
      <c r="H494" s="116"/>
      <c r="I494" s="116"/>
      <c r="L494" s="169">
        <v>43217</v>
      </c>
      <c r="M494" s="116">
        <v>222.916666666667</v>
      </c>
      <c r="N494" s="116">
        <v>229.583333333333</v>
      </c>
      <c r="O494" s="116">
        <v>220.816666666667</v>
      </c>
      <c r="P494" s="116">
        <v>225.683333333333</v>
      </c>
      <c r="Q494" s="116">
        <v>668.75</v>
      </c>
      <c r="R494">
        <v>28154</v>
      </c>
    </row>
    <row r="495" spans="1:18" x14ac:dyDescent="0.25">
      <c r="A495" s="169">
        <v>43220</v>
      </c>
      <c r="B495" s="116">
        <v>241.666666666667</v>
      </c>
      <c r="C495" s="116">
        <v>223.76666666666699</v>
      </c>
      <c r="D495" s="116">
        <v>222.03333333333299</v>
      </c>
      <c r="E495" s="116">
        <v>237</v>
      </c>
      <c r="F495" s="116">
        <v>671.3</v>
      </c>
      <c r="G495">
        <v>19548</v>
      </c>
      <c r="H495" s="116"/>
      <c r="I495" s="116"/>
      <c r="L495" s="169">
        <v>43220</v>
      </c>
      <c r="M495" s="116">
        <v>222.98333333333301</v>
      </c>
      <c r="N495" s="116">
        <v>237</v>
      </c>
      <c r="O495" s="116">
        <v>221.7</v>
      </c>
      <c r="P495" s="116">
        <v>237</v>
      </c>
      <c r="Q495" s="116">
        <v>668.95</v>
      </c>
      <c r="R495">
        <v>218964</v>
      </c>
    </row>
    <row r="496" spans="1:18" x14ac:dyDescent="0.25">
      <c r="A496" s="169">
        <v>43222</v>
      </c>
      <c r="B496" s="116">
        <v>225.316666666667</v>
      </c>
      <c r="C496" s="116">
        <v>217.36666666666699</v>
      </c>
      <c r="D496" s="116">
        <v>213.666666666667</v>
      </c>
      <c r="E496" s="116">
        <v>223.333333333333</v>
      </c>
      <c r="F496" s="116">
        <v>652.1</v>
      </c>
      <c r="G496">
        <v>2467</v>
      </c>
      <c r="H496" s="116"/>
      <c r="I496" s="116"/>
      <c r="L496" s="169">
        <v>43222</v>
      </c>
      <c r="M496" s="116">
        <v>219.96666666666701</v>
      </c>
      <c r="N496" s="116">
        <v>225.21666666666701</v>
      </c>
      <c r="O496" s="116">
        <v>217</v>
      </c>
      <c r="P496" s="116">
        <v>223.333333333333</v>
      </c>
      <c r="Q496" s="116">
        <v>659.9</v>
      </c>
      <c r="R496">
        <v>31272</v>
      </c>
    </row>
    <row r="497" spans="1:18" x14ac:dyDescent="0.25">
      <c r="A497" s="169">
        <v>43223</v>
      </c>
      <c r="B497" s="116">
        <v>222.833333333333</v>
      </c>
      <c r="C497" s="116">
        <v>218.55</v>
      </c>
      <c r="D497" s="116">
        <v>216.666666666667</v>
      </c>
      <c r="E497" s="116">
        <v>217.333333333333</v>
      </c>
      <c r="F497" s="116">
        <v>655.65</v>
      </c>
      <c r="G497">
        <v>4107</v>
      </c>
      <c r="H497" s="116"/>
      <c r="I497" s="116"/>
      <c r="L497" s="169">
        <v>43223</v>
      </c>
      <c r="M497" s="116">
        <v>219.3</v>
      </c>
      <c r="N497" s="116">
        <v>222.65</v>
      </c>
      <c r="O497" s="116">
        <v>217.333333333333</v>
      </c>
      <c r="P497" s="116">
        <v>220</v>
      </c>
      <c r="Q497" s="116">
        <v>657.9</v>
      </c>
      <c r="R497">
        <v>57462</v>
      </c>
    </row>
    <row r="498" spans="1:18" x14ac:dyDescent="0.25">
      <c r="A498" s="169">
        <v>43224</v>
      </c>
      <c r="B498" s="116">
        <v>221.35</v>
      </c>
      <c r="C498" s="116">
        <v>214.2</v>
      </c>
      <c r="D498" s="116">
        <v>213.36666666666699</v>
      </c>
      <c r="E498" s="116">
        <v>215.083333333333</v>
      </c>
      <c r="F498" s="116">
        <v>642.6</v>
      </c>
      <c r="G498">
        <v>1682</v>
      </c>
      <c r="H498" s="116"/>
      <c r="I498" s="116"/>
      <c r="L498" s="169">
        <v>43224</v>
      </c>
      <c r="M498" s="116">
        <v>214.48333333333301</v>
      </c>
      <c r="N498" s="116">
        <v>221.6</v>
      </c>
      <c r="O498" s="116">
        <v>213.88333333333301</v>
      </c>
      <c r="P498" s="116">
        <v>218.333333333333</v>
      </c>
      <c r="Q498" s="116">
        <v>643.45000000000005</v>
      </c>
      <c r="R498">
        <v>32117</v>
      </c>
    </row>
    <row r="499" spans="1:18" x14ac:dyDescent="0.25">
      <c r="A499" s="169">
        <v>43227</v>
      </c>
      <c r="B499" s="116">
        <v>216.98333333333301</v>
      </c>
      <c r="C499" s="116">
        <v>212.816666666667</v>
      </c>
      <c r="D499" s="116">
        <v>211.333333333333</v>
      </c>
      <c r="E499" s="116">
        <v>211.333333333333</v>
      </c>
      <c r="F499" s="116">
        <v>638.45000000000005</v>
      </c>
      <c r="G499">
        <v>1239</v>
      </c>
      <c r="H499" s="116"/>
      <c r="I499" s="116"/>
      <c r="L499" s="169">
        <v>43227</v>
      </c>
      <c r="M499" s="116">
        <v>215.666666666667</v>
      </c>
      <c r="N499" s="116">
        <v>217.05</v>
      </c>
      <c r="O499" s="116">
        <v>211.63333333333301</v>
      </c>
      <c r="P499" s="116">
        <v>215.38333333333301</v>
      </c>
      <c r="Q499" s="116">
        <v>647</v>
      </c>
      <c r="R499">
        <v>33056</v>
      </c>
    </row>
    <row r="500" spans="1:18" x14ac:dyDescent="0.25">
      <c r="A500" s="169">
        <v>43228</v>
      </c>
      <c r="B500" s="116">
        <v>217.75</v>
      </c>
      <c r="C500" s="116">
        <v>213.53333333333299</v>
      </c>
      <c r="D500" s="116">
        <v>212</v>
      </c>
      <c r="E500" s="116">
        <v>214.933333333333</v>
      </c>
      <c r="F500" s="116">
        <v>640.6</v>
      </c>
      <c r="G500">
        <v>1005</v>
      </c>
      <c r="H500" s="116"/>
      <c r="I500" s="116"/>
      <c r="L500" s="169">
        <v>43228</v>
      </c>
      <c r="M500" s="116">
        <v>214.083333333333</v>
      </c>
      <c r="N500" s="116">
        <v>218.333333333333</v>
      </c>
      <c r="O500" s="116">
        <v>213</v>
      </c>
      <c r="P500" s="116">
        <v>218.333333333333</v>
      </c>
      <c r="Q500" s="116">
        <v>642.25</v>
      </c>
      <c r="R500">
        <v>22597</v>
      </c>
    </row>
    <row r="501" spans="1:18" x14ac:dyDescent="0.25">
      <c r="A501" s="169">
        <v>43229</v>
      </c>
      <c r="B501" s="116">
        <v>216.166666666667</v>
      </c>
      <c r="C501" s="116">
        <v>212.73333333333301</v>
      </c>
      <c r="D501" s="116">
        <v>211.71666666666701</v>
      </c>
      <c r="E501" s="116">
        <v>216.15</v>
      </c>
      <c r="F501" s="116">
        <v>638.20000000000005</v>
      </c>
      <c r="G501">
        <v>11263</v>
      </c>
      <c r="H501" s="116"/>
      <c r="I501" s="116"/>
      <c r="L501" s="169">
        <v>43229</v>
      </c>
      <c r="M501" s="116">
        <v>212.48333333333301</v>
      </c>
      <c r="N501" s="116">
        <v>216.21666666666701</v>
      </c>
      <c r="O501" s="116">
        <v>210.4</v>
      </c>
      <c r="P501" s="116">
        <v>215.583333333333</v>
      </c>
      <c r="Q501" s="116">
        <v>637.45000000000005</v>
      </c>
      <c r="R501">
        <v>14672</v>
      </c>
    </row>
    <row r="502" spans="1:18" x14ac:dyDescent="0.25">
      <c r="A502" s="169">
        <v>43230</v>
      </c>
      <c r="B502" s="116">
        <v>214</v>
      </c>
      <c r="C502" s="116">
        <v>207.65</v>
      </c>
      <c r="D502" s="116">
        <v>206.666666666667</v>
      </c>
      <c r="E502" s="116">
        <v>213.25</v>
      </c>
      <c r="F502" s="116">
        <v>622.95000000000005</v>
      </c>
      <c r="G502">
        <v>1307</v>
      </c>
      <c r="H502" s="116"/>
      <c r="I502" s="116"/>
      <c r="L502" s="169">
        <v>43230</v>
      </c>
      <c r="M502" s="116">
        <v>208.13333333333301</v>
      </c>
      <c r="N502" s="116">
        <v>214.6</v>
      </c>
      <c r="O502" s="116">
        <v>206</v>
      </c>
      <c r="P502" s="116">
        <v>212.666666666667</v>
      </c>
      <c r="Q502" s="116">
        <v>624.4</v>
      </c>
      <c r="R502">
        <v>17222</v>
      </c>
    </row>
    <row r="503" spans="1:18" x14ac:dyDescent="0.25">
      <c r="A503" s="169">
        <v>43231</v>
      </c>
      <c r="B503" s="116">
        <v>208.333333333333</v>
      </c>
      <c r="C503" s="116">
        <v>206.083333333333</v>
      </c>
      <c r="D503" s="116">
        <v>202.7</v>
      </c>
      <c r="E503" s="116">
        <v>207.03333333333299</v>
      </c>
      <c r="F503" s="116">
        <v>618.25</v>
      </c>
      <c r="G503">
        <v>1249</v>
      </c>
      <c r="H503" s="116"/>
      <c r="I503" s="116"/>
      <c r="L503" s="169">
        <v>43231</v>
      </c>
      <c r="M503" s="116">
        <v>205.75</v>
      </c>
      <c r="N503" s="116">
        <v>208.333333333333</v>
      </c>
      <c r="O503" s="116">
        <v>204</v>
      </c>
      <c r="P503" s="116">
        <v>208.1</v>
      </c>
      <c r="Q503" s="116">
        <v>617.25</v>
      </c>
      <c r="R503">
        <v>14397</v>
      </c>
    </row>
    <row r="504" spans="1:18" x14ac:dyDescent="0.25">
      <c r="A504" s="169">
        <v>43234</v>
      </c>
      <c r="B504" s="116">
        <v>208.816666666667</v>
      </c>
      <c r="C504" s="116">
        <v>204.666666666667</v>
      </c>
      <c r="D504" s="116">
        <v>203.666666666667</v>
      </c>
      <c r="E504" s="116">
        <v>207.53333333333299</v>
      </c>
      <c r="F504" s="116">
        <v>614</v>
      </c>
      <c r="G504">
        <v>307</v>
      </c>
      <c r="H504" s="116"/>
      <c r="I504" s="116"/>
      <c r="L504" s="169">
        <v>43234</v>
      </c>
      <c r="M504" s="116">
        <v>204.083333333333</v>
      </c>
      <c r="N504" s="116">
        <v>209.933333333333</v>
      </c>
      <c r="O504" s="116">
        <v>203.666666666667</v>
      </c>
      <c r="P504" s="116">
        <v>204.183333333333</v>
      </c>
      <c r="Q504" s="116">
        <v>612.25</v>
      </c>
      <c r="R504">
        <v>21745</v>
      </c>
    </row>
    <row r="505" spans="1:18" x14ac:dyDescent="0.25">
      <c r="A505" s="169">
        <v>43235</v>
      </c>
      <c r="B505" s="116">
        <v>211.53333333333299</v>
      </c>
      <c r="C505" s="116">
        <v>201.5</v>
      </c>
      <c r="D505" s="116">
        <v>200.03333333333299</v>
      </c>
      <c r="E505" s="116">
        <v>206.666666666667</v>
      </c>
      <c r="F505" s="116">
        <v>604.5</v>
      </c>
      <c r="G505">
        <v>1879</v>
      </c>
      <c r="H505" s="116"/>
      <c r="I505" s="116"/>
      <c r="L505" s="169">
        <v>43235</v>
      </c>
      <c r="M505" s="116">
        <v>200.816666666667</v>
      </c>
      <c r="N505" s="116">
        <v>212.066666666667</v>
      </c>
      <c r="O505" s="116">
        <v>199.2</v>
      </c>
      <c r="P505" s="116">
        <v>203.333333333333</v>
      </c>
      <c r="Q505" s="116">
        <v>602.45000000000005</v>
      </c>
      <c r="R505">
        <v>39618</v>
      </c>
    </row>
    <row r="506" spans="1:18" x14ac:dyDescent="0.25">
      <c r="A506" s="169">
        <v>43236</v>
      </c>
      <c r="B506" s="116">
        <v>208.15</v>
      </c>
      <c r="C506" s="116">
        <v>204.7</v>
      </c>
      <c r="D506" s="116">
        <v>201.63333333333301</v>
      </c>
      <c r="E506" s="116">
        <v>202.333333333333</v>
      </c>
      <c r="F506" s="116">
        <v>614.1</v>
      </c>
      <c r="G506">
        <v>1662</v>
      </c>
      <c r="H506" s="116"/>
      <c r="I506" s="116"/>
      <c r="L506" s="169">
        <v>43236</v>
      </c>
      <c r="M506" s="116">
        <v>204.96666666666701</v>
      </c>
      <c r="N506" s="116">
        <v>207</v>
      </c>
      <c r="O506" s="116">
        <v>200.03333333333299</v>
      </c>
      <c r="P506" s="116">
        <v>203.333333333333</v>
      </c>
      <c r="Q506" s="116">
        <v>614.9</v>
      </c>
      <c r="R506">
        <v>10034</v>
      </c>
    </row>
    <row r="507" spans="1:18" x14ac:dyDescent="0.25">
      <c r="A507" s="169">
        <v>43237</v>
      </c>
      <c r="B507" s="116">
        <v>212</v>
      </c>
      <c r="C507" s="116">
        <v>207.9</v>
      </c>
      <c r="D507" s="116">
        <v>206.76666666666699</v>
      </c>
      <c r="E507" s="116">
        <v>206.76666666666699</v>
      </c>
      <c r="F507" s="116">
        <v>623.70000000000005</v>
      </c>
      <c r="G507">
        <v>612</v>
      </c>
      <c r="H507" s="116"/>
      <c r="I507" s="116"/>
      <c r="L507" s="169">
        <v>43237</v>
      </c>
      <c r="M507" s="116">
        <v>208.13333333333301</v>
      </c>
      <c r="N507" s="116">
        <v>212.333333333333</v>
      </c>
      <c r="O507" s="116">
        <v>207.03333333333299</v>
      </c>
      <c r="P507" s="116">
        <v>208.333333333333</v>
      </c>
      <c r="Q507" s="116">
        <v>624.4</v>
      </c>
      <c r="R507">
        <v>21334</v>
      </c>
    </row>
    <row r="508" spans="1:18" x14ac:dyDescent="0.25">
      <c r="A508" s="169">
        <v>43238</v>
      </c>
      <c r="B508" s="116">
        <v>209.433333333333</v>
      </c>
      <c r="C508" s="116">
        <v>204.71666666666701</v>
      </c>
      <c r="D508" s="116">
        <v>203.73333333333301</v>
      </c>
      <c r="E508" s="116">
        <v>209</v>
      </c>
      <c r="F508" s="116">
        <v>614.15</v>
      </c>
      <c r="G508">
        <v>297</v>
      </c>
      <c r="H508" s="116"/>
      <c r="I508" s="116"/>
      <c r="L508" s="169">
        <v>43238</v>
      </c>
      <c r="M508" s="116">
        <v>203.85</v>
      </c>
      <c r="N508" s="116">
        <v>210.71666666666701</v>
      </c>
      <c r="O508" s="116">
        <v>203.416666666667</v>
      </c>
      <c r="P508" s="116">
        <v>208.98333333333301</v>
      </c>
      <c r="Q508" s="116">
        <v>611.54999999999995</v>
      </c>
      <c r="R508">
        <v>19036</v>
      </c>
    </row>
    <row r="509" spans="1:18" x14ac:dyDescent="0.25">
      <c r="A509" s="169">
        <v>43241</v>
      </c>
      <c r="B509" s="116">
        <v>204</v>
      </c>
      <c r="C509" s="116">
        <v>201.51666666666699</v>
      </c>
      <c r="D509" s="116">
        <v>197.7</v>
      </c>
      <c r="E509" s="116">
        <v>203.666666666667</v>
      </c>
      <c r="F509" s="116">
        <v>604.54999999999995</v>
      </c>
      <c r="G509">
        <v>922</v>
      </c>
      <c r="H509" s="116"/>
      <c r="I509" s="116"/>
      <c r="L509" s="169">
        <v>43241</v>
      </c>
      <c r="M509" s="116">
        <v>198.65</v>
      </c>
      <c r="N509" s="116">
        <v>204</v>
      </c>
      <c r="O509" s="116">
        <v>196.683333333333</v>
      </c>
      <c r="P509" s="116">
        <v>202.86666666666699</v>
      </c>
      <c r="Q509" s="116">
        <v>595.95000000000005</v>
      </c>
      <c r="R509">
        <v>18580</v>
      </c>
    </row>
    <row r="510" spans="1:18" x14ac:dyDescent="0.25">
      <c r="A510" s="169">
        <v>43242</v>
      </c>
      <c r="B510" s="116">
        <v>204.63333333333301</v>
      </c>
      <c r="C510" s="116">
        <v>200.316666666667</v>
      </c>
      <c r="D510" s="116">
        <v>197.333333333333</v>
      </c>
      <c r="E510" s="116">
        <v>198</v>
      </c>
      <c r="F510" s="116">
        <v>600.95000000000005</v>
      </c>
      <c r="G510">
        <v>365</v>
      </c>
      <c r="H510" s="116"/>
      <c r="I510" s="116"/>
      <c r="L510" s="169">
        <v>43242</v>
      </c>
      <c r="M510" s="116">
        <v>202.03333333333299</v>
      </c>
      <c r="N510" s="116">
        <v>203.48333333333301</v>
      </c>
      <c r="O510" s="116">
        <v>196.65</v>
      </c>
      <c r="P510" s="116">
        <v>199.333333333333</v>
      </c>
      <c r="Q510" s="116">
        <v>606.1</v>
      </c>
      <c r="R510">
        <v>12098</v>
      </c>
    </row>
    <row r="511" spans="1:18" x14ac:dyDescent="0.25">
      <c r="A511" s="169">
        <v>43243</v>
      </c>
      <c r="B511" s="116">
        <v>207.2</v>
      </c>
      <c r="C511" s="116">
        <v>199.45</v>
      </c>
      <c r="D511" s="116">
        <v>192</v>
      </c>
      <c r="E511" s="116">
        <v>205.45</v>
      </c>
      <c r="F511" s="116">
        <v>598.35</v>
      </c>
      <c r="G511">
        <v>1471</v>
      </c>
      <c r="H511" s="116"/>
      <c r="I511" s="116"/>
      <c r="L511" s="169">
        <v>43243</v>
      </c>
      <c r="M511" s="116">
        <v>199.3</v>
      </c>
      <c r="N511" s="116">
        <v>207.73333333333301</v>
      </c>
      <c r="O511" s="116">
        <v>190.73333333333301</v>
      </c>
      <c r="P511" s="116">
        <v>201.98333333333301</v>
      </c>
      <c r="Q511" s="116">
        <v>597.9</v>
      </c>
      <c r="R511">
        <v>46817</v>
      </c>
    </row>
    <row r="512" spans="1:18" x14ac:dyDescent="0.25">
      <c r="A512" s="169">
        <v>43244</v>
      </c>
      <c r="B512" s="116">
        <v>201.666666666667</v>
      </c>
      <c r="C512" s="116">
        <v>198.316666666667</v>
      </c>
      <c r="D512" s="116">
        <v>196.65</v>
      </c>
      <c r="E512" s="116">
        <v>201.15</v>
      </c>
      <c r="F512" s="116">
        <v>594.95000000000005</v>
      </c>
      <c r="G512">
        <v>815</v>
      </c>
      <c r="H512" s="116"/>
      <c r="I512" s="116"/>
      <c r="L512" s="169">
        <v>43244</v>
      </c>
      <c r="M512" s="116">
        <v>199.25</v>
      </c>
      <c r="N512" s="116">
        <v>201.666666666667</v>
      </c>
      <c r="O512" s="116">
        <v>196.4</v>
      </c>
      <c r="P512" s="116">
        <v>201.666666666667</v>
      </c>
      <c r="Q512" s="116">
        <v>597.75</v>
      </c>
      <c r="R512">
        <v>12686</v>
      </c>
    </row>
    <row r="513" spans="1:18" x14ac:dyDescent="0.25">
      <c r="A513" s="169">
        <v>43245</v>
      </c>
      <c r="B513" s="116">
        <v>200.666666666667</v>
      </c>
      <c r="C513" s="116">
        <v>199.85</v>
      </c>
      <c r="D513" s="116">
        <v>197</v>
      </c>
      <c r="E513" s="116">
        <v>200.666666666667</v>
      </c>
      <c r="F513" s="116">
        <v>599.54999999999995</v>
      </c>
      <c r="G513">
        <v>445</v>
      </c>
      <c r="H513" s="116"/>
      <c r="I513" s="116"/>
      <c r="L513" s="169">
        <v>43245</v>
      </c>
      <c r="M513" s="116">
        <v>199.816666666667</v>
      </c>
      <c r="N513" s="116">
        <v>203</v>
      </c>
      <c r="O513" s="116">
        <v>196.666666666667</v>
      </c>
      <c r="P513" s="116">
        <v>199.53333333333299</v>
      </c>
      <c r="Q513" s="116">
        <v>599.45000000000005</v>
      </c>
      <c r="R513">
        <v>9249</v>
      </c>
    </row>
    <row r="514" spans="1:18" x14ac:dyDescent="0.25">
      <c r="A514" s="169">
        <v>43248</v>
      </c>
      <c r="B514" s="116">
        <v>203.333333333333</v>
      </c>
      <c r="C514" s="116">
        <v>200.48333333333301</v>
      </c>
      <c r="D514" s="116">
        <v>200.333333333333</v>
      </c>
      <c r="E514" s="116">
        <v>202.666666666667</v>
      </c>
      <c r="F514" s="116">
        <v>601.45000000000005</v>
      </c>
      <c r="G514">
        <v>302</v>
      </c>
      <c r="H514" s="116"/>
      <c r="I514" s="116"/>
      <c r="L514" s="169">
        <v>43248</v>
      </c>
      <c r="M514" s="116">
        <v>199.88333333333301</v>
      </c>
      <c r="N514" s="116">
        <v>203</v>
      </c>
      <c r="O514" s="116">
        <v>199.28333333333299</v>
      </c>
      <c r="P514" s="116">
        <v>199.6</v>
      </c>
      <c r="Q514" s="116">
        <v>599.65</v>
      </c>
      <c r="R514">
        <v>20456</v>
      </c>
    </row>
    <row r="515" spans="1:18" x14ac:dyDescent="0.25">
      <c r="A515" s="169">
        <v>43249</v>
      </c>
      <c r="B515" s="116">
        <v>201.95</v>
      </c>
      <c r="C515" s="116">
        <v>200.11666666666699</v>
      </c>
      <c r="D515" s="116">
        <v>200</v>
      </c>
      <c r="E515" s="116">
        <v>200.416666666667</v>
      </c>
      <c r="F515" s="116">
        <v>600.35</v>
      </c>
      <c r="G515">
        <v>357</v>
      </c>
      <c r="H515" s="116"/>
      <c r="I515" s="116"/>
      <c r="L515" s="169">
        <v>43249</v>
      </c>
      <c r="M515" s="116">
        <v>200.566666666667</v>
      </c>
      <c r="N515" s="116">
        <v>201.88333333333301</v>
      </c>
      <c r="O515" s="116">
        <v>199.666666666667</v>
      </c>
      <c r="P515" s="116">
        <v>201.88333333333301</v>
      </c>
      <c r="Q515" s="116">
        <v>601.70000000000005</v>
      </c>
      <c r="R515">
        <v>11962</v>
      </c>
    </row>
    <row r="516" spans="1:18" x14ac:dyDescent="0.25">
      <c r="A516" s="169">
        <v>43250</v>
      </c>
      <c r="B516" s="116">
        <v>204.333333333333</v>
      </c>
      <c r="C516" s="116">
        <v>201.183333333333</v>
      </c>
      <c r="D516" s="116">
        <v>200.05</v>
      </c>
      <c r="E516" s="116">
        <v>201.21666666666701</v>
      </c>
      <c r="F516" s="116">
        <v>603.54999999999995</v>
      </c>
      <c r="G516">
        <v>381</v>
      </c>
      <c r="H516" s="116"/>
      <c r="I516" s="116"/>
      <c r="L516" s="169">
        <v>43250</v>
      </c>
      <c r="M516" s="116">
        <v>200.6</v>
      </c>
      <c r="N516" s="116">
        <v>202.583333333333</v>
      </c>
      <c r="O516" s="116">
        <v>198.36666666666699</v>
      </c>
      <c r="P516" s="116">
        <v>198.36666666666699</v>
      </c>
      <c r="Q516" s="116">
        <v>601.79999999999995</v>
      </c>
      <c r="R516">
        <v>9238</v>
      </c>
    </row>
    <row r="517" spans="1:18" x14ac:dyDescent="0.25">
      <c r="A517" s="169">
        <v>43251</v>
      </c>
      <c r="B517" s="116">
        <v>213.333333333333</v>
      </c>
      <c r="C517" s="116">
        <v>208.11666666666699</v>
      </c>
      <c r="D517" s="116">
        <v>195.433333333333</v>
      </c>
      <c r="E517" s="116">
        <v>201.333333333333</v>
      </c>
      <c r="F517" s="116">
        <v>624.35</v>
      </c>
      <c r="G517">
        <v>2602</v>
      </c>
      <c r="H517" s="116"/>
      <c r="I517" s="116"/>
      <c r="L517" s="169">
        <v>43251</v>
      </c>
      <c r="M517" s="116">
        <v>203.73333333333301</v>
      </c>
      <c r="N517" s="116">
        <v>204.85</v>
      </c>
      <c r="O517" s="116">
        <v>200.833333333333</v>
      </c>
      <c r="P517" s="116">
        <v>201.13333333333301</v>
      </c>
      <c r="Q517" s="116">
        <v>611.20000000000005</v>
      </c>
      <c r="R517">
        <v>10548</v>
      </c>
    </row>
    <row r="518" spans="1:18" x14ac:dyDescent="0.25">
      <c r="A518" s="169">
        <v>43252</v>
      </c>
      <c r="B518" s="116">
        <v>207</v>
      </c>
      <c r="C518" s="116">
        <v>205.88333333333301</v>
      </c>
      <c r="D518" s="116">
        <v>203</v>
      </c>
      <c r="E518" s="116">
        <v>203</v>
      </c>
      <c r="F518" s="116">
        <v>617.65</v>
      </c>
      <c r="G518">
        <v>169</v>
      </c>
      <c r="H518" s="116"/>
      <c r="I518" s="116"/>
      <c r="L518" s="169">
        <v>43252</v>
      </c>
      <c r="M518" s="116">
        <v>204.916666666667</v>
      </c>
      <c r="N518" s="116">
        <v>206.46666666666701</v>
      </c>
      <c r="O518" s="116">
        <v>202.333333333333</v>
      </c>
      <c r="P518" s="116">
        <v>204.48333333333301</v>
      </c>
      <c r="Q518" s="116">
        <v>614.75</v>
      </c>
      <c r="R518">
        <v>7085</v>
      </c>
    </row>
    <row r="519" spans="1:18" x14ac:dyDescent="0.25">
      <c r="A519" s="169">
        <v>43255</v>
      </c>
      <c r="B519" s="116">
        <v>206.96666666666701</v>
      </c>
      <c r="C519" s="116">
        <v>197.53333333333299</v>
      </c>
      <c r="D519" s="116">
        <v>196.666666666667</v>
      </c>
      <c r="E519" s="116">
        <v>206.666666666667</v>
      </c>
      <c r="F519" s="116">
        <v>592.6</v>
      </c>
      <c r="G519">
        <v>796461</v>
      </c>
      <c r="H519" s="116"/>
      <c r="I519" s="116"/>
      <c r="L519" s="169">
        <v>43255</v>
      </c>
      <c r="M519" s="116">
        <v>198.6</v>
      </c>
      <c r="N519" s="116">
        <v>205.666666666667</v>
      </c>
      <c r="O519" s="116">
        <v>197.25</v>
      </c>
      <c r="P519" s="116">
        <v>205.433333333333</v>
      </c>
      <c r="Q519" s="116">
        <v>595.79999999999995</v>
      </c>
      <c r="R519">
        <v>10755</v>
      </c>
    </row>
    <row r="520" spans="1:18" x14ac:dyDescent="0.25">
      <c r="A520" s="169">
        <v>43256</v>
      </c>
      <c r="B520" s="116">
        <v>198.6</v>
      </c>
      <c r="C520" s="116">
        <v>196.38333333333301</v>
      </c>
      <c r="D520" s="116">
        <v>195.333333333333</v>
      </c>
      <c r="E520" s="116">
        <v>198.6</v>
      </c>
      <c r="F520" s="116">
        <v>589.15</v>
      </c>
      <c r="G520">
        <v>319</v>
      </c>
      <c r="H520" s="116"/>
      <c r="I520" s="116"/>
      <c r="L520" s="169">
        <v>43256</v>
      </c>
      <c r="M520" s="116">
        <v>196.333333333333</v>
      </c>
      <c r="N520" s="116">
        <v>198.916666666667</v>
      </c>
      <c r="O520" s="116">
        <v>195.316666666667</v>
      </c>
      <c r="P520" s="116">
        <v>198.65</v>
      </c>
      <c r="Q520" s="116">
        <v>589</v>
      </c>
      <c r="R520">
        <v>5959</v>
      </c>
    </row>
    <row r="521" spans="1:18" x14ac:dyDescent="0.25">
      <c r="A521" s="169">
        <v>43257</v>
      </c>
      <c r="B521" s="116">
        <v>201.666666666667</v>
      </c>
      <c r="C521" s="116">
        <v>198.26666666666699</v>
      </c>
      <c r="D521" s="116">
        <v>194.35</v>
      </c>
      <c r="E521" s="116">
        <v>197.666666666667</v>
      </c>
      <c r="F521" s="116">
        <v>594.79999999999995</v>
      </c>
      <c r="G521">
        <v>813</v>
      </c>
      <c r="H521" s="116"/>
      <c r="I521" s="116"/>
      <c r="L521" s="169">
        <v>43257</v>
      </c>
      <c r="M521" s="116">
        <v>198</v>
      </c>
      <c r="N521" s="116">
        <v>203.63333333333301</v>
      </c>
      <c r="O521" s="116">
        <v>193.86666666666699</v>
      </c>
      <c r="P521" s="116">
        <v>196.03333333333299</v>
      </c>
      <c r="Q521" s="116">
        <v>594</v>
      </c>
      <c r="R521">
        <v>12759</v>
      </c>
    </row>
    <row r="522" spans="1:18" x14ac:dyDescent="0.25">
      <c r="A522" s="169">
        <v>43258</v>
      </c>
      <c r="B522" s="116">
        <v>202.26666666666699</v>
      </c>
      <c r="C522" s="116">
        <v>199.85</v>
      </c>
      <c r="D522" s="116">
        <v>193.8</v>
      </c>
      <c r="E522" s="116">
        <v>196.7</v>
      </c>
      <c r="F522" s="116">
        <v>599.54999999999995</v>
      </c>
      <c r="G522">
        <v>1204</v>
      </c>
      <c r="H522" s="116"/>
      <c r="I522" s="116"/>
      <c r="L522" s="169">
        <v>43258</v>
      </c>
      <c r="M522" s="116">
        <v>198.7</v>
      </c>
      <c r="N522" s="116">
        <v>201.683333333333</v>
      </c>
      <c r="O522" s="116">
        <v>198.01666666666699</v>
      </c>
      <c r="P522" s="116">
        <v>198.28333333333299</v>
      </c>
      <c r="Q522" s="116">
        <v>596.1</v>
      </c>
      <c r="R522">
        <v>9662</v>
      </c>
    </row>
    <row r="523" spans="1:18" x14ac:dyDescent="0.25">
      <c r="A523" s="169">
        <v>43259</v>
      </c>
      <c r="B523" s="116">
        <v>201.63333333333301</v>
      </c>
      <c r="C523" s="116">
        <v>198.63333333333301</v>
      </c>
      <c r="D523" s="116">
        <v>194.13333333333301</v>
      </c>
      <c r="E523" s="116">
        <v>194.13333333333301</v>
      </c>
      <c r="F523" s="116">
        <v>595.9</v>
      </c>
      <c r="G523">
        <v>1032</v>
      </c>
      <c r="H523" s="116"/>
      <c r="I523" s="116"/>
      <c r="L523" s="169">
        <v>43259</v>
      </c>
      <c r="M523" s="116">
        <v>199.23333333333301</v>
      </c>
      <c r="N523" s="116">
        <v>201.816666666667</v>
      </c>
      <c r="O523" s="116">
        <v>197.65</v>
      </c>
      <c r="P523" s="116">
        <v>199.01666666666699</v>
      </c>
      <c r="Q523" s="116">
        <v>597.70000000000005</v>
      </c>
      <c r="R523">
        <v>15189</v>
      </c>
    </row>
    <row r="524" spans="1:18" x14ac:dyDescent="0.25">
      <c r="A524" s="169">
        <v>43262</v>
      </c>
      <c r="B524" s="116">
        <v>207.183333333333</v>
      </c>
      <c r="C524" s="116">
        <v>199.75</v>
      </c>
      <c r="D524" s="116">
        <v>198.76666666666699</v>
      </c>
      <c r="E524" s="116">
        <v>200.333333333333</v>
      </c>
      <c r="F524" s="116">
        <v>599.25</v>
      </c>
      <c r="G524">
        <v>2275</v>
      </c>
      <c r="H524" s="116"/>
      <c r="I524" s="116"/>
      <c r="L524" s="169">
        <v>43262</v>
      </c>
      <c r="M524" s="116">
        <v>199.53333333333299</v>
      </c>
      <c r="N524" s="116">
        <v>206.666666666667</v>
      </c>
      <c r="O524" s="116">
        <v>198.38333333333301</v>
      </c>
      <c r="P524" s="116">
        <v>199.833333333333</v>
      </c>
      <c r="Q524" s="116">
        <v>598.6</v>
      </c>
      <c r="R524">
        <v>18486</v>
      </c>
    </row>
    <row r="525" spans="1:18" x14ac:dyDescent="0.25">
      <c r="A525" s="169">
        <v>43263</v>
      </c>
      <c r="B525" s="116">
        <v>201.73333333333301</v>
      </c>
      <c r="C525" s="116">
        <v>200.28333333333299</v>
      </c>
      <c r="D525" s="116">
        <v>197.78333333333299</v>
      </c>
      <c r="E525" s="116">
        <v>197.78333333333299</v>
      </c>
      <c r="F525" s="116">
        <v>600.85</v>
      </c>
      <c r="G525">
        <v>499</v>
      </c>
      <c r="H525" s="116"/>
      <c r="I525" s="116"/>
      <c r="L525" s="169">
        <v>43263</v>
      </c>
      <c r="M525" s="116">
        <v>199.71666666666701</v>
      </c>
      <c r="N525" s="116">
        <v>202.333333333333</v>
      </c>
      <c r="O525" s="116">
        <v>198.8</v>
      </c>
      <c r="P525" s="116">
        <v>199.53333333333299</v>
      </c>
      <c r="Q525" s="116">
        <v>599.15</v>
      </c>
      <c r="R525">
        <v>14634</v>
      </c>
    </row>
    <row r="526" spans="1:18" x14ac:dyDescent="0.25">
      <c r="A526" s="169">
        <v>43264</v>
      </c>
      <c r="B526" s="116">
        <v>203.583333333333</v>
      </c>
      <c r="C526" s="116">
        <v>199.51666666666699</v>
      </c>
      <c r="D526" s="116">
        <v>198.666666666667</v>
      </c>
      <c r="E526" s="116">
        <v>201.333333333333</v>
      </c>
      <c r="F526" s="116">
        <v>598.54999999999995</v>
      </c>
      <c r="G526">
        <v>777</v>
      </c>
      <c r="H526" s="116"/>
      <c r="I526" s="116"/>
      <c r="L526" s="169">
        <v>43264</v>
      </c>
      <c r="M526" s="116">
        <v>199.51666666666699</v>
      </c>
      <c r="N526" s="116">
        <v>203.13333333333301</v>
      </c>
      <c r="O526" s="116">
        <v>199.01666666666699</v>
      </c>
      <c r="P526" s="116">
        <v>200.25</v>
      </c>
      <c r="Q526" s="116">
        <v>598.54999999999995</v>
      </c>
      <c r="R526">
        <v>17091</v>
      </c>
    </row>
    <row r="527" spans="1:18" x14ac:dyDescent="0.25">
      <c r="A527" s="169">
        <v>43265</v>
      </c>
      <c r="B527" s="116">
        <v>203.23333333333301</v>
      </c>
      <c r="C527" s="116">
        <v>201.46666666666701</v>
      </c>
      <c r="D527" s="116">
        <v>194.53333333333299</v>
      </c>
      <c r="E527" s="116">
        <v>197.86666666666699</v>
      </c>
      <c r="F527" s="116">
        <v>604.4</v>
      </c>
      <c r="G527">
        <v>1125</v>
      </c>
      <c r="H527" s="116"/>
      <c r="I527" s="116"/>
      <c r="L527" s="169">
        <v>43265</v>
      </c>
      <c r="M527" s="116">
        <v>200.833333333333</v>
      </c>
      <c r="N527" s="116">
        <v>201.9</v>
      </c>
      <c r="O527" s="116">
        <v>193.5</v>
      </c>
      <c r="P527" s="116">
        <v>196</v>
      </c>
      <c r="Q527" s="116">
        <v>602.5</v>
      </c>
      <c r="R527">
        <v>15476</v>
      </c>
    </row>
    <row r="528" spans="1:18" x14ac:dyDescent="0.25">
      <c r="A528" s="169">
        <v>43266</v>
      </c>
      <c r="B528" s="116">
        <v>204.95</v>
      </c>
      <c r="C528" s="116">
        <v>199.11666666666699</v>
      </c>
      <c r="D528" s="116">
        <v>198.333333333333</v>
      </c>
      <c r="E528" s="116">
        <v>204.75</v>
      </c>
      <c r="F528" s="116">
        <v>597.35</v>
      </c>
      <c r="G528">
        <v>590</v>
      </c>
      <c r="H528" s="116"/>
      <c r="I528" s="116"/>
      <c r="L528" s="169">
        <v>43266</v>
      </c>
      <c r="M528" s="116">
        <v>199.53333333333299</v>
      </c>
      <c r="N528" s="116">
        <v>204.666666666667</v>
      </c>
      <c r="O528" s="116">
        <v>198.333333333333</v>
      </c>
      <c r="P528" s="116">
        <v>200.88333333333301</v>
      </c>
      <c r="Q528" s="116">
        <v>598.6</v>
      </c>
      <c r="R528">
        <v>10207</v>
      </c>
    </row>
    <row r="529" spans="1:18" x14ac:dyDescent="0.25">
      <c r="A529" s="169">
        <v>43269</v>
      </c>
      <c r="B529" s="116">
        <v>200.683333333333</v>
      </c>
      <c r="C529" s="116">
        <v>198.316666666667</v>
      </c>
      <c r="D529" s="116">
        <v>198.316666666667</v>
      </c>
      <c r="E529" s="116">
        <v>199.5</v>
      </c>
      <c r="F529" s="116">
        <v>594.95000000000005</v>
      </c>
      <c r="G529">
        <v>767</v>
      </c>
      <c r="H529" s="116"/>
      <c r="I529" s="116"/>
      <c r="L529" s="169">
        <v>43269</v>
      </c>
      <c r="M529" s="116">
        <v>198.78333333333299</v>
      </c>
      <c r="N529" s="116">
        <v>200.666666666667</v>
      </c>
      <c r="O529" s="116">
        <v>198.666666666667</v>
      </c>
      <c r="P529" s="116">
        <v>200</v>
      </c>
      <c r="Q529" s="116">
        <v>596.35</v>
      </c>
      <c r="R529">
        <v>4984</v>
      </c>
    </row>
    <row r="530" spans="1:18" x14ac:dyDescent="0.25">
      <c r="A530" s="169">
        <v>43270</v>
      </c>
      <c r="B530" s="116">
        <v>201.583333333333</v>
      </c>
      <c r="C530" s="116">
        <v>198.63333333333301</v>
      </c>
      <c r="D530" s="116">
        <v>196.666666666667</v>
      </c>
      <c r="E530" s="116">
        <v>199.7</v>
      </c>
      <c r="F530" s="116">
        <v>595.9</v>
      </c>
      <c r="G530">
        <v>599</v>
      </c>
      <c r="H530" s="116"/>
      <c r="I530" s="116"/>
      <c r="L530" s="169">
        <v>43270</v>
      </c>
      <c r="M530" s="116">
        <v>199.066666666667</v>
      </c>
      <c r="N530" s="116">
        <v>199.98333333333301</v>
      </c>
      <c r="O530" s="116">
        <v>196.71666666666701</v>
      </c>
      <c r="P530" s="116">
        <v>198.833333333333</v>
      </c>
      <c r="Q530" s="116">
        <v>597.20000000000005</v>
      </c>
      <c r="R530">
        <v>6862</v>
      </c>
    </row>
    <row r="531" spans="1:18" x14ac:dyDescent="0.25">
      <c r="A531" s="169">
        <v>43271</v>
      </c>
      <c r="B531" s="116">
        <v>201.8</v>
      </c>
      <c r="C531" s="116">
        <v>197.666666666667</v>
      </c>
      <c r="D531" s="116">
        <v>196.666666666667</v>
      </c>
      <c r="E531" s="116">
        <v>201.45</v>
      </c>
      <c r="F531" s="116">
        <v>593</v>
      </c>
      <c r="G531">
        <v>150837</v>
      </c>
      <c r="H531" s="116"/>
      <c r="I531" s="116"/>
      <c r="L531" s="169">
        <v>43271</v>
      </c>
      <c r="M531" s="116">
        <v>197.666666666667</v>
      </c>
      <c r="N531" s="116">
        <v>199.98333333333301</v>
      </c>
      <c r="O531" s="116">
        <v>196.98333333333301</v>
      </c>
      <c r="P531" s="116">
        <v>197.11666666666699</v>
      </c>
      <c r="Q531" s="116">
        <v>593</v>
      </c>
      <c r="R531">
        <v>153739</v>
      </c>
    </row>
    <row r="532" spans="1:18" x14ac:dyDescent="0.25">
      <c r="A532" s="169">
        <v>43272</v>
      </c>
      <c r="B532" s="116">
        <v>200.333333333333</v>
      </c>
      <c r="C532" s="116">
        <v>196.23333333333301</v>
      </c>
      <c r="D532" s="116">
        <v>195.35</v>
      </c>
      <c r="E532" s="116">
        <v>199.45</v>
      </c>
      <c r="F532" s="116">
        <v>588.70000000000005</v>
      </c>
      <c r="G532">
        <v>715</v>
      </c>
      <c r="H532" s="116"/>
      <c r="I532" s="116"/>
      <c r="L532" s="169">
        <v>43272</v>
      </c>
      <c r="M532" s="116">
        <v>196.183333333333</v>
      </c>
      <c r="N532" s="116">
        <v>200</v>
      </c>
      <c r="O532" s="116">
        <v>194.03333333333299</v>
      </c>
      <c r="P532" s="116">
        <v>199.63333333333301</v>
      </c>
      <c r="Q532" s="116">
        <v>588.54999999999995</v>
      </c>
      <c r="R532">
        <v>237940</v>
      </c>
    </row>
    <row r="533" spans="1:18" x14ac:dyDescent="0.25">
      <c r="A533" s="169">
        <v>43273</v>
      </c>
      <c r="B533" s="116">
        <v>200.583333333333</v>
      </c>
      <c r="C533" s="116">
        <v>195.6</v>
      </c>
      <c r="D533" s="116">
        <v>195.05</v>
      </c>
      <c r="E533" s="116">
        <v>196.666666666667</v>
      </c>
      <c r="F533" s="116">
        <v>586.79999999999995</v>
      </c>
      <c r="G533">
        <v>696</v>
      </c>
      <c r="H533" s="116"/>
      <c r="I533" s="116"/>
      <c r="L533" s="169">
        <v>43273</v>
      </c>
      <c r="M533" s="116">
        <v>195.316666666667</v>
      </c>
      <c r="N533" s="116">
        <v>198.333333333333</v>
      </c>
      <c r="O533" s="116">
        <v>194.36666666666699</v>
      </c>
      <c r="P533" s="116">
        <v>197.333333333333</v>
      </c>
      <c r="Q533" s="116">
        <v>585.95000000000005</v>
      </c>
      <c r="R533">
        <v>26937</v>
      </c>
    </row>
    <row r="534" spans="1:18" x14ac:dyDescent="0.25">
      <c r="A534" s="169">
        <v>43276</v>
      </c>
      <c r="B534" s="116">
        <v>197.4</v>
      </c>
      <c r="C534" s="116">
        <v>195.2</v>
      </c>
      <c r="D534" s="116">
        <v>194.53333333333299</v>
      </c>
      <c r="E534" s="116">
        <v>195.01666666666699</v>
      </c>
      <c r="F534" s="116">
        <v>585.6</v>
      </c>
      <c r="G534">
        <v>1039</v>
      </c>
      <c r="H534" s="116"/>
      <c r="I534" s="116"/>
      <c r="L534" s="169">
        <v>43276</v>
      </c>
      <c r="M534" s="116">
        <v>194.9</v>
      </c>
      <c r="N534" s="116">
        <v>197.666666666667</v>
      </c>
      <c r="O534" s="116">
        <v>191.816666666667</v>
      </c>
      <c r="P534" s="116">
        <v>195.6</v>
      </c>
      <c r="Q534" s="116">
        <v>584.70000000000005</v>
      </c>
      <c r="R534">
        <v>18975</v>
      </c>
    </row>
    <row r="535" spans="1:18" x14ac:dyDescent="0.25">
      <c r="A535" s="169">
        <v>43277</v>
      </c>
      <c r="B535" s="116">
        <v>195</v>
      </c>
      <c r="C535" s="116">
        <v>192.95</v>
      </c>
      <c r="D535" s="116">
        <v>192.65</v>
      </c>
      <c r="E535" s="116">
        <v>194.95</v>
      </c>
      <c r="F535" s="116">
        <v>578.85</v>
      </c>
      <c r="G535">
        <v>592</v>
      </c>
      <c r="H535" s="116"/>
      <c r="I535" s="116"/>
      <c r="L535" s="169">
        <v>43277</v>
      </c>
      <c r="M535" s="116">
        <v>192.78333333333299</v>
      </c>
      <c r="N535" s="116">
        <v>196</v>
      </c>
      <c r="O535" s="116">
        <v>192</v>
      </c>
      <c r="P535" s="116">
        <v>194.166666666667</v>
      </c>
      <c r="Q535" s="116">
        <v>578.35</v>
      </c>
      <c r="R535">
        <v>23522</v>
      </c>
    </row>
    <row r="536" spans="1:18" x14ac:dyDescent="0.25">
      <c r="A536" s="169">
        <v>43278</v>
      </c>
      <c r="B536" s="116">
        <v>196.666666666667</v>
      </c>
      <c r="C536" s="116">
        <v>194.78333333333299</v>
      </c>
      <c r="D536" s="116">
        <v>192</v>
      </c>
      <c r="E536" s="116">
        <v>192</v>
      </c>
      <c r="F536" s="116">
        <v>584.35</v>
      </c>
      <c r="G536">
        <v>397</v>
      </c>
      <c r="H536" s="116"/>
      <c r="I536" s="116"/>
      <c r="L536" s="169">
        <v>43278</v>
      </c>
      <c r="M536" s="116">
        <v>193.316666666667</v>
      </c>
      <c r="N536" s="116">
        <v>198.15</v>
      </c>
      <c r="O536" s="116">
        <v>192</v>
      </c>
      <c r="P536" s="116">
        <v>192.4</v>
      </c>
      <c r="Q536" s="116">
        <v>579.95000000000005</v>
      </c>
      <c r="R536">
        <v>14176</v>
      </c>
    </row>
    <row r="537" spans="1:18" x14ac:dyDescent="0.25">
      <c r="A537" s="169">
        <v>43279</v>
      </c>
      <c r="B537" s="116">
        <v>199.7</v>
      </c>
      <c r="C537" s="116">
        <v>192.03333333333299</v>
      </c>
      <c r="D537" s="116">
        <v>191.666666666667</v>
      </c>
      <c r="E537" s="116">
        <v>191.7</v>
      </c>
      <c r="F537" s="116">
        <v>576.1</v>
      </c>
      <c r="G537">
        <v>1034</v>
      </c>
      <c r="H537" s="116"/>
      <c r="I537" s="116"/>
      <c r="L537" s="169">
        <v>43279</v>
      </c>
      <c r="M537" s="116">
        <v>191.65</v>
      </c>
      <c r="N537" s="116">
        <v>198.333333333333</v>
      </c>
      <c r="O537" s="116">
        <v>191.01666666666699</v>
      </c>
      <c r="P537" s="116">
        <v>194.86666666666699</v>
      </c>
      <c r="Q537" s="116">
        <v>574.95000000000005</v>
      </c>
      <c r="R537">
        <v>70824</v>
      </c>
    </row>
    <row r="538" spans="1:18" x14ac:dyDescent="0.25">
      <c r="A538" s="169">
        <v>43280</v>
      </c>
      <c r="B538" s="116">
        <v>196</v>
      </c>
      <c r="C538" s="116">
        <v>192.2</v>
      </c>
      <c r="D538" s="116">
        <v>191.666666666667</v>
      </c>
      <c r="E538" s="116">
        <v>195.333333333333</v>
      </c>
      <c r="F538" s="116">
        <v>576.6</v>
      </c>
      <c r="G538">
        <v>583</v>
      </c>
      <c r="H538" s="116"/>
      <c r="I538" s="116"/>
      <c r="L538" s="169">
        <v>43280</v>
      </c>
      <c r="M538" s="116">
        <v>191.61666666666699</v>
      </c>
      <c r="N538" s="116">
        <v>196.9</v>
      </c>
      <c r="O538" s="116">
        <v>190.7</v>
      </c>
      <c r="P538" s="116">
        <v>191.683333333333</v>
      </c>
      <c r="Q538" s="116">
        <v>574.85</v>
      </c>
      <c r="R538">
        <v>67820</v>
      </c>
    </row>
    <row r="539" spans="1:18" x14ac:dyDescent="0.25">
      <c r="A539" s="169">
        <v>43283</v>
      </c>
      <c r="B539" s="116">
        <v>194.566666666667</v>
      </c>
      <c r="C539" s="116">
        <v>190.48333333333301</v>
      </c>
      <c r="D539" s="116">
        <v>188.75</v>
      </c>
      <c r="E539" s="116">
        <v>190.666666666667</v>
      </c>
      <c r="F539" s="116">
        <v>571.45000000000005</v>
      </c>
      <c r="G539">
        <v>506</v>
      </c>
      <c r="H539" s="116"/>
      <c r="I539" s="116"/>
      <c r="L539" s="169">
        <v>43283</v>
      </c>
      <c r="M539" s="116">
        <v>190.2</v>
      </c>
      <c r="N539" s="116">
        <v>193.15</v>
      </c>
      <c r="O539" s="116">
        <v>188.7</v>
      </c>
      <c r="P539" s="116">
        <v>190.416666666667</v>
      </c>
      <c r="Q539" s="116">
        <v>570.6</v>
      </c>
      <c r="R539">
        <v>22256</v>
      </c>
    </row>
    <row r="540" spans="1:18" x14ac:dyDescent="0.25">
      <c r="A540" s="169">
        <v>43284</v>
      </c>
      <c r="B540" s="116">
        <v>191.95</v>
      </c>
      <c r="C540" s="116">
        <v>189.05</v>
      </c>
      <c r="D540" s="116">
        <v>186.666666666667</v>
      </c>
      <c r="E540" s="116">
        <v>186.666666666667</v>
      </c>
      <c r="F540" s="116">
        <v>567.15</v>
      </c>
      <c r="G540">
        <v>711</v>
      </c>
      <c r="H540" s="116"/>
      <c r="I540" s="116"/>
      <c r="L540" s="169">
        <v>43284</v>
      </c>
      <c r="M540" s="116">
        <v>188.48333333333301</v>
      </c>
      <c r="N540" s="116">
        <v>191.683333333333</v>
      </c>
      <c r="O540" s="116">
        <v>187.333333333333</v>
      </c>
      <c r="P540" s="116">
        <v>190.666666666667</v>
      </c>
      <c r="Q540" s="116">
        <v>565.45000000000005</v>
      </c>
      <c r="R540">
        <v>7675</v>
      </c>
    </row>
    <row r="541" spans="1:18" x14ac:dyDescent="0.25">
      <c r="A541" s="169">
        <v>43285</v>
      </c>
      <c r="B541" s="116">
        <v>191.666666666667</v>
      </c>
      <c r="C541" s="116">
        <v>191.416666666667</v>
      </c>
      <c r="D541" s="116">
        <v>187.333333333333</v>
      </c>
      <c r="E541" s="116">
        <v>189</v>
      </c>
      <c r="F541" s="116">
        <v>574.25</v>
      </c>
      <c r="G541">
        <v>116</v>
      </c>
      <c r="H541" s="116"/>
      <c r="I541" s="116"/>
      <c r="L541" s="169">
        <v>43285</v>
      </c>
      <c r="M541" s="116">
        <v>191.61666666666699</v>
      </c>
      <c r="N541" s="116">
        <v>191.96666666666701</v>
      </c>
      <c r="O541" s="116">
        <v>188.21666666666701</v>
      </c>
      <c r="P541" s="116">
        <v>190</v>
      </c>
      <c r="Q541" s="116">
        <v>574.85</v>
      </c>
      <c r="R541">
        <v>30386</v>
      </c>
    </row>
    <row r="542" spans="1:18" x14ac:dyDescent="0.25">
      <c r="A542" s="169">
        <v>43286</v>
      </c>
      <c r="B542" s="116">
        <v>191.666666666667</v>
      </c>
      <c r="C542" s="116">
        <v>189.95</v>
      </c>
      <c r="D542" s="116">
        <v>189.333333333333</v>
      </c>
      <c r="E542" s="116">
        <v>190.333333333333</v>
      </c>
      <c r="F542" s="116">
        <v>569.85</v>
      </c>
      <c r="G542">
        <v>750</v>
      </c>
      <c r="H542" s="116"/>
      <c r="I542" s="116"/>
      <c r="L542" s="169">
        <v>43286</v>
      </c>
      <c r="M542" s="116">
        <v>189.433333333333</v>
      </c>
      <c r="N542" s="116">
        <v>191.9</v>
      </c>
      <c r="O542" s="116">
        <v>188.666666666667</v>
      </c>
      <c r="P542" s="116">
        <v>191.9</v>
      </c>
      <c r="Q542" s="116">
        <v>568.29999999999995</v>
      </c>
      <c r="R542">
        <v>5364</v>
      </c>
    </row>
    <row r="543" spans="1:18" x14ac:dyDescent="0.25">
      <c r="A543" s="169">
        <v>43287</v>
      </c>
      <c r="B543" s="116">
        <v>190.15</v>
      </c>
      <c r="C543" s="116">
        <v>189.8</v>
      </c>
      <c r="D543" s="116">
        <v>189</v>
      </c>
      <c r="E543" s="116">
        <v>190.15</v>
      </c>
      <c r="F543" s="116">
        <v>569.4</v>
      </c>
      <c r="G543">
        <v>256</v>
      </c>
      <c r="H543" s="116"/>
      <c r="I543" s="116"/>
      <c r="L543" s="169">
        <v>43287</v>
      </c>
      <c r="M543" s="116">
        <v>189.98333333333301</v>
      </c>
      <c r="N543" s="116">
        <v>191.333333333333</v>
      </c>
      <c r="O543" s="116">
        <v>188.666666666667</v>
      </c>
      <c r="P543" s="116">
        <v>191</v>
      </c>
      <c r="Q543" s="116">
        <v>569.95000000000005</v>
      </c>
      <c r="R543">
        <v>9526</v>
      </c>
    </row>
    <row r="544" spans="1:18" x14ac:dyDescent="0.25">
      <c r="A544" s="169">
        <v>43290</v>
      </c>
      <c r="B544" s="116">
        <v>192.416666666667</v>
      </c>
      <c r="C544" s="116">
        <v>190.26666666666699</v>
      </c>
      <c r="D544" s="116">
        <v>190.26666666666699</v>
      </c>
      <c r="E544" s="116">
        <v>190.666666666667</v>
      </c>
      <c r="F544" s="116">
        <v>570.79999999999995</v>
      </c>
      <c r="G544">
        <v>348</v>
      </c>
      <c r="H544" s="116"/>
      <c r="I544" s="116"/>
      <c r="L544" s="169">
        <v>43290</v>
      </c>
      <c r="M544" s="116">
        <v>189.816666666667</v>
      </c>
      <c r="N544" s="116">
        <v>191.666666666667</v>
      </c>
      <c r="O544" s="116">
        <v>189.4</v>
      </c>
      <c r="P544" s="116">
        <v>190.333333333333</v>
      </c>
      <c r="Q544" s="116">
        <v>569.45000000000005</v>
      </c>
      <c r="R544">
        <v>5049</v>
      </c>
    </row>
    <row r="545" spans="1:18" x14ac:dyDescent="0.25">
      <c r="A545" s="169">
        <v>43291</v>
      </c>
      <c r="B545" s="116">
        <v>193.316666666667</v>
      </c>
      <c r="C545" s="116">
        <v>190.183333333333</v>
      </c>
      <c r="D545" s="116">
        <v>189.183333333333</v>
      </c>
      <c r="E545" s="116">
        <v>192.316666666667</v>
      </c>
      <c r="F545" s="116">
        <v>570.54999999999995</v>
      </c>
      <c r="G545">
        <v>1100</v>
      </c>
      <c r="H545" s="116"/>
      <c r="I545" s="116"/>
      <c r="L545" s="169">
        <v>43291</v>
      </c>
      <c r="M545" s="116">
        <v>190.73333333333301</v>
      </c>
      <c r="N545" s="116">
        <v>192.316666666667</v>
      </c>
      <c r="O545" s="116">
        <v>189.333333333333</v>
      </c>
      <c r="P545" s="116">
        <v>190.55</v>
      </c>
      <c r="Q545" s="116">
        <v>572.20000000000005</v>
      </c>
      <c r="R545">
        <v>8163</v>
      </c>
    </row>
    <row r="546" spans="1:18" x14ac:dyDescent="0.25">
      <c r="A546" s="169">
        <v>43292</v>
      </c>
      <c r="B546" s="116">
        <v>193.333333333333</v>
      </c>
      <c r="C546" s="116">
        <v>193.183333333333</v>
      </c>
      <c r="D546" s="116">
        <v>190.05</v>
      </c>
      <c r="E546" s="116">
        <v>192.55</v>
      </c>
      <c r="F546" s="116">
        <v>579.54999999999995</v>
      </c>
      <c r="G546">
        <v>798</v>
      </c>
      <c r="H546" s="116"/>
      <c r="I546" s="116"/>
      <c r="L546" s="169">
        <v>43292</v>
      </c>
      <c r="M546" s="116">
        <v>193.71666666666701</v>
      </c>
      <c r="N546" s="116">
        <v>195</v>
      </c>
      <c r="O546" s="116">
        <v>188.333333333333</v>
      </c>
      <c r="P546" s="116">
        <v>190.666666666667</v>
      </c>
      <c r="Q546" s="116">
        <v>581.15</v>
      </c>
      <c r="R546">
        <v>12296</v>
      </c>
    </row>
    <row r="547" spans="1:18" x14ac:dyDescent="0.25">
      <c r="A547" s="169">
        <v>43293</v>
      </c>
      <c r="B547" s="116">
        <v>196.916666666667</v>
      </c>
      <c r="C547" s="116">
        <v>195.28333333333299</v>
      </c>
      <c r="D547" s="116">
        <v>194.5</v>
      </c>
      <c r="E547" s="116">
        <v>196.333333333333</v>
      </c>
      <c r="F547" s="116">
        <v>585.85</v>
      </c>
      <c r="G547">
        <v>256</v>
      </c>
      <c r="H547" s="116"/>
      <c r="I547" s="116"/>
      <c r="L547" s="169">
        <v>43293</v>
      </c>
      <c r="M547" s="116">
        <v>195.8</v>
      </c>
      <c r="N547" s="116">
        <v>196.9</v>
      </c>
      <c r="O547" s="116">
        <v>191.833333333333</v>
      </c>
      <c r="P547" s="116">
        <v>192.23333333333301</v>
      </c>
      <c r="Q547" s="116">
        <v>587.4</v>
      </c>
      <c r="R547">
        <v>8717</v>
      </c>
    </row>
    <row r="548" spans="1:18" x14ac:dyDescent="0.25">
      <c r="A548" s="169">
        <v>43294</v>
      </c>
      <c r="B548" s="116">
        <v>198.666666666667</v>
      </c>
      <c r="C548" s="116">
        <v>196.86666666666699</v>
      </c>
      <c r="D548" s="116">
        <v>195</v>
      </c>
      <c r="E548" s="116">
        <v>196.666666666667</v>
      </c>
      <c r="F548" s="116">
        <v>590.6</v>
      </c>
      <c r="G548">
        <v>188</v>
      </c>
      <c r="H548" s="116"/>
      <c r="I548" s="116"/>
      <c r="L548" s="169">
        <v>43294</v>
      </c>
      <c r="M548" s="116">
        <v>196.51666666666699</v>
      </c>
      <c r="N548" s="116">
        <v>198.666666666667</v>
      </c>
      <c r="O548" s="116">
        <v>195</v>
      </c>
      <c r="P548" s="116">
        <v>195.9</v>
      </c>
      <c r="Q548" s="116">
        <v>589.54999999999995</v>
      </c>
      <c r="R548">
        <v>6428</v>
      </c>
    </row>
    <row r="549" spans="1:18" x14ac:dyDescent="0.25">
      <c r="A549" s="169">
        <v>43297</v>
      </c>
      <c r="B549" s="116">
        <v>195.333333333333</v>
      </c>
      <c r="C549" s="116">
        <v>193.8</v>
      </c>
      <c r="D549" s="116">
        <v>193.333333333333</v>
      </c>
      <c r="E549" s="116">
        <v>194.183333333333</v>
      </c>
      <c r="F549" s="116">
        <v>581.4</v>
      </c>
      <c r="G549">
        <v>816</v>
      </c>
      <c r="H549" s="116"/>
      <c r="I549" s="116"/>
      <c r="L549" s="169">
        <v>43297</v>
      </c>
      <c r="M549" s="116">
        <v>195.25</v>
      </c>
      <c r="N549" s="116">
        <v>198.166666666667</v>
      </c>
      <c r="O549" s="116">
        <v>193.36666666666699</v>
      </c>
      <c r="P549" s="116">
        <v>198.166666666667</v>
      </c>
      <c r="Q549" s="116">
        <v>585.75</v>
      </c>
      <c r="R549">
        <v>10279</v>
      </c>
    </row>
    <row r="550" spans="1:18" x14ac:dyDescent="0.25">
      <c r="A550" s="169">
        <v>43298</v>
      </c>
      <c r="B550" s="116">
        <v>193.333333333333</v>
      </c>
      <c r="C550" s="116">
        <v>189.4</v>
      </c>
      <c r="D550" s="116">
        <v>182.566666666667</v>
      </c>
      <c r="E550" s="116">
        <v>193.333333333333</v>
      </c>
      <c r="F550" s="116">
        <v>568.20000000000005</v>
      </c>
      <c r="G550">
        <v>2852</v>
      </c>
      <c r="H550" s="116"/>
      <c r="I550" s="116"/>
      <c r="L550" s="169">
        <v>43298</v>
      </c>
      <c r="M550" s="116">
        <v>188.86666666666699</v>
      </c>
      <c r="N550" s="116">
        <v>195.65</v>
      </c>
      <c r="O550" s="116">
        <v>187.36666666666699</v>
      </c>
      <c r="P550" s="116">
        <v>195.65</v>
      </c>
      <c r="Q550" s="116">
        <v>566.6</v>
      </c>
      <c r="R550">
        <v>13499</v>
      </c>
    </row>
    <row r="551" spans="1:18" x14ac:dyDescent="0.25">
      <c r="A551" s="169">
        <v>43299</v>
      </c>
      <c r="B551" s="116">
        <v>200.48333333333301</v>
      </c>
      <c r="C551" s="116">
        <v>197.45</v>
      </c>
      <c r="D551" s="116">
        <v>190</v>
      </c>
      <c r="E551" s="116">
        <v>191.316666666667</v>
      </c>
      <c r="F551" s="116">
        <v>592.35</v>
      </c>
      <c r="G551">
        <v>1218</v>
      </c>
      <c r="H551" s="116"/>
      <c r="I551" s="116"/>
      <c r="L551" s="169">
        <v>43299</v>
      </c>
      <c r="M551" s="116">
        <v>198.13333333333301</v>
      </c>
      <c r="N551" s="116">
        <v>201</v>
      </c>
      <c r="O551" s="116">
        <v>189.73333333333301</v>
      </c>
      <c r="P551" s="116">
        <v>191.13333333333301</v>
      </c>
      <c r="Q551" s="116">
        <v>594.4</v>
      </c>
      <c r="R551">
        <v>30158</v>
      </c>
    </row>
    <row r="552" spans="1:18" x14ac:dyDescent="0.25">
      <c r="A552" s="169">
        <v>43300</v>
      </c>
      <c r="B552" s="116">
        <v>199.333333333333</v>
      </c>
      <c r="C552" s="116">
        <v>195.9</v>
      </c>
      <c r="D552" s="116">
        <v>194.8</v>
      </c>
      <c r="E552" s="116">
        <v>198.333333333333</v>
      </c>
      <c r="F552" s="116">
        <v>587.70000000000005</v>
      </c>
      <c r="G552">
        <v>887</v>
      </c>
      <c r="H552" s="116"/>
      <c r="I552" s="116"/>
      <c r="L552" s="169">
        <v>43300</v>
      </c>
      <c r="M552" s="116">
        <v>197.46666666666701</v>
      </c>
      <c r="N552" s="116">
        <v>200.88333333333301</v>
      </c>
      <c r="O552" s="116">
        <v>195.28333333333299</v>
      </c>
      <c r="P552" s="116">
        <v>199</v>
      </c>
      <c r="Q552" s="116">
        <v>592.4</v>
      </c>
      <c r="R552">
        <v>11331</v>
      </c>
    </row>
    <row r="553" spans="1:18" x14ac:dyDescent="0.25">
      <c r="A553" s="169">
        <v>43301</v>
      </c>
      <c r="B553" s="116">
        <v>198.333333333333</v>
      </c>
      <c r="C553" s="116">
        <v>196.21666666666701</v>
      </c>
      <c r="D553" s="116">
        <v>193.333333333333</v>
      </c>
      <c r="E553" s="116">
        <v>195</v>
      </c>
      <c r="F553" s="116">
        <v>588.65</v>
      </c>
      <c r="G553">
        <v>3354</v>
      </c>
      <c r="H553" s="116"/>
      <c r="I553" s="116"/>
      <c r="L553" s="169">
        <v>43301</v>
      </c>
      <c r="M553" s="116">
        <v>196.28333333333299</v>
      </c>
      <c r="N553" s="116">
        <v>197.38333333333301</v>
      </c>
      <c r="O553" s="116">
        <v>193.6</v>
      </c>
      <c r="P553" s="116">
        <v>196</v>
      </c>
      <c r="Q553" s="116">
        <v>588.85</v>
      </c>
      <c r="R553">
        <v>2626</v>
      </c>
    </row>
    <row r="554" spans="1:18" x14ac:dyDescent="0.25">
      <c r="A554" s="169">
        <v>43304</v>
      </c>
      <c r="B554" s="116">
        <v>200.11666666666699</v>
      </c>
      <c r="C554" s="116">
        <v>198.3</v>
      </c>
      <c r="D554" s="116">
        <v>196.666666666667</v>
      </c>
      <c r="E554" s="116">
        <v>196.78333333333299</v>
      </c>
      <c r="F554" s="116">
        <v>594.9</v>
      </c>
      <c r="G554">
        <v>1100</v>
      </c>
      <c r="H554" s="116"/>
      <c r="I554" s="116"/>
      <c r="L554" s="169">
        <v>43304</v>
      </c>
      <c r="M554" s="116">
        <v>199.1</v>
      </c>
      <c r="N554" s="116">
        <v>199.63333333333301</v>
      </c>
      <c r="O554" s="116">
        <v>196.95</v>
      </c>
      <c r="P554" s="116">
        <v>198.21666666666701</v>
      </c>
      <c r="Q554" s="116">
        <v>597.29999999999995</v>
      </c>
      <c r="R554">
        <v>5429</v>
      </c>
    </row>
    <row r="555" spans="1:18" x14ac:dyDescent="0.25">
      <c r="A555" s="169">
        <v>43305</v>
      </c>
      <c r="B555" s="116">
        <v>200</v>
      </c>
      <c r="C555" s="116">
        <v>196.416666666667</v>
      </c>
      <c r="D555" s="116">
        <v>194.75</v>
      </c>
      <c r="E555" s="116">
        <v>194.75</v>
      </c>
      <c r="F555" s="116">
        <v>589.25</v>
      </c>
      <c r="G555">
        <v>889</v>
      </c>
      <c r="H555" s="116"/>
      <c r="I555" s="116"/>
      <c r="L555" s="169">
        <v>43305</v>
      </c>
      <c r="M555" s="116">
        <v>196.35</v>
      </c>
      <c r="N555" s="116">
        <v>199.36666666666699</v>
      </c>
      <c r="O555" s="116">
        <v>195.35</v>
      </c>
      <c r="P555" s="116">
        <v>196.166666666667</v>
      </c>
      <c r="Q555" s="116">
        <v>589.04999999999995</v>
      </c>
      <c r="R555">
        <v>4571</v>
      </c>
    </row>
    <row r="556" spans="1:18" x14ac:dyDescent="0.25">
      <c r="A556" s="169">
        <v>43306</v>
      </c>
      <c r="B556" s="116">
        <v>197.8</v>
      </c>
      <c r="C556" s="116">
        <v>194.26666666666699</v>
      </c>
      <c r="D556" s="116">
        <v>192.683333333333</v>
      </c>
      <c r="E556" s="116">
        <v>193.666666666667</v>
      </c>
      <c r="F556" s="116">
        <v>582.79999999999995</v>
      </c>
      <c r="G556">
        <v>577</v>
      </c>
      <c r="H556" s="116"/>
      <c r="I556" s="116"/>
      <c r="L556" s="169">
        <v>43306</v>
      </c>
      <c r="M556" s="116">
        <v>193.01666666666699</v>
      </c>
      <c r="N556" s="116">
        <v>198.78333333333299</v>
      </c>
      <c r="O556" s="116">
        <v>192.21666666666701</v>
      </c>
      <c r="P556" s="116">
        <v>198</v>
      </c>
      <c r="Q556" s="116">
        <v>579.04999999999995</v>
      </c>
      <c r="R556">
        <v>7250</v>
      </c>
    </row>
    <row r="557" spans="1:18" x14ac:dyDescent="0.25">
      <c r="A557" s="169">
        <v>43307</v>
      </c>
      <c r="B557" s="116">
        <v>197.333333333333</v>
      </c>
      <c r="C557" s="116">
        <v>192.86666666666699</v>
      </c>
      <c r="D557" s="116">
        <v>192.05</v>
      </c>
      <c r="E557" s="116">
        <v>193.86666666666699</v>
      </c>
      <c r="F557" s="116">
        <v>578.6</v>
      </c>
      <c r="G557">
        <v>571</v>
      </c>
      <c r="H557" s="116"/>
      <c r="I557" s="116"/>
      <c r="L557" s="169">
        <v>43307</v>
      </c>
      <c r="M557" s="116">
        <v>192.98333333333301</v>
      </c>
      <c r="N557" s="116">
        <v>196.13333333333301</v>
      </c>
      <c r="O557" s="116">
        <v>192</v>
      </c>
      <c r="P557" s="116">
        <v>192.53333333333299</v>
      </c>
      <c r="Q557" s="116">
        <v>578.95000000000005</v>
      </c>
      <c r="R557">
        <v>4757</v>
      </c>
    </row>
    <row r="558" spans="1:18" x14ac:dyDescent="0.25">
      <c r="A558" s="169">
        <v>43308</v>
      </c>
      <c r="B558" s="116">
        <v>198</v>
      </c>
      <c r="C558" s="116">
        <v>197.833333333333</v>
      </c>
      <c r="D558" s="116">
        <v>193.28333333333299</v>
      </c>
      <c r="E558" s="116">
        <v>194.65</v>
      </c>
      <c r="F558" s="116">
        <v>593.5</v>
      </c>
      <c r="G558">
        <v>212</v>
      </c>
      <c r="H558" s="116"/>
      <c r="I558" s="116"/>
      <c r="L558" s="169">
        <v>43308</v>
      </c>
      <c r="M558" s="116">
        <v>196.65</v>
      </c>
      <c r="N558" s="116">
        <v>198.316666666667</v>
      </c>
      <c r="O558" s="116">
        <v>193.1</v>
      </c>
      <c r="P558" s="116">
        <v>193.1</v>
      </c>
      <c r="Q558" s="116">
        <v>589.95000000000005</v>
      </c>
      <c r="R558">
        <v>7916</v>
      </c>
    </row>
    <row r="559" spans="1:18" x14ac:dyDescent="0.25">
      <c r="A559" s="169">
        <v>43311</v>
      </c>
      <c r="B559" s="116">
        <v>211</v>
      </c>
      <c r="C559" s="116">
        <v>209.65</v>
      </c>
      <c r="D559" s="116">
        <v>203</v>
      </c>
      <c r="E559" s="116">
        <v>203</v>
      </c>
      <c r="F559" s="116">
        <v>628.95000000000005</v>
      </c>
      <c r="G559">
        <v>6279</v>
      </c>
      <c r="H559" s="116"/>
      <c r="I559" s="116"/>
      <c r="L559" s="169">
        <v>43311</v>
      </c>
      <c r="M559" s="116">
        <v>209.433333333333</v>
      </c>
      <c r="N559" s="116">
        <v>211.666666666667</v>
      </c>
      <c r="O559" s="116">
        <v>205.23333333333301</v>
      </c>
      <c r="P559" s="116">
        <v>206.6</v>
      </c>
      <c r="Q559" s="116">
        <v>628.29999999999995</v>
      </c>
      <c r="R559">
        <v>117103</v>
      </c>
    </row>
    <row r="560" spans="1:18" x14ac:dyDescent="0.25">
      <c r="A560" s="169">
        <v>43312</v>
      </c>
      <c r="B560" s="116">
        <v>214.933333333333</v>
      </c>
      <c r="C560" s="116">
        <v>207.88333333333301</v>
      </c>
      <c r="D560" s="116">
        <v>206.65</v>
      </c>
      <c r="E560" s="116">
        <v>210</v>
      </c>
      <c r="F560" s="116">
        <v>623.65</v>
      </c>
      <c r="G560">
        <v>1689</v>
      </c>
      <c r="H560" s="116"/>
      <c r="I560" s="116"/>
      <c r="L560" s="169">
        <v>43312</v>
      </c>
      <c r="M560" s="116">
        <v>207.8</v>
      </c>
      <c r="N560" s="116">
        <v>212.666666666667</v>
      </c>
      <c r="O560" s="116">
        <v>206.183333333333</v>
      </c>
      <c r="P560" s="116">
        <v>209.7</v>
      </c>
      <c r="Q560" s="116">
        <v>623.4</v>
      </c>
      <c r="R560">
        <v>25964</v>
      </c>
    </row>
    <row r="561" spans="1:18" x14ac:dyDescent="0.25">
      <c r="A561" s="169">
        <v>43313</v>
      </c>
      <c r="B561" s="116">
        <v>210.666666666667</v>
      </c>
      <c r="C561" s="116">
        <v>207.55</v>
      </c>
      <c r="D561" s="116">
        <v>206.76666666666699</v>
      </c>
      <c r="E561" s="116">
        <v>208.03333333333299</v>
      </c>
      <c r="F561" s="116">
        <v>622.65</v>
      </c>
      <c r="G561">
        <v>4984</v>
      </c>
      <c r="H561" s="116"/>
      <c r="I561" s="116"/>
      <c r="L561" s="169">
        <v>43313</v>
      </c>
      <c r="M561" s="116">
        <v>207.583333333333</v>
      </c>
      <c r="N561" s="116">
        <v>210</v>
      </c>
      <c r="O561" s="116">
        <v>205.36666666666699</v>
      </c>
      <c r="P561" s="116">
        <v>209.333333333333</v>
      </c>
      <c r="Q561" s="116">
        <v>622.75</v>
      </c>
      <c r="R561">
        <v>10829</v>
      </c>
    </row>
    <row r="562" spans="1:18" x14ac:dyDescent="0.25">
      <c r="A562" s="169">
        <v>43314</v>
      </c>
      <c r="B562" s="116">
        <v>207.083333333333</v>
      </c>
      <c r="C562" s="116">
        <v>203.6</v>
      </c>
      <c r="D562" s="116">
        <v>201.73333333333301</v>
      </c>
      <c r="E562" s="116">
        <v>206.666666666667</v>
      </c>
      <c r="F562" s="116">
        <v>610.79999999999995</v>
      </c>
      <c r="G562">
        <v>754</v>
      </c>
      <c r="H562" s="116"/>
      <c r="I562" s="116"/>
      <c r="L562" s="169">
        <v>43314</v>
      </c>
      <c r="M562" s="116">
        <v>203.01666666666699</v>
      </c>
      <c r="N562" s="116">
        <v>207.61666666666699</v>
      </c>
      <c r="O562" s="116">
        <v>202</v>
      </c>
      <c r="P562" s="116">
        <v>206.05</v>
      </c>
      <c r="Q562" s="116">
        <v>609.04999999999995</v>
      </c>
      <c r="R562">
        <v>11780</v>
      </c>
    </row>
    <row r="563" spans="1:18" x14ac:dyDescent="0.25">
      <c r="A563" s="169">
        <v>43315</v>
      </c>
      <c r="B563" s="116">
        <v>209.666666666667</v>
      </c>
      <c r="C563" s="116">
        <v>208.76666666666699</v>
      </c>
      <c r="D563" s="116">
        <v>202.71666666666701</v>
      </c>
      <c r="E563" s="116">
        <v>206.6</v>
      </c>
      <c r="F563" s="116">
        <v>626.29999999999995</v>
      </c>
      <c r="G563">
        <v>1306</v>
      </c>
      <c r="H563" s="116"/>
      <c r="I563" s="116"/>
      <c r="L563" s="169">
        <v>43315</v>
      </c>
      <c r="M563" s="116">
        <v>209.05</v>
      </c>
      <c r="N563" s="116">
        <v>209.333333333333</v>
      </c>
      <c r="O563" s="116">
        <v>201.01666666666699</v>
      </c>
      <c r="P563" s="116">
        <v>206.3</v>
      </c>
      <c r="Q563" s="116">
        <v>627.15</v>
      </c>
      <c r="R563">
        <v>13006</v>
      </c>
    </row>
    <row r="564" spans="1:18" x14ac:dyDescent="0.25">
      <c r="A564" s="169">
        <v>43318</v>
      </c>
      <c r="B564" s="116">
        <v>213.95</v>
      </c>
      <c r="C564" s="116">
        <v>209.71666666666701</v>
      </c>
      <c r="D564" s="116">
        <v>209.333333333333</v>
      </c>
      <c r="E564" s="116">
        <v>212.666666666667</v>
      </c>
      <c r="F564" s="116">
        <v>629.15</v>
      </c>
      <c r="G564">
        <v>8194</v>
      </c>
      <c r="H564" s="116"/>
      <c r="I564" s="116"/>
      <c r="L564" s="169">
        <v>43318</v>
      </c>
      <c r="M564" s="116">
        <v>208.88333333333301</v>
      </c>
      <c r="N564" s="116">
        <v>214.3</v>
      </c>
      <c r="O564" s="116">
        <v>208.416666666667</v>
      </c>
      <c r="P564" s="116">
        <v>211.71666666666701</v>
      </c>
      <c r="Q564" s="116">
        <v>626.65</v>
      </c>
      <c r="R564">
        <v>141137</v>
      </c>
    </row>
    <row r="565" spans="1:18" x14ac:dyDescent="0.25">
      <c r="A565" s="169">
        <v>43319</v>
      </c>
      <c r="B565" s="116">
        <v>210.333333333333</v>
      </c>
      <c r="C565" s="116">
        <v>209.416666666667</v>
      </c>
      <c r="D565" s="116">
        <v>207.066666666667</v>
      </c>
      <c r="E565" s="116">
        <v>209.666666666667</v>
      </c>
      <c r="F565" s="116">
        <v>628.25</v>
      </c>
      <c r="G565">
        <v>4668</v>
      </c>
      <c r="H565" s="116"/>
      <c r="I565" s="116"/>
      <c r="L565" s="169">
        <v>43319</v>
      </c>
      <c r="M565" s="116">
        <v>209.61666666666699</v>
      </c>
      <c r="N565" s="116">
        <v>210</v>
      </c>
      <c r="O565" s="116">
        <v>208.333333333333</v>
      </c>
      <c r="P565" s="116">
        <v>209.46666666666701</v>
      </c>
      <c r="Q565" s="116">
        <v>628.85</v>
      </c>
      <c r="R565">
        <v>15647</v>
      </c>
    </row>
    <row r="566" spans="1:18" x14ac:dyDescent="0.25">
      <c r="A566" s="169">
        <v>43320</v>
      </c>
      <c r="B566" s="116">
        <v>209.666666666667</v>
      </c>
      <c r="C566" s="116">
        <v>207.13333333333301</v>
      </c>
      <c r="D566" s="116">
        <v>206.666666666667</v>
      </c>
      <c r="E566" s="116">
        <v>209.666666666667</v>
      </c>
      <c r="F566" s="116">
        <v>621.4</v>
      </c>
      <c r="G566">
        <v>1110</v>
      </c>
      <c r="H566" s="116"/>
      <c r="I566" s="116"/>
      <c r="L566" s="169">
        <v>43320</v>
      </c>
      <c r="M566" s="116">
        <v>206.61666666666699</v>
      </c>
      <c r="N566" s="116">
        <v>210.3</v>
      </c>
      <c r="O566" s="116">
        <v>205.85</v>
      </c>
      <c r="P566" s="116">
        <v>209.55</v>
      </c>
      <c r="Q566" s="116">
        <v>619.85</v>
      </c>
      <c r="R566">
        <v>9244</v>
      </c>
    </row>
    <row r="567" spans="1:18" x14ac:dyDescent="0.25">
      <c r="A567" s="169">
        <v>43321</v>
      </c>
      <c r="B567" s="116">
        <v>210</v>
      </c>
      <c r="C567" s="116">
        <v>208.433333333333</v>
      </c>
      <c r="D567" s="116">
        <v>205</v>
      </c>
      <c r="E567" s="116">
        <v>207.61666666666699</v>
      </c>
      <c r="F567" s="116">
        <v>625.29999999999995</v>
      </c>
      <c r="G567">
        <v>958</v>
      </c>
      <c r="H567" s="116"/>
      <c r="I567" s="116"/>
      <c r="L567" s="169">
        <v>43321</v>
      </c>
      <c r="M567" s="116">
        <v>208.066666666667</v>
      </c>
      <c r="N567" s="116">
        <v>208.333333333333</v>
      </c>
      <c r="O567" s="116">
        <v>206</v>
      </c>
      <c r="P567" s="116">
        <v>206.61666666666699</v>
      </c>
      <c r="Q567" s="116">
        <v>624.20000000000005</v>
      </c>
      <c r="R567">
        <v>6485</v>
      </c>
    </row>
    <row r="568" spans="1:18" x14ac:dyDescent="0.25">
      <c r="A568" s="169">
        <v>43322</v>
      </c>
      <c r="B568" s="116">
        <v>208.166666666667</v>
      </c>
      <c r="C568" s="116">
        <v>205.05</v>
      </c>
      <c r="D568" s="116">
        <v>202.65</v>
      </c>
      <c r="E568" s="116">
        <v>206.416666666667</v>
      </c>
      <c r="F568" s="116">
        <v>615.15</v>
      </c>
      <c r="G568">
        <v>960</v>
      </c>
      <c r="H568" s="116"/>
      <c r="I568" s="116"/>
      <c r="L568" s="169">
        <v>43322</v>
      </c>
      <c r="M568" s="116">
        <v>206.51666666666699</v>
      </c>
      <c r="N568" s="116">
        <v>209.333333333333</v>
      </c>
      <c r="O568" s="116">
        <v>202.666666666667</v>
      </c>
      <c r="P568" s="116">
        <v>209.333333333333</v>
      </c>
      <c r="Q568" s="116">
        <v>619.54999999999995</v>
      </c>
      <c r="R568">
        <v>19057</v>
      </c>
    </row>
    <row r="569" spans="1:18" x14ac:dyDescent="0.25">
      <c r="A569" s="169">
        <v>43325</v>
      </c>
      <c r="B569" s="116">
        <v>207.333333333333</v>
      </c>
      <c r="C569" s="116">
        <v>200.15</v>
      </c>
      <c r="D569" s="116">
        <v>199.35</v>
      </c>
      <c r="E569" s="116">
        <v>207.333333333333</v>
      </c>
      <c r="F569" s="116">
        <v>600.45000000000005</v>
      </c>
      <c r="G569">
        <v>1164</v>
      </c>
      <c r="H569" s="116"/>
      <c r="I569" s="116"/>
      <c r="L569" s="169">
        <v>43325</v>
      </c>
      <c r="M569" s="116">
        <v>200.05</v>
      </c>
      <c r="N569" s="116">
        <v>205</v>
      </c>
      <c r="O569" s="116">
        <v>198.03333333333299</v>
      </c>
      <c r="P569" s="116">
        <v>205</v>
      </c>
      <c r="Q569" s="116">
        <v>600.15</v>
      </c>
      <c r="R569">
        <v>19841</v>
      </c>
    </row>
    <row r="570" spans="1:18" x14ac:dyDescent="0.25">
      <c r="A570" s="169">
        <v>43326</v>
      </c>
      <c r="B570" s="116">
        <v>205.666666666667</v>
      </c>
      <c r="C570" s="116">
        <v>204.23333333333301</v>
      </c>
      <c r="D570" s="116">
        <v>200</v>
      </c>
      <c r="E570" s="116">
        <v>200</v>
      </c>
      <c r="F570" s="116">
        <v>612.70000000000005</v>
      </c>
      <c r="G570">
        <v>1452</v>
      </c>
      <c r="H570" s="116"/>
      <c r="I570" s="116"/>
      <c r="L570" s="169">
        <v>43326</v>
      </c>
      <c r="M570" s="116">
        <v>203.51666666666699</v>
      </c>
      <c r="N570" s="116">
        <v>207.48333333333301</v>
      </c>
      <c r="O570" s="116">
        <v>199.36666666666699</v>
      </c>
      <c r="P570" s="116">
        <v>203.316666666667</v>
      </c>
      <c r="Q570" s="116">
        <v>610.54999999999995</v>
      </c>
      <c r="R570">
        <v>52643</v>
      </c>
    </row>
    <row r="571" spans="1:18" x14ac:dyDescent="0.25">
      <c r="A571" s="169">
        <v>43328</v>
      </c>
      <c r="B571" s="116">
        <v>206.5</v>
      </c>
      <c r="C571" s="116">
        <v>203.433333333333</v>
      </c>
      <c r="D571" s="116">
        <v>203.333333333333</v>
      </c>
      <c r="E571" s="116">
        <v>205</v>
      </c>
      <c r="F571" s="116">
        <v>610.29999999999995</v>
      </c>
      <c r="G571">
        <v>874</v>
      </c>
      <c r="H571" s="116"/>
      <c r="I571" s="116"/>
      <c r="L571" s="169">
        <v>43328</v>
      </c>
      <c r="M571" s="116">
        <v>203.433333333333</v>
      </c>
      <c r="N571" s="116">
        <v>206.666666666667</v>
      </c>
      <c r="O571" s="116">
        <v>202.666666666667</v>
      </c>
      <c r="P571" s="116">
        <v>202.666666666667</v>
      </c>
      <c r="Q571" s="116">
        <v>610.29999999999995</v>
      </c>
      <c r="R571">
        <v>44251</v>
      </c>
    </row>
    <row r="572" spans="1:18" x14ac:dyDescent="0.25">
      <c r="A572" s="169">
        <v>43329</v>
      </c>
      <c r="B572" s="116">
        <v>204.98333333333301</v>
      </c>
      <c r="C572" s="116">
        <v>203.95</v>
      </c>
      <c r="D572" s="116">
        <v>203.01666666666699</v>
      </c>
      <c r="E572" s="116">
        <v>203.333333333333</v>
      </c>
      <c r="F572" s="116">
        <v>611.85</v>
      </c>
      <c r="G572">
        <v>1399</v>
      </c>
      <c r="H572" s="116"/>
      <c r="I572" s="116"/>
      <c r="L572" s="169">
        <v>43329</v>
      </c>
      <c r="M572" s="116">
        <v>203.433333333333</v>
      </c>
      <c r="N572" s="116">
        <v>205.45</v>
      </c>
      <c r="O572" s="116">
        <v>202.666666666667</v>
      </c>
      <c r="P572" s="116">
        <v>204.65</v>
      </c>
      <c r="Q572" s="116">
        <v>610.29999999999995</v>
      </c>
      <c r="R572">
        <v>30077</v>
      </c>
    </row>
    <row r="573" spans="1:18" x14ac:dyDescent="0.25">
      <c r="A573" s="169">
        <v>43332</v>
      </c>
      <c r="B573" s="116">
        <v>205.35</v>
      </c>
      <c r="C573" s="116">
        <v>201.71666666666701</v>
      </c>
      <c r="D573" s="116">
        <v>201.666666666667</v>
      </c>
      <c r="E573" s="116">
        <v>203</v>
      </c>
      <c r="F573" s="116">
        <v>605.15</v>
      </c>
      <c r="G573">
        <v>2468</v>
      </c>
      <c r="H573" s="116"/>
      <c r="I573" s="116"/>
      <c r="L573" s="169">
        <v>43332</v>
      </c>
      <c r="M573" s="116">
        <v>202.53333333333299</v>
      </c>
      <c r="N573" s="116">
        <v>205</v>
      </c>
      <c r="O573" s="116">
        <v>201.35</v>
      </c>
      <c r="P573" s="116">
        <v>203.166666666667</v>
      </c>
      <c r="Q573" s="116">
        <v>607.6</v>
      </c>
      <c r="R573">
        <v>21813</v>
      </c>
    </row>
    <row r="574" spans="1:18" x14ac:dyDescent="0.25">
      <c r="A574" s="169">
        <v>43333</v>
      </c>
      <c r="B574" s="116">
        <v>206</v>
      </c>
      <c r="C574" s="116">
        <v>203.61666666666699</v>
      </c>
      <c r="D574" s="116">
        <v>202.5</v>
      </c>
      <c r="E574" s="116">
        <v>203</v>
      </c>
      <c r="F574" s="116">
        <v>610.85</v>
      </c>
      <c r="G574">
        <v>2129</v>
      </c>
      <c r="H574" s="116"/>
      <c r="I574" s="116"/>
      <c r="L574" s="169">
        <v>43333</v>
      </c>
      <c r="M574" s="116">
        <v>203.666666666667</v>
      </c>
      <c r="N574" s="116">
        <v>205.01666666666699</v>
      </c>
      <c r="O574" s="116">
        <v>202.53333333333299</v>
      </c>
      <c r="P574" s="116">
        <v>202.666666666667</v>
      </c>
      <c r="Q574" s="116">
        <v>611</v>
      </c>
      <c r="R574">
        <v>67171</v>
      </c>
    </row>
    <row r="575" spans="1:18" x14ac:dyDescent="0.25">
      <c r="A575" s="169">
        <v>43335</v>
      </c>
      <c r="B575" s="116">
        <v>215.25</v>
      </c>
      <c r="C575" s="116">
        <v>206.48333333333301</v>
      </c>
      <c r="D575" s="116">
        <v>203.333333333333</v>
      </c>
      <c r="E575" s="116">
        <v>206.25</v>
      </c>
      <c r="F575" s="116">
        <v>619.45000000000005</v>
      </c>
      <c r="G575">
        <v>11867</v>
      </c>
      <c r="H575" s="116"/>
      <c r="I575" s="116"/>
      <c r="L575" s="169">
        <v>43335</v>
      </c>
      <c r="M575" s="116">
        <v>206.916666666667</v>
      </c>
      <c r="N575" s="116">
        <v>213.3</v>
      </c>
      <c r="O575" s="116">
        <v>203.333333333333</v>
      </c>
      <c r="P575" s="116">
        <v>204.666666666667</v>
      </c>
      <c r="Q575" s="116">
        <v>620.75</v>
      </c>
      <c r="R575">
        <v>63634</v>
      </c>
    </row>
    <row r="576" spans="1:18" x14ac:dyDescent="0.25">
      <c r="A576" s="169">
        <v>43336</v>
      </c>
      <c r="B576" s="116">
        <v>209.666666666667</v>
      </c>
      <c r="C576" s="116">
        <v>207.13333333333301</v>
      </c>
      <c r="D576" s="116">
        <v>207</v>
      </c>
      <c r="E576" s="116">
        <v>207.96666666666701</v>
      </c>
      <c r="F576" s="116">
        <v>621.4</v>
      </c>
      <c r="G576">
        <v>594</v>
      </c>
      <c r="H576" s="116"/>
      <c r="I576" s="116"/>
      <c r="L576" s="169">
        <v>43336</v>
      </c>
      <c r="M576" s="116">
        <v>207.51666666666699</v>
      </c>
      <c r="N576" s="116">
        <v>209.583333333333</v>
      </c>
      <c r="O576" s="116">
        <v>207</v>
      </c>
      <c r="P576" s="116">
        <v>207</v>
      </c>
      <c r="Q576" s="116">
        <v>622.54999999999995</v>
      </c>
      <c r="R576">
        <v>10940</v>
      </c>
    </row>
    <row r="577" spans="1:18" x14ac:dyDescent="0.25">
      <c r="A577" s="169">
        <v>43339</v>
      </c>
      <c r="B577" s="116">
        <v>211.6</v>
      </c>
      <c r="C577" s="116">
        <v>210.46666666666701</v>
      </c>
      <c r="D577" s="116">
        <v>207.683333333333</v>
      </c>
      <c r="E577" s="116">
        <v>208.53333333333299</v>
      </c>
      <c r="F577" s="116">
        <v>631.4</v>
      </c>
      <c r="G577">
        <v>54457</v>
      </c>
      <c r="H577" s="116"/>
      <c r="I577" s="116"/>
      <c r="L577" s="169">
        <v>43339</v>
      </c>
      <c r="M577" s="116">
        <v>211.23333333333301</v>
      </c>
      <c r="N577" s="116">
        <v>212.066666666667</v>
      </c>
      <c r="O577" s="116">
        <v>207.51666666666699</v>
      </c>
      <c r="P577" s="116">
        <v>209.35</v>
      </c>
      <c r="Q577" s="116">
        <v>633.70000000000005</v>
      </c>
      <c r="R577">
        <v>33786</v>
      </c>
    </row>
    <row r="578" spans="1:18" x14ac:dyDescent="0.25">
      <c r="A578" s="169">
        <v>43340</v>
      </c>
      <c r="B578" s="116">
        <v>216</v>
      </c>
      <c r="C578" s="116">
        <v>215.333333333333</v>
      </c>
      <c r="D578" s="116">
        <v>211.6</v>
      </c>
      <c r="E578" s="116">
        <v>211.6</v>
      </c>
      <c r="F578" s="116">
        <v>646</v>
      </c>
      <c r="G578">
        <v>2218</v>
      </c>
      <c r="H578" s="116"/>
      <c r="I578" s="116"/>
      <c r="L578" s="169">
        <v>43340</v>
      </c>
      <c r="M578" s="116">
        <v>214.76666666666699</v>
      </c>
      <c r="N578" s="116">
        <v>215.666666666667</v>
      </c>
      <c r="O578" s="116">
        <v>211.566666666667</v>
      </c>
      <c r="P578" s="116">
        <v>212.066666666667</v>
      </c>
      <c r="Q578" s="116">
        <v>644.29999999999995</v>
      </c>
      <c r="R578">
        <v>74130</v>
      </c>
    </row>
    <row r="579" spans="1:18" x14ac:dyDescent="0.25">
      <c r="A579" s="169">
        <v>43341</v>
      </c>
      <c r="B579" s="116">
        <v>219.28333333333299</v>
      </c>
      <c r="C579" s="116">
        <v>217.083333333333</v>
      </c>
      <c r="D579" s="116">
        <v>215</v>
      </c>
      <c r="E579" s="116">
        <v>215.85</v>
      </c>
      <c r="F579" s="116">
        <v>651.25</v>
      </c>
      <c r="G579">
        <v>2900</v>
      </c>
      <c r="H579" s="116"/>
      <c r="I579" s="116"/>
      <c r="L579" s="169">
        <v>43341</v>
      </c>
      <c r="M579" s="116">
        <v>217.7</v>
      </c>
      <c r="N579" s="116">
        <v>219.3</v>
      </c>
      <c r="O579" s="116">
        <v>215.96666666666701</v>
      </c>
      <c r="P579" s="116">
        <v>215.96666666666701</v>
      </c>
      <c r="Q579" s="116">
        <v>653.1</v>
      </c>
      <c r="R579">
        <v>33546</v>
      </c>
    </row>
    <row r="580" spans="1:18" x14ac:dyDescent="0.25">
      <c r="A580" s="169">
        <v>43342</v>
      </c>
      <c r="B580" s="116">
        <v>218.85</v>
      </c>
      <c r="C580" s="116">
        <v>214.916666666667</v>
      </c>
      <c r="D580" s="116">
        <v>213.433333333333</v>
      </c>
      <c r="E580" s="116">
        <v>217.666666666667</v>
      </c>
      <c r="F580" s="116">
        <v>644.75</v>
      </c>
      <c r="G580">
        <v>606</v>
      </c>
      <c r="H580" s="116"/>
      <c r="I580" s="116"/>
      <c r="L580" s="169">
        <v>43342</v>
      </c>
      <c r="M580" s="116">
        <v>215.78333333333299</v>
      </c>
      <c r="N580" s="116">
        <v>218.333333333333</v>
      </c>
      <c r="O580" s="116">
        <v>214.73333333333301</v>
      </c>
      <c r="P580" s="116">
        <v>217.7</v>
      </c>
      <c r="Q580" s="116">
        <v>647.35</v>
      </c>
      <c r="R580">
        <v>15331</v>
      </c>
    </row>
    <row r="581" spans="1:18" x14ac:dyDescent="0.25">
      <c r="A581" s="169">
        <v>43343</v>
      </c>
      <c r="B581" s="116">
        <v>217.333333333333</v>
      </c>
      <c r="C581" s="116">
        <v>216.78333333333299</v>
      </c>
      <c r="D581" s="116">
        <v>213.333333333333</v>
      </c>
      <c r="E581" s="116">
        <v>214.083333333333</v>
      </c>
      <c r="F581" s="116">
        <v>650.35</v>
      </c>
      <c r="G581">
        <v>996</v>
      </c>
      <c r="H581" s="116"/>
      <c r="I581" s="116"/>
      <c r="L581" s="169">
        <v>43343</v>
      </c>
      <c r="M581" s="116">
        <v>216.833333333333</v>
      </c>
      <c r="N581" s="116">
        <v>217.666666666667</v>
      </c>
      <c r="O581" s="116">
        <v>213.01666666666699</v>
      </c>
      <c r="P581" s="116">
        <v>215</v>
      </c>
      <c r="Q581" s="116">
        <v>650.5</v>
      </c>
      <c r="R581">
        <v>23481</v>
      </c>
    </row>
    <row r="582" spans="1:18" x14ac:dyDescent="0.25">
      <c r="A582" s="169">
        <v>43346</v>
      </c>
      <c r="B582" s="116">
        <v>227.333333333333</v>
      </c>
      <c r="C582" s="116">
        <v>223.7</v>
      </c>
      <c r="D582" s="116">
        <v>216.666666666667</v>
      </c>
      <c r="E582" s="116">
        <v>218.316666666667</v>
      </c>
      <c r="F582" s="116">
        <v>671.1</v>
      </c>
      <c r="G582">
        <v>6481</v>
      </c>
      <c r="H582" s="116"/>
      <c r="I582" s="116"/>
      <c r="L582" s="169">
        <v>43346</v>
      </c>
      <c r="M582" s="116">
        <v>224.9</v>
      </c>
      <c r="N582" s="116">
        <v>228</v>
      </c>
      <c r="O582" s="116">
        <v>215.01666666666699</v>
      </c>
      <c r="P582" s="116">
        <v>215.01666666666699</v>
      </c>
      <c r="Q582" s="116">
        <v>674.7</v>
      </c>
      <c r="R582">
        <v>77358</v>
      </c>
    </row>
    <row r="583" spans="1:18" x14ac:dyDescent="0.25">
      <c r="A583" s="169">
        <v>43347</v>
      </c>
      <c r="B583" s="116">
        <v>228.333333333333</v>
      </c>
      <c r="C583" s="116">
        <v>227.3</v>
      </c>
      <c r="D583" s="116">
        <v>222.45</v>
      </c>
      <c r="E583" s="116">
        <v>223.73333333333301</v>
      </c>
      <c r="F583" s="116">
        <v>681.9</v>
      </c>
      <c r="G583">
        <v>2861</v>
      </c>
      <c r="H583" s="116"/>
      <c r="I583" s="116"/>
      <c r="L583" s="169">
        <v>43347</v>
      </c>
      <c r="M583" s="116">
        <v>226.816666666667</v>
      </c>
      <c r="N583" s="116">
        <v>229.5</v>
      </c>
      <c r="O583" s="116">
        <v>221.61666666666699</v>
      </c>
      <c r="P583" s="116">
        <v>223.333333333333</v>
      </c>
      <c r="Q583" s="116">
        <v>680.45</v>
      </c>
      <c r="R583">
        <v>85641</v>
      </c>
    </row>
    <row r="584" spans="1:18" x14ac:dyDescent="0.25">
      <c r="A584" s="169">
        <v>43348</v>
      </c>
      <c r="B584" s="116">
        <v>232.333333333333</v>
      </c>
      <c r="C584" s="116">
        <v>217.933333333333</v>
      </c>
      <c r="D584" s="116">
        <v>212.48333333333301</v>
      </c>
      <c r="E584" s="116">
        <v>227.433333333333</v>
      </c>
      <c r="F584" s="116">
        <v>653.79999999999995</v>
      </c>
      <c r="G584">
        <v>196286</v>
      </c>
      <c r="H584" s="116"/>
      <c r="I584" s="116"/>
      <c r="L584" s="169">
        <v>43348</v>
      </c>
      <c r="M584" s="116">
        <v>215.96666666666701</v>
      </c>
      <c r="N584" s="116">
        <v>231.6</v>
      </c>
      <c r="O584" s="116">
        <v>211.35</v>
      </c>
      <c r="P584" s="116">
        <v>222.73333333333301</v>
      </c>
      <c r="Q584" s="116">
        <v>647.9</v>
      </c>
      <c r="R584">
        <v>560272</v>
      </c>
    </row>
    <row r="585" spans="1:18" x14ac:dyDescent="0.25">
      <c r="A585" s="169">
        <v>43349</v>
      </c>
      <c r="B585" s="116">
        <v>219.8</v>
      </c>
      <c r="C585" s="116">
        <v>213.5</v>
      </c>
      <c r="D585" s="116">
        <v>212.36666666666699</v>
      </c>
      <c r="E585" s="116">
        <v>218.6</v>
      </c>
      <c r="F585" s="116">
        <v>640.5</v>
      </c>
      <c r="G585">
        <v>4139</v>
      </c>
      <c r="H585" s="116"/>
      <c r="I585" s="116"/>
      <c r="L585" s="169">
        <v>43349</v>
      </c>
      <c r="M585" s="116">
        <v>213.9</v>
      </c>
      <c r="N585" s="116">
        <v>219.98333333333301</v>
      </c>
      <c r="O585" s="116">
        <v>211.666666666667</v>
      </c>
      <c r="P585" s="116">
        <v>216.65</v>
      </c>
      <c r="Q585" s="116">
        <v>641.70000000000005</v>
      </c>
      <c r="R585">
        <v>34449</v>
      </c>
    </row>
    <row r="586" spans="1:18" x14ac:dyDescent="0.25">
      <c r="A586" s="169">
        <v>43350</v>
      </c>
      <c r="B586" s="116">
        <v>214.61666666666699</v>
      </c>
      <c r="C586" s="116">
        <v>213.833333333333</v>
      </c>
      <c r="D586" s="116">
        <v>212.333333333333</v>
      </c>
      <c r="E586" s="116">
        <v>213.333333333333</v>
      </c>
      <c r="F586" s="116">
        <v>641.5</v>
      </c>
      <c r="G586">
        <v>1810</v>
      </c>
      <c r="H586" s="116"/>
      <c r="I586" s="116"/>
      <c r="L586" s="169">
        <v>43350</v>
      </c>
      <c r="M586" s="116">
        <v>213.65</v>
      </c>
      <c r="N586" s="116">
        <v>215.166666666667</v>
      </c>
      <c r="O586" s="116">
        <v>211.75</v>
      </c>
      <c r="P586" s="116">
        <v>213.9</v>
      </c>
      <c r="Q586" s="116">
        <v>640.95000000000005</v>
      </c>
      <c r="R586">
        <v>118211</v>
      </c>
    </row>
    <row r="587" spans="1:18" x14ac:dyDescent="0.25">
      <c r="A587" s="169">
        <v>43353</v>
      </c>
      <c r="B587" s="116">
        <v>228</v>
      </c>
      <c r="C587" s="116">
        <v>220.88333333333301</v>
      </c>
      <c r="D587" s="116">
        <v>218.333333333333</v>
      </c>
      <c r="E587" s="116">
        <v>218.333333333333</v>
      </c>
      <c r="F587" s="116">
        <v>662.65</v>
      </c>
      <c r="G587">
        <v>25061</v>
      </c>
      <c r="H587" s="116"/>
      <c r="I587" s="116"/>
      <c r="L587" s="169">
        <v>43353</v>
      </c>
      <c r="M587" s="116">
        <v>221.05</v>
      </c>
      <c r="N587" s="116">
        <v>228</v>
      </c>
      <c r="O587" s="116">
        <v>219.166666666667</v>
      </c>
      <c r="P587" s="116">
        <v>220</v>
      </c>
      <c r="Q587" s="116">
        <v>663.15</v>
      </c>
      <c r="R587">
        <v>255446</v>
      </c>
    </row>
    <row r="588" spans="1:18" x14ac:dyDescent="0.25">
      <c r="A588" s="169">
        <v>43354</v>
      </c>
      <c r="B588" s="116">
        <v>225.333333333333</v>
      </c>
      <c r="C588" s="116">
        <v>219.03333333333299</v>
      </c>
      <c r="D588" s="116">
        <v>217.333333333333</v>
      </c>
      <c r="E588" s="116">
        <v>223.666666666667</v>
      </c>
      <c r="F588" s="116">
        <v>657.1</v>
      </c>
      <c r="G588">
        <v>3259</v>
      </c>
      <c r="H588" s="116"/>
      <c r="I588" s="116"/>
      <c r="L588" s="169">
        <v>43354</v>
      </c>
      <c r="M588" s="116">
        <v>218.2</v>
      </c>
      <c r="N588" s="116">
        <v>225.166666666667</v>
      </c>
      <c r="O588" s="116">
        <v>217.03333333333299</v>
      </c>
      <c r="P588" s="116">
        <v>222.7</v>
      </c>
      <c r="Q588" s="116">
        <v>654.6</v>
      </c>
      <c r="R588">
        <v>56444</v>
      </c>
    </row>
    <row r="589" spans="1:18" x14ac:dyDescent="0.25">
      <c r="A589" s="169">
        <v>43355</v>
      </c>
      <c r="B589" s="116">
        <v>219.666666666667</v>
      </c>
      <c r="C589" s="116">
        <v>215.98333333333301</v>
      </c>
      <c r="D589" s="116">
        <v>212.333333333333</v>
      </c>
      <c r="E589" s="116">
        <v>218.333333333333</v>
      </c>
      <c r="F589" s="116">
        <v>647.95000000000005</v>
      </c>
      <c r="G589">
        <v>2689</v>
      </c>
      <c r="H589" s="116"/>
      <c r="I589" s="116"/>
      <c r="L589" s="169">
        <v>43355</v>
      </c>
      <c r="M589" s="116">
        <v>215.71666666666701</v>
      </c>
      <c r="N589" s="116">
        <v>220.25</v>
      </c>
      <c r="O589" s="116">
        <v>215.05</v>
      </c>
      <c r="P589" s="116">
        <v>218.666666666667</v>
      </c>
      <c r="Q589" s="116">
        <v>647.15</v>
      </c>
      <c r="R589">
        <v>20255</v>
      </c>
    </row>
    <row r="590" spans="1:18" x14ac:dyDescent="0.25">
      <c r="A590" s="169">
        <v>43357</v>
      </c>
      <c r="B590" s="116">
        <v>216.666666666667</v>
      </c>
      <c r="C590" s="116">
        <v>215.833333333333</v>
      </c>
      <c r="D590" s="116">
        <v>215.01666666666699</v>
      </c>
      <c r="E590" s="116">
        <v>215.683333333333</v>
      </c>
      <c r="F590" s="116">
        <v>647.5</v>
      </c>
      <c r="G590">
        <v>1154</v>
      </c>
      <c r="H590" s="116"/>
      <c r="I590" s="116"/>
      <c r="L590" s="169">
        <v>43357</v>
      </c>
      <c r="M590" s="116">
        <v>215.73333333333301</v>
      </c>
      <c r="N590" s="116">
        <v>218.38333333333301</v>
      </c>
      <c r="O590" s="116">
        <v>215</v>
      </c>
      <c r="P590" s="116">
        <v>216.666666666667</v>
      </c>
      <c r="Q590" s="116">
        <v>647.20000000000005</v>
      </c>
      <c r="R590">
        <v>13819</v>
      </c>
    </row>
    <row r="591" spans="1:18" x14ac:dyDescent="0.25">
      <c r="A591" s="169">
        <v>43360</v>
      </c>
      <c r="B591" s="116">
        <v>217.666666666667</v>
      </c>
      <c r="C591" s="116">
        <v>216.63333333333301</v>
      </c>
      <c r="D591" s="116">
        <v>213.333333333333</v>
      </c>
      <c r="E591" s="116">
        <v>215.166666666667</v>
      </c>
      <c r="F591" s="116">
        <v>649.9</v>
      </c>
      <c r="G591">
        <v>2170</v>
      </c>
      <c r="H591" s="116"/>
      <c r="I591" s="116"/>
      <c r="L591" s="169">
        <v>43360</v>
      </c>
      <c r="M591" s="116">
        <v>216.01666666666699</v>
      </c>
      <c r="N591" s="116">
        <v>221.666666666667</v>
      </c>
      <c r="O591" s="116">
        <v>213.666666666667</v>
      </c>
      <c r="P591" s="116">
        <v>214.666666666667</v>
      </c>
      <c r="Q591" s="116">
        <v>648.04999999999995</v>
      </c>
      <c r="R591">
        <v>11376</v>
      </c>
    </row>
    <row r="592" spans="1:18" x14ac:dyDescent="0.25">
      <c r="A592" s="169">
        <v>43361</v>
      </c>
      <c r="B592" s="116">
        <v>217.683333333333</v>
      </c>
      <c r="C592" s="116">
        <v>216.65</v>
      </c>
      <c r="D592" s="116">
        <v>215.03333333333299</v>
      </c>
      <c r="E592" s="116">
        <v>216.7</v>
      </c>
      <c r="F592" s="116">
        <v>649.95000000000005</v>
      </c>
      <c r="G592">
        <v>1770</v>
      </c>
      <c r="H592" s="116"/>
      <c r="I592" s="116"/>
      <c r="L592" s="169">
        <v>43361</v>
      </c>
      <c r="M592" s="116">
        <v>216.316666666667</v>
      </c>
      <c r="N592" s="116">
        <v>217.666666666667</v>
      </c>
      <c r="O592" s="116">
        <v>215.333333333333</v>
      </c>
      <c r="P592" s="116">
        <v>216.433333333333</v>
      </c>
      <c r="Q592" s="116">
        <v>648.95000000000005</v>
      </c>
      <c r="R592">
        <v>7814</v>
      </c>
    </row>
    <row r="593" spans="1:18" x14ac:dyDescent="0.25">
      <c r="A593" s="169">
        <v>43362</v>
      </c>
      <c r="B593" s="116">
        <v>218.433333333333</v>
      </c>
      <c r="C593" s="116">
        <v>213.916666666667</v>
      </c>
      <c r="D593" s="116">
        <v>212.48333333333301</v>
      </c>
      <c r="E593" s="116">
        <v>216.666666666667</v>
      </c>
      <c r="F593" s="116">
        <v>641.75</v>
      </c>
      <c r="G593">
        <v>1297</v>
      </c>
      <c r="H593" s="116"/>
      <c r="I593" s="116"/>
      <c r="L593" s="169">
        <v>43362</v>
      </c>
      <c r="M593" s="116">
        <v>213.166666666667</v>
      </c>
      <c r="N593" s="116">
        <v>219</v>
      </c>
      <c r="O593" s="116">
        <v>212</v>
      </c>
      <c r="P593" s="116">
        <v>215.666666666667</v>
      </c>
      <c r="Q593" s="116">
        <v>639.5</v>
      </c>
      <c r="R593">
        <v>9022</v>
      </c>
    </row>
    <row r="594" spans="1:18" x14ac:dyDescent="0.25">
      <c r="A594" s="169">
        <v>43364</v>
      </c>
      <c r="B594" s="116">
        <v>214.333333333333</v>
      </c>
      <c r="C594" s="116">
        <v>201.03333333333299</v>
      </c>
      <c r="D594" s="116">
        <v>200</v>
      </c>
      <c r="E594" s="116">
        <v>214.316666666667</v>
      </c>
      <c r="F594" s="116">
        <v>603.1</v>
      </c>
      <c r="G594">
        <v>4023</v>
      </c>
      <c r="H594" s="116"/>
      <c r="I594" s="116"/>
      <c r="L594" s="169">
        <v>43364</v>
      </c>
      <c r="M594" s="116">
        <v>199.21666666666701</v>
      </c>
      <c r="N594" s="116">
        <v>214.98333333333301</v>
      </c>
      <c r="O594" s="116">
        <v>196.7</v>
      </c>
      <c r="P594" s="116">
        <v>213</v>
      </c>
      <c r="Q594" s="116">
        <v>597.65</v>
      </c>
      <c r="R594">
        <v>55321</v>
      </c>
    </row>
    <row r="595" spans="1:18" x14ac:dyDescent="0.25">
      <c r="A595" s="169">
        <v>43367</v>
      </c>
      <c r="B595" s="116">
        <v>209.666666666667</v>
      </c>
      <c r="C595" s="116">
        <v>208.13333333333301</v>
      </c>
      <c r="D595" s="116">
        <v>200.1</v>
      </c>
      <c r="E595" s="116">
        <v>201.666666666667</v>
      </c>
      <c r="F595" s="116">
        <v>624.4</v>
      </c>
      <c r="G595">
        <v>11128</v>
      </c>
      <c r="H595" s="116"/>
      <c r="I595" s="116"/>
      <c r="L595" s="169">
        <v>43367</v>
      </c>
      <c r="M595" s="116">
        <v>207.88333333333301</v>
      </c>
      <c r="N595" s="116">
        <v>209.666666666667</v>
      </c>
      <c r="O595" s="116">
        <v>200.78333333333299</v>
      </c>
      <c r="P595" s="116">
        <v>204.78333333333299</v>
      </c>
      <c r="Q595" s="116">
        <v>623.65</v>
      </c>
      <c r="R595">
        <v>58136</v>
      </c>
    </row>
    <row r="596" spans="1:18" x14ac:dyDescent="0.25">
      <c r="A596" s="169">
        <v>43368</v>
      </c>
      <c r="B596" s="116">
        <v>211</v>
      </c>
      <c r="C596" s="116">
        <v>209.75</v>
      </c>
      <c r="D596" s="116">
        <v>203.35</v>
      </c>
      <c r="E596" s="116">
        <v>203.35</v>
      </c>
      <c r="F596" s="116">
        <v>629.25</v>
      </c>
      <c r="G596">
        <v>4599</v>
      </c>
      <c r="H596" s="116"/>
      <c r="I596" s="116"/>
      <c r="L596" s="169">
        <v>43368</v>
      </c>
      <c r="M596" s="116">
        <v>209.35</v>
      </c>
      <c r="N596" s="116">
        <v>211.333333333333</v>
      </c>
      <c r="O596" s="116">
        <v>203.666666666667</v>
      </c>
      <c r="P596" s="116">
        <v>207.88333333333301</v>
      </c>
      <c r="Q596" s="116">
        <v>628.04999999999995</v>
      </c>
      <c r="R596">
        <v>59646</v>
      </c>
    </row>
    <row r="597" spans="1:18" x14ac:dyDescent="0.25">
      <c r="A597" s="169">
        <v>43369</v>
      </c>
      <c r="B597" s="116">
        <v>213.86666666666699</v>
      </c>
      <c r="C597" s="116">
        <v>213.23333333333301</v>
      </c>
      <c r="D597" s="116">
        <v>207.46666666666701</v>
      </c>
      <c r="E597" s="116">
        <v>207.46666666666701</v>
      </c>
      <c r="F597" s="116">
        <v>639.70000000000005</v>
      </c>
      <c r="G597">
        <v>10334</v>
      </c>
      <c r="H597" s="116"/>
      <c r="I597" s="116"/>
      <c r="L597" s="169">
        <v>43369</v>
      </c>
      <c r="M597" s="116">
        <v>211.5</v>
      </c>
      <c r="N597" s="116">
        <v>213.1</v>
      </c>
      <c r="O597" s="116">
        <v>208.36666666666699</v>
      </c>
      <c r="P597" s="116">
        <v>208.36666666666699</v>
      </c>
      <c r="Q597" s="116">
        <v>634.5</v>
      </c>
      <c r="R597">
        <v>41198</v>
      </c>
    </row>
    <row r="598" spans="1:18" x14ac:dyDescent="0.25">
      <c r="A598" s="169">
        <v>43370</v>
      </c>
      <c r="B598" s="116">
        <v>214.2</v>
      </c>
      <c r="C598" s="116">
        <v>213.8</v>
      </c>
      <c r="D598" s="116">
        <v>210</v>
      </c>
      <c r="E598" s="116">
        <v>213.38333333333301</v>
      </c>
      <c r="F598" s="116">
        <v>641.4</v>
      </c>
      <c r="G598">
        <v>3515</v>
      </c>
      <c r="H598" s="116"/>
      <c r="I598" s="116"/>
      <c r="L598" s="169">
        <v>43370</v>
      </c>
      <c r="M598" s="116">
        <v>213.3</v>
      </c>
      <c r="N598" s="116">
        <v>214.65</v>
      </c>
      <c r="O598" s="116">
        <v>208.833333333333</v>
      </c>
      <c r="P598" s="116">
        <v>213.166666666667</v>
      </c>
      <c r="Q598" s="116">
        <v>639.9</v>
      </c>
      <c r="R598">
        <v>28399</v>
      </c>
    </row>
    <row r="599" spans="1:18" x14ac:dyDescent="0.25">
      <c r="A599" s="169">
        <v>43371</v>
      </c>
      <c r="B599" s="116">
        <v>215.96666666666701</v>
      </c>
      <c r="C599" s="116">
        <v>214.98333333333301</v>
      </c>
      <c r="D599" s="116">
        <v>208.95</v>
      </c>
      <c r="E599" s="116">
        <v>208.95</v>
      </c>
      <c r="F599" s="116">
        <v>644.95000000000005</v>
      </c>
      <c r="G599">
        <v>2539</v>
      </c>
      <c r="H599" s="116"/>
      <c r="I599" s="116"/>
      <c r="L599" s="169">
        <v>43371</v>
      </c>
      <c r="M599" s="116">
        <v>214.066666666667</v>
      </c>
      <c r="N599" s="116">
        <v>215.666666666667</v>
      </c>
      <c r="O599" s="116">
        <v>210.333333333333</v>
      </c>
      <c r="P599" s="116">
        <v>210.683333333333</v>
      </c>
      <c r="Q599" s="116">
        <v>642.20000000000005</v>
      </c>
      <c r="R599">
        <v>42062</v>
      </c>
    </row>
    <row r="600" spans="1:18" x14ac:dyDescent="0.25">
      <c r="A600" s="169">
        <v>43374</v>
      </c>
      <c r="B600" s="116">
        <v>217</v>
      </c>
      <c r="C600" s="116">
        <v>216.63333333333301</v>
      </c>
      <c r="D600" s="116">
        <v>205.75</v>
      </c>
      <c r="E600" s="116">
        <v>213.333333333333</v>
      </c>
      <c r="F600" s="116">
        <v>649.9</v>
      </c>
      <c r="G600">
        <v>5052</v>
      </c>
      <c r="H600" s="116"/>
      <c r="I600" s="116"/>
      <c r="L600" s="169">
        <v>43374</v>
      </c>
      <c r="M600" s="116">
        <v>216.066666666667</v>
      </c>
      <c r="N600" s="116">
        <v>217.166666666667</v>
      </c>
      <c r="O600" s="116">
        <v>210.73333333333301</v>
      </c>
      <c r="P600" s="116">
        <v>216.333333333333</v>
      </c>
      <c r="Q600" s="116">
        <v>648.20000000000005</v>
      </c>
      <c r="R600">
        <v>44716</v>
      </c>
    </row>
    <row r="601" spans="1:18" x14ac:dyDescent="0.25">
      <c r="A601" s="169">
        <v>43376</v>
      </c>
      <c r="B601" s="116">
        <v>220</v>
      </c>
      <c r="C601" s="116">
        <v>218.21666666666701</v>
      </c>
      <c r="D601" s="116">
        <v>212.15</v>
      </c>
      <c r="E601" s="116">
        <v>212.15</v>
      </c>
      <c r="F601" s="116">
        <v>654.65</v>
      </c>
      <c r="G601">
        <v>1530</v>
      </c>
      <c r="H601" s="116"/>
      <c r="I601" s="116"/>
      <c r="L601" s="169">
        <v>43376</v>
      </c>
      <c r="M601" s="116">
        <v>217.51666666666699</v>
      </c>
      <c r="N601" s="116">
        <v>219.96666666666701</v>
      </c>
      <c r="O601" s="116">
        <v>214.01666666666699</v>
      </c>
      <c r="P601" s="116">
        <v>216.066666666667</v>
      </c>
      <c r="Q601" s="116">
        <v>652.54999999999995</v>
      </c>
      <c r="R601">
        <v>13982</v>
      </c>
    </row>
    <row r="602" spans="1:18" x14ac:dyDescent="0.25">
      <c r="A602" s="169">
        <v>43377</v>
      </c>
      <c r="B602" s="116">
        <v>221.666666666667</v>
      </c>
      <c r="C602" s="116">
        <v>220.11666666666699</v>
      </c>
      <c r="D602" s="116">
        <v>214.53333333333299</v>
      </c>
      <c r="E602" s="116">
        <v>216.666666666667</v>
      </c>
      <c r="F602" s="116">
        <v>660.35</v>
      </c>
      <c r="G602">
        <v>3316</v>
      </c>
      <c r="H602" s="116"/>
      <c r="I602" s="116"/>
      <c r="L602" s="169">
        <v>43377</v>
      </c>
      <c r="M602" s="116">
        <v>220.05</v>
      </c>
      <c r="N602" s="116">
        <v>221.666666666667</v>
      </c>
      <c r="O602" s="116">
        <v>215.36666666666699</v>
      </c>
      <c r="P602" s="116">
        <v>216.666666666667</v>
      </c>
      <c r="Q602" s="116">
        <v>660.15</v>
      </c>
      <c r="R602">
        <v>69177</v>
      </c>
    </row>
    <row r="603" spans="1:18" x14ac:dyDescent="0.25">
      <c r="A603" s="169">
        <v>43378</v>
      </c>
      <c r="B603" s="116">
        <v>222.51666666666699</v>
      </c>
      <c r="C603" s="116">
        <v>221.833333333333</v>
      </c>
      <c r="D603" s="116">
        <v>214.416666666667</v>
      </c>
      <c r="E603" s="116">
        <v>221.11666666666699</v>
      </c>
      <c r="F603" s="116">
        <v>665.5</v>
      </c>
      <c r="G603">
        <v>19249</v>
      </c>
      <c r="H603" s="116"/>
      <c r="I603" s="116"/>
      <c r="L603" s="169">
        <v>43378</v>
      </c>
      <c r="M603" s="116">
        <v>221.65</v>
      </c>
      <c r="N603" s="116">
        <v>222</v>
      </c>
      <c r="O603" s="116">
        <v>213.75</v>
      </c>
      <c r="P603" s="116">
        <v>221.63333333333301</v>
      </c>
      <c r="Q603" s="116">
        <v>664.95</v>
      </c>
      <c r="R603">
        <v>156159</v>
      </c>
    </row>
    <row r="604" spans="1:18" x14ac:dyDescent="0.25">
      <c r="A604" s="169">
        <v>43381</v>
      </c>
      <c r="B604" s="116">
        <v>223.666666666667</v>
      </c>
      <c r="C604" s="116">
        <v>223.21666666666701</v>
      </c>
      <c r="D604" s="116">
        <v>216.666666666667</v>
      </c>
      <c r="E604" s="116">
        <v>221.98333333333301</v>
      </c>
      <c r="F604" s="116">
        <v>669.65</v>
      </c>
      <c r="G604">
        <v>7048</v>
      </c>
      <c r="H604" s="116"/>
      <c r="I604" s="116"/>
      <c r="L604" s="169">
        <v>43381</v>
      </c>
      <c r="M604" s="116">
        <v>223.21666666666701</v>
      </c>
      <c r="N604" s="116">
        <v>224</v>
      </c>
      <c r="O604" s="116">
        <v>215.03333333333299</v>
      </c>
      <c r="P604" s="116">
        <v>218.35</v>
      </c>
      <c r="Q604" s="116">
        <v>669.65</v>
      </c>
      <c r="R604">
        <v>269887</v>
      </c>
    </row>
    <row r="605" spans="1:18" x14ac:dyDescent="0.25">
      <c r="A605" s="169">
        <v>43382</v>
      </c>
      <c r="B605" s="116">
        <v>224.96666666666701</v>
      </c>
      <c r="C605" s="116">
        <v>222.86666666666699</v>
      </c>
      <c r="D605" s="116">
        <v>217.55</v>
      </c>
      <c r="E605" s="116">
        <v>223.333333333333</v>
      </c>
      <c r="F605" s="116">
        <v>668.6</v>
      </c>
      <c r="G605">
        <v>5055</v>
      </c>
      <c r="H605" s="116"/>
      <c r="I605" s="116"/>
      <c r="L605" s="169">
        <v>43382</v>
      </c>
      <c r="M605" s="116">
        <v>222.98333333333301</v>
      </c>
      <c r="N605" s="116">
        <v>225.666666666667</v>
      </c>
      <c r="O605" s="116">
        <v>216.666666666667</v>
      </c>
      <c r="P605" s="116">
        <v>224.51666666666699</v>
      </c>
      <c r="Q605" s="116">
        <v>668.95</v>
      </c>
      <c r="R605">
        <v>53671</v>
      </c>
    </row>
    <row r="606" spans="1:18" x14ac:dyDescent="0.25">
      <c r="A606" s="169">
        <v>43383</v>
      </c>
      <c r="B606" s="116">
        <v>225.98333333333301</v>
      </c>
      <c r="C606" s="116">
        <v>218.21666666666701</v>
      </c>
      <c r="D606" s="116">
        <v>216.5</v>
      </c>
      <c r="E606" s="116">
        <v>225.98333333333301</v>
      </c>
      <c r="F606" s="116">
        <v>654.65</v>
      </c>
      <c r="G606">
        <v>2831</v>
      </c>
      <c r="H606" s="116"/>
      <c r="I606" s="116"/>
      <c r="L606" s="169">
        <v>43383</v>
      </c>
      <c r="M606" s="116">
        <v>217.183333333333</v>
      </c>
      <c r="N606" s="116">
        <v>224.8</v>
      </c>
      <c r="O606" s="116">
        <v>216</v>
      </c>
      <c r="P606" s="116">
        <v>223.333333333333</v>
      </c>
      <c r="Q606" s="116">
        <v>651.54999999999995</v>
      </c>
      <c r="R606">
        <v>312893</v>
      </c>
    </row>
    <row r="607" spans="1:18" x14ac:dyDescent="0.25">
      <c r="A607" s="169">
        <v>43384</v>
      </c>
      <c r="B607" s="116">
        <v>218.95</v>
      </c>
      <c r="C607" s="116">
        <v>213</v>
      </c>
      <c r="D607" s="116">
        <v>206.6</v>
      </c>
      <c r="E607" s="116">
        <v>218.21666666666701</v>
      </c>
      <c r="F607" s="116">
        <v>639</v>
      </c>
      <c r="G607">
        <v>8722</v>
      </c>
      <c r="H607" s="116"/>
      <c r="I607" s="116"/>
      <c r="L607" s="169">
        <v>43384</v>
      </c>
      <c r="M607" s="116">
        <v>206.566666666667</v>
      </c>
      <c r="N607" s="116">
        <v>220</v>
      </c>
      <c r="O607" s="116">
        <v>201</v>
      </c>
      <c r="P607" s="116">
        <v>220</v>
      </c>
      <c r="Q607" s="116">
        <v>619.70000000000005</v>
      </c>
      <c r="R607">
        <v>149699</v>
      </c>
    </row>
    <row r="608" spans="1:18" x14ac:dyDescent="0.25">
      <c r="A608" s="169">
        <v>43385</v>
      </c>
      <c r="B608" s="116">
        <v>213</v>
      </c>
      <c r="C608" s="116">
        <v>211.11666666666699</v>
      </c>
      <c r="D608" s="116">
        <v>205</v>
      </c>
      <c r="E608" s="116">
        <v>205</v>
      </c>
      <c r="F608" s="116">
        <v>633.35</v>
      </c>
      <c r="G608">
        <v>3208</v>
      </c>
      <c r="H608" s="116"/>
      <c r="I608" s="116"/>
      <c r="L608" s="169">
        <v>43385</v>
      </c>
      <c r="M608" s="116">
        <v>206.416666666667</v>
      </c>
      <c r="N608" s="116">
        <v>209.96666666666701</v>
      </c>
      <c r="O608" s="116">
        <v>205.36666666666699</v>
      </c>
      <c r="P608" s="116">
        <v>207.01666666666699</v>
      </c>
      <c r="Q608" s="116">
        <v>619.25</v>
      </c>
      <c r="R608">
        <v>28031</v>
      </c>
    </row>
    <row r="609" spans="1:18" x14ac:dyDescent="0.25">
      <c r="A609" s="169">
        <v>43388</v>
      </c>
      <c r="B609" s="116">
        <v>207.666666666667</v>
      </c>
      <c r="C609" s="116">
        <v>205.166666666667</v>
      </c>
      <c r="D609" s="116">
        <v>203.333333333333</v>
      </c>
      <c r="E609" s="116">
        <v>203.333333333333</v>
      </c>
      <c r="F609" s="116">
        <v>615.5</v>
      </c>
      <c r="G609">
        <v>402</v>
      </c>
      <c r="H609" s="116"/>
      <c r="I609" s="116"/>
      <c r="L609" s="169">
        <v>43388</v>
      </c>
      <c r="M609" s="116">
        <v>204.6</v>
      </c>
      <c r="N609" s="116">
        <v>208.26666666666699</v>
      </c>
      <c r="O609" s="116">
        <v>203.01666666666699</v>
      </c>
      <c r="P609" s="116">
        <v>207.333333333333</v>
      </c>
      <c r="Q609" s="116">
        <v>613.79999999999995</v>
      </c>
      <c r="R609">
        <v>13893</v>
      </c>
    </row>
    <row r="610" spans="1:18" x14ac:dyDescent="0.25">
      <c r="A610" s="169">
        <v>43389</v>
      </c>
      <c r="B610" s="116">
        <v>206.63333333333301</v>
      </c>
      <c r="C610" s="116">
        <v>204.96666666666701</v>
      </c>
      <c r="D610" s="116">
        <v>203.666666666667</v>
      </c>
      <c r="E610" s="116">
        <v>203.666666666667</v>
      </c>
      <c r="F610" s="116">
        <v>614.9</v>
      </c>
      <c r="G610">
        <v>666</v>
      </c>
      <c r="H610" s="116"/>
      <c r="I610" s="116"/>
      <c r="L610" s="169">
        <v>43389</v>
      </c>
      <c r="M610" s="116">
        <v>203.55</v>
      </c>
      <c r="N610" s="116">
        <v>206.26666666666699</v>
      </c>
      <c r="O610" s="116">
        <v>202.833333333333</v>
      </c>
      <c r="P610" s="116">
        <v>204.566666666667</v>
      </c>
      <c r="Q610" s="116">
        <v>610.65</v>
      </c>
      <c r="R610">
        <v>12325</v>
      </c>
    </row>
    <row r="611" spans="1:18" x14ac:dyDescent="0.25">
      <c r="A611" s="169">
        <v>43390</v>
      </c>
      <c r="B611" s="116">
        <v>205.316666666667</v>
      </c>
      <c r="C611" s="116">
        <v>199.65</v>
      </c>
      <c r="D611" s="116">
        <v>198.333333333333</v>
      </c>
      <c r="E611" s="116">
        <v>203.666666666667</v>
      </c>
      <c r="F611" s="116">
        <v>598.95000000000005</v>
      </c>
      <c r="G611">
        <v>8808</v>
      </c>
      <c r="H611" s="116"/>
      <c r="I611" s="116"/>
      <c r="L611" s="169">
        <v>43390</v>
      </c>
      <c r="M611" s="116">
        <v>199.25</v>
      </c>
      <c r="N611" s="116">
        <v>206.666666666667</v>
      </c>
      <c r="O611" s="116">
        <v>197.38333333333301</v>
      </c>
      <c r="P611" s="116">
        <v>205.76666666666699</v>
      </c>
      <c r="Q611" s="116">
        <v>597.75</v>
      </c>
      <c r="R611">
        <v>21524</v>
      </c>
    </row>
    <row r="612" spans="1:18" x14ac:dyDescent="0.25">
      <c r="A612" s="169">
        <v>43392</v>
      </c>
      <c r="B612" s="116">
        <v>200.46666666666701</v>
      </c>
      <c r="C612" s="116">
        <v>198.36666666666699</v>
      </c>
      <c r="D612" s="116">
        <v>196.666666666667</v>
      </c>
      <c r="E612" s="116">
        <v>200.46666666666701</v>
      </c>
      <c r="F612" s="116">
        <v>595.1</v>
      </c>
      <c r="G612">
        <v>757</v>
      </c>
      <c r="H612" s="116"/>
      <c r="I612" s="116"/>
      <c r="L612" s="169">
        <v>43392</v>
      </c>
      <c r="M612" s="116">
        <v>197.583333333333</v>
      </c>
      <c r="N612" s="116">
        <v>200.916666666667</v>
      </c>
      <c r="O612" s="116">
        <v>196.666666666667</v>
      </c>
      <c r="P612" s="116">
        <v>199.333333333333</v>
      </c>
      <c r="Q612" s="116">
        <v>592.75</v>
      </c>
      <c r="R612">
        <v>6666</v>
      </c>
    </row>
    <row r="613" spans="1:18" x14ac:dyDescent="0.25">
      <c r="A613" s="169">
        <v>43395</v>
      </c>
      <c r="B613" s="116">
        <v>200</v>
      </c>
      <c r="C613" s="116">
        <v>194.933333333333</v>
      </c>
      <c r="D613" s="116">
        <v>194</v>
      </c>
      <c r="E613" s="116">
        <v>198.333333333333</v>
      </c>
      <c r="F613" s="116">
        <v>584.79999999999995</v>
      </c>
      <c r="G613">
        <v>477</v>
      </c>
      <c r="H613" s="116"/>
      <c r="I613" s="116"/>
      <c r="L613" s="169">
        <v>43395</v>
      </c>
      <c r="M613" s="116">
        <v>194.4</v>
      </c>
      <c r="N613" s="116">
        <v>201.26666666666699</v>
      </c>
      <c r="O613" s="116">
        <v>193.35</v>
      </c>
      <c r="P613" s="116">
        <v>196.666666666667</v>
      </c>
      <c r="Q613" s="116">
        <v>583.20000000000005</v>
      </c>
      <c r="R613">
        <v>13874</v>
      </c>
    </row>
    <row r="614" spans="1:18" x14ac:dyDescent="0.25">
      <c r="A614" s="169">
        <v>43396</v>
      </c>
      <c r="B614" s="116">
        <v>194.78333333333299</v>
      </c>
      <c r="C614" s="116">
        <v>189.75</v>
      </c>
      <c r="D614" s="116">
        <v>186.75</v>
      </c>
      <c r="E614" s="116">
        <v>193.85</v>
      </c>
      <c r="F614" s="116">
        <v>569.25</v>
      </c>
      <c r="G614">
        <v>6787</v>
      </c>
      <c r="H614" s="116"/>
      <c r="I614" s="116"/>
      <c r="L614" s="169">
        <v>43396</v>
      </c>
      <c r="M614" s="116">
        <v>190.933333333333</v>
      </c>
      <c r="N614" s="116">
        <v>194.2</v>
      </c>
      <c r="O614" s="116">
        <v>188.73333333333301</v>
      </c>
      <c r="P614" s="116">
        <v>193.5</v>
      </c>
      <c r="Q614" s="116">
        <v>572.79999999999995</v>
      </c>
      <c r="R614">
        <v>6861</v>
      </c>
    </row>
    <row r="615" spans="1:18" x14ac:dyDescent="0.25">
      <c r="A615" s="169">
        <v>43397</v>
      </c>
      <c r="B615" s="116">
        <v>193.333333333333</v>
      </c>
      <c r="C615" s="116">
        <v>188.9</v>
      </c>
      <c r="D615" s="116">
        <v>188</v>
      </c>
      <c r="E615" s="116">
        <v>190.2</v>
      </c>
      <c r="F615" s="116">
        <v>566.70000000000005</v>
      </c>
      <c r="G615">
        <v>655</v>
      </c>
      <c r="H615" s="116"/>
      <c r="I615" s="116"/>
      <c r="L615" s="169">
        <v>43397</v>
      </c>
      <c r="M615" s="116">
        <v>189.46666666666701</v>
      </c>
      <c r="N615" s="116">
        <v>195.63333333333301</v>
      </c>
      <c r="O615" s="116">
        <v>188.1</v>
      </c>
      <c r="P615" s="116">
        <v>190.666666666667</v>
      </c>
      <c r="Q615" s="116">
        <v>568.4</v>
      </c>
      <c r="R615">
        <v>8342</v>
      </c>
    </row>
    <row r="616" spans="1:18" x14ac:dyDescent="0.25">
      <c r="A616" s="169">
        <v>43398</v>
      </c>
      <c r="B616" s="116">
        <v>190.416666666667</v>
      </c>
      <c r="C616" s="116">
        <v>189.666666666667</v>
      </c>
      <c r="D616" s="116">
        <v>185</v>
      </c>
      <c r="E616" s="116">
        <v>188.45</v>
      </c>
      <c r="F616" s="116">
        <v>569</v>
      </c>
      <c r="G616">
        <v>343</v>
      </c>
      <c r="H616" s="116"/>
      <c r="I616" s="116"/>
      <c r="L616" s="169">
        <v>43398</v>
      </c>
      <c r="M616" s="116">
        <v>188.96666666666701</v>
      </c>
      <c r="N616" s="116">
        <v>190.98333333333301</v>
      </c>
      <c r="O616" s="116">
        <v>183.96666666666701</v>
      </c>
      <c r="P616" s="116">
        <v>189.333333333333</v>
      </c>
      <c r="Q616" s="116">
        <v>566.9</v>
      </c>
      <c r="R616">
        <v>6919</v>
      </c>
    </row>
    <row r="617" spans="1:18" x14ac:dyDescent="0.25">
      <c r="A617" s="169">
        <v>43399</v>
      </c>
      <c r="B617" s="116">
        <v>192.083333333333</v>
      </c>
      <c r="C617" s="116">
        <v>188.066666666667</v>
      </c>
      <c r="D617" s="116">
        <v>184</v>
      </c>
      <c r="E617" s="116">
        <v>189.333333333333</v>
      </c>
      <c r="F617" s="116">
        <v>564.20000000000005</v>
      </c>
      <c r="G617">
        <v>6354</v>
      </c>
      <c r="H617" s="116"/>
      <c r="I617" s="116"/>
      <c r="L617" s="169">
        <v>43399</v>
      </c>
      <c r="M617" s="116">
        <v>186.416666666667</v>
      </c>
      <c r="N617" s="116">
        <v>191.666666666667</v>
      </c>
      <c r="O617" s="116">
        <v>184.03333333333299</v>
      </c>
      <c r="P617" s="116">
        <v>188.96666666666701</v>
      </c>
      <c r="Q617" s="116">
        <v>559.25</v>
      </c>
      <c r="R617">
        <v>32552</v>
      </c>
    </row>
    <row r="618" spans="1:18" x14ac:dyDescent="0.25">
      <c r="A618" s="169">
        <v>43402</v>
      </c>
      <c r="B618" s="116">
        <v>188.083333333333</v>
      </c>
      <c r="C618" s="116">
        <v>185.13333333333301</v>
      </c>
      <c r="D618" s="116">
        <v>183.333333333333</v>
      </c>
      <c r="E618" s="116">
        <v>183.35</v>
      </c>
      <c r="F618" s="116">
        <v>555.4</v>
      </c>
      <c r="G618">
        <v>1109</v>
      </c>
      <c r="H618" s="116"/>
      <c r="I618" s="116"/>
      <c r="L618" s="169">
        <v>43402</v>
      </c>
      <c r="M618" s="116">
        <v>184.566666666667</v>
      </c>
      <c r="N618" s="116">
        <v>188.48333333333301</v>
      </c>
      <c r="O618" s="116">
        <v>183.53333333333299</v>
      </c>
      <c r="P618" s="116">
        <v>186.666666666667</v>
      </c>
      <c r="Q618" s="116">
        <v>553.70000000000005</v>
      </c>
      <c r="R618">
        <v>43602</v>
      </c>
    </row>
    <row r="619" spans="1:18" x14ac:dyDescent="0.25">
      <c r="A619" s="169">
        <v>43403</v>
      </c>
      <c r="B619" s="116">
        <v>192</v>
      </c>
      <c r="C619" s="116">
        <v>186.3</v>
      </c>
      <c r="D619" s="116">
        <v>183.416666666667</v>
      </c>
      <c r="E619" s="116">
        <v>183.416666666667</v>
      </c>
      <c r="F619" s="116">
        <v>558.9</v>
      </c>
      <c r="G619">
        <v>7112</v>
      </c>
      <c r="H619" s="116"/>
      <c r="I619" s="116"/>
      <c r="L619" s="169">
        <v>43403</v>
      </c>
      <c r="M619" s="116">
        <v>185</v>
      </c>
      <c r="N619" s="116">
        <v>188.683333333333</v>
      </c>
      <c r="O619" s="116">
        <v>183.96666666666701</v>
      </c>
      <c r="P619" s="116">
        <v>184.9</v>
      </c>
      <c r="Q619" s="116">
        <v>555</v>
      </c>
      <c r="R619">
        <v>16866</v>
      </c>
    </row>
    <row r="620" spans="1:18" x14ac:dyDescent="0.25">
      <c r="A620" s="169">
        <v>43404</v>
      </c>
      <c r="B620" s="116">
        <v>189.666666666667</v>
      </c>
      <c r="C620" s="116">
        <v>187.5</v>
      </c>
      <c r="D620" s="116">
        <v>184.26666666666699</v>
      </c>
      <c r="E620" s="116">
        <v>184.26666666666699</v>
      </c>
      <c r="F620" s="116">
        <v>562.5</v>
      </c>
      <c r="G620">
        <v>367</v>
      </c>
      <c r="H620" s="116"/>
      <c r="I620" s="116"/>
      <c r="L620" s="169">
        <v>43404</v>
      </c>
      <c r="M620" s="116">
        <v>186.683333333333</v>
      </c>
      <c r="N620" s="116">
        <v>189.26666666666699</v>
      </c>
      <c r="O620" s="116">
        <v>185</v>
      </c>
      <c r="P620" s="116">
        <v>185</v>
      </c>
      <c r="Q620" s="116">
        <v>560.04999999999995</v>
      </c>
      <c r="R620">
        <v>20593</v>
      </c>
    </row>
    <row r="621" spans="1:18" x14ac:dyDescent="0.25">
      <c r="A621" s="169">
        <v>43405</v>
      </c>
      <c r="B621" s="116">
        <v>189.48333333333301</v>
      </c>
      <c r="C621" s="116">
        <v>186.65</v>
      </c>
      <c r="D621" s="116">
        <v>184.666666666667</v>
      </c>
      <c r="E621" s="116">
        <v>189.48333333333301</v>
      </c>
      <c r="F621" s="116">
        <v>559.95000000000005</v>
      </c>
      <c r="G621">
        <v>1764</v>
      </c>
      <c r="H621" s="116"/>
      <c r="I621" s="116"/>
      <c r="L621" s="169">
        <v>43405</v>
      </c>
      <c r="M621" s="116">
        <v>184.95</v>
      </c>
      <c r="N621" s="116">
        <v>189.13333333333301</v>
      </c>
      <c r="O621" s="116">
        <v>184.03333333333299</v>
      </c>
      <c r="P621" s="116">
        <v>186.683333333333</v>
      </c>
      <c r="Q621" s="116">
        <v>554.85</v>
      </c>
      <c r="R621">
        <v>26464</v>
      </c>
    </row>
    <row r="622" spans="1:18" x14ac:dyDescent="0.25">
      <c r="A622" s="169">
        <v>43406</v>
      </c>
      <c r="B622" s="116">
        <v>187.316666666667</v>
      </c>
      <c r="C622" s="116">
        <v>183.433333333333</v>
      </c>
      <c r="D622" s="116">
        <v>182.85</v>
      </c>
      <c r="E622" s="116">
        <v>187.316666666667</v>
      </c>
      <c r="F622" s="116">
        <v>550.29999999999995</v>
      </c>
      <c r="G622">
        <v>1472</v>
      </c>
      <c r="H622" s="116"/>
      <c r="I622" s="116"/>
      <c r="L622" s="169">
        <v>43406</v>
      </c>
      <c r="M622" s="116">
        <v>182.816666666667</v>
      </c>
      <c r="N622" s="116">
        <v>186.933333333333</v>
      </c>
      <c r="O622" s="116">
        <v>182</v>
      </c>
      <c r="P622" s="116">
        <v>186.5</v>
      </c>
      <c r="Q622" s="116">
        <v>548.45000000000005</v>
      </c>
      <c r="R622">
        <v>27758</v>
      </c>
    </row>
    <row r="623" spans="1:18" x14ac:dyDescent="0.25">
      <c r="A623" s="169">
        <v>43409</v>
      </c>
      <c r="B623" s="116">
        <v>184.316666666667</v>
      </c>
      <c r="C623" s="116">
        <v>183.416666666667</v>
      </c>
      <c r="D623" s="116">
        <v>182.683333333333</v>
      </c>
      <c r="E623" s="116">
        <v>183.333333333333</v>
      </c>
      <c r="F623" s="116">
        <v>550.25</v>
      </c>
      <c r="G623">
        <v>603</v>
      </c>
      <c r="H623" s="116"/>
      <c r="I623" s="116"/>
      <c r="L623" s="169">
        <v>43409</v>
      </c>
      <c r="M623" s="116">
        <v>183.21666666666701</v>
      </c>
      <c r="N623" s="116">
        <v>184.61666666666699</v>
      </c>
      <c r="O623" s="116">
        <v>183</v>
      </c>
      <c r="P623" s="116">
        <v>184.46666666666701</v>
      </c>
      <c r="Q623" s="116">
        <v>549.65</v>
      </c>
      <c r="R623">
        <v>12740</v>
      </c>
    </row>
    <row r="624" spans="1:18" x14ac:dyDescent="0.25">
      <c r="A624" s="169">
        <v>43410</v>
      </c>
      <c r="B624" s="116">
        <v>184.65</v>
      </c>
      <c r="C624" s="116">
        <v>183.45</v>
      </c>
      <c r="D624" s="116">
        <v>181.35</v>
      </c>
      <c r="E624" s="116">
        <v>183.36666666666699</v>
      </c>
      <c r="F624" s="116">
        <v>550.35</v>
      </c>
      <c r="G624">
        <v>327</v>
      </c>
      <c r="H624" s="116"/>
      <c r="I624" s="116"/>
      <c r="L624" s="169">
        <v>43410</v>
      </c>
      <c r="M624" s="116">
        <v>183.35</v>
      </c>
      <c r="N624" s="116">
        <v>185.23333333333301</v>
      </c>
      <c r="O624" s="116">
        <v>181.01666666666699</v>
      </c>
      <c r="P624" s="116">
        <v>184.4</v>
      </c>
      <c r="Q624" s="116">
        <v>550.04999999999995</v>
      </c>
      <c r="R624">
        <v>13637</v>
      </c>
    </row>
    <row r="625" spans="1:18" x14ac:dyDescent="0.25">
      <c r="A625" s="169">
        <v>43411</v>
      </c>
      <c r="B625" s="116">
        <v>185.98333333333301</v>
      </c>
      <c r="C625" s="116">
        <v>185.316666666667</v>
      </c>
      <c r="D625" s="116">
        <v>183.333333333333</v>
      </c>
      <c r="E625" s="116">
        <v>185.65</v>
      </c>
      <c r="F625" s="116">
        <v>555.95000000000005</v>
      </c>
      <c r="G625">
        <v>166</v>
      </c>
      <c r="H625" s="116"/>
      <c r="I625" s="116"/>
      <c r="L625" s="169">
        <v>43411</v>
      </c>
      <c r="M625" s="116">
        <v>184.95</v>
      </c>
      <c r="N625" s="116">
        <v>185.11666666666699</v>
      </c>
      <c r="O625" s="116">
        <v>183.35</v>
      </c>
      <c r="P625" s="116">
        <v>184.96666666666701</v>
      </c>
      <c r="Q625" s="116">
        <v>554.85</v>
      </c>
      <c r="R625">
        <v>9505</v>
      </c>
    </row>
    <row r="626" spans="1:18" x14ac:dyDescent="0.25">
      <c r="A626" s="169">
        <v>43413</v>
      </c>
      <c r="B626" s="116">
        <v>185.21666666666701</v>
      </c>
      <c r="C626" s="116">
        <v>183.8</v>
      </c>
      <c r="D626" s="116">
        <v>182.683333333333</v>
      </c>
      <c r="E626" s="116">
        <v>183.53333333333299</v>
      </c>
      <c r="F626" s="116">
        <v>551.4</v>
      </c>
      <c r="G626">
        <v>629</v>
      </c>
      <c r="H626" s="116"/>
      <c r="I626" s="116"/>
      <c r="L626" s="169">
        <v>43413</v>
      </c>
      <c r="M626" s="116">
        <v>183.26666666666699</v>
      </c>
      <c r="N626" s="116">
        <v>185.86666666666699</v>
      </c>
      <c r="O626" s="116">
        <v>182.9</v>
      </c>
      <c r="P626" s="116">
        <v>185.183333333333</v>
      </c>
      <c r="Q626" s="116">
        <v>549.79999999999995</v>
      </c>
      <c r="R626">
        <v>8675</v>
      </c>
    </row>
    <row r="627" spans="1:18" x14ac:dyDescent="0.25">
      <c r="A627" s="169">
        <v>43416</v>
      </c>
      <c r="B627" s="116">
        <v>186.13333333333301</v>
      </c>
      <c r="C627" s="116">
        <v>183.53333333333299</v>
      </c>
      <c r="D627" s="116">
        <v>182.36666666666699</v>
      </c>
      <c r="E627" s="116">
        <v>184.666666666667</v>
      </c>
      <c r="F627" s="116">
        <v>550.6</v>
      </c>
      <c r="G627">
        <v>1133</v>
      </c>
      <c r="H627" s="116"/>
      <c r="I627" s="116"/>
      <c r="L627" s="169">
        <v>43416</v>
      </c>
      <c r="M627" s="116">
        <v>183.316666666667</v>
      </c>
      <c r="N627" s="116">
        <v>185.666666666667</v>
      </c>
      <c r="O627" s="116">
        <v>182.333333333333</v>
      </c>
      <c r="P627" s="116">
        <v>185</v>
      </c>
      <c r="Q627" s="116">
        <v>549.95000000000005</v>
      </c>
      <c r="R627">
        <v>48024</v>
      </c>
    </row>
    <row r="628" spans="1:18" x14ac:dyDescent="0.25">
      <c r="A628" s="169">
        <v>43417</v>
      </c>
      <c r="B628" s="116">
        <v>185.666666666667</v>
      </c>
      <c r="C628" s="116">
        <v>184.21666666666701</v>
      </c>
      <c r="D628" s="116">
        <v>183.333333333333</v>
      </c>
      <c r="E628" s="116">
        <v>185.183333333333</v>
      </c>
      <c r="F628" s="116">
        <v>552.65</v>
      </c>
      <c r="G628">
        <v>7968</v>
      </c>
      <c r="H628" s="116"/>
      <c r="I628" s="116"/>
      <c r="L628" s="169">
        <v>43417</v>
      </c>
      <c r="M628" s="116">
        <v>183.316666666667</v>
      </c>
      <c r="N628" s="116">
        <v>185.833333333333</v>
      </c>
      <c r="O628" s="116">
        <v>182</v>
      </c>
      <c r="P628" s="116">
        <v>184.26666666666699</v>
      </c>
      <c r="Q628" s="116">
        <v>549.95000000000005</v>
      </c>
      <c r="R628">
        <v>89588</v>
      </c>
    </row>
    <row r="629" spans="1:18" x14ac:dyDescent="0.25">
      <c r="A629" s="169">
        <v>43418</v>
      </c>
      <c r="B629" s="116">
        <v>192.166666666667</v>
      </c>
      <c r="C629" s="116">
        <v>184.88333333333301</v>
      </c>
      <c r="D629" s="116">
        <v>183.15</v>
      </c>
      <c r="E629" s="116">
        <v>186.666666666667</v>
      </c>
      <c r="F629" s="116">
        <v>554.65</v>
      </c>
      <c r="G629">
        <v>1054</v>
      </c>
      <c r="H629" s="116"/>
      <c r="I629" s="116"/>
      <c r="L629" s="169">
        <v>43418</v>
      </c>
      <c r="M629" s="116">
        <v>183.73333333333301</v>
      </c>
      <c r="N629" s="116">
        <v>190.433333333333</v>
      </c>
      <c r="O629" s="116">
        <v>182.88333333333301</v>
      </c>
      <c r="P629" s="116">
        <v>183.316666666667</v>
      </c>
      <c r="Q629" s="116">
        <v>551.20000000000005</v>
      </c>
      <c r="R629">
        <v>101040</v>
      </c>
    </row>
    <row r="630" spans="1:18" x14ac:dyDescent="0.25">
      <c r="A630" s="169">
        <v>43419</v>
      </c>
      <c r="B630" s="116">
        <v>185.63333333333301</v>
      </c>
      <c r="C630" s="116">
        <v>183.916666666667</v>
      </c>
      <c r="D630" s="116">
        <v>183.416666666667</v>
      </c>
      <c r="E630" s="116">
        <v>184.583333333333</v>
      </c>
      <c r="F630" s="116">
        <v>551.75</v>
      </c>
      <c r="G630">
        <v>998</v>
      </c>
      <c r="H630" s="116"/>
      <c r="I630" s="116"/>
      <c r="L630" s="169">
        <v>43419</v>
      </c>
      <c r="M630" s="116">
        <v>183.26666666666699</v>
      </c>
      <c r="N630" s="116">
        <v>185.566666666667</v>
      </c>
      <c r="O630" s="116">
        <v>183</v>
      </c>
      <c r="P630" s="116">
        <v>185.55</v>
      </c>
      <c r="Q630" s="116">
        <v>549.79999999999995</v>
      </c>
      <c r="R630">
        <v>20288</v>
      </c>
    </row>
    <row r="631" spans="1:18" x14ac:dyDescent="0.25">
      <c r="A631" s="169">
        <v>43420</v>
      </c>
      <c r="B631" s="116">
        <v>184.5</v>
      </c>
      <c r="C631" s="116">
        <v>183.933333333333</v>
      </c>
      <c r="D631" s="116">
        <v>183.066666666667</v>
      </c>
      <c r="E631" s="116">
        <v>183.5</v>
      </c>
      <c r="F631" s="116">
        <v>551.79999999999995</v>
      </c>
      <c r="G631">
        <v>373</v>
      </c>
      <c r="H631" s="116"/>
      <c r="I631" s="116"/>
      <c r="L631" s="169">
        <v>43420</v>
      </c>
      <c r="M631" s="116">
        <v>183.3</v>
      </c>
      <c r="N631" s="116">
        <v>184.98333333333301</v>
      </c>
      <c r="O631" s="116">
        <v>183</v>
      </c>
      <c r="P631" s="116">
        <v>184.98333333333301</v>
      </c>
      <c r="Q631" s="116">
        <v>549.9</v>
      </c>
      <c r="R631">
        <v>11274</v>
      </c>
    </row>
    <row r="632" spans="1:18" x14ac:dyDescent="0.25">
      <c r="A632" s="169">
        <v>43423</v>
      </c>
      <c r="B632" s="116">
        <v>184.333333333333</v>
      </c>
      <c r="C632" s="116">
        <v>183.583333333333</v>
      </c>
      <c r="D632" s="116">
        <v>182.666666666667</v>
      </c>
      <c r="E632" s="116">
        <v>184</v>
      </c>
      <c r="F632" s="116">
        <v>550.75</v>
      </c>
      <c r="G632">
        <v>46091</v>
      </c>
      <c r="H632" s="116"/>
      <c r="I632" s="116"/>
      <c r="L632" s="169">
        <v>43423</v>
      </c>
      <c r="M632" s="116">
        <v>182.316666666667</v>
      </c>
      <c r="N632" s="116">
        <v>184.583333333333</v>
      </c>
      <c r="O632" s="116">
        <v>181.666666666667</v>
      </c>
      <c r="P632" s="116">
        <v>184.583333333333</v>
      </c>
      <c r="Q632" s="116">
        <v>546.95000000000005</v>
      </c>
      <c r="R632">
        <v>9111</v>
      </c>
    </row>
    <row r="633" spans="1:18" x14ac:dyDescent="0.25">
      <c r="A633" s="169">
        <v>43424</v>
      </c>
      <c r="B633" s="116">
        <v>183.666666666667</v>
      </c>
      <c r="C633" s="116">
        <v>183.1</v>
      </c>
      <c r="D633" s="116">
        <v>181.73333333333301</v>
      </c>
      <c r="E633" s="116">
        <v>183.28333333333299</v>
      </c>
      <c r="F633" s="116">
        <v>549.29999999999995</v>
      </c>
      <c r="G633">
        <v>473</v>
      </c>
      <c r="H633" s="116"/>
      <c r="I633" s="116"/>
      <c r="L633" s="169">
        <v>43424</v>
      </c>
      <c r="M633" s="116">
        <v>182.3</v>
      </c>
      <c r="N633" s="116">
        <v>183.98333333333301</v>
      </c>
      <c r="O633" s="116">
        <v>181.11666666666699</v>
      </c>
      <c r="P633" s="116">
        <v>181.666666666667</v>
      </c>
      <c r="Q633" s="116">
        <v>546.9</v>
      </c>
      <c r="R633">
        <v>10412</v>
      </c>
    </row>
    <row r="634" spans="1:18" x14ac:dyDescent="0.25">
      <c r="A634" s="169">
        <v>43425</v>
      </c>
      <c r="B634" s="116">
        <v>184.566666666667</v>
      </c>
      <c r="C634" s="116">
        <v>183.3</v>
      </c>
      <c r="D634" s="116">
        <v>181</v>
      </c>
      <c r="E634" s="116">
        <v>183.816666666667</v>
      </c>
      <c r="F634" s="116">
        <v>549.9</v>
      </c>
      <c r="G634">
        <v>1252</v>
      </c>
      <c r="H634" s="116"/>
      <c r="I634" s="116"/>
      <c r="L634" s="169">
        <v>43425</v>
      </c>
      <c r="M634" s="116">
        <v>182.38333333333301</v>
      </c>
      <c r="N634" s="116">
        <v>183.2</v>
      </c>
      <c r="O634" s="116">
        <v>180.55</v>
      </c>
      <c r="P634" s="116">
        <v>183.2</v>
      </c>
      <c r="Q634" s="116">
        <v>547.15</v>
      </c>
      <c r="R634">
        <v>5526</v>
      </c>
    </row>
    <row r="635" spans="1:18" x14ac:dyDescent="0.25">
      <c r="A635" s="169">
        <v>43426</v>
      </c>
      <c r="B635" s="116">
        <v>183.316666666667</v>
      </c>
      <c r="C635" s="116">
        <v>181.51666666666699</v>
      </c>
      <c r="D635" s="116">
        <v>180.333333333333</v>
      </c>
      <c r="E635" s="116">
        <v>182.5</v>
      </c>
      <c r="F635" s="116">
        <v>544.54999999999995</v>
      </c>
      <c r="G635">
        <v>218</v>
      </c>
      <c r="H635" s="116"/>
      <c r="I635" s="116"/>
      <c r="L635" s="169">
        <v>43426</v>
      </c>
      <c r="M635" s="116">
        <v>181.53333333333299</v>
      </c>
      <c r="N635" s="116">
        <v>182.96666666666701</v>
      </c>
      <c r="O635" s="116">
        <v>179.36666666666699</v>
      </c>
      <c r="P635" s="116">
        <v>181.73333333333301</v>
      </c>
      <c r="Q635" s="116">
        <v>544.6</v>
      </c>
      <c r="R635">
        <v>59092</v>
      </c>
    </row>
    <row r="636" spans="1:18" x14ac:dyDescent="0.25">
      <c r="A636" s="169">
        <v>43430</v>
      </c>
      <c r="B636" s="116">
        <v>182.833333333333</v>
      </c>
      <c r="C636" s="116">
        <v>176.53333333333299</v>
      </c>
      <c r="D636" s="116">
        <v>175.85</v>
      </c>
      <c r="E636" s="116">
        <v>182.21666666666701</v>
      </c>
      <c r="F636" s="116">
        <v>529.6</v>
      </c>
      <c r="G636">
        <v>13926</v>
      </c>
      <c r="H636" s="116"/>
      <c r="I636" s="116"/>
      <c r="L636" s="169">
        <v>43430</v>
      </c>
      <c r="M636" s="116">
        <v>175.03333333333299</v>
      </c>
      <c r="N636" s="116">
        <v>182</v>
      </c>
      <c r="O636" s="116">
        <v>175</v>
      </c>
      <c r="P636" s="116">
        <v>181.666666666667</v>
      </c>
      <c r="Q636" s="116">
        <v>525.1</v>
      </c>
      <c r="R636">
        <v>76119</v>
      </c>
    </row>
    <row r="637" spans="1:18" x14ac:dyDescent="0.25">
      <c r="A637" s="169">
        <v>43431</v>
      </c>
      <c r="B637" s="116">
        <v>177.666666666667</v>
      </c>
      <c r="C637" s="116">
        <v>176.7</v>
      </c>
      <c r="D637" s="116">
        <v>175</v>
      </c>
      <c r="E637" s="116">
        <v>175</v>
      </c>
      <c r="F637" s="116">
        <v>530.1</v>
      </c>
      <c r="G637">
        <v>1152</v>
      </c>
      <c r="H637" s="116"/>
      <c r="I637" s="116"/>
      <c r="L637" s="169">
        <v>43431</v>
      </c>
      <c r="M637" s="116">
        <v>176.85</v>
      </c>
      <c r="N637" s="116">
        <v>177.333333333333</v>
      </c>
      <c r="O637" s="116">
        <v>174.666666666667</v>
      </c>
      <c r="P637" s="116">
        <v>175</v>
      </c>
      <c r="Q637" s="116">
        <v>530.54999999999995</v>
      </c>
      <c r="R637">
        <v>16495</v>
      </c>
    </row>
    <row r="638" spans="1:18" x14ac:dyDescent="0.25">
      <c r="A638" s="169">
        <v>43432</v>
      </c>
      <c r="B638" s="116">
        <v>182.96666666666701</v>
      </c>
      <c r="C638" s="116">
        <v>176.96666666666701</v>
      </c>
      <c r="D638" s="116">
        <v>175.083333333333</v>
      </c>
      <c r="E638" s="116">
        <v>175.083333333333</v>
      </c>
      <c r="F638" s="116">
        <v>530.9</v>
      </c>
      <c r="G638">
        <v>2017</v>
      </c>
      <c r="H638" s="116"/>
      <c r="I638" s="116"/>
      <c r="L638" s="169">
        <v>43432</v>
      </c>
      <c r="M638" s="116">
        <v>176.88333333333301</v>
      </c>
      <c r="N638" s="116">
        <v>183.48333333333301</v>
      </c>
      <c r="O638" s="116">
        <v>176.666666666667</v>
      </c>
      <c r="P638" s="116">
        <v>176.85</v>
      </c>
      <c r="Q638" s="116">
        <v>530.65</v>
      </c>
      <c r="R638">
        <v>56596</v>
      </c>
    </row>
    <row r="639" spans="1:18" x14ac:dyDescent="0.25">
      <c r="A639" s="169">
        <v>43433</v>
      </c>
      <c r="B639" s="116">
        <v>181.63333333333301</v>
      </c>
      <c r="C639" s="116">
        <v>180.13333333333301</v>
      </c>
      <c r="D639" s="116">
        <v>177</v>
      </c>
      <c r="E639" s="116">
        <v>177</v>
      </c>
      <c r="F639" s="116">
        <v>540.4</v>
      </c>
      <c r="G639">
        <v>1185</v>
      </c>
      <c r="H639" s="116"/>
      <c r="I639" s="116"/>
      <c r="L639" s="169">
        <v>43433</v>
      </c>
      <c r="M639" s="116">
        <v>180.86666666666699</v>
      </c>
      <c r="N639" s="116">
        <v>182.48333333333301</v>
      </c>
      <c r="O639" s="116">
        <v>177.2</v>
      </c>
      <c r="P639" s="116">
        <v>178.166666666667</v>
      </c>
      <c r="Q639" s="116">
        <v>542.6</v>
      </c>
      <c r="R639">
        <v>10480</v>
      </c>
    </row>
    <row r="640" spans="1:18" x14ac:dyDescent="0.25">
      <c r="A640" s="169">
        <v>43434</v>
      </c>
      <c r="B640" s="116">
        <v>183.183333333333</v>
      </c>
      <c r="C640" s="116">
        <v>181.78333333333299</v>
      </c>
      <c r="D640" s="116">
        <v>177.9</v>
      </c>
      <c r="E640" s="116">
        <v>181.98333333333301</v>
      </c>
      <c r="F640" s="116">
        <v>545.35</v>
      </c>
      <c r="G640">
        <v>257067</v>
      </c>
      <c r="H640" s="116"/>
      <c r="I640" s="116"/>
      <c r="L640" s="169">
        <v>43434</v>
      </c>
      <c r="M640" s="116">
        <v>181.88333333333301</v>
      </c>
      <c r="N640" s="116">
        <v>183.15</v>
      </c>
      <c r="O640" s="116">
        <v>177.25</v>
      </c>
      <c r="P640" s="116">
        <v>182.63333333333301</v>
      </c>
      <c r="Q640" s="116">
        <v>545.65</v>
      </c>
      <c r="R640">
        <v>279850</v>
      </c>
    </row>
    <row r="641" spans="1:18" x14ac:dyDescent="0.25">
      <c r="A641" s="169">
        <v>43437</v>
      </c>
      <c r="B641" s="116">
        <v>191.55</v>
      </c>
      <c r="C641" s="116">
        <v>185.833333333333</v>
      </c>
      <c r="D641" s="116">
        <v>183.36666666666699</v>
      </c>
      <c r="E641" s="116">
        <v>184.5</v>
      </c>
      <c r="F641" s="116">
        <v>557.5</v>
      </c>
      <c r="G641">
        <v>1350</v>
      </c>
      <c r="H641" s="116"/>
      <c r="I641" s="116"/>
      <c r="L641" s="169">
        <v>43437</v>
      </c>
      <c r="M641" s="116">
        <v>185.71666666666701</v>
      </c>
      <c r="N641" s="116">
        <v>192.316666666667</v>
      </c>
      <c r="O641" s="116">
        <v>181.8</v>
      </c>
      <c r="P641" s="116">
        <v>183.21666666666701</v>
      </c>
      <c r="Q641" s="116">
        <v>557.15</v>
      </c>
      <c r="R641">
        <v>230931</v>
      </c>
    </row>
    <row r="642" spans="1:18" x14ac:dyDescent="0.25">
      <c r="A642" s="169">
        <v>43438</v>
      </c>
      <c r="B642" s="116">
        <v>186.583333333333</v>
      </c>
      <c r="C642" s="116">
        <v>184.316666666667</v>
      </c>
      <c r="D642" s="116">
        <v>184</v>
      </c>
      <c r="E642" s="116">
        <v>186.23333333333301</v>
      </c>
      <c r="F642" s="116">
        <v>552.95000000000005</v>
      </c>
      <c r="G642">
        <v>225</v>
      </c>
      <c r="H642" s="116"/>
      <c r="I642" s="116"/>
      <c r="L642" s="169">
        <v>43438</v>
      </c>
      <c r="M642" s="116">
        <v>185.15</v>
      </c>
      <c r="N642" s="116">
        <v>187.61666666666699</v>
      </c>
      <c r="O642" s="116">
        <v>184.433333333333</v>
      </c>
      <c r="P642" s="116">
        <v>186.666666666667</v>
      </c>
      <c r="Q642" s="116">
        <v>555.45000000000005</v>
      </c>
      <c r="R642">
        <v>6608</v>
      </c>
    </row>
    <row r="643" spans="1:18" x14ac:dyDescent="0.25">
      <c r="A643" s="169">
        <v>43439</v>
      </c>
      <c r="B643" s="116">
        <v>184.7</v>
      </c>
      <c r="C643" s="116">
        <v>184.26666666666699</v>
      </c>
      <c r="D643" s="116">
        <v>182.45</v>
      </c>
      <c r="E643" s="116">
        <v>182.45</v>
      </c>
      <c r="F643" s="116">
        <v>552.79999999999995</v>
      </c>
      <c r="G643">
        <v>1868</v>
      </c>
      <c r="H643" s="116"/>
      <c r="I643" s="116"/>
      <c r="L643" s="169">
        <v>43439</v>
      </c>
      <c r="M643" s="116">
        <v>183.21666666666701</v>
      </c>
      <c r="N643" s="116">
        <v>184.96666666666701</v>
      </c>
      <c r="O643" s="116">
        <v>181.666666666667</v>
      </c>
      <c r="P643" s="116">
        <v>184.01666666666699</v>
      </c>
      <c r="Q643" s="116">
        <v>549.65</v>
      </c>
      <c r="R643">
        <v>106865</v>
      </c>
    </row>
    <row r="644" spans="1:18" x14ac:dyDescent="0.25">
      <c r="A644" s="169">
        <v>43440</v>
      </c>
      <c r="B644" s="116">
        <v>184.98333333333301</v>
      </c>
      <c r="C644" s="116">
        <v>183.88333333333301</v>
      </c>
      <c r="D644" s="116">
        <v>180.55</v>
      </c>
      <c r="E644" s="116">
        <v>184.333333333333</v>
      </c>
      <c r="F644" s="116">
        <v>551.65</v>
      </c>
      <c r="G644">
        <v>430</v>
      </c>
      <c r="H644" s="116"/>
      <c r="I644" s="116"/>
      <c r="L644" s="169">
        <v>43440</v>
      </c>
      <c r="M644" s="116">
        <v>183.05</v>
      </c>
      <c r="N644" s="116">
        <v>184.333333333333</v>
      </c>
      <c r="O644" s="116">
        <v>180.03333333333299</v>
      </c>
      <c r="P644" s="116">
        <v>183.98333333333301</v>
      </c>
      <c r="Q644" s="116">
        <v>549.15</v>
      </c>
      <c r="R644">
        <v>13841</v>
      </c>
    </row>
    <row r="645" spans="1:18" x14ac:dyDescent="0.25">
      <c r="A645" s="169">
        <v>43441</v>
      </c>
      <c r="B645" s="116">
        <v>184</v>
      </c>
      <c r="C645" s="116">
        <v>182.23333333333301</v>
      </c>
      <c r="D645" s="116">
        <v>181.5</v>
      </c>
      <c r="E645" s="116">
        <v>184</v>
      </c>
      <c r="F645" s="116">
        <v>546.70000000000005</v>
      </c>
      <c r="G645">
        <v>277</v>
      </c>
      <c r="H645" s="116"/>
      <c r="I645" s="116"/>
      <c r="L645" s="169">
        <v>43441</v>
      </c>
      <c r="M645" s="116">
        <v>182.8</v>
      </c>
      <c r="N645" s="116">
        <v>184.85</v>
      </c>
      <c r="O645" s="116">
        <v>181.433333333333</v>
      </c>
      <c r="P645" s="116">
        <v>183.38333333333301</v>
      </c>
      <c r="Q645" s="116">
        <v>548.4</v>
      </c>
      <c r="R645">
        <v>7170</v>
      </c>
    </row>
    <row r="646" spans="1:18" x14ac:dyDescent="0.25">
      <c r="A646" s="169">
        <v>43444</v>
      </c>
      <c r="B646" s="116">
        <v>186.333333333333</v>
      </c>
      <c r="C646" s="116">
        <v>180.53333333333299</v>
      </c>
      <c r="D646" s="116">
        <v>177.51666666666699</v>
      </c>
      <c r="E646" s="116">
        <v>182</v>
      </c>
      <c r="F646" s="116">
        <v>541.6</v>
      </c>
      <c r="G646">
        <v>256326</v>
      </c>
      <c r="H646" s="116"/>
      <c r="I646" s="116"/>
      <c r="L646" s="169">
        <v>43444</v>
      </c>
      <c r="M646" s="116">
        <v>178.61666666666699</v>
      </c>
      <c r="N646" s="116">
        <v>183.15</v>
      </c>
      <c r="O646" s="116">
        <v>178.333333333333</v>
      </c>
      <c r="P646" s="116">
        <v>182.933333333333</v>
      </c>
      <c r="Q646" s="116">
        <v>535.85</v>
      </c>
      <c r="R646">
        <v>257175</v>
      </c>
    </row>
    <row r="647" spans="1:18" x14ac:dyDescent="0.25">
      <c r="A647" s="169">
        <v>43445</v>
      </c>
      <c r="B647" s="116">
        <v>181.25</v>
      </c>
      <c r="C647" s="116">
        <v>179.666666666667</v>
      </c>
      <c r="D647" s="116">
        <v>176.666666666667</v>
      </c>
      <c r="E647" s="116">
        <v>177.8</v>
      </c>
      <c r="F647" s="116">
        <v>539</v>
      </c>
      <c r="G647">
        <v>1182</v>
      </c>
      <c r="H647" s="116"/>
      <c r="I647" s="116"/>
      <c r="L647" s="169">
        <v>43445</v>
      </c>
      <c r="M647" s="116">
        <v>179.96666666666701</v>
      </c>
      <c r="N647" s="116">
        <v>181.65</v>
      </c>
      <c r="O647" s="116">
        <v>175.45</v>
      </c>
      <c r="P647" s="116">
        <v>178.333333333333</v>
      </c>
      <c r="Q647" s="116">
        <v>539.9</v>
      </c>
      <c r="R647">
        <v>15723</v>
      </c>
    </row>
    <row r="648" spans="1:18" x14ac:dyDescent="0.25">
      <c r="A648" s="169">
        <v>43446</v>
      </c>
      <c r="B648" s="116">
        <v>184.15</v>
      </c>
      <c r="C648" s="116">
        <v>183.066666666667</v>
      </c>
      <c r="D648" s="116">
        <v>179.71666666666701</v>
      </c>
      <c r="E648" s="116">
        <v>181.78333333333299</v>
      </c>
      <c r="F648" s="116">
        <v>549.20000000000005</v>
      </c>
      <c r="G648">
        <v>567</v>
      </c>
      <c r="H648" s="116"/>
      <c r="I648" s="116"/>
      <c r="L648" s="169">
        <v>43446</v>
      </c>
      <c r="M648" s="116">
        <v>183.316666666667</v>
      </c>
      <c r="N648" s="116">
        <v>185</v>
      </c>
      <c r="O648" s="116">
        <v>179</v>
      </c>
      <c r="P648" s="116">
        <v>183.333333333333</v>
      </c>
      <c r="Q648" s="116">
        <v>549.95000000000005</v>
      </c>
      <c r="R648">
        <v>192775</v>
      </c>
    </row>
    <row r="649" spans="1:18" x14ac:dyDescent="0.25">
      <c r="A649" s="169">
        <v>43447</v>
      </c>
      <c r="B649" s="116">
        <v>185.666666666667</v>
      </c>
      <c r="C649" s="116">
        <v>182.46666666666701</v>
      </c>
      <c r="D649" s="116">
        <v>181.85</v>
      </c>
      <c r="E649" s="116">
        <v>184.666666666667</v>
      </c>
      <c r="F649" s="116">
        <v>547.4</v>
      </c>
      <c r="G649">
        <v>264</v>
      </c>
      <c r="H649" s="116"/>
      <c r="I649" s="116"/>
      <c r="L649" s="169">
        <v>43447</v>
      </c>
      <c r="M649" s="116">
        <v>183.38333333333301</v>
      </c>
      <c r="N649" s="116">
        <v>186.316666666667</v>
      </c>
      <c r="O649" s="116">
        <v>182.45</v>
      </c>
      <c r="P649" s="116">
        <v>184.38333333333301</v>
      </c>
      <c r="Q649" s="116">
        <v>550.15</v>
      </c>
      <c r="R649">
        <v>9074</v>
      </c>
    </row>
    <row r="650" spans="1:18" x14ac:dyDescent="0.25">
      <c r="A650" s="169">
        <v>43448</v>
      </c>
      <c r="B650" s="116">
        <v>186</v>
      </c>
      <c r="C650" s="116">
        <v>183.816666666667</v>
      </c>
      <c r="D650" s="116">
        <v>181.333333333333</v>
      </c>
      <c r="E650" s="116">
        <v>183.8</v>
      </c>
      <c r="F650" s="116">
        <v>551.45000000000005</v>
      </c>
      <c r="G650">
        <v>21972</v>
      </c>
      <c r="H650" s="116"/>
      <c r="I650" s="116"/>
      <c r="L650" s="169">
        <v>43448</v>
      </c>
      <c r="M650" s="116">
        <v>183.1</v>
      </c>
      <c r="N650" s="116">
        <v>185.3</v>
      </c>
      <c r="O650" s="116">
        <v>181.98333333333301</v>
      </c>
      <c r="P650" s="116">
        <v>183.36666666666699</v>
      </c>
      <c r="Q650" s="116">
        <v>549.29999999999995</v>
      </c>
      <c r="R650">
        <v>5196</v>
      </c>
    </row>
    <row r="651" spans="1:18" x14ac:dyDescent="0.25">
      <c r="A651" s="169">
        <v>43451</v>
      </c>
      <c r="B651" s="116">
        <v>185</v>
      </c>
      <c r="C651" s="116">
        <v>183.03333333333299</v>
      </c>
      <c r="D651" s="116">
        <v>182.35</v>
      </c>
      <c r="E651" s="116">
        <v>182.35</v>
      </c>
      <c r="F651" s="116">
        <v>549.1</v>
      </c>
      <c r="G651">
        <v>9355</v>
      </c>
      <c r="H651" s="116"/>
      <c r="I651" s="116"/>
      <c r="L651" s="169">
        <v>43451</v>
      </c>
      <c r="M651" s="116">
        <v>183.166666666667</v>
      </c>
      <c r="N651" s="116">
        <v>185.3</v>
      </c>
      <c r="O651" s="116">
        <v>182.7</v>
      </c>
      <c r="P651" s="116">
        <v>185.3</v>
      </c>
      <c r="Q651" s="116">
        <v>549.5</v>
      </c>
      <c r="R651">
        <v>5476</v>
      </c>
    </row>
    <row r="652" spans="1:18" x14ac:dyDescent="0.25">
      <c r="A652" s="169">
        <v>43452</v>
      </c>
      <c r="B652" s="116">
        <v>187</v>
      </c>
      <c r="C652" s="116">
        <v>185.53333333333299</v>
      </c>
      <c r="D652" s="116">
        <v>181.666666666667</v>
      </c>
      <c r="E652" s="116">
        <v>183.36666666666699</v>
      </c>
      <c r="F652" s="116">
        <v>556.6</v>
      </c>
      <c r="G652">
        <v>7183</v>
      </c>
      <c r="H652" s="116"/>
      <c r="I652" s="116"/>
      <c r="L652" s="169">
        <v>43452</v>
      </c>
      <c r="M652" s="116">
        <v>185.333333333333</v>
      </c>
      <c r="N652" s="116">
        <v>186.833333333333</v>
      </c>
      <c r="O652" s="116">
        <v>183</v>
      </c>
      <c r="P652" s="116">
        <v>183.36666666666699</v>
      </c>
      <c r="Q652" s="116">
        <v>556</v>
      </c>
      <c r="R652">
        <v>12421</v>
      </c>
    </row>
    <row r="653" spans="1:18" x14ac:dyDescent="0.25">
      <c r="A653" s="169">
        <v>43453</v>
      </c>
      <c r="B653" s="116">
        <v>187.4</v>
      </c>
      <c r="C653" s="116">
        <v>186.85</v>
      </c>
      <c r="D653" s="116">
        <v>185.333333333333</v>
      </c>
      <c r="E653" s="116">
        <v>186.2</v>
      </c>
      <c r="F653" s="116">
        <v>560.54999999999995</v>
      </c>
      <c r="G653">
        <v>830</v>
      </c>
      <c r="H653" s="116"/>
      <c r="I653" s="116"/>
      <c r="L653" s="169">
        <v>43453</v>
      </c>
      <c r="M653" s="116">
        <v>186.566666666667</v>
      </c>
      <c r="N653" s="116">
        <v>187</v>
      </c>
      <c r="O653" s="116">
        <v>185.333333333333</v>
      </c>
      <c r="P653" s="116">
        <v>186.316666666667</v>
      </c>
      <c r="Q653" s="116">
        <v>559.70000000000005</v>
      </c>
      <c r="R653">
        <v>9233</v>
      </c>
    </row>
    <row r="654" spans="1:18" x14ac:dyDescent="0.25">
      <c r="A654" s="169">
        <v>43454</v>
      </c>
      <c r="B654" s="116">
        <v>185.566666666667</v>
      </c>
      <c r="C654" s="116">
        <v>184.45</v>
      </c>
      <c r="D654" s="116">
        <v>183.316666666667</v>
      </c>
      <c r="E654" s="116">
        <v>185.316666666667</v>
      </c>
      <c r="F654" s="116">
        <v>553.35</v>
      </c>
      <c r="G654">
        <v>1585</v>
      </c>
      <c r="H654" s="116"/>
      <c r="I654" s="116"/>
      <c r="L654" s="169">
        <v>43454</v>
      </c>
      <c r="M654" s="116">
        <v>183.666666666667</v>
      </c>
      <c r="N654" s="116">
        <v>186.566666666667</v>
      </c>
      <c r="O654" s="116">
        <v>183.333333333333</v>
      </c>
      <c r="P654" s="116">
        <v>186.566666666667</v>
      </c>
      <c r="Q654" s="116">
        <v>551</v>
      </c>
      <c r="R654">
        <v>10373</v>
      </c>
    </row>
    <row r="655" spans="1:18" x14ac:dyDescent="0.25">
      <c r="A655" s="169">
        <v>43455</v>
      </c>
      <c r="B655" s="116">
        <v>186.63333333333301</v>
      </c>
      <c r="C655" s="116">
        <v>183.35</v>
      </c>
      <c r="D655" s="116">
        <v>183.333333333333</v>
      </c>
      <c r="E655" s="116">
        <v>184.45</v>
      </c>
      <c r="F655" s="116">
        <v>550.04999999999995</v>
      </c>
      <c r="G655">
        <v>9308</v>
      </c>
      <c r="H655" s="116"/>
      <c r="I655" s="116"/>
      <c r="L655" s="169">
        <v>43455</v>
      </c>
      <c r="M655" s="116">
        <v>183.933333333333</v>
      </c>
      <c r="N655" s="116">
        <v>186.416666666667</v>
      </c>
      <c r="O655" s="116">
        <v>183.333333333333</v>
      </c>
      <c r="P655" s="116">
        <v>184.85</v>
      </c>
      <c r="Q655" s="116">
        <v>551.79999999999995</v>
      </c>
      <c r="R655">
        <v>8454</v>
      </c>
    </row>
    <row r="656" spans="1:18" x14ac:dyDescent="0.25">
      <c r="A656" s="169">
        <v>43458</v>
      </c>
      <c r="B656" s="116">
        <v>184</v>
      </c>
      <c r="C656" s="116">
        <v>179.8</v>
      </c>
      <c r="D656" s="116">
        <v>178.5</v>
      </c>
      <c r="E656" s="116">
        <v>183.78333333333299</v>
      </c>
      <c r="F656" s="116">
        <v>539.4</v>
      </c>
      <c r="G656">
        <v>2875</v>
      </c>
      <c r="H656" s="116"/>
      <c r="I656" s="116"/>
      <c r="L656" s="169">
        <v>43458</v>
      </c>
      <c r="M656" s="116">
        <v>180.86666666666699</v>
      </c>
      <c r="N656" s="116">
        <v>185.083333333333</v>
      </c>
      <c r="O656" s="116">
        <v>180.066666666667</v>
      </c>
      <c r="P656" s="116">
        <v>184.1</v>
      </c>
      <c r="Q656" s="116">
        <v>542.6</v>
      </c>
      <c r="R656">
        <v>24595</v>
      </c>
    </row>
    <row r="657" spans="1:18" x14ac:dyDescent="0.25">
      <c r="A657" s="169">
        <v>43460</v>
      </c>
      <c r="B657" s="116">
        <v>183.333333333333</v>
      </c>
      <c r="C657" s="116">
        <v>181.71666666666701</v>
      </c>
      <c r="D657" s="116">
        <v>178</v>
      </c>
      <c r="E657" s="116">
        <v>180</v>
      </c>
      <c r="F657" s="116">
        <v>545.15</v>
      </c>
      <c r="G657">
        <v>7465</v>
      </c>
      <c r="H657" s="116"/>
      <c r="I657" s="116"/>
      <c r="L657" s="169">
        <v>43460</v>
      </c>
      <c r="M657" s="116">
        <v>180.7</v>
      </c>
      <c r="N657" s="116">
        <v>182.666666666667</v>
      </c>
      <c r="O657" s="116">
        <v>178.333333333333</v>
      </c>
      <c r="P657" s="116">
        <v>180.316666666667</v>
      </c>
      <c r="Q657" s="116">
        <v>542.1</v>
      </c>
      <c r="R657">
        <v>6251</v>
      </c>
    </row>
    <row r="658" spans="1:18" x14ac:dyDescent="0.25">
      <c r="A658" s="169">
        <v>43461</v>
      </c>
      <c r="B658" s="116">
        <v>181.666666666667</v>
      </c>
      <c r="C658" s="116">
        <v>180.066666666667</v>
      </c>
      <c r="D658" s="116">
        <v>179.683333333333</v>
      </c>
      <c r="E658" s="116">
        <v>181.35</v>
      </c>
      <c r="F658" s="116">
        <v>540.20000000000005</v>
      </c>
      <c r="G658">
        <v>155</v>
      </c>
      <c r="H658" s="116"/>
      <c r="I658" s="116"/>
      <c r="L658" s="169">
        <v>43461</v>
      </c>
      <c r="M658" s="116">
        <v>179.73333333333301</v>
      </c>
      <c r="N658" s="116">
        <v>181.8</v>
      </c>
      <c r="O658" s="116">
        <v>179.13333333333301</v>
      </c>
      <c r="P658" s="116">
        <v>180.416666666667</v>
      </c>
      <c r="Q658" s="116">
        <v>539.20000000000005</v>
      </c>
      <c r="R658">
        <v>8834</v>
      </c>
    </row>
    <row r="659" spans="1:18" x14ac:dyDescent="0.25">
      <c r="A659" s="169">
        <v>43462</v>
      </c>
      <c r="B659" s="116">
        <v>181.3</v>
      </c>
      <c r="C659" s="116">
        <v>179.316666666667</v>
      </c>
      <c r="D659" s="116">
        <v>178.833333333333</v>
      </c>
      <c r="E659" s="116">
        <v>181.3</v>
      </c>
      <c r="F659" s="116">
        <v>537.95000000000005</v>
      </c>
      <c r="G659">
        <v>1091</v>
      </c>
      <c r="H659" s="116"/>
      <c r="I659" s="116"/>
      <c r="L659" s="169">
        <v>43462</v>
      </c>
      <c r="M659" s="116">
        <v>179.316666666667</v>
      </c>
      <c r="N659" s="116">
        <v>181.28333333333299</v>
      </c>
      <c r="O659" s="116">
        <v>177.71666666666701</v>
      </c>
      <c r="P659" s="116">
        <v>180.4</v>
      </c>
      <c r="Q659" s="116">
        <v>537.95000000000005</v>
      </c>
      <c r="R659">
        <v>9423</v>
      </c>
    </row>
    <row r="660" spans="1:18" x14ac:dyDescent="0.25">
      <c r="A660" s="169">
        <v>43465</v>
      </c>
      <c r="B660" s="116">
        <v>183.583333333333</v>
      </c>
      <c r="C660" s="116">
        <v>175.71666666666701</v>
      </c>
      <c r="D660" s="116">
        <v>173.28333333333299</v>
      </c>
      <c r="E660" s="116">
        <v>180.9</v>
      </c>
      <c r="F660" s="116">
        <v>527.15</v>
      </c>
      <c r="G660">
        <v>275318</v>
      </c>
      <c r="H660" s="116"/>
      <c r="I660" s="116"/>
      <c r="L660" s="169">
        <v>43465</v>
      </c>
      <c r="M660" s="116">
        <v>179.85</v>
      </c>
      <c r="N660" s="116">
        <v>185</v>
      </c>
      <c r="O660" s="116">
        <v>175</v>
      </c>
      <c r="P660" s="116">
        <v>179.4</v>
      </c>
      <c r="Q660" s="116">
        <v>539.54999999999995</v>
      </c>
      <c r="R660">
        <v>96502</v>
      </c>
    </row>
    <row r="661" spans="1:18" x14ac:dyDescent="0.25">
      <c r="A661" s="169">
        <v>43466</v>
      </c>
      <c r="B661" s="116">
        <v>179.5</v>
      </c>
      <c r="C661" s="116">
        <v>178.916666666667</v>
      </c>
      <c r="D661" s="116">
        <v>175.833333333333</v>
      </c>
      <c r="E661" s="116">
        <v>176.05</v>
      </c>
      <c r="F661" s="116">
        <v>536.75</v>
      </c>
      <c r="G661">
        <v>2665</v>
      </c>
      <c r="H661" s="116"/>
      <c r="I661" s="116"/>
      <c r="L661" s="169">
        <v>43466</v>
      </c>
      <c r="M661" s="116">
        <v>179.7</v>
      </c>
      <c r="N661" s="116">
        <v>180.666666666667</v>
      </c>
      <c r="O661" s="116">
        <v>176.13333333333301</v>
      </c>
      <c r="P661" s="116">
        <v>178.333333333333</v>
      </c>
      <c r="Q661" s="116">
        <v>539.1</v>
      </c>
      <c r="R661">
        <v>168539</v>
      </c>
    </row>
    <row r="662" spans="1:18" x14ac:dyDescent="0.25">
      <c r="A662" s="169">
        <v>43467</v>
      </c>
      <c r="B662" s="116">
        <v>181.666666666667</v>
      </c>
      <c r="C662" s="116">
        <v>180.76666666666699</v>
      </c>
      <c r="D662" s="116">
        <v>176.666666666667</v>
      </c>
      <c r="E662" s="116">
        <v>176.666666666667</v>
      </c>
      <c r="F662" s="116">
        <v>542.29999999999995</v>
      </c>
      <c r="G662">
        <v>1505</v>
      </c>
      <c r="H662" s="116"/>
      <c r="I662" s="116"/>
      <c r="L662" s="169">
        <v>43467</v>
      </c>
      <c r="M662" s="116">
        <v>181.55</v>
      </c>
      <c r="N662" s="116">
        <v>181.71666666666701</v>
      </c>
      <c r="O662" s="116">
        <v>179.53333333333299</v>
      </c>
      <c r="P662" s="116">
        <v>179.7</v>
      </c>
      <c r="Q662" s="116">
        <v>544.65</v>
      </c>
      <c r="R662">
        <v>9346</v>
      </c>
    </row>
    <row r="663" spans="1:18" x14ac:dyDescent="0.25">
      <c r="A663" s="169">
        <v>43468</v>
      </c>
      <c r="B663" s="116">
        <v>183.15</v>
      </c>
      <c r="C663" s="116">
        <v>182.55</v>
      </c>
      <c r="D663" s="116">
        <v>179.73333333333301</v>
      </c>
      <c r="E663" s="116">
        <v>183</v>
      </c>
      <c r="F663" s="116">
        <v>547.65</v>
      </c>
      <c r="G663">
        <v>343</v>
      </c>
      <c r="H663" s="116"/>
      <c r="I663" s="116"/>
      <c r="L663" s="169">
        <v>43468</v>
      </c>
      <c r="M663" s="116">
        <v>183.05</v>
      </c>
      <c r="N663" s="116">
        <v>183.6</v>
      </c>
      <c r="O663" s="116">
        <v>180.38333333333301</v>
      </c>
      <c r="P663" s="116">
        <v>181.61666666666699</v>
      </c>
      <c r="Q663" s="116">
        <v>549.15</v>
      </c>
      <c r="R663">
        <v>16988</v>
      </c>
    </row>
    <row r="664" spans="1:18" x14ac:dyDescent="0.25">
      <c r="A664" s="169">
        <v>43469</v>
      </c>
      <c r="B664" s="116">
        <v>184.98333333333301</v>
      </c>
      <c r="C664" s="116">
        <v>181.7</v>
      </c>
      <c r="D664" s="116">
        <v>179.2</v>
      </c>
      <c r="E664" s="116">
        <v>184.98333333333301</v>
      </c>
      <c r="F664" s="116">
        <v>545.1</v>
      </c>
      <c r="G664">
        <v>823</v>
      </c>
      <c r="H664" s="116"/>
      <c r="I664" s="116"/>
      <c r="L664" s="169">
        <v>43469</v>
      </c>
      <c r="M664" s="116">
        <v>182.96666666666701</v>
      </c>
      <c r="N664" s="116">
        <v>183.666666666667</v>
      </c>
      <c r="O664" s="116">
        <v>177.63333333333301</v>
      </c>
      <c r="P664" s="116">
        <v>183.666666666667</v>
      </c>
      <c r="Q664" s="116">
        <v>548.9</v>
      </c>
      <c r="R664">
        <v>14247</v>
      </c>
    </row>
    <row r="665" spans="1:18" x14ac:dyDescent="0.25">
      <c r="A665" s="169">
        <v>43472</v>
      </c>
      <c r="B665" s="116">
        <v>184.916666666667</v>
      </c>
      <c r="C665" s="116">
        <v>180.73333333333301</v>
      </c>
      <c r="D665" s="116">
        <v>178.51666666666699</v>
      </c>
      <c r="E665" s="116">
        <v>183</v>
      </c>
      <c r="F665" s="116">
        <v>542.20000000000005</v>
      </c>
      <c r="G665">
        <v>8141</v>
      </c>
      <c r="H665" s="116"/>
      <c r="I665" s="116"/>
      <c r="L665" s="169">
        <v>43472</v>
      </c>
      <c r="M665" s="116">
        <v>180.3</v>
      </c>
      <c r="N665" s="116">
        <v>184.65</v>
      </c>
      <c r="O665" s="116">
        <v>178.38333333333301</v>
      </c>
      <c r="P665" s="116">
        <v>183.166666666667</v>
      </c>
      <c r="Q665" s="116">
        <v>540.9</v>
      </c>
      <c r="R665">
        <v>65679</v>
      </c>
    </row>
    <row r="666" spans="1:18" x14ac:dyDescent="0.25">
      <c r="A666" s="169">
        <v>43473</v>
      </c>
      <c r="B666" s="116">
        <v>182.666666666667</v>
      </c>
      <c r="C666" s="116">
        <v>181.21666666666701</v>
      </c>
      <c r="D666" s="116">
        <v>180.55</v>
      </c>
      <c r="E666" s="116">
        <v>182.65</v>
      </c>
      <c r="F666" s="116">
        <v>543.65</v>
      </c>
      <c r="G666">
        <v>19897</v>
      </c>
      <c r="H666" s="116"/>
      <c r="I666" s="116"/>
      <c r="L666" s="169">
        <v>43473</v>
      </c>
      <c r="M666" s="116">
        <v>182.15</v>
      </c>
      <c r="N666" s="116">
        <v>183.3</v>
      </c>
      <c r="O666" s="116">
        <v>180</v>
      </c>
      <c r="P666" s="116">
        <v>180</v>
      </c>
      <c r="Q666" s="116">
        <v>546.45000000000005</v>
      </c>
      <c r="R666">
        <v>3545</v>
      </c>
    </row>
    <row r="667" spans="1:18" x14ac:dyDescent="0.25">
      <c r="A667" s="169">
        <v>43474</v>
      </c>
      <c r="B667" s="116">
        <v>184.333333333333</v>
      </c>
      <c r="C667" s="116">
        <v>181.6</v>
      </c>
      <c r="D667" s="116">
        <v>178.76666666666699</v>
      </c>
      <c r="E667" s="116">
        <v>184.333333333333</v>
      </c>
      <c r="F667" s="116">
        <v>544.79999999999995</v>
      </c>
      <c r="G667">
        <v>280</v>
      </c>
      <c r="H667" s="116"/>
      <c r="I667" s="116"/>
      <c r="L667" s="169">
        <v>43474</v>
      </c>
      <c r="M667" s="116">
        <v>182.95</v>
      </c>
      <c r="N667" s="116">
        <v>183.8</v>
      </c>
      <c r="O667" s="116">
        <v>180.683333333333</v>
      </c>
      <c r="P667" s="116">
        <v>181.833333333333</v>
      </c>
      <c r="Q667" s="116">
        <v>548.85</v>
      </c>
      <c r="R667">
        <v>7883</v>
      </c>
    </row>
    <row r="668" spans="1:18" x14ac:dyDescent="0.25">
      <c r="A668" s="169">
        <v>43475</v>
      </c>
      <c r="B668" s="116">
        <v>183.333333333333</v>
      </c>
      <c r="C668" s="116">
        <v>183.13333333333301</v>
      </c>
      <c r="D668" s="116">
        <v>182.333333333333</v>
      </c>
      <c r="E668" s="116">
        <v>183.2</v>
      </c>
      <c r="F668" s="116">
        <v>549.4</v>
      </c>
      <c r="G668">
        <v>287</v>
      </c>
      <c r="H668" s="116"/>
      <c r="I668" s="116"/>
      <c r="L668" s="169">
        <v>43475</v>
      </c>
      <c r="M668" s="116">
        <v>183.26666666666699</v>
      </c>
      <c r="N668" s="116">
        <v>183.333333333333</v>
      </c>
      <c r="O668" s="116">
        <v>182.333333333333</v>
      </c>
      <c r="P668" s="116">
        <v>182.95</v>
      </c>
      <c r="Q668" s="116">
        <v>549.79999999999995</v>
      </c>
      <c r="R668">
        <v>6179</v>
      </c>
    </row>
    <row r="669" spans="1:18" x14ac:dyDescent="0.25">
      <c r="A669" s="169">
        <v>43476</v>
      </c>
      <c r="B669" s="116">
        <v>183.333333333333</v>
      </c>
      <c r="C669" s="116">
        <v>183.333333333333</v>
      </c>
      <c r="D669" s="116">
        <v>178.433333333333</v>
      </c>
      <c r="E669" s="116">
        <v>183.1</v>
      </c>
      <c r="F669" s="116">
        <v>550</v>
      </c>
      <c r="G669">
        <v>9163</v>
      </c>
      <c r="H669" s="116"/>
      <c r="I669" s="116"/>
      <c r="L669" s="169">
        <v>43476</v>
      </c>
      <c r="M669" s="116">
        <v>183.28333333333299</v>
      </c>
      <c r="N669" s="116">
        <v>184.333333333333</v>
      </c>
      <c r="O669" s="116">
        <v>182.666666666667</v>
      </c>
      <c r="P669" s="116">
        <v>183.833333333333</v>
      </c>
      <c r="Q669" s="116">
        <v>549.85</v>
      </c>
      <c r="R669">
        <v>8514</v>
      </c>
    </row>
    <row r="670" spans="1:18" x14ac:dyDescent="0.25">
      <c r="A670" s="169">
        <v>43479</v>
      </c>
      <c r="B670" s="116">
        <v>183.183333333333</v>
      </c>
      <c r="C670" s="116">
        <v>182.35</v>
      </c>
      <c r="D670" s="116">
        <v>182</v>
      </c>
      <c r="E670" s="116">
        <v>183.183333333333</v>
      </c>
      <c r="F670" s="116">
        <v>547.04999999999995</v>
      </c>
      <c r="G670">
        <v>239</v>
      </c>
      <c r="H670" s="116"/>
      <c r="I670" s="116"/>
      <c r="L670" s="169">
        <v>43479</v>
      </c>
      <c r="M670" s="116">
        <v>182.98333333333301</v>
      </c>
      <c r="N670" s="116">
        <v>183.333333333333</v>
      </c>
      <c r="O670" s="116">
        <v>182.666666666667</v>
      </c>
      <c r="P670" s="116">
        <v>182.7</v>
      </c>
      <c r="Q670" s="116">
        <v>548.95000000000005</v>
      </c>
      <c r="R670">
        <v>3592</v>
      </c>
    </row>
    <row r="671" spans="1:18" x14ac:dyDescent="0.25">
      <c r="A671" s="169">
        <v>43480</v>
      </c>
      <c r="B671" s="116">
        <v>184.333333333333</v>
      </c>
      <c r="C671" s="116">
        <v>181.98333333333301</v>
      </c>
      <c r="D671" s="116">
        <v>177</v>
      </c>
      <c r="E671" s="116">
        <v>182</v>
      </c>
      <c r="F671" s="116">
        <v>545.95000000000005</v>
      </c>
      <c r="G671">
        <v>8216</v>
      </c>
      <c r="H671" s="116"/>
      <c r="I671" s="116"/>
      <c r="L671" s="169">
        <v>43480</v>
      </c>
      <c r="M671" s="116">
        <v>182.36666666666699</v>
      </c>
      <c r="N671" s="116">
        <v>183.333333333333</v>
      </c>
      <c r="O671" s="116">
        <v>181.666666666667</v>
      </c>
      <c r="P671" s="116">
        <v>183.066666666667</v>
      </c>
      <c r="Q671" s="116">
        <v>547.1</v>
      </c>
      <c r="R671">
        <v>5858</v>
      </c>
    </row>
    <row r="672" spans="1:18" x14ac:dyDescent="0.25">
      <c r="A672" s="169">
        <v>43481</v>
      </c>
      <c r="B672" s="116">
        <v>183.333333333333</v>
      </c>
      <c r="C672" s="116">
        <v>183.316666666667</v>
      </c>
      <c r="D672" s="116">
        <v>182.28333333333299</v>
      </c>
      <c r="E672" s="116">
        <v>182.51666666666699</v>
      </c>
      <c r="F672" s="116">
        <v>549.95000000000005</v>
      </c>
      <c r="G672">
        <v>74</v>
      </c>
      <c r="H672" s="116"/>
      <c r="I672" s="116"/>
      <c r="L672" s="169">
        <v>43481</v>
      </c>
      <c r="M672" s="116">
        <v>182.933333333333</v>
      </c>
      <c r="N672" s="116">
        <v>183.3</v>
      </c>
      <c r="O672" s="116">
        <v>180.333333333333</v>
      </c>
      <c r="P672" s="116">
        <v>182.333333333333</v>
      </c>
      <c r="Q672" s="116">
        <v>548.79999999999995</v>
      </c>
      <c r="R672">
        <v>2921</v>
      </c>
    </row>
    <row r="673" spans="1:18" x14ac:dyDescent="0.25">
      <c r="A673" s="169">
        <v>43482</v>
      </c>
      <c r="B673" s="116">
        <v>186.666666666667</v>
      </c>
      <c r="C673" s="116">
        <v>182.25</v>
      </c>
      <c r="D673" s="116">
        <v>181.71666666666701</v>
      </c>
      <c r="E673" s="116">
        <v>186.666666666667</v>
      </c>
      <c r="F673" s="116">
        <v>546.75</v>
      </c>
      <c r="G673">
        <v>80</v>
      </c>
      <c r="H673" s="116"/>
      <c r="I673" s="116"/>
      <c r="L673" s="169">
        <v>43482</v>
      </c>
      <c r="M673" s="116">
        <v>182</v>
      </c>
      <c r="N673" s="116">
        <v>183.35</v>
      </c>
      <c r="O673" s="116">
        <v>181.5</v>
      </c>
      <c r="P673" s="116">
        <v>183.316666666667</v>
      </c>
      <c r="Q673" s="116">
        <v>546</v>
      </c>
      <c r="R673">
        <v>6207</v>
      </c>
    </row>
    <row r="674" spans="1:18" x14ac:dyDescent="0.25">
      <c r="A674" s="169">
        <v>43483</v>
      </c>
      <c r="B674" s="116">
        <v>182.38333333333301</v>
      </c>
      <c r="C674" s="116">
        <v>181.8</v>
      </c>
      <c r="D674" s="116">
        <v>180.05</v>
      </c>
      <c r="E674" s="116">
        <v>182.3</v>
      </c>
      <c r="F674" s="116">
        <v>545.4</v>
      </c>
      <c r="G674">
        <v>186</v>
      </c>
      <c r="H674" s="116"/>
      <c r="I674" s="116"/>
      <c r="L674" s="169">
        <v>43483</v>
      </c>
      <c r="M674" s="116">
        <v>180.73333333333301</v>
      </c>
      <c r="N674" s="116">
        <v>182.26666666666699</v>
      </c>
      <c r="O674" s="116">
        <v>179.51666666666699</v>
      </c>
      <c r="P674" s="116">
        <v>182.26666666666699</v>
      </c>
      <c r="Q674" s="116">
        <v>542.20000000000005</v>
      </c>
      <c r="R674">
        <v>4392</v>
      </c>
    </row>
    <row r="675" spans="1:18" x14ac:dyDescent="0.25">
      <c r="A675" s="169">
        <v>43486</v>
      </c>
      <c r="B675" s="116">
        <v>180.5</v>
      </c>
      <c r="C675" s="116">
        <v>179.21666666666701</v>
      </c>
      <c r="D675" s="116">
        <v>178.98333333333301</v>
      </c>
      <c r="E675" s="116">
        <v>179.8</v>
      </c>
      <c r="F675" s="116">
        <v>537.65</v>
      </c>
      <c r="G675">
        <v>473</v>
      </c>
      <c r="H675" s="116"/>
      <c r="I675" s="116"/>
      <c r="L675" s="169">
        <v>43486</v>
      </c>
      <c r="M675" s="116">
        <v>180.1</v>
      </c>
      <c r="N675" s="116">
        <v>181.23333333333301</v>
      </c>
      <c r="O675" s="116">
        <v>177.76666666666699</v>
      </c>
      <c r="P675" s="116">
        <v>181.23333333333301</v>
      </c>
      <c r="Q675" s="116">
        <v>540.29999999999995</v>
      </c>
      <c r="R675">
        <v>9534</v>
      </c>
    </row>
    <row r="676" spans="1:18" x14ac:dyDescent="0.25">
      <c r="A676" s="169">
        <v>43487</v>
      </c>
      <c r="B676" s="116">
        <v>181.833333333333</v>
      </c>
      <c r="C676" s="116">
        <v>181.15</v>
      </c>
      <c r="D676" s="116">
        <v>176.03333333333299</v>
      </c>
      <c r="E676" s="116">
        <v>179.433333333333</v>
      </c>
      <c r="F676" s="116">
        <v>543.45000000000005</v>
      </c>
      <c r="G676">
        <v>8250</v>
      </c>
      <c r="H676" s="116"/>
      <c r="I676" s="116"/>
      <c r="L676" s="169">
        <v>43487</v>
      </c>
      <c r="M676" s="116">
        <v>182.333333333333</v>
      </c>
      <c r="N676" s="116">
        <v>183.333333333333</v>
      </c>
      <c r="O676" s="116">
        <v>178.333333333333</v>
      </c>
      <c r="P676" s="116">
        <v>178.433333333333</v>
      </c>
      <c r="Q676" s="116">
        <v>547</v>
      </c>
      <c r="R676">
        <v>5807</v>
      </c>
    </row>
    <row r="677" spans="1:18" x14ac:dyDescent="0.25">
      <c r="A677" s="169">
        <v>43488</v>
      </c>
      <c r="B677" s="116">
        <v>183.333333333333</v>
      </c>
      <c r="C677" s="116">
        <v>182.933333333333</v>
      </c>
      <c r="D677" s="116">
        <v>181.683333333333</v>
      </c>
      <c r="E677" s="116">
        <v>181.683333333333</v>
      </c>
      <c r="F677" s="116">
        <v>548.79999999999995</v>
      </c>
      <c r="G677">
        <v>265</v>
      </c>
      <c r="H677" s="116"/>
      <c r="I677" s="116"/>
      <c r="L677" s="169">
        <v>43488</v>
      </c>
      <c r="M677" s="116">
        <v>182.95</v>
      </c>
      <c r="N677" s="116">
        <v>183.333333333333</v>
      </c>
      <c r="O677" s="116">
        <v>180.51666666666699</v>
      </c>
      <c r="P677" s="116">
        <v>180.51666666666699</v>
      </c>
      <c r="Q677" s="116">
        <v>548.85</v>
      </c>
      <c r="R677">
        <v>3287</v>
      </c>
    </row>
    <row r="678" spans="1:18" x14ac:dyDescent="0.25">
      <c r="A678" s="169">
        <v>43489</v>
      </c>
      <c r="B678" s="116">
        <v>182.96666666666701</v>
      </c>
      <c r="C678" s="116">
        <v>180.96666666666701</v>
      </c>
      <c r="D678" s="116">
        <v>180.333333333333</v>
      </c>
      <c r="E678" s="116">
        <v>182.666666666667</v>
      </c>
      <c r="F678" s="116">
        <v>542.9</v>
      </c>
      <c r="G678">
        <v>34</v>
      </c>
      <c r="H678" s="116"/>
      <c r="I678" s="116"/>
      <c r="L678" s="169">
        <v>43489</v>
      </c>
      <c r="M678" s="116">
        <v>181.683333333333</v>
      </c>
      <c r="N678" s="116">
        <v>183.333333333333</v>
      </c>
      <c r="O678" s="116">
        <v>180.166666666667</v>
      </c>
      <c r="P678" s="116">
        <v>182.36666666666699</v>
      </c>
      <c r="Q678" s="116">
        <v>545.04999999999995</v>
      </c>
      <c r="R678">
        <v>8275</v>
      </c>
    </row>
    <row r="679" spans="1:18" x14ac:dyDescent="0.25">
      <c r="A679" s="169">
        <v>43490</v>
      </c>
      <c r="B679" s="116">
        <v>181.76666666666699</v>
      </c>
      <c r="C679" s="116">
        <v>178.61666666666699</v>
      </c>
      <c r="D679" s="116">
        <v>176.666666666667</v>
      </c>
      <c r="E679" s="116">
        <v>176.666666666667</v>
      </c>
      <c r="F679" s="116">
        <v>535.85</v>
      </c>
      <c r="G679">
        <v>10851</v>
      </c>
      <c r="H679" s="116"/>
      <c r="I679" s="116"/>
      <c r="L679" s="169">
        <v>43490</v>
      </c>
      <c r="M679" s="116">
        <v>179.45</v>
      </c>
      <c r="N679" s="116">
        <v>182.45</v>
      </c>
      <c r="O679" s="116">
        <v>179.166666666667</v>
      </c>
      <c r="P679" s="116">
        <v>180.4</v>
      </c>
      <c r="Q679" s="116">
        <v>538.35</v>
      </c>
      <c r="R679">
        <v>6899</v>
      </c>
    </row>
    <row r="680" spans="1:18" x14ac:dyDescent="0.25">
      <c r="A680" s="169">
        <v>43493</v>
      </c>
      <c r="B680" s="116">
        <v>183.333333333333</v>
      </c>
      <c r="C680" s="116">
        <v>182.333333333333</v>
      </c>
      <c r="D680" s="116">
        <v>178.816666666667</v>
      </c>
      <c r="E680" s="116">
        <v>178.833333333333</v>
      </c>
      <c r="F680" s="116">
        <v>547</v>
      </c>
      <c r="G680">
        <v>597</v>
      </c>
      <c r="H680" s="116"/>
      <c r="I680" s="116"/>
      <c r="L680" s="169">
        <v>43493</v>
      </c>
      <c r="M680" s="116">
        <v>183.3</v>
      </c>
      <c r="N680" s="116">
        <v>183.35</v>
      </c>
      <c r="O680" s="116">
        <v>179.333333333333</v>
      </c>
      <c r="P680" s="116">
        <v>180</v>
      </c>
      <c r="Q680" s="116">
        <v>549.9</v>
      </c>
      <c r="R680">
        <v>74849</v>
      </c>
    </row>
    <row r="681" spans="1:18" x14ac:dyDescent="0.25">
      <c r="A681" s="169">
        <v>43494</v>
      </c>
      <c r="B681" s="116">
        <v>181.333333333333</v>
      </c>
      <c r="C681" s="116">
        <v>181.01666666666699</v>
      </c>
      <c r="D681" s="116">
        <v>180.03333333333299</v>
      </c>
      <c r="E681" s="116">
        <v>180.03333333333299</v>
      </c>
      <c r="F681" s="116">
        <v>543.04999999999995</v>
      </c>
      <c r="G681">
        <v>383</v>
      </c>
      <c r="H681" s="116"/>
      <c r="I681" s="116"/>
      <c r="L681" s="169">
        <v>43494</v>
      </c>
      <c r="M681" s="116">
        <v>180.3</v>
      </c>
      <c r="N681" s="116">
        <v>183</v>
      </c>
      <c r="O681" s="116">
        <v>179.166666666667</v>
      </c>
      <c r="P681" s="116">
        <v>183</v>
      </c>
      <c r="Q681" s="116">
        <v>540.9</v>
      </c>
      <c r="R681">
        <v>7103</v>
      </c>
    </row>
    <row r="682" spans="1:18" x14ac:dyDescent="0.25">
      <c r="A682" s="169">
        <v>43495</v>
      </c>
      <c r="B682" s="116">
        <v>181.183333333333</v>
      </c>
      <c r="C682" s="116">
        <v>180.38333333333301</v>
      </c>
      <c r="D682" s="116">
        <v>176.73333333333301</v>
      </c>
      <c r="E682" s="116">
        <v>181.183333333333</v>
      </c>
      <c r="F682" s="116">
        <v>541.15</v>
      </c>
      <c r="G682">
        <v>6499</v>
      </c>
      <c r="H682" s="116"/>
      <c r="I682" s="116"/>
      <c r="L682" s="169">
        <v>43495</v>
      </c>
      <c r="M682" s="116">
        <v>180.6</v>
      </c>
      <c r="N682" s="116">
        <v>181.51666666666699</v>
      </c>
      <c r="O682" s="116">
        <v>179.51666666666699</v>
      </c>
      <c r="P682" s="116">
        <v>180.3</v>
      </c>
      <c r="Q682" s="116">
        <v>541.79999999999995</v>
      </c>
      <c r="R682">
        <v>3673</v>
      </c>
    </row>
    <row r="683" spans="1:18" x14ac:dyDescent="0.25">
      <c r="A683" s="169">
        <v>43496</v>
      </c>
      <c r="B683" s="116">
        <v>183.6</v>
      </c>
      <c r="C683" s="116">
        <v>182.066666666667</v>
      </c>
      <c r="D683" s="116">
        <v>181.333333333333</v>
      </c>
      <c r="E683" s="116">
        <v>183</v>
      </c>
      <c r="F683" s="116">
        <v>546.20000000000005</v>
      </c>
      <c r="G683">
        <v>945</v>
      </c>
      <c r="H683" s="116"/>
      <c r="I683" s="116"/>
      <c r="L683" s="169">
        <v>43496</v>
      </c>
      <c r="M683" s="116">
        <v>182.95</v>
      </c>
      <c r="N683" s="116">
        <v>185.36666666666699</v>
      </c>
      <c r="O683" s="116">
        <v>181.78333333333299</v>
      </c>
      <c r="P683" s="116">
        <v>182.26666666666699</v>
      </c>
      <c r="Q683" s="116">
        <v>548.85</v>
      </c>
      <c r="R683">
        <v>15453</v>
      </c>
    </row>
    <row r="684" spans="1:18" x14ac:dyDescent="0.25">
      <c r="A684" s="169">
        <v>43497</v>
      </c>
      <c r="B684" s="116">
        <v>183.316666666667</v>
      </c>
      <c r="C684" s="116">
        <v>181.8</v>
      </c>
      <c r="D684" s="116">
        <v>181.5</v>
      </c>
      <c r="E684" s="116">
        <v>182.26666666666699</v>
      </c>
      <c r="F684" s="116">
        <v>545.4</v>
      </c>
      <c r="G684">
        <v>128</v>
      </c>
      <c r="H684" s="116"/>
      <c r="I684" s="116"/>
      <c r="L684" s="169">
        <v>43497</v>
      </c>
      <c r="M684" s="116">
        <v>182.683333333333</v>
      </c>
      <c r="N684" s="116">
        <v>183.15</v>
      </c>
      <c r="O684" s="116">
        <v>182</v>
      </c>
      <c r="P684" s="116">
        <v>182.61666666666699</v>
      </c>
      <c r="Q684" s="116">
        <v>548.04999999999995</v>
      </c>
      <c r="R684">
        <v>4260</v>
      </c>
    </row>
    <row r="685" spans="1:18" x14ac:dyDescent="0.25">
      <c r="A685" s="169">
        <v>43500</v>
      </c>
      <c r="B685" s="116">
        <v>180.86666666666699</v>
      </c>
      <c r="C685" s="116">
        <v>179.166666666667</v>
      </c>
      <c r="D685" s="116">
        <v>178.333333333333</v>
      </c>
      <c r="E685" s="116">
        <v>178.51666666666699</v>
      </c>
      <c r="F685" s="116">
        <v>537.5</v>
      </c>
      <c r="G685">
        <v>618</v>
      </c>
      <c r="H685" s="116"/>
      <c r="I685" s="116"/>
      <c r="L685" s="169">
        <v>43500</v>
      </c>
      <c r="M685" s="116">
        <v>179.816666666667</v>
      </c>
      <c r="N685" s="116">
        <v>182.683333333333</v>
      </c>
      <c r="O685" s="116">
        <v>177.683333333333</v>
      </c>
      <c r="P685" s="116">
        <v>177.683333333333</v>
      </c>
      <c r="Q685" s="116">
        <v>539.45000000000005</v>
      </c>
      <c r="R685">
        <v>6035</v>
      </c>
    </row>
    <row r="686" spans="1:18" x14ac:dyDescent="0.25">
      <c r="A686" s="169">
        <v>43501</v>
      </c>
      <c r="B686" s="116">
        <v>181.316666666667</v>
      </c>
      <c r="C686" s="116">
        <v>179.98333333333301</v>
      </c>
      <c r="D686" s="116">
        <v>179.76666666666699</v>
      </c>
      <c r="E686" s="116">
        <v>180.666666666667</v>
      </c>
      <c r="F686" s="116">
        <v>539.95000000000005</v>
      </c>
      <c r="G686">
        <v>266</v>
      </c>
      <c r="H686" s="116"/>
      <c r="I686" s="116"/>
      <c r="L686" s="169">
        <v>43501</v>
      </c>
      <c r="M686" s="116">
        <v>180.71666666666701</v>
      </c>
      <c r="N686" s="116">
        <v>183.6</v>
      </c>
      <c r="O686" s="116">
        <v>178.63333333333301</v>
      </c>
      <c r="P686" s="116">
        <v>179.05</v>
      </c>
      <c r="Q686" s="116">
        <v>542.15</v>
      </c>
      <c r="R686">
        <v>3840</v>
      </c>
    </row>
    <row r="687" spans="1:18" x14ac:dyDescent="0.25">
      <c r="A687" s="169">
        <v>43502</v>
      </c>
      <c r="B687" s="116">
        <v>182.4</v>
      </c>
      <c r="C687" s="116">
        <v>181.13333333333301</v>
      </c>
      <c r="D687" s="116">
        <v>179.73333333333301</v>
      </c>
      <c r="E687" s="116">
        <v>180.96666666666701</v>
      </c>
      <c r="F687" s="116">
        <v>543.4</v>
      </c>
      <c r="G687">
        <v>214</v>
      </c>
      <c r="H687" s="116"/>
      <c r="I687" s="116"/>
      <c r="L687" s="169">
        <v>43502</v>
      </c>
      <c r="M687" s="116">
        <v>181.433333333333</v>
      </c>
      <c r="N687" s="116">
        <v>183</v>
      </c>
      <c r="O687" s="116">
        <v>179.683333333333</v>
      </c>
      <c r="P687" s="116">
        <v>180.11666666666699</v>
      </c>
      <c r="Q687" s="116">
        <v>544.29999999999995</v>
      </c>
      <c r="R687">
        <v>8334</v>
      </c>
    </row>
    <row r="688" spans="1:18" x14ac:dyDescent="0.25">
      <c r="A688" s="169">
        <v>43503</v>
      </c>
      <c r="B688" s="116">
        <v>183.333333333333</v>
      </c>
      <c r="C688" s="116">
        <v>182.2</v>
      </c>
      <c r="D688" s="116">
        <v>179.7</v>
      </c>
      <c r="E688" s="116">
        <v>181.183333333333</v>
      </c>
      <c r="F688" s="116">
        <v>546.6</v>
      </c>
      <c r="G688">
        <v>1707</v>
      </c>
      <c r="H688" s="116"/>
      <c r="I688" s="116"/>
      <c r="L688" s="169">
        <v>43503</v>
      </c>
      <c r="M688" s="116">
        <v>181.21666666666701</v>
      </c>
      <c r="N688" s="116">
        <v>183</v>
      </c>
      <c r="O688" s="116">
        <v>180</v>
      </c>
      <c r="P688" s="116">
        <v>182.23333333333301</v>
      </c>
      <c r="Q688" s="116">
        <v>543.65</v>
      </c>
      <c r="R688">
        <v>5589</v>
      </c>
    </row>
    <row r="689" spans="1:18" x14ac:dyDescent="0.25">
      <c r="A689" s="169">
        <v>43504</v>
      </c>
      <c r="B689" s="116">
        <v>183.333333333333</v>
      </c>
      <c r="C689" s="116">
        <v>183.166666666667</v>
      </c>
      <c r="D689" s="116">
        <v>179.683333333333</v>
      </c>
      <c r="E689" s="116">
        <v>180</v>
      </c>
      <c r="F689" s="116">
        <v>549.5</v>
      </c>
      <c r="G689">
        <v>834</v>
      </c>
      <c r="H689" s="116"/>
      <c r="I689" s="116"/>
      <c r="L689" s="169">
        <v>43504</v>
      </c>
      <c r="M689" s="116">
        <v>182.75</v>
      </c>
      <c r="N689" s="116">
        <v>184.333333333333</v>
      </c>
      <c r="O689" s="116">
        <v>180.25</v>
      </c>
      <c r="P689" s="116">
        <v>180.25</v>
      </c>
      <c r="Q689" s="116">
        <v>548.25</v>
      </c>
      <c r="R689">
        <v>13796</v>
      </c>
    </row>
    <row r="690" spans="1:18" x14ac:dyDescent="0.25">
      <c r="A690" s="169">
        <v>43507</v>
      </c>
      <c r="B690" s="116">
        <v>180.78333333333299</v>
      </c>
      <c r="C690" s="116">
        <v>164.03333333333299</v>
      </c>
      <c r="D690" s="116">
        <v>160.73333333333301</v>
      </c>
      <c r="E690" s="116">
        <v>179.5</v>
      </c>
      <c r="F690" s="116">
        <v>492.1</v>
      </c>
      <c r="G690">
        <v>5539</v>
      </c>
      <c r="H690" s="116"/>
      <c r="I690" s="116"/>
      <c r="L690" s="169">
        <v>43507</v>
      </c>
      <c r="M690" s="116">
        <v>163.88333333333301</v>
      </c>
      <c r="N690" s="116">
        <v>180</v>
      </c>
      <c r="O690" s="116">
        <v>162.666666666667</v>
      </c>
      <c r="P690" s="116">
        <v>179.666666666667</v>
      </c>
      <c r="Q690" s="116">
        <v>491.65</v>
      </c>
      <c r="R690">
        <v>70716</v>
      </c>
    </row>
    <row r="691" spans="1:18" x14ac:dyDescent="0.25">
      <c r="A691" s="169">
        <v>43508</v>
      </c>
      <c r="B691" s="116">
        <v>165.75</v>
      </c>
      <c r="C691" s="116">
        <v>164.71666666666701</v>
      </c>
      <c r="D691" s="116">
        <v>160.666666666667</v>
      </c>
      <c r="E691" s="116">
        <v>160.666666666667</v>
      </c>
      <c r="F691" s="116">
        <v>494.15</v>
      </c>
      <c r="G691">
        <v>1232</v>
      </c>
      <c r="H691" s="116"/>
      <c r="I691" s="116"/>
      <c r="L691" s="169">
        <v>43508</v>
      </c>
      <c r="M691" s="116">
        <v>165.316666666667</v>
      </c>
      <c r="N691" s="116">
        <v>167.333333333333</v>
      </c>
      <c r="O691" s="116">
        <v>161.666666666667</v>
      </c>
      <c r="P691" s="116">
        <v>162.683333333333</v>
      </c>
      <c r="Q691" s="116">
        <v>495.95</v>
      </c>
      <c r="R691">
        <v>29490</v>
      </c>
    </row>
    <row r="692" spans="1:18" x14ac:dyDescent="0.25">
      <c r="A692" s="169">
        <v>43509</v>
      </c>
      <c r="B692" s="116">
        <v>172.45</v>
      </c>
      <c r="C692" s="116">
        <v>166.78333333333299</v>
      </c>
      <c r="D692" s="116">
        <v>162.44999999999999</v>
      </c>
      <c r="E692" s="116">
        <v>165.75</v>
      </c>
      <c r="F692" s="116">
        <v>500.35</v>
      </c>
      <c r="G692">
        <v>52572</v>
      </c>
      <c r="H692" s="116"/>
      <c r="I692" s="116"/>
      <c r="L692" s="169">
        <v>43509</v>
      </c>
      <c r="M692" s="116">
        <v>166.066666666667</v>
      </c>
      <c r="N692" s="116">
        <v>180.2</v>
      </c>
      <c r="O692" s="116">
        <v>162</v>
      </c>
      <c r="P692" s="116">
        <v>165.316666666667</v>
      </c>
      <c r="Q692" s="116">
        <v>498.2</v>
      </c>
      <c r="R692">
        <v>255952</v>
      </c>
    </row>
    <row r="693" spans="1:18" x14ac:dyDescent="0.25">
      <c r="A693" s="169">
        <v>43510</v>
      </c>
      <c r="B693" s="116">
        <v>167.2</v>
      </c>
      <c r="C693" s="116">
        <v>164.11666666666699</v>
      </c>
      <c r="D693" s="116">
        <v>163.666666666667</v>
      </c>
      <c r="E693" s="116">
        <v>165.666666666667</v>
      </c>
      <c r="F693" s="116">
        <v>492.35</v>
      </c>
      <c r="G693">
        <v>1379</v>
      </c>
      <c r="H693" s="116"/>
      <c r="I693" s="116"/>
      <c r="L693" s="169">
        <v>43510</v>
      </c>
      <c r="M693" s="116">
        <v>163.71666666666701</v>
      </c>
      <c r="N693" s="116">
        <v>168.28333333333299</v>
      </c>
      <c r="O693" s="116">
        <v>162.683333333333</v>
      </c>
      <c r="P693" s="116">
        <v>167.73333333333301</v>
      </c>
      <c r="Q693" s="116">
        <v>491.15</v>
      </c>
      <c r="R693">
        <v>128170</v>
      </c>
    </row>
    <row r="694" spans="1:18" x14ac:dyDescent="0.25">
      <c r="A694" s="169">
        <v>43511</v>
      </c>
      <c r="B694" s="116">
        <v>168.666666666667</v>
      </c>
      <c r="C694" s="116">
        <v>167.816666666667</v>
      </c>
      <c r="D694" s="116">
        <v>163.583333333333</v>
      </c>
      <c r="E694" s="116">
        <v>164.833333333333</v>
      </c>
      <c r="F694" s="116">
        <v>503.45</v>
      </c>
      <c r="G694">
        <v>197</v>
      </c>
      <c r="H694" s="116"/>
      <c r="I694" s="116"/>
      <c r="L694" s="169">
        <v>43511</v>
      </c>
      <c r="M694" s="116">
        <v>167.98333333333301</v>
      </c>
      <c r="N694" s="116">
        <v>168.333333333333</v>
      </c>
      <c r="O694" s="116">
        <v>162.666666666667</v>
      </c>
      <c r="P694" s="116">
        <v>165.03333333333299</v>
      </c>
      <c r="Q694" s="116">
        <v>503.95</v>
      </c>
      <c r="R694">
        <v>99582</v>
      </c>
    </row>
    <row r="695" spans="1:18" x14ac:dyDescent="0.25">
      <c r="A695" s="169">
        <v>43514</v>
      </c>
      <c r="B695" s="116">
        <v>201.36666666666699</v>
      </c>
      <c r="C695" s="116">
        <v>175</v>
      </c>
      <c r="D695" s="116">
        <v>165.03333333333299</v>
      </c>
      <c r="E695" s="116">
        <v>171.86666666666699</v>
      </c>
      <c r="F695" s="116">
        <v>525</v>
      </c>
      <c r="G695">
        <v>51977</v>
      </c>
      <c r="H695" s="116"/>
      <c r="I695" s="116"/>
      <c r="L695" s="169">
        <v>43514</v>
      </c>
      <c r="M695" s="116">
        <v>175.86666666666699</v>
      </c>
      <c r="N695" s="116">
        <v>201.566666666667</v>
      </c>
      <c r="O695" s="116">
        <v>166.51666666666699</v>
      </c>
      <c r="P695" s="116">
        <v>169.15</v>
      </c>
      <c r="Q695" s="116">
        <v>527.6</v>
      </c>
      <c r="R695">
        <v>337603</v>
      </c>
    </row>
    <row r="696" spans="1:18" x14ac:dyDescent="0.25">
      <c r="A696" s="169">
        <v>43515</v>
      </c>
      <c r="B696" s="116">
        <v>185.566666666667</v>
      </c>
      <c r="C696" s="116">
        <v>179.8</v>
      </c>
      <c r="D696" s="116">
        <v>166.683333333333</v>
      </c>
      <c r="E696" s="116">
        <v>166.683333333333</v>
      </c>
      <c r="F696" s="116">
        <v>539.4</v>
      </c>
      <c r="G696">
        <v>3003</v>
      </c>
      <c r="H696" s="116"/>
      <c r="I696" s="116"/>
      <c r="L696" s="169">
        <v>43515</v>
      </c>
      <c r="M696" s="116">
        <v>180.96666666666701</v>
      </c>
      <c r="N696" s="116">
        <v>186</v>
      </c>
      <c r="O696" s="116">
        <v>170.78333333333299</v>
      </c>
      <c r="P696" s="116">
        <v>177.28333333333299</v>
      </c>
      <c r="Q696" s="116">
        <v>542.9</v>
      </c>
      <c r="R696">
        <v>68409</v>
      </c>
    </row>
    <row r="697" spans="1:18" x14ac:dyDescent="0.25">
      <c r="A697" s="169">
        <v>43516</v>
      </c>
      <c r="B697" s="116">
        <v>181.96666666666701</v>
      </c>
      <c r="C697" s="116">
        <v>174.9</v>
      </c>
      <c r="D697" s="116">
        <v>173.38333333333301</v>
      </c>
      <c r="E697" s="116">
        <v>181.96666666666701</v>
      </c>
      <c r="F697" s="116">
        <v>524.70000000000005</v>
      </c>
      <c r="G697">
        <v>553</v>
      </c>
      <c r="H697" s="116"/>
      <c r="I697" s="116"/>
      <c r="L697" s="169">
        <v>43516</v>
      </c>
      <c r="M697" s="116">
        <v>176.73333333333301</v>
      </c>
      <c r="N697" s="116">
        <v>181.666666666667</v>
      </c>
      <c r="O697" s="116">
        <v>175.666666666667</v>
      </c>
      <c r="P697" s="116">
        <v>179</v>
      </c>
      <c r="Q697" s="116">
        <v>530.20000000000005</v>
      </c>
      <c r="R697">
        <v>10914</v>
      </c>
    </row>
    <row r="698" spans="1:18" x14ac:dyDescent="0.25">
      <c r="A698" s="169">
        <v>43517</v>
      </c>
      <c r="B698" s="116">
        <v>196.4</v>
      </c>
      <c r="C698" s="116">
        <v>189.53333333333299</v>
      </c>
      <c r="D698" s="116">
        <v>173.61666666666699</v>
      </c>
      <c r="E698" s="116">
        <v>174.9</v>
      </c>
      <c r="F698" s="116">
        <v>568.6</v>
      </c>
      <c r="G698">
        <v>1548</v>
      </c>
      <c r="H698" s="116"/>
      <c r="I698" s="116"/>
      <c r="L698" s="169">
        <v>43517</v>
      </c>
      <c r="M698" s="116">
        <v>188.73333333333301</v>
      </c>
      <c r="N698" s="116">
        <v>193.38333333333301</v>
      </c>
      <c r="O698" s="116">
        <v>169.683333333333</v>
      </c>
      <c r="P698" s="116">
        <v>177.666666666667</v>
      </c>
      <c r="Q698" s="116">
        <v>566.20000000000005</v>
      </c>
      <c r="R698">
        <v>49972</v>
      </c>
    </row>
    <row r="699" spans="1:18" x14ac:dyDescent="0.25">
      <c r="A699" s="169">
        <v>43518</v>
      </c>
      <c r="B699" s="116">
        <v>187.8</v>
      </c>
      <c r="C699" s="116">
        <v>183.9</v>
      </c>
      <c r="D699" s="116">
        <v>182.816666666667</v>
      </c>
      <c r="E699" s="116">
        <v>186.13333333333301</v>
      </c>
      <c r="F699" s="116">
        <v>551.70000000000005</v>
      </c>
      <c r="G699">
        <v>851</v>
      </c>
      <c r="H699" s="116"/>
      <c r="I699" s="116"/>
      <c r="L699" s="169">
        <v>43518</v>
      </c>
      <c r="M699" s="116">
        <v>183.3</v>
      </c>
      <c r="N699" s="116">
        <v>187.666666666667</v>
      </c>
      <c r="O699" s="116">
        <v>182.73333333333301</v>
      </c>
      <c r="P699" s="116">
        <v>187</v>
      </c>
      <c r="Q699" s="116">
        <v>549.9</v>
      </c>
      <c r="R699">
        <v>13295</v>
      </c>
    </row>
    <row r="700" spans="1:18" x14ac:dyDescent="0.25">
      <c r="A700" s="169">
        <v>43521</v>
      </c>
      <c r="B700" s="116">
        <v>185.78333333333299</v>
      </c>
      <c r="C700" s="116">
        <v>183.416666666667</v>
      </c>
      <c r="D700" s="116">
        <v>180.333333333333</v>
      </c>
      <c r="E700" s="116">
        <v>184.75</v>
      </c>
      <c r="F700" s="116">
        <v>550.25</v>
      </c>
      <c r="G700">
        <v>882</v>
      </c>
      <c r="H700" s="116"/>
      <c r="I700" s="116"/>
      <c r="L700" s="169">
        <v>43521</v>
      </c>
      <c r="M700" s="116">
        <v>180.75</v>
      </c>
      <c r="N700" s="116">
        <v>184.85</v>
      </c>
      <c r="O700" s="116">
        <v>179.166666666667</v>
      </c>
      <c r="P700" s="116">
        <v>183.3</v>
      </c>
      <c r="Q700" s="116">
        <v>542.25</v>
      </c>
      <c r="R700">
        <v>20258</v>
      </c>
    </row>
    <row r="701" spans="1:18" x14ac:dyDescent="0.25">
      <c r="A701" s="169">
        <v>43522</v>
      </c>
      <c r="B701" s="116">
        <v>179.71666666666701</v>
      </c>
      <c r="C701" s="116">
        <v>178.73333333333301</v>
      </c>
      <c r="D701" s="116">
        <v>177.666666666667</v>
      </c>
      <c r="E701" s="116">
        <v>178.666666666667</v>
      </c>
      <c r="F701" s="116">
        <v>536.20000000000005</v>
      </c>
      <c r="G701">
        <v>220</v>
      </c>
      <c r="H701" s="116"/>
      <c r="I701" s="116"/>
      <c r="L701" s="169">
        <v>43522</v>
      </c>
      <c r="M701" s="116">
        <v>178.416666666667</v>
      </c>
      <c r="N701" s="116">
        <v>180.333333333333</v>
      </c>
      <c r="O701" s="116">
        <v>177.1</v>
      </c>
      <c r="P701" s="116">
        <v>180.333333333333</v>
      </c>
      <c r="Q701" s="116">
        <v>535.25</v>
      </c>
      <c r="R701">
        <v>23129</v>
      </c>
    </row>
    <row r="702" spans="1:18" x14ac:dyDescent="0.25">
      <c r="A702" s="169">
        <v>43523</v>
      </c>
      <c r="B702" s="116">
        <v>180.2</v>
      </c>
      <c r="C702" s="116">
        <v>175.96666666666701</v>
      </c>
      <c r="D702" s="116">
        <v>175.03333333333299</v>
      </c>
      <c r="E702" s="116">
        <v>180.13333333333301</v>
      </c>
      <c r="F702" s="116">
        <v>527.9</v>
      </c>
      <c r="G702">
        <v>425</v>
      </c>
      <c r="H702" s="116"/>
      <c r="I702" s="116"/>
      <c r="L702" s="169">
        <v>43523</v>
      </c>
      <c r="M702" s="116">
        <v>175.03333333333299</v>
      </c>
      <c r="N702" s="116">
        <v>181.03333333333299</v>
      </c>
      <c r="O702" s="116">
        <v>174.36666666666699</v>
      </c>
      <c r="P702" s="116">
        <v>178.5</v>
      </c>
      <c r="Q702" s="116">
        <v>525.1</v>
      </c>
      <c r="R702">
        <v>60249</v>
      </c>
    </row>
    <row r="703" spans="1:18" x14ac:dyDescent="0.25">
      <c r="A703" s="169">
        <v>43524</v>
      </c>
      <c r="B703" s="116">
        <v>179.166666666667</v>
      </c>
      <c r="C703" s="116">
        <v>174.11666666666699</v>
      </c>
      <c r="D703" s="116">
        <v>171.38333333333301</v>
      </c>
      <c r="E703" s="116">
        <v>177.05</v>
      </c>
      <c r="F703" s="116">
        <v>522.35</v>
      </c>
      <c r="G703">
        <v>5379</v>
      </c>
      <c r="H703" s="116"/>
      <c r="I703" s="116"/>
      <c r="L703" s="169">
        <v>43524</v>
      </c>
      <c r="M703" s="116">
        <v>175.65</v>
      </c>
      <c r="N703" s="116">
        <v>183.65</v>
      </c>
      <c r="O703" s="116">
        <v>172.51666666666699</v>
      </c>
      <c r="P703" s="116">
        <v>176.7</v>
      </c>
      <c r="Q703" s="116">
        <v>526.95000000000005</v>
      </c>
      <c r="R703">
        <v>65301</v>
      </c>
    </row>
    <row r="704" spans="1:18" x14ac:dyDescent="0.25">
      <c r="A704" s="169">
        <v>43525</v>
      </c>
      <c r="B704" s="116">
        <v>176.416666666667</v>
      </c>
      <c r="C704" s="116">
        <v>174.98333333333301</v>
      </c>
      <c r="D704" s="116">
        <v>173.333333333333</v>
      </c>
      <c r="E704" s="116">
        <v>173.333333333333</v>
      </c>
      <c r="F704" s="116">
        <v>524.95000000000005</v>
      </c>
      <c r="G704">
        <v>2062</v>
      </c>
      <c r="H704" s="116"/>
      <c r="I704" s="116"/>
      <c r="L704" s="169">
        <v>43525</v>
      </c>
      <c r="M704" s="116">
        <v>173.933333333333</v>
      </c>
      <c r="N704" s="116">
        <v>175.96666666666701</v>
      </c>
      <c r="O704" s="116">
        <v>172.96666666666701</v>
      </c>
      <c r="P704" s="116">
        <v>174.916666666667</v>
      </c>
      <c r="Q704" s="116">
        <v>521.79999999999995</v>
      </c>
      <c r="R704">
        <v>30688</v>
      </c>
    </row>
    <row r="705" spans="1:18" x14ac:dyDescent="0.25">
      <c r="A705" s="169">
        <v>43529</v>
      </c>
      <c r="B705" s="116">
        <v>182.36666666666699</v>
      </c>
      <c r="C705" s="116">
        <v>180.083333333333</v>
      </c>
      <c r="D705" s="116">
        <v>174.5</v>
      </c>
      <c r="E705" s="116">
        <v>174.666666666667</v>
      </c>
      <c r="F705" s="116">
        <v>540.25</v>
      </c>
      <c r="G705">
        <v>3305</v>
      </c>
      <c r="H705" s="116"/>
      <c r="I705" s="116"/>
      <c r="L705" s="169">
        <v>43529</v>
      </c>
      <c r="M705" s="116">
        <v>179.433333333333</v>
      </c>
      <c r="N705" s="116">
        <v>182.666666666667</v>
      </c>
      <c r="O705" s="116">
        <v>173.6</v>
      </c>
      <c r="P705" s="116">
        <v>173.6</v>
      </c>
      <c r="Q705" s="116">
        <v>538.29999999999995</v>
      </c>
      <c r="R705">
        <v>47831</v>
      </c>
    </row>
    <row r="706" spans="1:18" x14ac:dyDescent="0.25">
      <c r="A706" s="169">
        <v>43530</v>
      </c>
      <c r="B706" s="116">
        <v>184.98333333333301</v>
      </c>
      <c r="C706" s="116">
        <v>177.26666666666699</v>
      </c>
      <c r="D706" s="116">
        <v>176.666666666667</v>
      </c>
      <c r="E706" s="116">
        <v>184.98333333333301</v>
      </c>
      <c r="F706" s="116">
        <v>531.79999999999995</v>
      </c>
      <c r="G706">
        <v>1732</v>
      </c>
      <c r="H706" s="116"/>
      <c r="I706" s="116"/>
      <c r="L706" s="169">
        <v>43530</v>
      </c>
      <c r="M706" s="116">
        <v>176.88333333333301</v>
      </c>
      <c r="N706" s="116">
        <v>184.333333333333</v>
      </c>
      <c r="O706" s="116">
        <v>175.73333333333301</v>
      </c>
      <c r="P706" s="116">
        <v>181.23333333333301</v>
      </c>
      <c r="Q706" s="116">
        <v>530.65</v>
      </c>
      <c r="R706">
        <v>28589</v>
      </c>
    </row>
    <row r="707" spans="1:18" x14ac:dyDescent="0.25">
      <c r="A707" s="169">
        <v>43531</v>
      </c>
      <c r="B707" s="116">
        <v>179.666666666667</v>
      </c>
      <c r="C707" s="116">
        <v>175.46666666666701</v>
      </c>
      <c r="D707" s="116">
        <v>175</v>
      </c>
      <c r="E707" s="116">
        <v>179.666666666667</v>
      </c>
      <c r="F707" s="116">
        <v>526.4</v>
      </c>
      <c r="G707">
        <v>2233</v>
      </c>
      <c r="H707" s="116"/>
      <c r="I707" s="116"/>
      <c r="L707" s="169">
        <v>43531</v>
      </c>
      <c r="M707" s="116">
        <v>174.65</v>
      </c>
      <c r="N707" s="116">
        <v>179.433333333333</v>
      </c>
      <c r="O707" s="116">
        <v>173.666666666667</v>
      </c>
      <c r="P707" s="116">
        <v>177.333333333333</v>
      </c>
      <c r="Q707" s="116">
        <v>523.95000000000005</v>
      </c>
      <c r="R707">
        <v>16826</v>
      </c>
    </row>
    <row r="708" spans="1:18" x14ac:dyDescent="0.25">
      <c r="A708" s="169">
        <v>43532</v>
      </c>
      <c r="B708" s="116">
        <v>176.63333333333301</v>
      </c>
      <c r="C708" s="116">
        <v>173.86666666666699</v>
      </c>
      <c r="D708" s="116">
        <v>172.73333333333301</v>
      </c>
      <c r="E708" s="116">
        <v>176.63333333333301</v>
      </c>
      <c r="F708" s="116">
        <v>521.6</v>
      </c>
      <c r="G708">
        <v>2858</v>
      </c>
      <c r="H708" s="116"/>
      <c r="I708" s="116"/>
      <c r="L708" s="169">
        <v>43532</v>
      </c>
      <c r="M708" s="116">
        <v>174</v>
      </c>
      <c r="N708" s="116">
        <v>179.666666666667</v>
      </c>
      <c r="O708" s="116">
        <v>172.51666666666699</v>
      </c>
      <c r="P708" s="116">
        <v>176.333333333333</v>
      </c>
      <c r="Q708" s="116">
        <v>522</v>
      </c>
      <c r="R708">
        <v>39658</v>
      </c>
    </row>
    <row r="709" spans="1:18" x14ac:dyDescent="0.25">
      <c r="A709" s="169">
        <v>43535</v>
      </c>
      <c r="B709" s="116">
        <v>176.666666666667</v>
      </c>
      <c r="C709" s="116">
        <v>176.066666666667</v>
      </c>
      <c r="D709" s="116">
        <v>174.21666666666701</v>
      </c>
      <c r="E709" s="116">
        <v>176.166666666667</v>
      </c>
      <c r="F709" s="116">
        <v>528.20000000000005</v>
      </c>
      <c r="G709">
        <v>1013</v>
      </c>
      <c r="H709" s="116"/>
      <c r="I709" s="116"/>
      <c r="L709" s="169">
        <v>43535</v>
      </c>
      <c r="M709" s="116">
        <v>176.55</v>
      </c>
      <c r="N709" s="116">
        <v>177.333333333333</v>
      </c>
      <c r="O709" s="116">
        <v>173.73333333333301</v>
      </c>
      <c r="P709" s="116">
        <v>177.083333333333</v>
      </c>
      <c r="Q709" s="116">
        <v>529.65</v>
      </c>
      <c r="R709">
        <v>13940</v>
      </c>
    </row>
    <row r="710" spans="1:18" x14ac:dyDescent="0.25">
      <c r="A710" s="169">
        <v>43536</v>
      </c>
      <c r="B710" s="116">
        <v>180.183333333333</v>
      </c>
      <c r="C710" s="116">
        <v>177.816666666667</v>
      </c>
      <c r="D710" s="116">
        <v>176</v>
      </c>
      <c r="E710" s="116">
        <v>177.816666666667</v>
      </c>
      <c r="F710" s="116">
        <v>533.45000000000005</v>
      </c>
      <c r="G710">
        <v>2155</v>
      </c>
      <c r="H710" s="116"/>
      <c r="I710" s="116"/>
      <c r="L710" s="169">
        <v>43536</v>
      </c>
      <c r="M710" s="116">
        <v>176.86666666666699</v>
      </c>
      <c r="N710" s="116">
        <v>181</v>
      </c>
      <c r="O710" s="116">
        <v>176.05</v>
      </c>
      <c r="P710" s="116">
        <v>178.3</v>
      </c>
      <c r="Q710" s="116">
        <v>530.6</v>
      </c>
      <c r="R710">
        <v>25394</v>
      </c>
    </row>
    <row r="711" spans="1:18" x14ac:dyDescent="0.25">
      <c r="A711" s="169">
        <v>43537</v>
      </c>
      <c r="B711" s="116">
        <v>177.333333333333</v>
      </c>
      <c r="C711" s="116">
        <v>174.78333333333299</v>
      </c>
      <c r="D711" s="116">
        <v>174.53333333333299</v>
      </c>
      <c r="E711" s="116">
        <v>175</v>
      </c>
      <c r="F711" s="116">
        <v>524.35</v>
      </c>
      <c r="G711">
        <v>1194</v>
      </c>
      <c r="H711" s="116"/>
      <c r="I711" s="116"/>
      <c r="L711" s="169">
        <v>43537</v>
      </c>
      <c r="M711" s="116">
        <v>175.6</v>
      </c>
      <c r="N711" s="116">
        <v>178.333333333333</v>
      </c>
      <c r="O711" s="116">
        <v>175.11666666666699</v>
      </c>
      <c r="P711" s="116">
        <v>178.333333333333</v>
      </c>
      <c r="Q711" s="116">
        <v>526.79999999999995</v>
      </c>
      <c r="R711">
        <v>7177</v>
      </c>
    </row>
    <row r="712" spans="1:18" x14ac:dyDescent="0.25">
      <c r="A712" s="169">
        <v>43538</v>
      </c>
      <c r="B712" s="116">
        <v>182.666666666667</v>
      </c>
      <c r="C712" s="116">
        <v>178.05</v>
      </c>
      <c r="D712" s="116">
        <v>174.333333333333</v>
      </c>
      <c r="E712" s="116">
        <v>177.03333333333299</v>
      </c>
      <c r="F712" s="116">
        <v>534.15</v>
      </c>
      <c r="G712">
        <v>1596</v>
      </c>
      <c r="H712" s="116"/>
      <c r="I712" s="116"/>
      <c r="L712" s="169">
        <v>43538</v>
      </c>
      <c r="M712" s="116">
        <v>177.73333333333301</v>
      </c>
      <c r="N712" s="116">
        <v>183.21666666666701</v>
      </c>
      <c r="O712" s="116">
        <v>174.01666666666699</v>
      </c>
      <c r="P712" s="116">
        <v>175.5</v>
      </c>
      <c r="Q712" s="116">
        <v>533.20000000000005</v>
      </c>
      <c r="R712">
        <v>92560</v>
      </c>
    </row>
    <row r="713" spans="1:18" x14ac:dyDescent="0.25">
      <c r="A713" s="169">
        <v>43539</v>
      </c>
      <c r="B713" s="116">
        <v>181.166666666667</v>
      </c>
      <c r="C713" s="116">
        <v>174.65</v>
      </c>
      <c r="D713" s="116">
        <v>173.36666666666699</v>
      </c>
      <c r="E713" s="116">
        <v>180.96666666666701</v>
      </c>
      <c r="F713" s="116">
        <v>523.95000000000005</v>
      </c>
      <c r="G713">
        <v>1644</v>
      </c>
      <c r="H713" s="116"/>
      <c r="I713" s="116"/>
      <c r="L713" s="169">
        <v>43539</v>
      </c>
      <c r="M713" s="116">
        <v>174.13333333333301</v>
      </c>
      <c r="N713" s="116">
        <v>179.88333333333301</v>
      </c>
      <c r="O713" s="116">
        <v>172.63333333333301</v>
      </c>
      <c r="P713" s="116">
        <v>179.833333333333</v>
      </c>
      <c r="Q713" s="116">
        <v>522.4</v>
      </c>
      <c r="R713">
        <v>19802</v>
      </c>
    </row>
    <row r="714" spans="1:18" x14ac:dyDescent="0.25">
      <c r="A714" s="169">
        <v>43542</v>
      </c>
      <c r="B714" s="116">
        <v>176</v>
      </c>
      <c r="C714" s="116">
        <v>173.53333333333299</v>
      </c>
      <c r="D714" s="116">
        <v>170.4</v>
      </c>
      <c r="E714" s="116">
        <v>170.4</v>
      </c>
      <c r="F714" s="116">
        <v>520.6</v>
      </c>
      <c r="G714">
        <v>451</v>
      </c>
      <c r="H714" s="116"/>
      <c r="I714" s="116"/>
      <c r="L714" s="169">
        <v>43542</v>
      </c>
      <c r="M714" s="116">
        <v>173.38333333333301</v>
      </c>
      <c r="N714" s="116">
        <v>176.333333333333</v>
      </c>
      <c r="O714" s="116">
        <v>172.75</v>
      </c>
      <c r="P714" s="116">
        <v>174</v>
      </c>
      <c r="Q714" s="116">
        <v>520.15</v>
      </c>
      <c r="R714">
        <v>88154</v>
      </c>
    </row>
    <row r="715" spans="1:18" x14ac:dyDescent="0.25">
      <c r="A715" s="169">
        <v>43543</v>
      </c>
      <c r="B715" s="116">
        <v>174.916666666667</v>
      </c>
      <c r="C715" s="116">
        <v>174.2</v>
      </c>
      <c r="D715" s="116">
        <v>173.28333333333299</v>
      </c>
      <c r="E715" s="116">
        <v>173.666666666667</v>
      </c>
      <c r="F715" s="116">
        <v>522.6</v>
      </c>
      <c r="G715">
        <v>354</v>
      </c>
      <c r="H715" s="116"/>
      <c r="I715" s="116"/>
      <c r="L715" s="169">
        <v>43543</v>
      </c>
      <c r="M715" s="116">
        <v>173.63333333333301</v>
      </c>
      <c r="N715" s="116">
        <v>175</v>
      </c>
      <c r="O715" s="116">
        <v>172.683333333333</v>
      </c>
      <c r="P715" s="116">
        <v>172.683333333333</v>
      </c>
      <c r="Q715" s="116">
        <v>520.9</v>
      </c>
      <c r="R715">
        <v>11394</v>
      </c>
    </row>
    <row r="716" spans="1:18" x14ac:dyDescent="0.25">
      <c r="A716" s="169">
        <v>43544</v>
      </c>
      <c r="B716" s="116">
        <v>184.166666666667</v>
      </c>
      <c r="C716" s="116">
        <v>179.316666666667</v>
      </c>
      <c r="D716" s="116">
        <v>174</v>
      </c>
      <c r="E716" s="116">
        <v>174</v>
      </c>
      <c r="F716" s="116">
        <v>537.95000000000005</v>
      </c>
      <c r="G716">
        <v>2551</v>
      </c>
      <c r="H716" s="116"/>
      <c r="I716" s="116"/>
      <c r="L716" s="169">
        <v>43544</v>
      </c>
      <c r="M716" s="116">
        <v>180.416666666667</v>
      </c>
      <c r="N716" s="116">
        <v>186</v>
      </c>
      <c r="O716" s="116">
        <v>173.683333333333</v>
      </c>
      <c r="P716" s="116">
        <v>173.683333333333</v>
      </c>
      <c r="Q716" s="116">
        <v>541.25</v>
      </c>
      <c r="R716">
        <v>57205</v>
      </c>
    </row>
    <row r="717" spans="1:18" x14ac:dyDescent="0.25">
      <c r="A717" s="169">
        <v>43546</v>
      </c>
      <c r="B717" s="116">
        <v>183.96666666666701</v>
      </c>
      <c r="C717" s="116">
        <v>183.4</v>
      </c>
      <c r="D717" s="116">
        <v>180.01666666666699</v>
      </c>
      <c r="E717" s="116">
        <v>183.333333333333</v>
      </c>
      <c r="F717" s="116">
        <v>550.20000000000005</v>
      </c>
      <c r="G717">
        <v>6434</v>
      </c>
      <c r="H717" s="116"/>
      <c r="I717" s="116"/>
      <c r="L717" s="169">
        <v>43546</v>
      </c>
      <c r="M717" s="116">
        <v>183.26666666666699</v>
      </c>
      <c r="N717" s="116">
        <v>184</v>
      </c>
      <c r="O717" s="116">
        <v>180.36666666666699</v>
      </c>
      <c r="P717" s="116">
        <v>182.23333333333301</v>
      </c>
      <c r="Q717" s="116">
        <v>549.79999999999995</v>
      </c>
      <c r="R717">
        <v>53966</v>
      </c>
    </row>
    <row r="718" spans="1:18" x14ac:dyDescent="0.25">
      <c r="A718" s="169">
        <v>43549</v>
      </c>
      <c r="B718" s="116">
        <v>180.666666666667</v>
      </c>
      <c r="C718" s="116">
        <v>179.583333333333</v>
      </c>
      <c r="D718" s="116">
        <v>178.666666666667</v>
      </c>
      <c r="E718" s="116">
        <v>180.333333333333</v>
      </c>
      <c r="F718" s="116">
        <v>538.75</v>
      </c>
      <c r="G718">
        <v>471</v>
      </c>
      <c r="H718" s="116"/>
      <c r="I718" s="116"/>
      <c r="L718" s="169">
        <v>43549</v>
      </c>
      <c r="M718" s="116">
        <v>180.55</v>
      </c>
      <c r="N718" s="116">
        <v>182.26666666666699</v>
      </c>
      <c r="O718" s="116">
        <v>178.51666666666699</v>
      </c>
      <c r="P718" s="116">
        <v>180.333333333333</v>
      </c>
      <c r="Q718" s="116">
        <v>541.65</v>
      </c>
      <c r="R718">
        <v>11274</v>
      </c>
    </row>
    <row r="719" spans="1:18" x14ac:dyDescent="0.25">
      <c r="A719" s="169">
        <v>43550</v>
      </c>
      <c r="B719" s="116">
        <v>180.01666666666699</v>
      </c>
      <c r="C719" s="116">
        <v>175.21666666666701</v>
      </c>
      <c r="D719" s="116">
        <v>174</v>
      </c>
      <c r="E719" s="116">
        <v>180.01666666666699</v>
      </c>
      <c r="F719" s="116">
        <v>525.65</v>
      </c>
      <c r="G719">
        <v>2054</v>
      </c>
      <c r="H719" s="116"/>
      <c r="I719" s="116"/>
      <c r="L719" s="169">
        <v>43550</v>
      </c>
      <c r="M719" s="116">
        <v>173.23333333333301</v>
      </c>
      <c r="N719" s="116">
        <v>181.98333333333301</v>
      </c>
      <c r="O719" s="116">
        <v>172</v>
      </c>
      <c r="P719" s="116">
        <v>181.98333333333301</v>
      </c>
      <c r="Q719" s="116">
        <v>519.70000000000005</v>
      </c>
      <c r="R719">
        <v>39839</v>
      </c>
    </row>
    <row r="720" spans="1:18" x14ac:dyDescent="0.25">
      <c r="A720" s="169">
        <v>43551</v>
      </c>
      <c r="B720" s="116">
        <v>176.71666666666701</v>
      </c>
      <c r="C720" s="116">
        <v>173.083333333333</v>
      </c>
      <c r="D720" s="116">
        <v>172.333333333333</v>
      </c>
      <c r="E720" s="116">
        <v>173.01666666666699</v>
      </c>
      <c r="F720" s="116">
        <v>519.25</v>
      </c>
      <c r="G720">
        <v>2378</v>
      </c>
      <c r="H720" s="116"/>
      <c r="I720" s="116"/>
      <c r="L720" s="169">
        <v>43551</v>
      </c>
      <c r="M720" s="116">
        <v>173.28333333333299</v>
      </c>
      <c r="N720" s="116">
        <v>176.666666666667</v>
      </c>
      <c r="O720" s="116">
        <v>172.683333333333</v>
      </c>
      <c r="P720" s="116">
        <v>173.35</v>
      </c>
      <c r="Q720" s="116">
        <v>519.85</v>
      </c>
      <c r="R720">
        <v>19011</v>
      </c>
    </row>
    <row r="721" spans="1:18" x14ac:dyDescent="0.25">
      <c r="A721" s="169">
        <v>43552</v>
      </c>
      <c r="B721" s="116">
        <v>175.38333333333301</v>
      </c>
      <c r="C721" s="116">
        <v>174.4</v>
      </c>
      <c r="D721" s="116">
        <v>171.7</v>
      </c>
      <c r="E721" s="116">
        <v>171.7</v>
      </c>
      <c r="F721" s="116">
        <v>523.20000000000005</v>
      </c>
      <c r="G721">
        <v>942</v>
      </c>
      <c r="H721" s="116"/>
      <c r="I721" s="116"/>
      <c r="L721" s="169">
        <v>43552</v>
      </c>
      <c r="M721" s="116">
        <v>174.583333333333</v>
      </c>
      <c r="N721" s="116">
        <v>175.433333333333</v>
      </c>
      <c r="O721" s="116">
        <v>173.35</v>
      </c>
      <c r="P721" s="116">
        <v>173.36666666666699</v>
      </c>
      <c r="Q721" s="116">
        <v>523.75</v>
      </c>
      <c r="R721">
        <v>10246</v>
      </c>
    </row>
    <row r="722" spans="1:18" x14ac:dyDescent="0.25">
      <c r="A722" s="169">
        <v>43553</v>
      </c>
      <c r="B722" s="116">
        <v>177.666666666667</v>
      </c>
      <c r="C722" s="116">
        <v>176.833333333333</v>
      </c>
      <c r="D722" s="116">
        <v>173.35</v>
      </c>
      <c r="E722" s="116">
        <v>173.35</v>
      </c>
      <c r="F722" s="116">
        <v>530.5</v>
      </c>
      <c r="G722">
        <v>1516</v>
      </c>
      <c r="H722" s="116"/>
      <c r="I722" s="116"/>
      <c r="L722" s="169">
        <v>43553</v>
      </c>
      <c r="M722" s="116">
        <v>177.96666666666701</v>
      </c>
      <c r="N722" s="116">
        <v>178.65</v>
      </c>
      <c r="O722" s="116">
        <v>174.75</v>
      </c>
      <c r="P722" s="116">
        <v>175.05</v>
      </c>
      <c r="Q722" s="116">
        <v>533.9</v>
      </c>
      <c r="R722">
        <v>14885</v>
      </c>
    </row>
    <row r="723" spans="1:18" x14ac:dyDescent="0.25">
      <c r="A723" s="169">
        <v>43556</v>
      </c>
      <c r="B723" s="116">
        <v>179.333333333333</v>
      </c>
      <c r="C723" s="116">
        <v>175.76666666666699</v>
      </c>
      <c r="D723" s="116">
        <v>175.5</v>
      </c>
      <c r="E723" s="116">
        <v>176.666666666667</v>
      </c>
      <c r="F723" s="116">
        <v>527.29999999999995</v>
      </c>
      <c r="G723">
        <v>1777</v>
      </c>
      <c r="H723" s="116"/>
      <c r="I723" s="116"/>
      <c r="L723" s="169">
        <v>43556</v>
      </c>
      <c r="M723" s="116">
        <v>175.86666666666699</v>
      </c>
      <c r="N723" s="116">
        <v>179.88333333333301</v>
      </c>
      <c r="O723" s="116">
        <v>175</v>
      </c>
      <c r="P723" s="116">
        <v>176.03333333333299</v>
      </c>
      <c r="Q723" s="116">
        <v>527.6</v>
      </c>
      <c r="R723">
        <v>11705</v>
      </c>
    </row>
    <row r="724" spans="1:18" x14ac:dyDescent="0.25">
      <c r="A724" s="169">
        <v>43557</v>
      </c>
      <c r="B724" s="116">
        <v>181.26666666666699</v>
      </c>
      <c r="C724" s="116">
        <v>177.75</v>
      </c>
      <c r="D724" s="116">
        <v>176.65</v>
      </c>
      <c r="E724" s="116">
        <v>177.683333333333</v>
      </c>
      <c r="F724" s="116">
        <v>533.25</v>
      </c>
      <c r="G724">
        <v>1495</v>
      </c>
      <c r="H724" s="116"/>
      <c r="I724" s="116"/>
      <c r="L724" s="169">
        <v>43557</v>
      </c>
      <c r="M724" s="116">
        <v>177.65</v>
      </c>
      <c r="N724" s="116">
        <v>181.333333333333</v>
      </c>
      <c r="O724" s="116">
        <v>175.85</v>
      </c>
      <c r="P724" s="116">
        <v>177.6</v>
      </c>
      <c r="Q724" s="116">
        <v>532.95000000000005</v>
      </c>
      <c r="R724">
        <v>15493</v>
      </c>
    </row>
    <row r="725" spans="1:18" x14ac:dyDescent="0.25">
      <c r="A725" s="169">
        <v>43558</v>
      </c>
      <c r="B725" s="116">
        <v>179.666666666667</v>
      </c>
      <c r="C725" s="116">
        <v>176.416666666667</v>
      </c>
      <c r="D725" s="116">
        <v>175</v>
      </c>
      <c r="E725" s="116">
        <v>179.666666666667</v>
      </c>
      <c r="F725" s="116">
        <v>529.25</v>
      </c>
      <c r="G725">
        <v>732</v>
      </c>
      <c r="H725" s="116"/>
      <c r="I725" s="116"/>
      <c r="L725" s="169">
        <v>43558</v>
      </c>
      <c r="M725" s="116">
        <v>176.61666666666699</v>
      </c>
      <c r="N725" s="116">
        <v>180.666666666667</v>
      </c>
      <c r="O725" s="116">
        <v>175.666666666667</v>
      </c>
      <c r="P725" s="116">
        <v>178</v>
      </c>
      <c r="Q725" s="116">
        <v>529.85</v>
      </c>
      <c r="R725">
        <v>8035</v>
      </c>
    </row>
    <row r="726" spans="1:18" x14ac:dyDescent="0.25">
      <c r="A726" s="169">
        <v>43559</v>
      </c>
      <c r="B726" s="116">
        <v>178.333333333333</v>
      </c>
      <c r="C726" s="116">
        <v>174.11666666666699</v>
      </c>
      <c r="D726" s="116">
        <v>174.01666666666699</v>
      </c>
      <c r="E726" s="116">
        <v>178.333333333333</v>
      </c>
      <c r="F726" s="116">
        <v>522.35</v>
      </c>
      <c r="G726">
        <v>994</v>
      </c>
      <c r="H726" s="116"/>
      <c r="I726" s="116"/>
      <c r="L726" s="169">
        <v>43559</v>
      </c>
      <c r="M726" s="116">
        <v>174.816666666667</v>
      </c>
      <c r="N726" s="116">
        <v>178.666666666667</v>
      </c>
      <c r="O726" s="116">
        <v>174.2</v>
      </c>
      <c r="P726" s="116">
        <v>178</v>
      </c>
      <c r="Q726" s="116">
        <v>524.45000000000005</v>
      </c>
      <c r="R726">
        <v>16517</v>
      </c>
    </row>
    <row r="727" spans="1:18" x14ac:dyDescent="0.25">
      <c r="A727" s="169">
        <v>43560</v>
      </c>
      <c r="B727" s="116">
        <v>180</v>
      </c>
      <c r="C727" s="116">
        <v>179.316666666667</v>
      </c>
      <c r="D727" s="116">
        <v>173.73333333333301</v>
      </c>
      <c r="E727" s="116">
        <v>177.166666666667</v>
      </c>
      <c r="F727" s="116">
        <v>537.95000000000005</v>
      </c>
      <c r="G727">
        <v>1292</v>
      </c>
      <c r="H727" s="116"/>
      <c r="I727" s="116"/>
      <c r="L727" s="169">
        <v>43560</v>
      </c>
      <c r="M727" s="116">
        <v>178.65</v>
      </c>
      <c r="N727" s="116">
        <v>180.78333333333299</v>
      </c>
      <c r="O727" s="116">
        <v>173.666666666667</v>
      </c>
      <c r="P727" s="116">
        <v>175.01666666666699</v>
      </c>
      <c r="Q727" s="116">
        <v>535.95000000000005</v>
      </c>
      <c r="R727">
        <v>27535</v>
      </c>
    </row>
    <row r="728" spans="1:18" x14ac:dyDescent="0.25">
      <c r="A728" s="169">
        <v>43563</v>
      </c>
      <c r="B728" s="116">
        <v>181.666666666667</v>
      </c>
      <c r="C728" s="116">
        <v>176.11666666666699</v>
      </c>
      <c r="D728" s="116">
        <v>175.71666666666701</v>
      </c>
      <c r="E728" s="116">
        <v>181.666666666667</v>
      </c>
      <c r="F728" s="116">
        <v>528.35</v>
      </c>
      <c r="G728">
        <v>350</v>
      </c>
      <c r="H728" s="116"/>
      <c r="I728" s="116"/>
      <c r="L728" s="169">
        <v>43563</v>
      </c>
      <c r="M728" s="116">
        <v>176.55</v>
      </c>
      <c r="N728" s="116">
        <v>180.25</v>
      </c>
      <c r="O728" s="116">
        <v>175.7</v>
      </c>
      <c r="P728" s="116">
        <v>178.683333333333</v>
      </c>
      <c r="Q728" s="116">
        <v>529.65</v>
      </c>
      <c r="R728">
        <v>9806</v>
      </c>
    </row>
    <row r="729" spans="1:18" x14ac:dyDescent="0.25">
      <c r="A729" s="169">
        <v>43564</v>
      </c>
      <c r="B729" s="116">
        <v>180.78333333333299</v>
      </c>
      <c r="C729" s="116">
        <v>174.86666666666699</v>
      </c>
      <c r="D729" s="116">
        <v>174.333333333333</v>
      </c>
      <c r="E729" s="116">
        <v>175.51666666666699</v>
      </c>
      <c r="F729" s="116">
        <v>524.6</v>
      </c>
      <c r="G729">
        <v>1320</v>
      </c>
      <c r="H729" s="116"/>
      <c r="I729" s="116"/>
      <c r="L729" s="169">
        <v>43564</v>
      </c>
      <c r="M729" s="116">
        <v>173.73333333333301</v>
      </c>
      <c r="N729" s="116">
        <v>178.3</v>
      </c>
      <c r="O729" s="116">
        <v>173.53333333333299</v>
      </c>
      <c r="P729" s="116">
        <v>178.3</v>
      </c>
      <c r="Q729" s="116">
        <v>521.20000000000005</v>
      </c>
      <c r="R729">
        <v>17529</v>
      </c>
    </row>
    <row r="730" spans="1:18" x14ac:dyDescent="0.25">
      <c r="A730" s="169">
        <v>43565</v>
      </c>
      <c r="B730" s="116">
        <v>176</v>
      </c>
      <c r="C730" s="116">
        <v>173.566666666667</v>
      </c>
      <c r="D730" s="116">
        <v>173.4</v>
      </c>
      <c r="E730" s="116">
        <v>173.4</v>
      </c>
      <c r="F730" s="116">
        <v>520.70000000000005</v>
      </c>
      <c r="G730">
        <v>872</v>
      </c>
      <c r="H730" s="116"/>
      <c r="I730" s="116"/>
      <c r="L730" s="169">
        <v>43565</v>
      </c>
      <c r="M730" s="116">
        <v>173.28333333333299</v>
      </c>
      <c r="N730" s="116">
        <v>175.86666666666699</v>
      </c>
      <c r="O730" s="116">
        <v>173</v>
      </c>
      <c r="P730" s="116">
        <v>173.75</v>
      </c>
      <c r="Q730" s="116">
        <v>519.85</v>
      </c>
      <c r="R730">
        <v>21973</v>
      </c>
    </row>
    <row r="731" spans="1:18" x14ac:dyDescent="0.25">
      <c r="A731" s="169">
        <v>43566</v>
      </c>
      <c r="B731" s="116">
        <v>174.833333333333</v>
      </c>
      <c r="C731" s="116">
        <v>173.53333333333299</v>
      </c>
      <c r="D731" s="116">
        <v>172.933333333333</v>
      </c>
      <c r="E731" s="116">
        <v>173.333333333333</v>
      </c>
      <c r="F731" s="116">
        <v>520.6</v>
      </c>
      <c r="G731">
        <v>361</v>
      </c>
      <c r="H731" s="116"/>
      <c r="I731" s="116"/>
      <c r="L731" s="169">
        <v>43566</v>
      </c>
      <c r="M731" s="116">
        <v>173.26666666666699</v>
      </c>
      <c r="N731" s="116">
        <v>175.333333333333</v>
      </c>
      <c r="O731" s="116">
        <v>172.666666666667</v>
      </c>
      <c r="P731" s="116">
        <v>173.28333333333299</v>
      </c>
      <c r="Q731" s="116">
        <v>519.79999999999995</v>
      </c>
      <c r="R731">
        <v>23356</v>
      </c>
    </row>
    <row r="732" spans="1:18" x14ac:dyDescent="0.25">
      <c r="A732" s="169">
        <v>43567</v>
      </c>
      <c r="B732" s="116">
        <v>174.666666666667</v>
      </c>
      <c r="C732" s="116">
        <v>173.416666666667</v>
      </c>
      <c r="D732" s="116">
        <v>172</v>
      </c>
      <c r="E732" s="116">
        <v>172</v>
      </c>
      <c r="F732" s="116">
        <v>520.25</v>
      </c>
      <c r="G732">
        <v>898</v>
      </c>
      <c r="H732" s="116"/>
      <c r="I732" s="116"/>
      <c r="L732" s="169">
        <v>43567</v>
      </c>
      <c r="M732" s="116">
        <v>173.46666666666701</v>
      </c>
      <c r="N732" s="116">
        <v>174.25</v>
      </c>
      <c r="O732" s="116">
        <v>172</v>
      </c>
      <c r="P732" s="116">
        <v>173.26666666666699</v>
      </c>
      <c r="Q732" s="116">
        <v>520.4</v>
      </c>
      <c r="R732">
        <v>10209</v>
      </c>
    </row>
    <row r="733" spans="1:18" x14ac:dyDescent="0.25">
      <c r="A733" s="169">
        <v>43570</v>
      </c>
      <c r="B733" s="116">
        <v>177.28333333333299</v>
      </c>
      <c r="C733" s="116">
        <v>172.11666666666699</v>
      </c>
      <c r="D733" s="116">
        <v>171.816666666667</v>
      </c>
      <c r="E733" s="116">
        <v>173.5</v>
      </c>
      <c r="F733" s="116">
        <v>516.35</v>
      </c>
      <c r="G733">
        <v>2725</v>
      </c>
      <c r="H733" s="116"/>
      <c r="I733" s="116"/>
      <c r="L733" s="169">
        <v>43570</v>
      </c>
      <c r="M733" s="116">
        <v>171.95</v>
      </c>
      <c r="N733" s="116">
        <v>177.083333333333</v>
      </c>
      <c r="O733" s="116">
        <v>171.333333333333</v>
      </c>
      <c r="P733" s="116">
        <v>174</v>
      </c>
      <c r="Q733" s="116">
        <v>515.85</v>
      </c>
      <c r="R733">
        <v>80621</v>
      </c>
    </row>
    <row r="734" spans="1:18" x14ac:dyDescent="0.25">
      <c r="A734" s="169">
        <v>43571</v>
      </c>
      <c r="B734" s="116">
        <v>173.333333333333</v>
      </c>
      <c r="C734" s="116">
        <v>172.98333333333301</v>
      </c>
      <c r="D734" s="116">
        <v>172</v>
      </c>
      <c r="E734" s="116">
        <v>173.333333333333</v>
      </c>
      <c r="F734" s="116">
        <v>518.95000000000005</v>
      </c>
      <c r="G734">
        <v>212</v>
      </c>
      <c r="H734" s="116"/>
      <c r="I734" s="116"/>
      <c r="L734" s="169">
        <v>43571</v>
      </c>
      <c r="M734" s="116">
        <v>172.23333333333301</v>
      </c>
      <c r="N734" s="116">
        <v>173.3</v>
      </c>
      <c r="O734" s="116">
        <v>171.666666666667</v>
      </c>
      <c r="P734" s="116">
        <v>173.3</v>
      </c>
      <c r="Q734" s="116">
        <v>516.70000000000005</v>
      </c>
      <c r="R734">
        <v>19272</v>
      </c>
    </row>
    <row r="735" spans="1:18" x14ac:dyDescent="0.25">
      <c r="A735" s="169">
        <v>43573</v>
      </c>
      <c r="B735" s="116">
        <v>173.316666666667</v>
      </c>
      <c r="C735" s="116">
        <v>170.4</v>
      </c>
      <c r="D735" s="116">
        <v>169.8</v>
      </c>
      <c r="E735" s="116">
        <v>172</v>
      </c>
      <c r="F735" s="116">
        <v>511.2</v>
      </c>
      <c r="G735">
        <v>1339</v>
      </c>
      <c r="H735" s="116"/>
      <c r="I735" s="116"/>
      <c r="L735" s="169">
        <v>43573</v>
      </c>
      <c r="M735" s="116">
        <v>170.583333333333</v>
      </c>
      <c r="N735" s="116">
        <v>173.96666666666701</v>
      </c>
      <c r="O735" s="116">
        <v>169</v>
      </c>
      <c r="P735" s="116">
        <v>173.96666666666701</v>
      </c>
      <c r="Q735" s="116">
        <v>511.75</v>
      </c>
      <c r="R735">
        <v>18427</v>
      </c>
    </row>
    <row r="736" spans="1:18" x14ac:dyDescent="0.25">
      <c r="A736" s="169">
        <v>43577</v>
      </c>
      <c r="B736" s="116">
        <v>171.933333333333</v>
      </c>
      <c r="C736" s="116">
        <v>165.816666666667</v>
      </c>
      <c r="D736" s="116">
        <v>165</v>
      </c>
      <c r="E736" s="116">
        <v>170.333333333333</v>
      </c>
      <c r="F736" s="116">
        <v>497.45</v>
      </c>
      <c r="G736">
        <v>1225</v>
      </c>
      <c r="H736" s="116"/>
      <c r="I736" s="116"/>
      <c r="L736" s="169">
        <v>43577</v>
      </c>
      <c r="M736" s="116">
        <v>165.316666666667</v>
      </c>
      <c r="N736" s="116">
        <v>171.78333333333299</v>
      </c>
      <c r="O736" s="116">
        <v>164.666666666667</v>
      </c>
      <c r="P736" s="116">
        <v>170.833333333333</v>
      </c>
      <c r="Q736" s="116">
        <v>495.95</v>
      </c>
      <c r="R736">
        <v>60669</v>
      </c>
    </row>
    <row r="737" spans="1:18" x14ac:dyDescent="0.25">
      <c r="A737" s="169">
        <v>43578</v>
      </c>
      <c r="B737" s="116">
        <v>168.21666666666701</v>
      </c>
      <c r="C737" s="116">
        <v>164.933333333333</v>
      </c>
      <c r="D737" s="116">
        <v>164.21666666666701</v>
      </c>
      <c r="E737" s="116">
        <v>165.03333333333299</v>
      </c>
      <c r="F737" s="116">
        <v>494.8</v>
      </c>
      <c r="G737">
        <v>747</v>
      </c>
      <c r="H737" s="116"/>
      <c r="I737" s="116"/>
      <c r="L737" s="169">
        <v>43578</v>
      </c>
      <c r="M737" s="116">
        <v>164.65</v>
      </c>
      <c r="N737" s="116">
        <v>168.083333333333</v>
      </c>
      <c r="O737" s="116">
        <v>163.75</v>
      </c>
      <c r="P737" s="116">
        <v>166.61666666666699</v>
      </c>
      <c r="Q737" s="116">
        <v>493.95</v>
      </c>
      <c r="R737">
        <v>15390</v>
      </c>
    </row>
    <row r="738" spans="1:18" x14ac:dyDescent="0.25">
      <c r="A738" s="169">
        <v>43579</v>
      </c>
      <c r="B738" s="116">
        <v>166.333333333333</v>
      </c>
      <c r="C738" s="116">
        <v>165.816666666667</v>
      </c>
      <c r="D738" s="116">
        <v>163.333333333333</v>
      </c>
      <c r="E738" s="116">
        <v>163.666666666667</v>
      </c>
      <c r="F738" s="116">
        <v>497.45</v>
      </c>
      <c r="G738">
        <v>712</v>
      </c>
      <c r="H738" s="116"/>
      <c r="I738" s="116"/>
      <c r="L738" s="169">
        <v>43579</v>
      </c>
      <c r="M738" s="116">
        <v>166.333333333333</v>
      </c>
      <c r="N738" s="116">
        <v>166.666666666667</v>
      </c>
      <c r="O738" s="116">
        <v>163.833333333333</v>
      </c>
      <c r="P738" s="116">
        <v>166</v>
      </c>
      <c r="Q738" s="116">
        <v>499</v>
      </c>
      <c r="R738">
        <v>9254</v>
      </c>
    </row>
    <row r="739" spans="1:18" x14ac:dyDescent="0.25">
      <c r="A739" s="169">
        <v>43580</v>
      </c>
      <c r="B739" s="116">
        <v>170</v>
      </c>
      <c r="C739" s="116">
        <v>167</v>
      </c>
      <c r="D739" s="116">
        <v>164.05</v>
      </c>
      <c r="E739" s="116">
        <v>164.05</v>
      </c>
      <c r="F739" s="116">
        <v>501</v>
      </c>
      <c r="G739">
        <v>761</v>
      </c>
      <c r="H739" s="116"/>
      <c r="I739" s="116"/>
      <c r="L739" s="169">
        <v>43580</v>
      </c>
      <c r="M739" s="116">
        <v>166.9</v>
      </c>
      <c r="N739" s="116">
        <v>169.9</v>
      </c>
      <c r="O739" s="116">
        <v>165.316666666667</v>
      </c>
      <c r="P739" s="116">
        <v>166.333333333333</v>
      </c>
      <c r="Q739" s="116">
        <v>500.7</v>
      </c>
      <c r="R739">
        <v>16703</v>
      </c>
    </row>
    <row r="740" spans="1:18" x14ac:dyDescent="0.25">
      <c r="A740" s="169">
        <v>43581</v>
      </c>
      <c r="B740" s="116">
        <v>168.166666666667</v>
      </c>
      <c r="C740" s="116">
        <v>164.35</v>
      </c>
      <c r="D740" s="116">
        <v>164</v>
      </c>
      <c r="E740" s="116">
        <v>168.083333333333</v>
      </c>
      <c r="F740" s="116">
        <v>493.05</v>
      </c>
      <c r="G740">
        <v>1435</v>
      </c>
      <c r="H740" s="116"/>
      <c r="I740" s="116"/>
      <c r="L740" s="169">
        <v>43581</v>
      </c>
      <c r="M740" s="116">
        <v>163.76666666666699</v>
      </c>
      <c r="N740" s="116">
        <v>167.65</v>
      </c>
      <c r="O740" s="116">
        <v>163.36666666666699</v>
      </c>
      <c r="P740" s="116">
        <v>166.683333333333</v>
      </c>
      <c r="Q740" s="116">
        <v>491.3</v>
      </c>
      <c r="R740">
        <v>26436</v>
      </c>
    </row>
    <row r="741" spans="1:18" x14ac:dyDescent="0.25">
      <c r="A741" s="169">
        <v>43585</v>
      </c>
      <c r="B741" s="116">
        <v>164.833333333333</v>
      </c>
      <c r="C741" s="116">
        <v>163.48333333333301</v>
      </c>
      <c r="D741" s="116">
        <v>162.666666666667</v>
      </c>
      <c r="E741" s="116">
        <v>163.5</v>
      </c>
      <c r="F741" s="116">
        <v>490.45</v>
      </c>
      <c r="G741">
        <v>785</v>
      </c>
      <c r="H741" s="116"/>
      <c r="I741" s="116"/>
      <c r="L741" s="169">
        <v>43585</v>
      </c>
      <c r="M741" s="116">
        <v>163.96666666666701</v>
      </c>
      <c r="N741" s="116">
        <v>165.183333333333</v>
      </c>
      <c r="O741" s="116">
        <v>162.73333333333301</v>
      </c>
      <c r="P741" s="116">
        <v>163.76666666666699</v>
      </c>
      <c r="Q741" s="116">
        <v>491.9</v>
      </c>
      <c r="R741">
        <v>11380</v>
      </c>
    </row>
    <row r="742" spans="1:18" x14ac:dyDescent="0.25">
      <c r="A742" s="169">
        <v>43587</v>
      </c>
      <c r="B742" s="116">
        <v>164.46666666666701</v>
      </c>
      <c r="C742" s="116">
        <v>161.36666666666699</v>
      </c>
      <c r="D742" s="116">
        <v>156.85</v>
      </c>
      <c r="E742" s="116">
        <v>162.69999999999999</v>
      </c>
      <c r="F742" s="116">
        <v>484.1</v>
      </c>
      <c r="G742">
        <v>2069</v>
      </c>
      <c r="H742" s="116"/>
      <c r="I742" s="116"/>
      <c r="L742" s="169">
        <v>43587</v>
      </c>
      <c r="M742" s="116">
        <v>161.333333333333</v>
      </c>
      <c r="N742" s="116">
        <v>165.03333333333299</v>
      </c>
      <c r="O742" s="116">
        <v>160.38333333333301</v>
      </c>
      <c r="P742" s="116">
        <v>164.63333333333301</v>
      </c>
      <c r="Q742" s="116">
        <v>484</v>
      </c>
      <c r="R742">
        <v>21796</v>
      </c>
    </row>
    <row r="743" spans="1:18" x14ac:dyDescent="0.25">
      <c r="A743" s="169">
        <v>43588</v>
      </c>
      <c r="B743" s="116">
        <v>163.166666666667</v>
      </c>
      <c r="C743" s="116">
        <v>161.63333333333301</v>
      </c>
      <c r="D743" s="116">
        <v>160</v>
      </c>
      <c r="E743" s="116">
        <v>160.166666666667</v>
      </c>
      <c r="F743" s="116">
        <v>484.9</v>
      </c>
      <c r="G743">
        <v>629</v>
      </c>
      <c r="H743" s="116"/>
      <c r="I743" s="116"/>
      <c r="L743" s="169">
        <v>43588</v>
      </c>
      <c r="M743" s="116">
        <v>161.75</v>
      </c>
      <c r="N743" s="116">
        <v>164.166666666667</v>
      </c>
      <c r="O743" s="116">
        <v>159.69999999999999</v>
      </c>
      <c r="P743" s="116">
        <v>161.35</v>
      </c>
      <c r="Q743" s="116">
        <v>485.25</v>
      </c>
      <c r="R743">
        <v>85995</v>
      </c>
    </row>
    <row r="744" spans="1:18" x14ac:dyDescent="0.25">
      <c r="A744" s="169">
        <v>43591</v>
      </c>
      <c r="B744" s="116">
        <v>162.316666666667</v>
      </c>
      <c r="C744" s="116">
        <v>161.583333333333</v>
      </c>
      <c r="D744" s="116">
        <v>160.13333333333301</v>
      </c>
      <c r="E744" s="116">
        <v>161.666666666667</v>
      </c>
      <c r="F744" s="116">
        <v>484.75</v>
      </c>
      <c r="G744">
        <v>541</v>
      </c>
      <c r="H744" s="116"/>
      <c r="I744" s="116"/>
      <c r="L744" s="169">
        <v>43591</v>
      </c>
      <c r="M744" s="116">
        <v>161.71666666666701</v>
      </c>
      <c r="N744" s="116">
        <v>163.30000000000001</v>
      </c>
      <c r="O744" s="116">
        <v>160.03333333333299</v>
      </c>
      <c r="P744" s="116">
        <v>163.30000000000001</v>
      </c>
      <c r="Q744" s="116">
        <v>485.15</v>
      </c>
      <c r="R744">
        <v>4385</v>
      </c>
    </row>
    <row r="745" spans="1:18" x14ac:dyDescent="0.25">
      <c r="A745" s="169">
        <v>43592</v>
      </c>
      <c r="B745" s="116">
        <v>163.666666666667</v>
      </c>
      <c r="C745" s="116">
        <v>161.46666666666701</v>
      </c>
      <c r="D745" s="116">
        <v>160.683333333333</v>
      </c>
      <c r="E745" s="116">
        <v>162.683333333333</v>
      </c>
      <c r="F745" s="116">
        <v>484.4</v>
      </c>
      <c r="G745">
        <v>487</v>
      </c>
      <c r="H745" s="116"/>
      <c r="I745" s="116"/>
      <c r="L745" s="169">
        <v>43592</v>
      </c>
      <c r="M745" s="116">
        <v>162.13333333333301</v>
      </c>
      <c r="N745" s="116">
        <v>164</v>
      </c>
      <c r="O745" s="116">
        <v>161.69999999999999</v>
      </c>
      <c r="P745" s="116">
        <v>163</v>
      </c>
      <c r="Q745" s="116">
        <v>486.4</v>
      </c>
      <c r="R745">
        <v>6634</v>
      </c>
    </row>
    <row r="746" spans="1:18" x14ac:dyDescent="0.25">
      <c r="A746" s="169">
        <v>43593</v>
      </c>
      <c r="B746" s="116">
        <v>164.9</v>
      </c>
      <c r="C746" s="116">
        <v>155.35</v>
      </c>
      <c r="D746" s="116">
        <v>155.05000000000001</v>
      </c>
      <c r="E746" s="116">
        <v>164.9</v>
      </c>
      <c r="F746" s="116">
        <v>466.05</v>
      </c>
      <c r="G746">
        <v>1951</v>
      </c>
      <c r="H746" s="116"/>
      <c r="I746" s="116"/>
      <c r="L746" s="169">
        <v>43593</v>
      </c>
      <c r="M746" s="116">
        <v>154.94999999999999</v>
      </c>
      <c r="N746" s="116">
        <v>161.416666666667</v>
      </c>
      <c r="O746" s="116">
        <v>154.316666666667</v>
      </c>
      <c r="P746" s="116">
        <v>161.416666666667</v>
      </c>
      <c r="Q746" s="116">
        <v>464.85</v>
      </c>
      <c r="R746">
        <v>30387</v>
      </c>
    </row>
    <row r="747" spans="1:18" x14ac:dyDescent="0.25">
      <c r="A747" s="169">
        <v>43594</v>
      </c>
      <c r="B747" s="116">
        <v>156.25</v>
      </c>
      <c r="C747" s="116">
        <v>153.38333333333301</v>
      </c>
      <c r="D747" s="116">
        <v>152.69999999999999</v>
      </c>
      <c r="E747" s="116">
        <v>154.01666666666699</v>
      </c>
      <c r="F747" s="116">
        <v>460.15</v>
      </c>
      <c r="G747">
        <v>1418</v>
      </c>
      <c r="H747" s="116"/>
      <c r="I747" s="116"/>
      <c r="L747" s="169">
        <v>43594</v>
      </c>
      <c r="M747" s="116">
        <v>152.61666666666699</v>
      </c>
      <c r="N747" s="116">
        <v>156</v>
      </c>
      <c r="O747" s="116">
        <v>151.88333333333301</v>
      </c>
      <c r="P747" s="116">
        <v>155.333333333333</v>
      </c>
      <c r="Q747" s="116">
        <v>457.85</v>
      </c>
      <c r="R747">
        <v>12499</v>
      </c>
    </row>
    <row r="748" spans="1:18" x14ac:dyDescent="0.25">
      <c r="A748" s="169">
        <v>43595</v>
      </c>
      <c r="B748" s="116">
        <v>154</v>
      </c>
      <c r="C748" s="116">
        <v>152.916666666667</v>
      </c>
      <c r="D748" s="116">
        <v>151.816666666667</v>
      </c>
      <c r="E748" s="116">
        <v>152.36666666666699</v>
      </c>
      <c r="F748" s="116">
        <v>458.75</v>
      </c>
      <c r="G748">
        <v>1471</v>
      </c>
      <c r="H748" s="116"/>
      <c r="I748" s="116"/>
      <c r="L748" s="169">
        <v>43595</v>
      </c>
      <c r="M748" s="116">
        <v>153.316666666667</v>
      </c>
      <c r="N748" s="116">
        <v>155.316666666667</v>
      </c>
      <c r="O748" s="116">
        <v>151.666666666667</v>
      </c>
      <c r="P748" s="116">
        <v>155.316666666667</v>
      </c>
      <c r="Q748" s="116">
        <v>459.95</v>
      </c>
      <c r="R748">
        <v>119524</v>
      </c>
    </row>
    <row r="749" spans="1:18" x14ac:dyDescent="0.25">
      <c r="A749" s="169">
        <v>43598</v>
      </c>
      <c r="B749" s="116">
        <v>154.48333333333301</v>
      </c>
      <c r="C749" s="116">
        <v>151.816666666667</v>
      </c>
      <c r="D749" s="116">
        <v>151.333333333333</v>
      </c>
      <c r="E749" s="116">
        <v>153.833333333333</v>
      </c>
      <c r="F749" s="116">
        <v>455.45</v>
      </c>
      <c r="G749">
        <v>967</v>
      </c>
      <c r="H749" s="116"/>
      <c r="I749" s="116"/>
      <c r="L749" s="169">
        <v>43598</v>
      </c>
      <c r="M749" s="116">
        <v>151.76666666666699</v>
      </c>
      <c r="N749" s="116">
        <v>154.816666666667</v>
      </c>
      <c r="O749" s="116">
        <v>151.71666666666701</v>
      </c>
      <c r="P749" s="116">
        <v>153.566666666667</v>
      </c>
      <c r="Q749" s="116">
        <v>455.3</v>
      </c>
      <c r="R749">
        <v>12791</v>
      </c>
    </row>
    <row r="750" spans="1:18" x14ac:dyDescent="0.25">
      <c r="A750" s="169">
        <v>43599</v>
      </c>
      <c r="B750" s="116">
        <v>151.80000000000001</v>
      </c>
      <c r="C750" s="116">
        <v>147.65</v>
      </c>
      <c r="D750" s="116">
        <v>145.35</v>
      </c>
      <c r="E750" s="116">
        <v>151.666666666667</v>
      </c>
      <c r="F750" s="116">
        <v>442.95</v>
      </c>
      <c r="G750">
        <v>1872</v>
      </c>
      <c r="H750" s="116"/>
      <c r="I750" s="116"/>
      <c r="L750" s="169">
        <v>43599</v>
      </c>
      <c r="M750" s="116">
        <v>147.933333333333</v>
      </c>
      <c r="N750" s="116">
        <v>151.98333333333301</v>
      </c>
      <c r="O750" s="116">
        <v>145.36666666666699</v>
      </c>
      <c r="P750" s="116">
        <v>151.76666666666699</v>
      </c>
      <c r="Q750" s="116">
        <v>443.8</v>
      </c>
      <c r="R750">
        <v>38225</v>
      </c>
    </row>
    <row r="751" spans="1:18" x14ac:dyDescent="0.25">
      <c r="A751" s="169">
        <v>43600</v>
      </c>
      <c r="B751" s="116">
        <v>151.23333333333301</v>
      </c>
      <c r="C751" s="116">
        <v>146.73333333333301</v>
      </c>
      <c r="D751" s="116">
        <v>146.666666666667</v>
      </c>
      <c r="E751" s="116">
        <v>150.61666666666699</v>
      </c>
      <c r="F751" s="116">
        <v>440.2</v>
      </c>
      <c r="G751">
        <v>1238</v>
      </c>
      <c r="H751" s="116"/>
      <c r="I751" s="116"/>
      <c r="L751" s="169">
        <v>43600</v>
      </c>
      <c r="M751" s="116">
        <v>146.96666666666701</v>
      </c>
      <c r="N751" s="116">
        <v>152.666666666667</v>
      </c>
      <c r="O751" s="116">
        <v>146.666666666667</v>
      </c>
      <c r="P751" s="116">
        <v>152.666666666667</v>
      </c>
      <c r="Q751" s="116">
        <v>440.9</v>
      </c>
      <c r="R751">
        <v>13239</v>
      </c>
    </row>
    <row r="752" spans="1:18" x14ac:dyDescent="0.25">
      <c r="A752" s="169">
        <v>43601</v>
      </c>
      <c r="B752" s="116">
        <v>148.1</v>
      </c>
      <c r="C752" s="116">
        <v>144.5</v>
      </c>
      <c r="D752" s="116">
        <v>142.9</v>
      </c>
      <c r="E752" s="116">
        <v>148.1</v>
      </c>
      <c r="F752" s="116">
        <v>433.5</v>
      </c>
      <c r="G752">
        <v>706</v>
      </c>
      <c r="H752" s="116"/>
      <c r="I752" s="116"/>
      <c r="L752" s="169">
        <v>43601</v>
      </c>
      <c r="M752" s="116">
        <v>143.816666666667</v>
      </c>
      <c r="N752" s="116">
        <v>148.51666666666699</v>
      </c>
      <c r="O752" s="116">
        <v>142.333333333333</v>
      </c>
      <c r="P752" s="116">
        <v>147</v>
      </c>
      <c r="Q752" s="116">
        <v>431.45</v>
      </c>
      <c r="R752">
        <v>13821</v>
      </c>
    </row>
    <row r="753" spans="1:18" x14ac:dyDescent="0.25">
      <c r="A753" s="169">
        <v>43602</v>
      </c>
      <c r="B753" s="116">
        <v>150.53333333333299</v>
      </c>
      <c r="C753" s="116">
        <v>147.75</v>
      </c>
      <c r="D753" s="116">
        <v>143.333333333333</v>
      </c>
      <c r="E753" s="116">
        <v>143.333333333333</v>
      </c>
      <c r="F753" s="116">
        <v>443.25</v>
      </c>
      <c r="G753">
        <v>1217</v>
      </c>
      <c r="H753" s="116"/>
      <c r="I753" s="116"/>
      <c r="L753" s="169">
        <v>43602</v>
      </c>
      <c r="M753" s="116">
        <v>147.98333333333301</v>
      </c>
      <c r="N753" s="116">
        <v>150.666666666667</v>
      </c>
      <c r="O753" s="116">
        <v>143</v>
      </c>
      <c r="P753" s="116">
        <v>143</v>
      </c>
      <c r="Q753" s="116">
        <v>443.95</v>
      </c>
      <c r="R753">
        <v>17937</v>
      </c>
    </row>
    <row r="754" spans="1:18" x14ac:dyDescent="0.25">
      <c r="A754" s="169">
        <v>43605</v>
      </c>
      <c r="B754" s="116">
        <v>149.666666666667</v>
      </c>
      <c r="C754" s="116">
        <v>145</v>
      </c>
      <c r="D754" s="116">
        <v>141.75</v>
      </c>
      <c r="E754" s="116">
        <v>148.03333333333299</v>
      </c>
      <c r="F754" s="116">
        <v>435</v>
      </c>
      <c r="G754">
        <v>145954</v>
      </c>
      <c r="H754" s="116"/>
      <c r="I754" s="116"/>
      <c r="L754" s="169">
        <v>43605</v>
      </c>
      <c r="M754" s="116">
        <v>144.9</v>
      </c>
      <c r="N754" s="116">
        <v>150.333333333333</v>
      </c>
      <c r="O754" s="116">
        <v>141.683333333333</v>
      </c>
      <c r="P754" s="116">
        <v>149.46666666666701</v>
      </c>
      <c r="Q754" s="116">
        <v>434.7</v>
      </c>
      <c r="R754">
        <v>44621</v>
      </c>
    </row>
    <row r="755" spans="1:18" x14ac:dyDescent="0.25">
      <c r="A755" s="169">
        <v>43606</v>
      </c>
      <c r="B755" s="116">
        <v>153.65</v>
      </c>
      <c r="C755" s="116">
        <v>149.48333333333301</v>
      </c>
      <c r="D755" s="116">
        <v>142.85</v>
      </c>
      <c r="E755" s="116">
        <v>146.333333333333</v>
      </c>
      <c r="F755" s="116">
        <v>448.45</v>
      </c>
      <c r="G755">
        <v>129510</v>
      </c>
      <c r="H755" s="116"/>
      <c r="I755" s="116"/>
      <c r="L755" s="169">
        <v>43606</v>
      </c>
      <c r="M755" s="116">
        <v>149.98333333333301</v>
      </c>
      <c r="N755" s="116">
        <v>152.333333333333</v>
      </c>
      <c r="O755" s="116">
        <v>142.11666666666699</v>
      </c>
      <c r="P755" s="116">
        <v>144.9</v>
      </c>
      <c r="Q755" s="116">
        <v>449.95</v>
      </c>
      <c r="R755">
        <v>405763</v>
      </c>
    </row>
    <row r="756" spans="1:18" x14ac:dyDescent="0.25">
      <c r="A756" s="169">
        <v>43607</v>
      </c>
      <c r="B756" s="116">
        <v>150.86666666666699</v>
      </c>
      <c r="C756" s="116">
        <v>146.78333333333299</v>
      </c>
      <c r="D756" s="116">
        <v>146.25</v>
      </c>
      <c r="E756" s="116">
        <v>150.05000000000001</v>
      </c>
      <c r="F756" s="116">
        <v>440.35</v>
      </c>
      <c r="G756">
        <v>2120</v>
      </c>
      <c r="H756" s="116"/>
      <c r="I756" s="116"/>
      <c r="L756" s="169">
        <v>43607</v>
      </c>
      <c r="M756" s="116">
        <v>146.13333333333301</v>
      </c>
      <c r="N756" s="116">
        <v>152.6</v>
      </c>
      <c r="O756" s="116">
        <v>145.333333333333</v>
      </c>
      <c r="P756" s="116">
        <v>150.1</v>
      </c>
      <c r="Q756" s="116">
        <v>438.4</v>
      </c>
      <c r="R756">
        <v>153603</v>
      </c>
    </row>
    <row r="757" spans="1:18" x14ac:dyDescent="0.25">
      <c r="A757" s="169">
        <v>43608</v>
      </c>
      <c r="B757" s="116">
        <v>149.75</v>
      </c>
      <c r="C757" s="116">
        <v>147.583333333333</v>
      </c>
      <c r="D757" s="116">
        <v>146.01666666666699</v>
      </c>
      <c r="E757" s="116">
        <v>147</v>
      </c>
      <c r="F757" s="116">
        <v>442.75</v>
      </c>
      <c r="G757">
        <v>50643</v>
      </c>
      <c r="H757" s="116"/>
      <c r="I757" s="116"/>
      <c r="L757" s="169">
        <v>43608</v>
      </c>
      <c r="M757" s="116">
        <v>147.433333333333</v>
      </c>
      <c r="N757" s="116">
        <v>149.666666666667</v>
      </c>
      <c r="O757" s="116">
        <v>146.183333333333</v>
      </c>
      <c r="P757" s="116">
        <v>147</v>
      </c>
      <c r="Q757" s="116">
        <v>442.3</v>
      </c>
      <c r="R757">
        <v>39833</v>
      </c>
    </row>
    <row r="758" spans="1:18" x14ac:dyDescent="0.25">
      <c r="A758" s="169">
        <v>43609</v>
      </c>
      <c r="B758" s="116">
        <v>156.666666666667</v>
      </c>
      <c r="C758" s="116">
        <v>154.80000000000001</v>
      </c>
      <c r="D758" s="116">
        <v>148.28333333333299</v>
      </c>
      <c r="E758" s="116">
        <v>148.28333333333299</v>
      </c>
      <c r="F758" s="116">
        <v>464.4</v>
      </c>
      <c r="G758">
        <v>1198</v>
      </c>
      <c r="H758" s="116"/>
      <c r="I758" s="116"/>
      <c r="L758" s="169">
        <v>43609</v>
      </c>
      <c r="M758" s="116">
        <v>154.25</v>
      </c>
      <c r="N758" s="116">
        <v>156.71666666666701</v>
      </c>
      <c r="O758" s="116">
        <v>146.19999999999999</v>
      </c>
      <c r="P758" s="116">
        <v>146.19999999999999</v>
      </c>
      <c r="Q758" s="116">
        <v>462.75</v>
      </c>
      <c r="R758">
        <v>46697</v>
      </c>
    </row>
    <row r="759" spans="1:18" x14ac:dyDescent="0.25">
      <c r="A759" s="169">
        <v>43612</v>
      </c>
      <c r="B759" s="116">
        <v>156.666666666667</v>
      </c>
      <c r="C759" s="116">
        <v>154.65</v>
      </c>
      <c r="D759" s="116">
        <v>153.916666666667</v>
      </c>
      <c r="E759" s="116">
        <v>154.666666666667</v>
      </c>
      <c r="F759" s="116">
        <v>463.95</v>
      </c>
      <c r="G759">
        <v>1668</v>
      </c>
      <c r="H759" s="116"/>
      <c r="I759" s="116"/>
      <c r="L759" s="169">
        <v>43612</v>
      </c>
      <c r="M759" s="116">
        <v>155.13333333333301</v>
      </c>
      <c r="N759" s="116">
        <v>157</v>
      </c>
      <c r="O759" s="116">
        <v>153.316666666667</v>
      </c>
      <c r="P759" s="116">
        <v>156.666666666667</v>
      </c>
      <c r="Q759" s="116">
        <v>465.4</v>
      </c>
      <c r="R759">
        <v>42106</v>
      </c>
    </row>
    <row r="760" spans="1:18" x14ac:dyDescent="0.25">
      <c r="A760" s="169">
        <v>43613</v>
      </c>
      <c r="B760" s="116">
        <v>162</v>
      </c>
      <c r="C760" s="116">
        <v>156.94999999999999</v>
      </c>
      <c r="D760" s="116">
        <v>155.1</v>
      </c>
      <c r="E760" s="116">
        <v>155.1</v>
      </c>
      <c r="F760" s="116">
        <v>470.85</v>
      </c>
      <c r="G760">
        <v>2899</v>
      </c>
      <c r="H760" s="116"/>
      <c r="I760" s="116"/>
      <c r="L760" s="169">
        <v>43613</v>
      </c>
      <c r="M760" s="116">
        <v>156.23333333333301</v>
      </c>
      <c r="N760" s="116">
        <v>162.5</v>
      </c>
      <c r="O760" s="116">
        <v>155.01666666666699</v>
      </c>
      <c r="P760" s="116">
        <v>156</v>
      </c>
      <c r="Q760" s="116">
        <v>468.7</v>
      </c>
      <c r="R760">
        <v>16006</v>
      </c>
    </row>
    <row r="761" spans="1:18" x14ac:dyDescent="0.25">
      <c r="A761" s="169">
        <v>43614</v>
      </c>
      <c r="B761" s="116">
        <v>159.583333333333</v>
      </c>
      <c r="C761" s="116">
        <v>158.73333333333301</v>
      </c>
      <c r="D761" s="116">
        <v>154.566666666667</v>
      </c>
      <c r="E761" s="116">
        <v>157.25</v>
      </c>
      <c r="F761" s="116">
        <v>476.2</v>
      </c>
      <c r="G761">
        <v>1017</v>
      </c>
      <c r="H761" s="116"/>
      <c r="I761" s="116"/>
      <c r="L761" s="169">
        <v>43614</v>
      </c>
      <c r="M761" s="116">
        <v>158.19999999999999</v>
      </c>
      <c r="N761" s="116">
        <v>159.333333333333</v>
      </c>
      <c r="O761" s="116">
        <v>154.23333333333301</v>
      </c>
      <c r="P761" s="116">
        <v>157.333333333333</v>
      </c>
      <c r="Q761" s="116">
        <v>474.6</v>
      </c>
      <c r="R761">
        <v>26048</v>
      </c>
    </row>
    <row r="762" spans="1:18" x14ac:dyDescent="0.25">
      <c r="A762" s="169">
        <v>43615</v>
      </c>
      <c r="B762" s="116">
        <v>161.78333333333299</v>
      </c>
      <c r="C762" s="116">
        <v>161.566666666667</v>
      </c>
      <c r="D762" s="116">
        <v>157.80000000000001</v>
      </c>
      <c r="E762" s="116">
        <v>158.94999999999999</v>
      </c>
      <c r="F762" s="116">
        <v>484.7</v>
      </c>
      <c r="G762">
        <v>357</v>
      </c>
      <c r="H762" s="116"/>
      <c r="I762" s="116"/>
      <c r="L762" s="169">
        <v>43615</v>
      </c>
      <c r="M762" s="116">
        <v>161.933333333333</v>
      </c>
      <c r="N762" s="116">
        <v>162.833333333333</v>
      </c>
      <c r="O762" s="116">
        <v>153.51666666666699</v>
      </c>
      <c r="P762" s="116">
        <v>153.51666666666699</v>
      </c>
      <c r="Q762" s="116">
        <v>485.8</v>
      </c>
      <c r="R762">
        <v>19818</v>
      </c>
    </row>
    <row r="763" spans="1:18" x14ac:dyDescent="0.25">
      <c r="A763" s="169">
        <v>43616</v>
      </c>
      <c r="B763" s="116">
        <v>163.13333333333301</v>
      </c>
      <c r="C763" s="116">
        <v>158.55000000000001</v>
      </c>
      <c r="D763" s="116">
        <v>157.166666666667</v>
      </c>
      <c r="E763" s="116">
        <v>162.5</v>
      </c>
      <c r="F763" s="116">
        <v>475.65</v>
      </c>
      <c r="G763">
        <v>614</v>
      </c>
      <c r="H763" s="116"/>
      <c r="I763" s="116"/>
      <c r="L763" s="169">
        <v>43616</v>
      </c>
      <c r="M763" s="116">
        <v>158</v>
      </c>
      <c r="N763" s="116">
        <v>163.30000000000001</v>
      </c>
      <c r="O763" s="116">
        <v>157.01666666666699</v>
      </c>
      <c r="P763" s="116">
        <v>161.933333333333</v>
      </c>
      <c r="Q763" s="116">
        <v>474</v>
      </c>
      <c r="R763">
        <v>7992</v>
      </c>
    </row>
    <row r="764" spans="1:18" x14ac:dyDescent="0.25">
      <c r="A764" s="169">
        <v>43619</v>
      </c>
      <c r="B764" s="116">
        <v>157.566666666667</v>
      </c>
      <c r="C764" s="116">
        <v>156.433333333333</v>
      </c>
      <c r="D764" s="116">
        <v>155.78333333333299</v>
      </c>
      <c r="E764" s="116">
        <v>156.78333333333299</v>
      </c>
      <c r="F764" s="116">
        <v>469.3</v>
      </c>
      <c r="G764">
        <v>682</v>
      </c>
      <c r="H764" s="116"/>
      <c r="I764" s="116"/>
      <c r="L764" s="169">
        <v>43619</v>
      </c>
      <c r="M764" s="116">
        <v>157</v>
      </c>
      <c r="N764" s="116">
        <v>159.933333333333</v>
      </c>
      <c r="O764" s="116">
        <v>156.166666666667</v>
      </c>
      <c r="P764" s="116">
        <v>159.933333333333</v>
      </c>
      <c r="Q764" s="116">
        <v>471</v>
      </c>
      <c r="R764">
        <v>11436</v>
      </c>
    </row>
    <row r="765" spans="1:18" x14ac:dyDescent="0.25">
      <c r="A765" s="169">
        <v>43620</v>
      </c>
      <c r="B765" s="116">
        <v>162.96666666666701</v>
      </c>
      <c r="C765" s="116">
        <v>158.433333333333</v>
      </c>
      <c r="D765" s="116">
        <v>155.666666666667</v>
      </c>
      <c r="E765" s="116">
        <v>159.61666666666699</v>
      </c>
      <c r="F765" s="116">
        <v>475.3</v>
      </c>
      <c r="G765">
        <v>3001</v>
      </c>
      <c r="H765" s="116"/>
      <c r="I765" s="116"/>
      <c r="L765" s="169">
        <v>43620</v>
      </c>
      <c r="M765" s="116">
        <v>157.833333333333</v>
      </c>
      <c r="N765" s="116">
        <v>161.48333333333301</v>
      </c>
      <c r="O765" s="116">
        <v>155.98333333333301</v>
      </c>
      <c r="P765" s="116">
        <v>156</v>
      </c>
      <c r="Q765" s="116">
        <v>473.5</v>
      </c>
      <c r="R765">
        <v>10512</v>
      </c>
    </row>
    <row r="766" spans="1:18" x14ac:dyDescent="0.25">
      <c r="A766" s="169">
        <v>43622</v>
      </c>
      <c r="B766" s="116">
        <v>159.36666666666699</v>
      </c>
      <c r="C766" s="116">
        <v>157.48333333333301</v>
      </c>
      <c r="D766" s="116">
        <v>155.666666666667</v>
      </c>
      <c r="E766" s="116">
        <v>159</v>
      </c>
      <c r="F766" s="116">
        <v>472.45</v>
      </c>
      <c r="G766">
        <v>914</v>
      </c>
      <c r="H766" s="116"/>
      <c r="I766" s="116"/>
      <c r="L766" s="169">
        <v>43622</v>
      </c>
      <c r="M766" s="116">
        <v>157.316666666667</v>
      </c>
      <c r="N766" s="116">
        <v>160.21666666666701</v>
      </c>
      <c r="O766" s="116">
        <v>154.88333333333301</v>
      </c>
      <c r="P766" s="116">
        <v>155.666666666667</v>
      </c>
      <c r="Q766" s="116">
        <v>471.95</v>
      </c>
      <c r="R766">
        <v>13743</v>
      </c>
    </row>
    <row r="767" spans="1:18" x14ac:dyDescent="0.25">
      <c r="A767" s="169">
        <v>43623</v>
      </c>
      <c r="B767" s="116">
        <v>157.333333333333</v>
      </c>
      <c r="C767" s="116">
        <v>155.25</v>
      </c>
      <c r="D767" s="116">
        <v>153.69999999999999</v>
      </c>
      <c r="E767" s="116">
        <v>156.9</v>
      </c>
      <c r="F767" s="116">
        <v>465.75</v>
      </c>
      <c r="G767">
        <v>1758</v>
      </c>
      <c r="H767" s="116"/>
      <c r="I767" s="116"/>
      <c r="L767" s="169">
        <v>43623</v>
      </c>
      <c r="M767" s="116">
        <v>155.36666666666699</v>
      </c>
      <c r="N767" s="116">
        <v>157.333333333333</v>
      </c>
      <c r="O767" s="116">
        <v>154.333333333333</v>
      </c>
      <c r="P767" s="116">
        <v>157.333333333333</v>
      </c>
      <c r="Q767" s="116">
        <v>466.1</v>
      </c>
      <c r="R767">
        <v>13531</v>
      </c>
    </row>
    <row r="768" spans="1:18" x14ac:dyDescent="0.25">
      <c r="A768" s="169">
        <v>43626</v>
      </c>
      <c r="B768" s="116">
        <v>159.65</v>
      </c>
      <c r="C768" s="116">
        <v>158.433333333333</v>
      </c>
      <c r="D768" s="116">
        <v>154.566666666667</v>
      </c>
      <c r="E768" s="116">
        <v>155.73333333333301</v>
      </c>
      <c r="F768" s="116">
        <v>475.3</v>
      </c>
      <c r="G768">
        <v>1272</v>
      </c>
      <c r="H768" s="116"/>
      <c r="I768" s="116"/>
      <c r="L768" s="169">
        <v>43626</v>
      </c>
      <c r="M768" s="116">
        <v>155.48333333333301</v>
      </c>
      <c r="N768" s="116">
        <v>156.9</v>
      </c>
      <c r="O768" s="116">
        <v>154.98333333333301</v>
      </c>
      <c r="P768" s="116">
        <v>155.666666666667</v>
      </c>
      <c r="Q768" s="116">
        <v>466.45</v>
      </c>
      <c r="R768">
        <v>11376</v>
      </c>
    </row>
    <row r="769" spans="1:18" x14ac:dyDescent="0.25">
      <c r="A769" s="169">
        <v>43627</v>
      </c>
      <c r="B769" s="116">
        <v>162.5</v>
      </c>
      <c r="C769" s="116">
        <v>161.666666666667</v>
      </c>
      <c r="D769" s="116">
        <v>155.28333333333299</v>
      </c>
      <c r="E769" s="116">
        <v>158</v>
      </c>
      <c r="F769" s="116">
        <v>485</v>
      </c>
      <c r="G769">
        <v>1320</v>
      </c>
      <c r="H769" s="116"/>
      <c r="I769" s="116"/>
      <c r="L769" s="169">
        <v>43627</v>
      </c>
      <c r="M769" s="116">
        <v>161.96666666666701</v>
      </c>
      <c r="N769" s="116">
        <v>162.666666666667</v>
      </c>
      <c r="O769" s="116">
        <v>155</v>
      </c>
      <c r="P769" s="116">
        <v>155.86666666666699</v>
      </c>
      <c r="Q769" s="116">
        <v>485.9</v>
      </c>
      <c r="R769">
        <v>19313</v>
      </c>
    </row>
    <row r="770" spans="1:18" x14ac:dyDescent="0.25">
      <c r="A770" s="169">
        <v>43628</v>
      </c>
      <c r="B770" s="116">
        <v>163</v>
      </c>
      <c r="C770" s="116">
        <v>159.94999999999999</v>
      </c>
      <c r="D770" s="116">
        <v>158.35</v>
      </c>
      <c r="E770" s="116">
        <v>161.35</v>
      </c>
      <c r="F770" s="116">
        <v>479.85</v>
      </c>
      <c r="G770">
        <v>4188</v>
      </c>
      <c r="H770" s="116"/>
      <c r="I770" s="116"/>
      <c r="L770" s="169">
        <v>43628</v>
      </c>
      <c r="M770" s="116">
        <v>160.15</v>
      </c>
      <c r="N770" s="116">
        <v>163.333333333333</v>
      </c>
      <c r="O770" s="116">
        <v>158.94999999999999</v>
      </c>
      <c r="P770" s="116">
        <v>163.333333333333</v>
      </c>
      <c r="Q770" s="116">
        <v>480.45</v>
      </c>
      <c r="R770">
        <v>3990</v>
      </c>
    </row>
    <row r="771" spans="1:18" x14ac:dyDescent="0.25">
      <c r="A771" s="169">
        <v>43629</v>
      </c>
      <c r="B771" s="116">
        <v>162.25</v>
      </c>
      <c r="C771" s="116">
        <v>160.03333333333299</v>
      </c>
      <c r="D771" s="116">
        <v>155.15</v>
      </c>
      <c r="E771" s="116">
        <v>162.25</v>
      </c>
      <c r="F771" s="116">
        <v>480.1</v>
      </c>
      <c r="G771">
        <v>6602</v>
      </c>
      <c r="H771" s="116"/>
      <c r="I771" s="116"/>
      <c r="L771" s="169">
        <v>43629</v>
      </c>
      <c r="M771" s="116">
        <v>160.23333333333301</v>
      </c>
      <c r="N771" s="116">
        <v>161.433333333333</v>
      </c>
      <c r="O771" s="116">
        <v>155</v>
      </c>
      <c r="P771" s="116">
        <v>160.05000000000001</v>
      </c>
      <c r="Q771" s="116">
        <v>480.7</v>
      </c>
      <c r="R771">
        <v>13964</v>
      </c>
    </row>
    <row r="772" spans="1:18" x14ac:dyDescent="0.25">
      <c r="A772" s="169">
        <v>43630</v>
      </c>
      <c r="B772" s="116">
        <v>160.666666666667</v>
      </c>
      <c r="C772" s="116">
        <v>159.566666666667</v>
      </c>
      <c r="D772" s="116">
        <v>157.416666666667</v>
      </c>
      <c r="E772" s="116">
        <v>159</v>
      </c>
      <c r="F772" s="116">
        <v>478.7</v>
      </c>
      <c r="G772">
        <v>6199</v>
      </c>
      <c r="H772" s="116"/>
      <c r="I772" s="116"/>
      <c r="L772" s="169">
        <v>43630</v>
      </c>
      <c r="M772" s="116">
        <v>159.69999999999999</v>
      </c>
      <c r="N772" s="116">
        <v>160.6</v>
      </c>
      <c r="O772" s="116">
        <v>157.46666666666701</v>
      </c>
      <c r="P772" s="116">
        <v>160</v>
      </c>
      <c r="Q772" s="116">
        <v>479.1</v>
      </c>
      <c r="R772">
        <v>8570</v>
      </c>
    </row>
    <row r="773" spans="1:18" x14ac:dyDescent="0.25">
      <c r="A773" s="169">
        <v>43633</v>
      </c>
      <c r="B773" s="116">
        <v>160.333333333333</v>
      </c>
      <c r="C773" s="116">
        <v>156.21666666666701</v>
      </c>
      <c r="D773" s="116">
        <v>155.316666666667</v>
      </c>
      <c r="E773" s="116">
        <v>158.333333333333</v>
      </c>
      <c r="F773" s="116">
        <v>468.65</v>
      </c>
      <c r="G773">
        <v>5365</v>
      </c>
      <c r="H773" s="116"/>
      <c r="I773" s="116"/>
      <c r="L773" s="169">
        <v>43633</v>
      </c>
      <c r="M773" s="116">
        <v>156.55000000000001</v>
      </c>
      <c r="N773" s="116">
        <v>163.333333333333</v>
      </c>
      <c r="O773" s="116">
        <v>155.05000000000001</v>
      </c>
      <c r="P773" s="116">
        <v>162.65</v>
      </c>
      <c r="Q773" s="116">
        <v>469.65</v>
      </c>
      <c r="R773">
        <v>11081</v>
      </c>
    </row>
    <row r="774" spans="1:18" x14ac:dyDescent="0.25">
      <c r="A774" s="169">
        <v>43634</v>
      </c>
      <c r="B774" s="116">
        <v>158.78333333333299</v>
      </c>
      <c r="C774" s="116">
        <v>156.51666666666699</v>
      </c>
      <c r="D774" s="116">
        <v>155.333333333333</v>
      </c>
      <c r="E774" s="116">
        <v>156.666666666667</v>
      </c>
      <c r="F774" s="116">
        <v>469.55</v>
      </c>
      <c r="G774">
        <v>1988</v>
      </c>
      <c r="H774" s="116"/>
      <c r="I774" s="116"/>
      <c r="L774" s="169">
        <v>43634</v>
      </c>
      <c r="M774" s="116">
        <v>156.566666666667</v>
      </c>
      <c r="N774" s="116">
        <v>159.1</v>
      </c>
      <c r="O774" s="116">
        <v>155</v>
      </c>
      <c r="P774" s="116">
        <v>157</v>
      </c>
      <c r="Q774" s="116">
        <v>469.7</v>
      </c>
      <c r="R774">
        <v>15527</v>
      </c>
    </row>
    <row r="775" spans="1:18" x14ac:dyDescent="0.25">
      <c r="A775" s="169">
        <v>43635</v>
      </c>
      <c r="B775" s="116">
        <v>158.166666666667</v>
      </c>
      <c r="C775" s="116">
        <v>155.96666666666701</v>
      </c>
      <c r="D775" s="116">
        <v>153.88333333333301</v>
      </c>
      <c r="E775" s="116">
        <v>156.666666666667</v>
      </c>
      <c r="F775" s="116">
        <v>467.9</v>
      </c>
      <c r="G775">
        <v>1469</v>
      </c>
      <c r="H775" s="116"/>
      <c r="I775" s="116"/>
      <c r="L775" s="169">
        <v>43635</v>
      </c>
      <c r="M775" s="116">
        <v>156.28333333333299</v>
      </c>
      <c r="N775" s="116">
        <v>157.98333333333301</v>
      </c>
      <c r="O775" s="116">
        <v>155.28333333333299</v>
      </c>
      <c r="P775" s="116">
        <v>157.5</v>
      </c>
      <c r="Q775" s="116">
        <v>468.85</v>
      </c>
      <c r="R775">
        <v>8192</v>
      </c>
    </row>
    <row r="776" spans="1:18" x14ac:dyDescent="0.25">
      <c r="A776" s="169">
        <v>43636</v>
      </c>
      <c r="B776" s="116">
        <v>157.666666666667</v>
      </c>
      <c r="C776" s="116">
        <v>156.01666666666699</v>
      </c>
      <c r="D776" s="116">
        <v>154.333333333333</v>
      </c>
      <c r="E776" s="116">
        <v>156.183333333333</v>
      </c>
      <c r="F776" s="116">
        <v>468.05</v>
      </c>
      <c r="G776">
        <v>3844</v>
      </c>
      <c r="H776" s="116"/>
      <c r="I776" s="116"/>
      <c r="L776" s="169">
        <v>43636</v>
      </c>
      <c r="M776" s="116">
        <v>156.6</v>
      </c>
      <c r="N776" s="116">
        <v>157.666666666667</v>
      </c>
      <c r="O776" s="116">
        <v>154.19999999999999</v>
      </c>
      <c r="P776" s="116">
        <v>156.01666666666699</v>
      </c>
      <c r="Q776" s="116">
        <v>469.8</v>
      </c>
      <c r="R776">
        <v>9177</v>
      </c>
    </row>
    <row r="777" spans="1:18" x14ac:dyDescent="0.25">
      <c r="A777" s="169">
        <v>43637</v>
      </c>
      <c r="B777" s="116">
        <v>160.71666666666701</v>
      </c>
      <c r="C777" s="116">
        <v>159.19999999999999</v>
      </c>
      <c r="D777" s="116">
        <v>155.15</v>
      </c>
      <c r="E777" s="116">
        <v>156.28333333333299</v>
      </c>
      <c r="F777" s="116">
        <v>477.6</v>
      </c>
      <c r="G777">
        <v>846</v>
      </c>
      <c r="H777" s="116"/>
      <c r="I777" s="116"/>
      <c r="L777" s="169">
        <v>43637</v>
      </c>
      <c r="M777" s="116">
        <v>159.44999999999999</v>
      </c>
      <c r="N777" s="116">
        <v>160.65</v>
      </c>
      <c r="O777" s="116">
        <v>155.333333333333</v>
      </c>
      <c r="P777" s="116">
        <v>156.333333333333</v>
      </c>
      <c r="Q777" s="116">
        <v>478.35</v>
      </c>
      <c r="R777">
        <v>8742</v>
      </c>
    </row>
    <row r="778" spans="1:18" x14ac:dyDescent="0.25">
      <c r="A778" s="169">
        <v>43640</v>
      </c>
      <c r="B778" s="116">
        <v>162.01666666666699</v>
      </c>
      <c r="C778" s="116">
        <v>160.666666666667</v>
      </c>
      <c r="D778" s="116">
        <v>158.333333333333</v>
      </c>
      <c r="E778" s="116">
        <v>160.5</v>
      </c>
      <c r="F778" s="116">
        <v>482</v>
      </c>
      <c r="G778">
        <v>2131</v>
      </c>
      <c r="H778" s="116"/>
      <c r="I778" s="116"/>
      <c r="L778" s="169">
        <v>43640</v>
      </c>
      <c r="M778" s="116">
        <v>160.69999999999999</v>
      </c>
      <c r="N778" s="116">
        <v>163.166666666667</v>
      </c>
      <c r="O778" s="116">
        <v>157.816666666667</v>
      </c>
      <c r="P778" s="116">
        <v>158.94999999999999</v>
      </c>
      <c r="Q778" s="116">
        <v>482.1</v>
      </c>
      <c r="R778">
        <v>16614</v>
      </c>
    </row>
    <row r="779" spans="1:18" x14ac:dyDescent="0.25">
      <c r="A779" s="169">
        <v>43641</v>
      </c>
      <c r="B779" s="116">
        <v>162.5</v>
      </c>
      <c r="C779" s="116">
        <v>159.6</v>
      </c>
      <c r="D779" s="116">
        <v>157.55000000000001</v>
      </c>
      <c r="E779" s="116">
        <v>160.28333333333299</v>
      </c>
      <c r="F779" s="116">
        <v>478.8</v>
      </c>
      <c r="G779">
        <v>622</v>
      </c>
      <c r="H779" s="116"/>
      <c r="I779" s="116"/>
      <c r="L779" s="169">
        <v>43641</v>
      </c>
      <c r="M779" s="116">
        <v>159.75</v>
      </c>
      <c r="N779" s="116">
        <v>163</v>
      </c>
      <c r="O779" s="116">
        <v>157.78333333333299</v>
      </c>
      <c r="P779" s="116">
        <v>160.44999999999999</v>
      </c>
      <c r="Q779" s="116">
        <v>479.25</v>
      </c>
      <c r="R779">
        <v>39080</v>
      </c>
    </row>
    <row r="780" spans="1:18" x14ac:dyDescent="0.25">
      <c r="A780" s="169">
        <v>43642</v>
      </c>
      <c r="B780" s="116">
        <v>160.76666666666699</v>
      </c>
      <c r="C780" s="116">
        <v>157.433333333333</v>
      </c>
      <c r="D780" s="116">
        <v>157.1</v>
      </c>
      <c r="E780" s="116">
        <v>158.71666666666701</v>
      </c>
      <c r="F780" s="116">
        <v>472.3</v>
      </c>
      <c r="G780">
        <v>304</v>
      </c>
      <c r="H780" s="116"/>
      <c r="I780" s="116"/>
      <c r="L780" s="169">
        <v>43642</v>
      </c>
      <c r="M780" s="116">
        <v>158.61666666666699</v>
      </c>
      <c r="N780" s="116">
        <v>160.666666666667</v>
      </c>
      <c r="O780" s="116">
        <v>157.083333333333</v>
      </c>
      <c r="P780" s="116">
        <v>159.4</v>
      </c>
      <c r="Q780" s="116">
        <v>475.85</v>
      </c>
      <c r="R780">
        <v>48887</v>
      </c>
    </row>
    <row r="781" spans="1:18" x14ac:dyDescent="0.25">
      <c r="A781" s="169">
        <v>43643</v>
      </c>
      <c r="B781" s="116">
        <v>159.566666666667</v>
      </c>
      <c r="C781" s="116">
        <v>157.63333333333301</v>
      </c>
      <c r="D781" s="116">
        <v>157.333333333333</v>
      </c>
      <c r="E781" s="116">
        <v>157.71666666666701</v>
      </c>
      <c r="F781" s="116">
        <v>472.9</v>
      </c>
      <c r="G781">
        <v>540</v>
      </c>
      <c r="H781" s="116"/>
      <c r="I781" s="116"/>
      <c r="L781" s="169">
        <v>43643</v>
      </c>
      <c r="M781" s="116">
        <v>157.63333333333301</v>
      </c>
      <c r="N781" s="116">
        <v>159.55000000000001</v>
      </c>
      <c r="O781" s="116">
        <v>157.03333333333299</v>
      </c>
      <c r="P781" s="116">
        <v>159.55000000000001</v>
      </c>
      <c r="Q781" s="116">
        <v>472.9</v>
      </c>
      <c r="R781">
        <v>55203</v>
      </c>
    </row>
    <row r="782" spans="1:18" x14ac:dyDescent="0.25">
      <c r="A782" s="169">
        <v>43644</v>
      </c>
      <c r="B782" s="116">
        <v>158.1</v>
      </c>
      <c r="C782" s="116">
        <v>157.21666666666701</v>
      </c>
      <c r="D782" s="116">
        <v>156.933333333333</v>
      </c>
      <c r="E782" s="116">
        <v>157.11666666666699</v>
      </c>
      <c r="F782" s="116">
        <v>471.65</v>
      </c>
      <c r="G782">
        <v>360</v>
      </c>
      <c r="H782" s="116"/>
      <c r="I782" s="116"/>
      <c r="L782" s="169">
        <v>43644</v>
      </c>
      <c r="M782" s="116">
        <v>157.35</v>
      </c>
      <c r="N782" s="116">
        <v>158.066666666667</v>
      </c>
      <c r="O782" s="116">
        <v>157.01666666666699</v>
      </c>
      <c r="P782" s="116">
        <v>157.166666666667</v>
      </c>
      <c r="Q782" s="116">
        <v>472.05</v>
      </c>
      <c r="R782">
        <v>10653</v>
      </c>
    </row>
    <row r="783" spans="1:18" x14ac:dyDescent="0.25">
      <c r="A783" s="169">
        <v>43647</v>
      </c>
      <c r="B783" s="116">
        <v>157.416666666667</v>
      </c>
      <c r="C783" s="116">
        <v>156.73333333333301</v>
      </c>
      <c r="D783" s="116">
        <v>155.85</v>
      </c>
      <c r="E783" s="116">
        <v>157.28333333333299</v>
      </c>
      <c r="F783" s="116">
        <v>470.2</v>
      </c>
      <c r="G783">
        <v>299</v>
      </c>
      <c r="H783" s="116"/>
      <c r="I783" s="116"/>
      <c r="L783" s="169">
        <v>43647</v>
      </c>
      <c r="M783" s="116">
        <v>157.28333333333299</v>
      </c>
      <c r="N783" s="116">
        <v>158</v>
      </c>
      <c r="O783" s="116">
        <v>156.21666666666701</v>
      </c>
      <c r="P783" s="116">
        <v>157.35</v>
      </c>
      <c r="Q783" s="116">
        <v>471.85</v>
      </c>
      <c r="R783">
        <v>2926</v>
      </c>
    </row>
    <row r="784" spans="1:18" x14ac:dyDescent="0.25">
      <c r="A784" s="169">
        <v>43648</v>
      </c>
      <c r="B784" s="116">
        <v>156.316666666667</v>
      </c>
      <c r="C784" s="116">
        <v>155.5</v>
      </c>
      <c r="D784" s="116">
        <v>155</v>
      </c>
      <c r="E784" s="116">
        <v>156</v>
      </c>
      <c r="F784" s="116">
        <v>466.5</v>
      </c>
      <c r="G784">
        <v>933</v>
      </c>
      <c r="H784" s="116"/>
      <c r="I784" s="116"/>
      <c r="L784" s="169">
        <v>43648</v>
      </c>
      <c r="M784" s="116">
        <v>155.21666666666701</v>
      </c>
      <c r="N784" s="116">
        <v>156.88333333333301</v>
      </c>
      <c r="O784" s="116">
        <v>155</v>
      </c>
      <c r="P784" s="116">
        <v>156.88333333333301</v>
      </c>
      <c r="Q784" s="116">
        <v>465.65</v>
      </c>
      <c r="R784">
        <v>5342</v>
      </c>
    </row>
    <row r="785" spans="1:18" x14ac:dyDescent="0.25">
      <c r="A785" s="169">
        <v>43649</v>
      </c>
      <c r="B785" s="116">
        <v>156.666666666667</v>
      </c>
      <c r="C785" s="116">
        <v>155.066666666667</v>
      </c>
      <c r="D785" s="116">
        <v>155</v>
      </c>
      <c r="E785" s="116">
        <v>156.666666666667</v>
      </c>
      <c r="F785" s="116">
        <v>465.2</v>
      </c>
      <c r="G785">
        <v>872</v>
      </c>
      <c r="H785" s="116"/>
      <c r="I785" s="116"/>
      <c r="L785" s="169">
        <v>43649</v>
      </c>
      <c r="M785" s="116">
        <v>155.13333333333301</v>
      </c>
      <c r="N785" s="116">
        <v>156.61666666666699</v>
      </c>
      <c r="O785" s="116">
        <v>155</v>
      </c>
      <c r="P785" s="116">
        <v>155.25</v>
      </c>
      <c r="Q785" s="116">
        <v>465.4</v>
      </c>
      <c r="R785">
        <v>3003</v>
      </c>
    </row>
    <row r="786" spans="1:18" x14ac:dyDescent="0.25">
      <c r="A786" s="169">
        <v>43650</v>
      </c>
      <c r="B786" s="116">
        <v>156.51666666666699</v>
      </c>
      <c r="C786" s="116">
        <v>155.05000000000001</v>
      </c>
      <c r="D786" s="116">
        <v>155</v>
      </c>
      <c r="E786" s="116">
        <v>155.333333333333</v>
      </c>
      <c r="F786" s="116">
        <v>465.15</v>
      </c>
      <c r="G786">
        <v>1022</v>
      </c>
      <c r="H786" s="116"/>
      <c r="I786" s="116"/>
      <c r="L786" s="169">
        <v>43650</v>
      </c>
      <c r="M786" s="116">
        <v>155.38333333333301</v>
      </c>
      <c r="N786" s="116">
        <v>156.6</v>
      </c>
      <c r="O786" s="116">
        <v>154.51666666666699</v>
      </c>
      <c r="P786" s="116">
        <v>154.51666666666699</v>
      </c>
      <c r="Q786" s="116">
        <v>466.15</v>
      </c>
      <c r="R786">
        <v>4072</v>
      </c>
    </row>
    <row r="787" spans="1:18" x14ac:dyDescent="0.25">
      <c r="A787" s="169">
        <v>43651</v>
      </c>
      <c r="B787" s="116">
        <v>156.44999999999999</v>
      </c>
      <c r="C787" s="116">
        <v>155.13333333333301</v>
      </c>
      <c r="D787" s="116">
        <v>153.333333333333</v>
      </c>
      <c r="E787" s="116">
        <v>156.44999999999999</v>
      </c>
      <c r="F787" s="116">
        <v>465.4</v>
      </c>
      <c r="G787">
        <v>1667</v>
      </c>
      <c r="H787" s="116"/>
      <c r="I787" s="116"/>
      <c r="L787" s="169">
        <v>43651</v>
      </c>
      <c r="M787" s="116">
        <v>155.26666666666699</v>
      </c>
      <c r="N787" s="116">
        <v>157.13333333333301</v>
      </c>
      <c r="O787" s="116">
        <v>153.333333333333</v>
      </c>
      <c r="P787" s="116">
        <v>154.53333333333299</v>
      </c>
      <c r="Q787" s="116">
        <v>465.8</v>
      </c>
      <c r="R787">
        <v>16408</v>
      </c>
    </row>
    <row r="788" spans="1:18" x14ac:dyDescent="0.25">
      <c r="A788" s="169">
        <v>43654</v>
      </c>
      <c r="B788" s="116">
        <v>155.333333333333</v>
      </c>
      <c r="C788" s="116">
        <v>152.25</v>
      </c>
      <c r="D788" s="116">
        <v>151.55000000000001</v>
      </c>
      <c r="E788" s="116">
        <v>155.333333333333</v>
      </c>
      <c r="F788" s="116">
        <v>456.75</v>
      </c>
      <c r="G788">
        <v>257</v>
      </c>
      <c r="H788" s="116"/>
      <c r="I788" s="116"/>
      <c r="L788" s="169">
        <v>43654</v>
      </c>
      <c r="M788" s="116">
        <v>152.73333333333301</v>
      </c>
      <c r="N788" s="116">
        <v>154.98333333333301</v>
      </c>
      <c r="O788" s="116">
        <v>151.683333333333</v>
      </c>
      <c r="P788" s="116">
        <v>151.683333333333</v>
      </c>
      <c r="Q788" s="116">
        <v>458.2</v>
      </c>
      <c r="R788">
        <v>3963</v>
      </c>
    </row>
    <row r="789" spans="1:18" x14ac:dyDescent="0.25">
      <c r="A789" s="169">
        <v>43655</v>
      </c>
      <c r="B789" s="116">
        <v>156.666666666667</v>
      </c>
      <c r="C789" s="116">
        <v>155.816666666667</v>
      </c>
      <c r="D789" s="116">
        <v>151.416666666667</v>
      </c>
      <c r="E789" s="116">
        <v>152.833333333333</v>
      </c>
      <c r="F789" s="116">
        <v>467.45</v>
      </c>
      <c r="G789">
        <v>516</v>
      </c>
      <c r="H789" s="116"/>
      <c r="I789" s="116"/>
      <c r="L789" s="169">
        <v>43655</v>
      </c>
      <c r="M789" s="116">
        <v>155.55000000000001</v>
      </c>
      <c r="N789" s="116">
        <v>155.933333333333</v>
      </c>
      <c r="O789" s="116">
        <v>151.666666666667</v>
      </c>
      <c r="P789" s="116">
        <v>152.88333333333301</v>
      </c>
      <c r="Q789" s="116">
        <v>466.65</v>
      </c>
      <c r="R789">
        <v>7028</v>
      </c>
    </row>
    <row r="790" spans="1:18" x14ac:dyDescent="0.25">
      <c r="A790" s="169">
        <v>43656</v>
      </c>
      <c r="B790" s="116">
        <v>157.73333333333301</v>
      </c>
      <c r="C790" s="116">
        <v>153.51666666666699</v>
      </c>
      <c r="D790" s="116">
        <v>151.666666666667</v>
      </c>
      <c r="E790" s="116">
        <v>156.666666666667</v>
      </c>
      <c r="F790" s="116">
        <v>460.55</v>
      </c>
      <c r="G790">
        <v>707</v>
      </c>
      <c r="H790" s="116"/>
      <c r="I790" s="116"/>
      <c r="L790" s="169">
        <v>43656</v>
      </c>
      <c r="M790" s="116">
        <v>153.44999999999999</v>
      </c>
      <c r="N790" s="116">
        <v>158.333333333333</v>
      </c>
      <c r="O790" s="116">
        <v>151.333333333333</v>
      </c>
      <c r="P790" s="116">
        <v>154.566666666667</v>
      </c>
      <c r="Q790" s="116">
        <v>460.35</v>
      </c>
      <c r="R790">
        <v>30453</v>
      </c>
    </row>
    <row r="791" spans="1:18" x14ac:dyDescent="0.25">
      <c r="A791" s="169">
        <v>43657</v>
      </c>
      <c r="B791" s="116">
        <v>154.6</v>
      </c>
      <c r="C791" s="116">
        <v>152.15</v>
      </c>
      <c r="D791" s="116">
        <v>151.55000000000001</v>
      </c>
      <c r="E791" s="116">
        <v>153.48333333333301</v>
      </c>
      <c r="F791" s="116">
        <v>456.45</v>
      </c>
      <c r="G791">
        <v>416</v>
      </c>
      <c r="H791" s="116"/>
      <c r="I791" s="116"/>
      <c r="L791" s="169">
        <v>43657</v>
      </c>
      <c r="M791" s="116">
        <v>154</v>
      </c>
      <c r="N791" s="116">
        <v>154.96666666666701</v>
      </c>
      <c r="O791" s="116">
        <v>151.69999999999999</v>
      </c>
      <c r="P791" s="116">
        <v>153.6</v>
      </c>
      <c r="Q791" s="116">
        <v>462</v>
      </c>
      <c r="R791">
        <v>2786</v>
      </c>
    </row>
    <row r="792" spans="1:18" x14ac:dyDescent="0.25">
      <c r="A792" s="169">
        <v>43658</v>
      </c>
      <c r="B792" s="116">
        <v>160.23333333333301</v>
      </c>
      <c r="C792" s="116">
        <v>159.51666666666699</v>
      </c>
      <c r="D792" s="116">
        <v>155.333333333333</v>
      </c>
      <c r="E792" s="116">
        <v>155.333333333333</v>
      </c>
      <c r="F792" s="116">
        <v>478.55</v>
      </c>
      <c r="G792">
        <v>1971</v>
      </c>
      <c r="H792" s="116"/>
      <c r="I792" s="116"/>
      <c r="L792" s="169">
        <v>43658</v>
      </c>
      <c r="M792" s="116">
        <v>159.816666666667</v>
      </c>
      <c r="N792" s="116">
        <v>160.333333333333</v>
      </c>
      <c r="O792" s="116">
        <v>152.816666666667</v>
      </c>
      <c r="P792" s="116">
        <v>153</v>
      </c>
      <c r="Q792" s="116">
        <v>479.45</v>
      </c>
      <c r="R792">
        <v>49676</v>
      </c>
    </row>
    <row r="793" spans="1:18" x14ac:dyDescent="0.25">
      <c r="A793" s="169">
        <v>43661</v>
      </c>
      <c r="B793" s="116">
        <v>161.416666666667</v>
      </c>
      <c r="C793" s="116">
        <v>155.5</v>
      </c>
      <c r="D793" s="116">
        <v>155.15</v>
      </c>
      <c r="E793" s="116">
        <v>161.416666666667</v>
      </c>
      <c r="F793" s="116">
        <v>466.5</v>
      </c>
      <c r="G793">
        <v>199</v>
      </c>
      <c r="H793" s="116"/>
      <c r="I793" s="116"/>
      <c r="L793" s="169">
        <v>43661</v>
      </c>
      <c r="M793" s="116">
        <v>155.083333333333</v>
      </c>
      <c r="N793" s="116">
        <v>161.38333333333301</v>
      </c>
      <c r="O793" s="116">
        <v>154.48333333333301</v>
      </c>
      <c r="P793" s="116">
        <v>160.36666666666699</v>
      </c>
      <c r="Q793" s="116">
        <v>465.25</v>
      </c>
      <c r="R793">
        <v>3980</v>
      </c>
    </row>
    <row r="794" spans="1:18" x14ac:dyDescent="0.25">
      <c r="A794" s="169">
        <v>43662</v>
      </c>
      <c r="B794" s="116">
        <v>156.333333333333</v>
      </c>
      <c r="C794" s="116">
        <v>154.53333333333299</v>
      </c>
      <c r="D794" s="116">
        <v>152.46666666666701</v>
      </c>
      <c r="E794" s="116">
        <v>156.23333333333301</v>
      </c>
      <c r="F794" s="116">
        <v>463.6</v>
      </c>
      <c r="G794">
        <v>683</v>
      </c>
      <c r="H794" s="116"/>
      <c r="I794" s="116"/>
      <c r="L794" s="169">
        <v>43662</v>
      </c>
      <c r="M794" s="116">
        <v>154.61666666666699</v>
      </c>
      <c r="N794" s="116">
        <v>156.78333333333299</v>
      </c>
      <c r="O794" s="116">
        <v>152.11666666666699</v>
      </c>
      <c r="P794" s="116">
        <v>155.11666666666699</v>
      </c>
      <c r="Q794" s="116">
        <v>463.85</v>
      </c>
      <c r="R794">
        <v>6331</v>
      </c>
    </row>
    <row r="795" spans="1:18" x14ac:dyDescent="0.25">
      <c r="A795" s="169">
        <v>43663</v>
      </c>
      <c r="B795" s="116">
        <v>155</v>
      </c>
      <c r="C795" s="116">
        <v>154.38333333333301</v>
      </c>
      <c r="D795" s="116">
        <v>152.666666666667</v>
      </c>
      <c r="E795" s="116">
        <v>155</v>
      </c>
      <c r="F795" s="116">
        <v>463.15</v>
      </c>
      <c r="G795">
        <v>690</v>
      </c>
      <c r="H795" s="116"/>
      <c r="I795" s="116"/>
      <c r="L795" s="169">
        <v>43663</v>
      </c>
      <c r="M795" s="116">
        <v>154.333333333333</v>
      </c>
      <c r="N795" s="116">
        <v>155</v>
      </c>
      <c r="O795" s="116">
        <v>152.35</v>
      </c>
      <c r="P795" s="116">
        <v>153.933333333333</v>
      </c>
      <c r="Q795" s="116">
        <v>463</v>
      </c>
      <c r="R795">
        <v>7656</v>
      </c>
    </row>
    <row r="796" spans="1:18" x14ac:dyDescent="0.25">
      <c r="A796" s="169">
        <v>43664</v>
      </c>
      <c r="B796" s="116">
        <v>154.333333333333</v>
      </c>
      <c r="C796" s="116">
        <v>153.15</v>
      </c>
      <c r="D796" s="116">
        <v>152.166666666667</v>
      </c>
      <c r="E796" s="116">
        <v>153.333333333333</v>
      </c>
      <c r="F796" s="116">
        <v>459.45</v>
      </c>
      <c r="G796">
        <v>918</v>
      </c>
      <c r="H796" s="116"/>
      <c r="I796" s="116"/>
      <c r="L796" s="169">
        <v>43664</v>
      </c>
      <c r="M796" s="116">
        <v>153.38333333333301</v>
      </c>
      <c r="N796" s="116">
        <v>154.583333333333</v>
      </c>
      <c r="O796" s="116">
        <v>152.666666666667</v>
      </c>
      <c r="P796" s="116">
        <v>153.36666666666699</v>
      </c>
      <c r="Q796" s="116">
        <v>460.15</v>
      </c>
      <c r="R796">
        <v>3355</v>
      </c>
    </row>
    <row r="797" spans="1:18" x14ac:dyDescent="0.25">
      <c r="A797" s="169">
        <v>43665</v>
      </c>
      <c r="B797" s="116">
        <v>152.083333333333</v>
      </c>
      <c r="C797" s="116">
        <v>147.44999999999999</v>
      </c>
      <c r="D797" s="116">
        <v>147.083333333333</v>
      </c>
      <c r="E797" s="116">
        <v>152</v>
      </c>
      <c r="F797" s="116">
        <v>442.35</v>
      </c>
      <c r="G797">
        <v>521</v>
      </c>
      <c r="H797" s="116"/>
      <c r="I797" s="116"/>
      <c r="L797" s="169">
        <v>43665</v>
      </c>
      <c r="M797" s="116">
        <v>147.46666666666701</v>
      </c>
      <c r="N797" s="116">
        <v>154.65</v>
      </c>
      <c r="O797" s="116">
        <v>146.666666666667</v>
      </c>
      <c r="P797" s="116">
        <v>153.35</v>
      </c>
      <c r="Q797" s="116">
        <v>442.4</v>
      </c>
      <c r="R797">
        <v>10185</v>
      </c>
    </row>
    <row r="798" spans="1:18" x14ac:dyDescent="0.25">
      <c r="A798" s="169">
        <v>43668</v>
      </c>
      <c r="B798" s="116">
        <v>147.61666666666699</v>
      </c>
      <c r="C798" s="116">
        <v>146.13333333333301</v>
      </c>
      <c r="D798" s="116">
        <v>143.333333333333</v>
      </c>
      <c r="E798" s="116">
        <v>147.6</v>
      </c>
      <c r="F798" s="116">
        <v>438.4</v>
      </c>
      <c r="G798">
        <v>978</v>
      </c>
      <c r="H798" s="116"/>
      <c r="I798" s="116"/>
      <c r="L798" s="169">
        <v>43668</v>
      </c>
      <c r="M798" s="116">
        <v>146.19999999999999</v>
      </c>
      <c r="N798" s="116">
        <v>147.333333333333</v>
      </c>
      <c r="O798" s="116">
        <v>142.416666666667</v>
      </c>
      <c r="P798" s="116">
        <v>146.86666666666699</v>
      </c>
      <c r="Q798" s="116">
        <v>438.6</v>
      </c>
      <c r="R798">
        <v>8497</v>
      </c>
    </row>
    <row r="799" spans="1:18" x14ac:dyDescent="0.25">
      <c r="A799" s="169">
        <v>43669</v>
      </c>
      <c r="B799" s="116">
        <v>145.80000000000001</v>
      </c>
      <c r="C799" s="116">
        <v>144.25</v>
      </c>
      <c r="D799" s="116">
        <v>143.9</v>
      </c>
      <c r="E799" s="116">
        <v>145.21666666666701</v>
      </c>
      <c r="F799" s="116">
        <v>432.75</v>
      </c>
      <c r="G799">
        <v>506</v>
      </c>
      <c r="H799" s="116"/>
      <c r="I799" s="116"/>
      <c r="L799" s="169">
        <v>43669</v>
      </c>
      <c r="M799" s="116">
        <v>144.15</v>
      </c>
      <c r="N799" s="116">
        <v>146.666666666667</v>
      </c>
      <c r="O799" s="116">
        <v>143.333333333333</v>
      </c>
      <c r="P799" s="116">
        <v>145.666666666667</v>
      </c>
      <c r="Q799" s="116">
        <v>432.45</v>
      </c>
      <c r="R799">
        <v>4449</v>
      </c>
    </row>
    <row r="800" spans="1:18" x14ac:dyDescent="0.25">
      <c r="A800" s="169">
        <v>43670</v>
      </c>
      <c r="B800" s="116">
        <v>148.30000000000001</v>
      </c>
      <c r="C800" s="116">
        <v>147.833333333333</v>
      </c>
      <c r="D800" s="116">
        <v>144.666666666667</v>
      </c>
      <c r="E800" s="116">
        <v>144.666666666667</v>
      </c>
      <c r="F800" s="116">
        <v>443.5</v>
      </c>
      <c r="G800">
        <v>768</v>
      </c>
      <c r="H800" s="116"/>
      <c r="I800" s="116"/>
      <c r="L800" s="169">
        <v>43670</v>
      </c>
      <c r="M800" s="116">
        <v>147.46666666666701</v>
      </c>
      <c r="N800" s="116">
        <v>148.13333333333301</v>
      </c>
      <c r="O800" s="116">
        <v>143.01666666666699</v>
      </c>
      <c r="P800" s="116">
        <v>143.01666666666699</v>
      </c>
      <c r="Q800" s="116">
        <v>442.4</v>
      </c>
      <c r="R800">
        <v>14870</v>
      </c>
    </row>
    <row r="801" spans="1:18" x14ac:dyDescent="0.25">
      <c r="A801" s="169">
        <v>43671</v>
      </c>
      <c r="B801" s="116">
        <v>148.416666666667</v>
      </c>
      <c r="C801" s="116">
        <v>147.416666666667</v>
      </c>
      <c r="D801" s="116">
        <v>146.5</v>
      </c>
      <c r="E801" s="116">
        <v>148.416666666667</v>
      </c>
      <c r="F801" s="116">
        <v>442.25</v>
      </c>
      <c r="G801">
        <v>133</v>
      </c>
      <c r="H801" s="116"/>
      <c r="I801" s="116"/>
      <c r="L801" s="169">
        <v>43671</v>
      </c>
      <c r="M801" s="116">
        <v>147.51666666666699</v>
      </c>
      <c r="N801" s="116">
        <v>149.78333333333299</v>
      </c>
      <c r="O801" s="116">
        <v>146.01666666666699</v>
      </c>
      <c r="P801" s="116">
        <v>149.78333333333299</v>
      </c>
      <c r="Q801" s="116">
        <v>442.55</v>
      </c>
      <c r="R801">
        <v>17659</v>
      </c>
    </row>
    <row r="802" spans="1:18" x14ac:dyDescent="0.25">
      <c r="A802" s="169">
        <v>43672</v>
      </c>
      <c r="B802" s="116">
        <v>147.683333333333</v>
      </c>
      <c r="C802" s="116">
        <v>147.566666666667</v>
      </c>
      <c r="D802" s="116">
        <v>146.73333333333301</v>
      </c>
      <c r="E802" s="116">
        <v>147.1</v>
      </c>
      <c r="F802" s="116">
        <v>442.7</v>
      </c>
      <c r="G802">
        <v>66</v>
      </c>
      <c r="H802" s="116"/>
      <c r="I802" s="116"/>
      <c r="L802" s="169">
        <v>43672</v>
      </c>
      <c r="M802" s="116">
        <v>147.583333333333</v>
      </c>
      <c r="N802" s="116">
        <v>148.78333333333299</v>
      </c>
      <c r="O802" s="116">
        <v>146.80000000000001</v>
      </c>
      <c r="P802" s="116">
        <v>148.78333333333299</v>
      </c>
      <c r="Q802" s="116">
        <v>442.75</v>
      </c>
      <c r="R802">
        <v>6746</v>
      </c>
    </row>
    <row r="803" spans="1:18" x14ac:dyDescent="0.25">
      <c r="A803" s="169">
        <v>43675</v>
      </c>
      <c r="B803" s="116">
        <v>148.85</v>
      </c>
      <c r="C803" s="116">
        <v>145.36666666666699</v>
      </c>
      <c r="D803" s="116">
        <v>144.69999999999999</v>
      </c>
      <c r="E803" s="116">
        <v>146.19999999999999</v>
      </c>
      <c r="F803" s="116">
        <v>436.1</v>
      </c>
      <c r="G803">
        <v>1728</v>
      </c>
      <c r="H803" s="116"/>
      <c r="I803" s="116"/>
      <c r="L803" s="169">
        <v>43675</v>
      </c>
      <c r="M803" s="116">
        <v>146.183333333333</v>
      </c>
      <c r="N803" s="116">
        <v>149.44999999999999</v>
      </c>
      <c r="O803" s="116">
        <v>145</v>
      </c>
      <c r="P803" s="116">
        <v>146.933333333333</v>
      </c>
      <c r="Q803" s="116">
        <v>438.55</v>
      </c>
      <c r="R803">
        <v>7308</v>
      </c>
    </row>
    <row r="804" spans="1:18" x14ac:dyDescent="0.25">
      <c r="A804" s="169">
        <v>43676</v>
      </c>
      <c r="B804" s="116">
        <v>147.5</v>
      </c>
      <c r="C804" s="116">
        <v>138.76666666666699</v>
      </c>
      <c r="D804" s="116">
        <v>136.69999999999999</v>
      </c>
      <c r="E804" s="116">
        <v>144.61666666666699</v>
      </c>
      <c r="F804" s="116">
        <v>416.3</v>
      </c>
      <c r="G804">
        <v>2673</v>
      </c>
      <c r="H804" s="116"/>
      <c r="I804" s="116"/>
      <c r="L804" s="169">
        <v>43676</v>
      </c>
      <c r="M804" s="116">
        <v>138.433333333333</v>
      </c>
      <c r="N804" s="116">
        <v>147.30000000000001</v>
      </c>
      <c r="O804" s="116">
        <v>136.666666666667</v>
      </c>
      <c r="P804" s="116">
        <v>145.4</v>
      </c>
      <c r="Q804" s="116">
        <v>415.3</v>
      </c>
      <c r="R804">
        <v>11881</v>
      </c>
    </row>
    <row r="805" spans="1:18" x14ac:dyDescent="0.25">
      <c r="A805" s="169">
        <v>43677</v>
      </c>
      <c r="B805" s="116">
        <v>147.5</v>
      </c>
      <c r="C805" s="116">
        <v>146.86666666666699</v>
      </c>
      <c r="D805" s="116">
        <v>135.55000000000001</v>
      </c>
      <c r="E805" s="116">
        <v>137.19999999999999</v>
      </c>
      <c r="F805" s="116">
        <v>440.6</v>
      </c>
      <c r="G805">
        <v>2409</v>
      </c>
      <c r="H805" s="116"/>
      <c r="I805" s="116"/>
      <c r="L805" s="169">
        <v>43677</v>
      </c>
      <c r="M805" s="116">
        <v>147.13333333333301</v>
      </c>
      <c r="N805" s="116">
        <v>149.333333333333</v>
      </c>
      <c r="O805" s="116">
        <v>135.71666666666701</v>
      </c>
      <c r="P805" s="116">
        <v>136.683333333333</v>
      </c>
      <c r="Q805" s="116">
        <v>441.4</v>
      </c>
      <c r="R805">
        <v>31711</v>
      </c>
    </row>
    <row r="806" spans="1:18" x14ac:dyDescent="0.25">
      <c r="A806" s="169">
        <v>43678</v>
      </c>
      <c r="B806" s="116">
        <v>151.46666666666701</v>
      </c>
      <c r="C806" s="116">
        <v>150.26666666666699</v>
      </c>
      <c r="D806" s="116">
        <v>143.76666666666699</v>
      </c>
      <c r="E806" s="116">
        <v>144.86666666666699</v>
      </c>
      <c r="F806" s="116">
        <v>450.8</v>
      </c>
      <c r="G806">
        <v>181</v>
      </c>
      <c r="H806" s="116"/>
      <c r="I806" s="116"/>
      <c r="L806" s="169">
        <v>43678</v>
      </c>
      <c r="M806" s="116">
        <v>149.76666666666699</v>
      </c>
      <c r="N806" s="116">
        <v>151.63333333333301</v>
      </c>
      <c r="O806" s="116">
        <v>143.816666666667</v>
      </c>
      <c r="P806" s="116">
        <v>147.13333333333301</v>
      </c>
      <c r="Q806" s="116">
        <v>449.3</v>
      </c>
      <c r="R806">
        <v>6539</v>
      </c>
    </row>
    <row r="807" spans="1:18" x14ac:dyDescent="0.25">
      <c r="A807" s="169">
        <v>43679</v>
      </c>
      <c r="B807" s="116">
        <v>151.666666666667</v>
      </c>
      <c r="C807" s="116">
        <v>150.19999999999999</v>
      </c>
      <c r="D807" s="116">
        <v>146.666666666667</v>
      </c>
      <c r="E807" s="116">
        <v>147.433333333333</v>
      </c>
      <c r="F807" s="116">
        <v>450.6</v>
      </c>
      <c r="G807">
        <v>518</v>
      </c>
      <c r="H807" s="116"/>
      <c r="I807" s="116"/>
      <c r="L807" s="169">
        <v>43679</v>
      </c>
      <c r="M807" s="116">
        <v>150.65</v>
      </c>
      <c r="N807" s="116">
        <v>151.65</v>
      </c>
      <c r="O807" s="116">
        <v>145.433333333333</v>
      </c>
      <c r="P807" s="116">
        <v>149.76666666666699</v>
      </c>
      <c r="Q807" s="116">
        <v>451.95</v>
      </c>
      <c r="R807">
        <v>6627</v>
      </c>
    </row>
    <row r="808" spans="1:18" x14ac:dyDescent="0.25">
      <c r="A808" s="169">
        <v>43682</v>
      </c>
      <c r="B808" s="116">
        <v>148.183333333333</v>
      </c>
      <c r="C808" s="116">
        <v>147.416666666667</v>
      </c>
      <c r="D808" s="116">
        <v>143.666666666667</v>
      </c>
      <c r="E808" s="116">
        <v>146.69999999999999</v>
      </c>
      <c r="F808" s="116">
        <v>442.25</v>
      </c>
      <c r="G808">
        <v>1099</v>
      </c>
      <c r="H808" s="116"/>
      <c r="I808" s="116"/>
      <c r="L808" s="169">
        <v>43682</v>
      </c>
      <c r="M808" s="116">
        <v>147.26666666666699</v>
      </c>
      <c r="N808" s="116">
        <v>149</v>
      </c>
      <c r="O808" s="116">
        <v>143.35</v>
      </c>
      <c r="P808" s="116">
        <v>149</v>
      </c>
      <c r="Q808" s="116">
        <v>441.8</v>
      </c>
      <c r="R808">
        <v>7282</v>
      </c>
    </row>
    <row r="809" spans="1:18" x14ac:dyDescent="0.25">
      <c r="A809" s="169">
        <v>43683</v>
      </c>
      <c r="B809" s="116">
        <v>152.5</v>
      </c>
      <c r="C809" s="116">
        <v>151.083333333333</v>
      </c>
      <c r="D809" s="116">
        <v>147.333333333333</v>
      </c>
      <c r="E809" s="116">
        <v>147.333333333333</v>
      </c>
      <c r="F809" s="116">
        <v>453.25</v>
      </c>
      <c r="G809">
        <v>961</v>
      </c>
      <c r="H809" s="116"/>
      <c r="I809" s="116"/>
      <c r="L809" s="169">
        <v>43683</v>
      </c>
      <c r="M809" s="116">
        <v>151.166666666667</v>
      </c>
      <c r="N809" s="116">
        <v>152.36666666666699</v>
      </c>
      <c r="O809" s="116">
        <v>146.6</v>
      </c>
      <c r="P809" s="116">
        <v>147.03333333333299</v>
      </c>
      <c r="Q809" s="116">
        <v>453.5</v>
      </c>
      <c r="R809">
        <v>9189</v>
      </c>
    </row>
    <row r="810" spans="1:18" x14ac:dyDescent="0.25">
      <c r="A810" s="169">
        <v>43684</v>
      </c>
      <c r="B810" s="116">
        <v>154.9</v>
      </c>
      <c r="C810" s="116">
        <v>152.85</v>
      </c>
      <c r="D810" s="116">
        <v>150.333333333333</v>
      </c>
      <c r="E810" s="116">
        <v>152.21666666666701</v>
      </c>
      <c r="F810" s="116">
        <v>458.55</v>
      </c>
      <c r="G810">
        <v>2343</v>
      </c>
      <c r="H810" s="116"/>
      <c r="I810" s="116"/>
      <c r="L810" s="169">
        <v>43684</v>
      </c>
      <c r="M810" s="116">
        <v>152.9</v>
      </c>
      <c r="N810" s="116">
        <v>155.55000000000001</v>
      </c>
      <c r="O810" s="116">
        <v>149.69999999999999</v>
      </c>
      <c r="P810" s="116">
        <v>149.69999999999999</v>
      </c>
      <c r="Q810" s="116">
        <v>458.7</v>
      </c>
      <c r="R810">
        <v>6211</v>
      </c>
    </row>
    <row r="811" spans="1:18" x14ac:dyDescent="0.25">
      <c r="A811" s="169">
        <v>43685</v>
      </c>
      <c r="B811" s="116">
        <v>156.13333333333301</v>
      </c>
      <c r="C811" s="116">
        <v>153.333333333333</v>
      </c>
      <c r="D811" s="116">
        <v>152.85</v>
      </c>
      <c r="E811" s="116">
        <v>154.666666666667</v>
      </c>
      <c r="F811" s="116">
        <v>460</v>
      </c>
      <c r="G811">
        <v>1612</v>
      </c>
      <c r="H811" s="116"/>
      <c r="I811" s="116"/>
      <c r="L811" s="169">
        <v>43685</v>
      </c>
      <c r="M811" s="116">
        <v>153.4</v>
      </c>
      <c r="N811" s="116">
        <v>156.333333333333</v>
      </c>
      <c r="O811" s="116">
        <v>152.666666666667</v>
      </c>
      <c r="P811" s="116">
        <v>152.666666666667</v>
      </c>
      <c r="Q811" s="116">
        <v>460.2</v>
      </c>
      <c r="R811">
        <v>13569</v>
      </c>
    </row>
    <row r="812" spans="1:18" x14ac:dyDescent="0.25">
      <c r="A812" s="169">
        <v>43686</v>
      </c>
      <c r="B812" s="116">
        <v>159.30000000000001</v>
      </c>
      <c r="C812" s="116">
        <v>154.36666666666699</v>
      </c>
      <c r="D812" s="116">
        <v>153.333333333333</v>
      </c>
      <c r="E812" s="116">
        <v>159.30000000000001</v>
      </c>
      <c r="F812" s="116">
        <v>463.1</v>
      </c>
      <c r="G812">
        <v>1783</v>
      </c>
      <c r="H812" s="116"/>
      <c r="I812" s="116"/>
      <c r="L812" s="169">
        <v>43686</v>
      </c>
      <c r="M812" s="116">
        <v>154.71666666666701</v>
      </c>
      <c r="N812" s="116">
        <v>156.666666666667</v>
      </c>
      <c r="O812" s="116">
        <v>152.9</v>
      </c>
      <c r="P812" s="116">
        <v>156.666666666667</v>
      </c>
      <c r="Q812" s="116">
        <v>464.15</v>
      </c>
      <c r="R812">
        <v>20325</v>
      </c>
    </row>
    <row r="813" spans="1:18" x14ac:dyDescent="0.25">
      <c r="A813" s="169">
        <v>43690</v>
      </c>
      <c r="B813" s="116">
        <v>159.55000000000001</v>
      </c>
      <c r="C813" s="116">
        <v>155.76666666666699</v>
      </c>
      <c r="D813" s="116">
        <v>154.71666666666701</v>
      </c>
      <c r="E813" s="116">
        <v>156.666666666667</v>
      </c>
      <c r="F813" s="116">
        <v>467.3</v>
      </c>
      <c r="G813">
        <v>2122</v>
      </c>
      <c r="H813" s="116"/>
      <c r="I813" s="116"/>
      <c r="L813" s="169">
        <v>43690</v>
      </c>
      <c r="M813" s="116">
        <v>155.583333333333</v>
      </c>
      <c r="N813" s="116">
        <v>159.96666666666701</v>
      </c>
      <c r="O813" s="116">
        <v>154.166666666667</v>
      </c>
      <c r="P813" s="116">
        <v>158.333333333333</v>
      </c>
      <c r="Q813" s="116">
        <v>466.75</v>
      </c>
      <c r="R813">
        <v>37644</v>
      </c>
    </row>
    <row r="814" spans="1:18" x14ac:dyDescent="0.25">
      <c r="A814" s="169">
        <v>43691</v>
      </c>
      <c r="B814" s="116">
        <v>151</v>
      </c>
      <c r="C814" s="116">
        <v>147.86666666666699</v>
      </c>
      <c r="D814" s="116">
        <v>147.35</v>
      </c>
      <c r="E814" s="116">
        <v>151</v>
      </c>
      <c r="F814" s="116">
        <v>443.6</v>
      </c>
      <c r="G814">
        <v>1832</v>
      </c>
      <c r="H814" s="116"/>
      <c r="I814" s="116"/>
      <c r="L814" s="169">
        <v>43691</v>
      </c>
      <c r="M814" s="116">
        <v>147.666666666667</v>
      </c>
      <c r="N814" s="116">
        <v>153</v>
      </c>
      <c r="O814" s="116">
        <v>146.23333333333301</v>
      </c>
      <c r="P814" s="116">
        <v>153</v>
      </c>
      <c r="Q814" s="116">
        <v>443</v>
      </c>
      <c r="R814">
        <v>12686</v>
      </c>
    </row>
    <row r="815" spans="1:18" x14ac:dyDescent="0.25">
      <c r="A815" s="169">
        <v>43693</v>
      </c>
      <c r="B815" s="116">
        <v>148.833333333333</v>
      </c>
      <c r="C815" s="116">
        <v>146.21666666666701</v>
      </c>
      <c r="D815" s="116">
        <v>145.9</v>
      </c>
      <c r="E815" s="116">
        <v>148.833333333333</v>
      </c>
      <c r="F815" s="116">
        <v>438.65</v>
      </c>
      <c r="G815">
        <v>36551</v>
      </c>
      <c r="H815" s="116"/>
      <c r="I815" s="116"/>
      <c r="L815" s="169">
        <v>43693</v>
      </c>
      <c r="M815" s="116">
        <v>146.083333333333</v>
      </c>
      <c r="N815" s="116">
        <v>151.816666666667</v>
      </c>
      <c r="O815" s="116">
        <v>145.433333333333</v>
      </c>
      <c r="P815" s="116">
        <v>149</v>
      </c>
      <c r="Q815" s="116">
        <v>438.25</v>
      </c>
      <c r="R815">
        <v>11316</v>
      </c>
    </row>
    <row r="816" spans="1:18" x14ac:dyDescent="0.25">
      <c r="A816" s="169">
        <v>43696</v>
      </c>
      <c r="B816" s="116">
        <v>157</v>
      </c>
      <c r="C816" s="116">
        <v>154.666666666667</v>
      </c>
      <c r="D816" s="116">
        <v>145.333333333333</v>
      </c>
      <c r="E816" s="116">
        <v>147.666666666667</v>
      </c>
      <c r="F816" s="116">
        <v>464</v>
      </c>
      <c r="G816">
        <v>1615</v>
      </c>
      <c r="H816" s="116"/>
      <c r="I816" s="116"/>
      <c r="L816" s="169">
        <v>43696</v>
      </c>
      <c r="M816" s="116">
        <v>154.86666666666699</v>
      </c>
      <c r="N816" s="116">
        <v>157.25</v>
      </c>
      <c r="O816" s="116">
        <v>145.23333333333301</v>
      </c>
      <c r="P816" s="116">
        <v>145.683333333333</v>
      </c>
      <c r="Q816" s="116">
        <v>464.6</v>
      </c>
      <c r="R816">
        <v>133289</v>
      </c>
    </row>
    <row r="817" spans="1:18" x14ac:dyDescent="0.25">
      <c r="A817" s="169">
        <v>43697</v>
      </c>
      <c r="B817" s="116">
        <v>161.76666666666699</v>
      </c>
      <c r="C817" s="116">
        <v>156.35</v>
      </c>
      <c r="D817" s="116">
        <v>155.11666666666699</v>
      </c>
      <c r="E817" s="116">
        <v>157.26666666666699</v>
      </c>
      <c r="F817" s="116">
        <v>469.05</v>
      </c>
      <c r="G817">
        <v>2132</v>
      </c>
      <c r="H817" s="116"/>
      <c r="I817" s="116"/>
      <c r="L817" s="169">
        <v>43697</v>
      </c>
      <c r="M817" s="116">
        <v>156.333333333333</v>
      </c>
      <c r="N817" s="116">
        <v>161.65</v>
      </c>
      <c r="O817" s="116">
        <v>153.333333333333</v>
      </c>
      <c r="P817" s="116">
        <v>154.666666666667</v>
      </c>
      <c r="Q817" s="116">
        <v>469</v>
      </c>
      <c r="R817">
        <v>35773</v>
      </c>
    </row>
    <row r="818" spans="1:18" x14ac:dyDescent="0.25">
      <c r="A818" s="169">
        <v>43698</v>
      </c>
      <c r="B818" s="116">
        <v>156.75</v>
      </c>
      <c r="C818" s="116">
        <v>147.63333333333301</v>
      </c>
      <c r="D818" s="116">
        <v>144.183333333333</v>
      </c>
      <c r="E818" s="116">
        <v>156.416666666667</v>
      </c>
      <c r="F818" s="116">
        <v>442.9</v>
      </c>
      <c r="G818">
        <v>1932</v>
      </c>
      <c r="H818" s="116"/>
      <c r="I818" s="116"/>
      <c r="L818" s="169">
        <v>43698</v>
      </c>
      <c r="M818" s="116">
        <v>146.73333333333301</v>
      </c>
      <c r="N818" s="116">
        <v>157.26666666666699</v>
      </c>
      <c r="O818" s="116">
        <v>144.5</v>
      </c>
      <c r="P818" s="116">
        <v>155</v>
      </c>
      <c r="Q818" s="116">
        <v>440.2</v>
      </c>
      <c r="R818">
        <v>16151</v>
      </c>
    </row>
    <row r="819" spans="1:18" x14ac:dyDescent="0.25">
      <c r="A819" s="169">
        <v>43699</v>
      </c>
      <c r="B819" s="116">
        <v>147.65</v>
      </c>
      <c r="C819" s="116">
        <v>145.96666666666701</v>
      </c>
      <c r="D819" s="116">
        <v>145.63333333333301</v>
      </c>
      <c r="E819" s="116">
        <v>146.36666666666699</v>
      </c>
      <c r="F819" s="116">
        <v>437.9</v>
      </c>
      <c r="G819">
        <v>855</v>
      </c>
      <c r="H819" s="116"/>
      <c r="I819" s="116"/>
      <c r="L819" s="169">
        <v>43699</v>
      </c>
      <c r="M819" s="116">
        <v>145.96666666666701</v>
      </c>
      <c r="N819" s="116">
        <v>147.94999999999999</v>
      </c>
      <c r="O819" s="116">
        <v>145.53333333333299</v>
      </c>
      <c r="P819" s="116">
        <v>146.666666666667</v>
      </c>
      <c r="Q819" s="116">
        <v>437.9</v>
      </c>
      <c r="R819">
        <v>10451</v>
      </c>
    </row>
    <row r="820" spans="1:18" x14ac:dyDescent="0.25">
      <c r="A820" s="169">
        <v>43700</v>
      </c>
      <c r="B820" s="116">
        <v>150.63333333333301</v>
      </c>
      <c r="C820" s="116">
        <v>149.166666666667</v>
      </c>
      <c r="D820" s="116">
        <v>144.75</v>
      </c>
      <c r="E820" s="116">
        <v>145.433333333333</v>
      </c>
      <c r="F820" s="116">
        <v>447.5</v>
      </c>
      <c r="G820">
        <v>1491</v>
      </c>
      <c r="H820" s="116"/>
      <c r="I820" s="116"/>
      <c r="L820" s="169">
        <v>43700</v>
      </c>
      <c r="M820" s="116">
        <v>149.30000000000001</v>
      </c>
      <c r="N820" s="116">
        <v>151.166666666667</v>
      </c>
      <c r="O820" s="116">
        <v>145.03333333333299</v>
      </c>
      <c r="P820" s="116">
        <v>145.333333333333</v>
      </c>
      <c r="Q820" s="116">
        <v>447.9</v>
      </c>
      <c r="R820">
        <v>15276</v>
      </c>
    </row>
    <row r="821" spans="1:18" x14ac:dyDescent="0.25">
      <c r="A821" s="169">
        <v>43703</v>
      </c>
      <c r="B821" s="116">
        <v>156.333333333333</v>
      </c>
      <c r="C821" s="116">
        <v>155.05000000000001</v>
      </c>
      <c r="D821" s="116">
        <v>149.03333333333299</v>
      </c>
      <c r="E821" s="116">
        <v>150</v>
      </c>
      <c r="F821" s="116">
        <v>465.15</v>
      </c>
      <c r="G821">
        <v>2396</v>
      </c>
      <c r="H821" s="116"/>
      <c r="I821" s="116"/>
      <c r="L821" s="169">
        <v>43703</v>
      </c>
      <c r="M821" s="116">
        <v>155.21666666666701</v>
      </c>
      <c r="N821" s="116">
        <v>156.63333333333301</v>
      </c>
      <c r="O821" s="116">
        <v>149.333333333333</v>
      </c>
      <c r="P821" s="116">
        <v>151.666666666667</v>
      </c>
      <c r="Q821" s="116">
        <v>465.65</v>
      </c>
      <c r="R821">
        <v>13433</v>
      </c>
    </row>
    <row r="822" spans="1:18" x14ac:dyDescent="0.25">
      <c r="A822" s="169">
        <v>43704</v>
      </c>
      <c r="B822" s="116">
        <v>159.71666666666701</v>
      </c>
      <c r="C822" s="116">
        <v>158.083333333333</v>
      </c>
      <c r="D822" s="116">
        <v>153.316666666667</v>
      </c>
      <c r="E822" s="116">
        <v>154.96666666666701</v>
      </c>
      <c r="F822" s="116">
        <v>474.25</v>
      </c>
      <c r="G822">
        <v>1588</v>
      </c>
      <c r="H822" s="116"/>
      <c r="I822" s="116"/>
      <c r="L822" s="169">
        <v>43704</v>
      </c>
      <c r="M822" s="116">
        <v>158.30000000000001</v>
      </c>
      <c r="N822" s="116">
        <v>160</v>
      </c>
      <c r="O822" s="116">
        <v>153.01666666666699</v>
      </c>
      <c r="P822" s="116">
        <v>155.333333333333</v>
      </c>
      <c r="Q822" s="116">
        <v>474.9</v>
      </c>
      <c r="R822">
        <v>15059</v>
      </c>
    </row>
    <row r="823" spans="1:18" x14ac:dyDescent="0.25">
      <c r="A823" s="169">
        <v>43705</v>
      </c>
      <c r="B823" s="116">
        <v>158.333333333333</v>
      </c>
      <c r="C823" s="116">
        <v>157.28333333333299</v>
      </c>
      <c r="D823" s="116">
        <v>155.86666666666699</v>
      </c>
      <c r="E823" s="116">
        <v>156.1</v>
      </c>
      <c r="F823" s="116">
        <v>471.85</v>
      </c>
      <c r="G823">
        <v>2517</v>
      </c>
      <c r="H823" s="116"/>
      <c r="I823" s="116"/>
      <c r="L823" s="169">
        <v>43705</v>
      </c>
      <c r="M823" s="116">
        <v>157.65</v>
      </c>
      <c r="N823" s="116">
        <v>158.666666666667</v>
      </c>
      <c r="O823" s="116">
        <v>155.333333333333</v>
      </c>
      <c r="P823" s="116">
        <v>155.333333333333</v>
      </c>
      <c r="Q823" s="116">
        <v>472.95</v>
      </c>
      <c r="R823">
        <v>12199</v>
      </c>
    </row>
    <row r="824" spans="1:18" x14ac:dyDescent="0.25">
      <c r="A824" s="169">
        <v>43706</v>
      </c>
      <c r="B824" s="116">
        <v>158.26666666666699</v>
      </c>
      <c r="C824" s="116">
        <v>154.75</v>
      </c>
      <c r="D824" s="116">
        <v>153.36666666666699</v>
      </c>
      <c r="E824" s="116">
        <v>155.683333333333</v>
      </c>
      <c r="F824" s="116">
        <v>464.25</v>
      </c>
      <c r="G824">
        <v>1334</v>
      </c>
      <c r="H824" s="116"/>
      <c r="I824" s="116"/>
      <c r="L824" s="169">
        <v>43706</v>
      </c>
      <c r="M824" s="116">
        <v>154.5</v>
      </c>
      <c r="N824" s="116">
        <v>158.666666666667</v>
      </c>
      <c r="O824" s="116">
        <v>153.05000000000001</v>
      </c>
      <c r="P824" s="116">
        <v>155.683333333333</v>
      </c>
      <c r="Q824" s="116">
        <v>463.5</v>
      </c>
      <c r="R824">
        <v>59377</v>
      </c>
    </row>
    <row r="825" spans="1:18" x14ac:dyDescent="0.25">
      <c r="A825" s="169">
        <v>43707</v>
      </c>
      <c r="B825" s="116">
        <v>155.666666666667</v>
      </c>
      <c r="C825" s="116">
        <v>154.94999999999999</v>
      </c>
      <c r="D825" s="116">
        <v>153.566666666667</v>
      </c>
      <c r="E825" s="116">
        <v>155.25</v>
      </c>
      <c r="F825" s="116">
        <v>464.85</v>
      </c>
      <c r="G825">
        <v>733</v>
      </c>
      <c r="H825" s="116"/>
      <c r="I825" s="116"/>
      <c r="L825" s="169">
        <v>43707</v>
      </c>
      <c r="M825" s="116">
        <v>154.76666666666699</v>
      </c>
      <c r="N825" s="116">
        <v>155.98333333333301</v>
      </c>
      <c r="O825" s="116">
        <v>153.416666666667</v>
      </c>
      <c r="P825" s="116">
        <v>154</v>
      </c>
      <c r="Q825" s="116">
        <v>464.3</v>
      </c>
      <c r="R825">
        <v>5003</v>
      </c>
    </row>
    <row r="826" spans="1:18" x14ac:dyDescent="0.25">
      <c r="A826" s="169">
        <v>43711</v>
      </c>
      <c r="B826" s="116">
        <v>155.333333333333</v>
      </c>
      <c r="C826" s="116">
        <v>153.61666666666699</v>
      </c>
      <c r="D826" s="116">
        <v>150.1</v>
      </c>
      <c r="E826" s="116">
        <v>153.833333333333</v>
      </c>
      <c r="F826" s="116">
        <v>460.85</v>
      </c>
      <c r="G826">
        <v>387</v>
      </c>
      <c r="H826" s="116"/>
      <c r="I826" s="116"/>
      <c r="L826" s="169">
        <v>43711</v>
      </c>
      <c r="M826" s="116">
        <v>153.71666666666701</v>
      </c>
      <c r="N826" s="116">
        <v>155.55000000000001</v>
      </c>
      <c r="O826" s="116">
        <v>149.76666666666699</v>
      </c>
      <c r="P826" s="116">
        <v>154.94999999999999</v>
      </c>
      <c r="Q826" s="116">
        <v>461.15</v>
      </c>
      <c r="R826">
        <v>12563</v>
      </c>
    </row>
    <row r="827" spans="1:18" x14ac:dyDescent="0.25">
      <c r="A827" s="169">
        <v>43712</v>
      </c>
      <c r="B827" s="116">
        <v>156.78333333333299</v>
      </c>
      <c r="C827" s="116">
        <v>156.71666666666701</v>
      </c>
      <c r="D827" s="116">
        <v>152.333333333333</v>
      </c>
      <c r="E827" s="116">
        <v>154.51666666666699</v>
      </c>
      <c r="F827" s="116">
        <v>470.15</v>
      </c>
      <c r="G827">
        <v>1537</v>
      </c>
      <c r="H827" s="116"/>
      <c r="I827" s="116"/>
      <c r="L827" s="169">
        <v>43712</v>
      </c>
      <c r="M827" s="116">
        <v>156.583333333333</v>
      </c>
      <c r="N827" s="116">
        <v>156.666666666667</v>
      </c>
      <c r="O827" s="116">
        <v>152.21666666666701</v>
      </c>
      <c r="P827" s="116">
        <v>154.333333333333</v>
      </c>
      <c r="Q827" s="116">
        <v>469.75</v>
      </c>
      <c r="R827">
        <v>6507</v>
      </c>
    </row>
    <row r="828" spans="1:18" x14ac:dyDescent="0.25">
      <c r="A828" s="169">
        <v>43713</v>
      </c>
      <c r="B828" s="116">
        <v>156.066666666667</v>
      </c>
      <c r="C828" s="116">
        <v>154.86666666666699</v>
      </c>
      <c r="D828" s="116">
        <v>154</v>
      </c>
      <c r="E828" s="116">
        <v>156.066666666667</v>
      </c>
      <c r="F828" s="116">
        <v>464.6</v>
      </c>
      <c r="G828">
        <v>959</v>
      </c>
      <c r="H828" s="116"/>
      <c r="I828" s="116"/>
      <c r="L828" s="169">
        <v>43713</v>
      </c>
      <c r="M828" s="116">
        <v>154.55000000000001</v>
      </c>
      <c r="N828" s="116">
        <v>158</v>
      </c>
      <c r="O828" s="116">
        <v>154</v>
      </c>
      <c r="P828" s="116">
        <v>158</v>
      </c>
      <c r="Q828" s="116">
        <v>463.65</v>
      </c>
      <c r="R828">
        <v>4990</v>
      </c>
    </row>
    <row r="829" spans="1:18" x14ac:dyDescent="0.25">
      <c r="A829" s="169">
        <v>43714</v>
      </c>
      <c r="B829" s="116">
        <v>156.333333333333</v>
      </c>
      <c r="C829" s="116">
        <v>156</v>
      </c>
      <c r="D829" s="116">
        <v>154.65</v>
      </c>
      <c r="E829" s="116">
        <v>156</v>
      </c>
      <c r="F829" s="116">
        <v>468</v>
      </c>
      <c r="G829">
        <v>45</v>
      </c>
      <c r="H829" s="116"/>
      <c r="I829" s="116"/>
      <c r="L829" s="169">
        <v>43714</v>
      </c>
      <c r="M829" s="116">
        <v>155.816666666667</v>
      </c>
      <c r="N829" s="116">
        <v>156.28333333333299</v>
      </c>
      <c r="O829" s="116">
        <v>154.53333333333299</v>
      </c>
      <c r="P829" s="116">
        <v>156.28333333333299</v>
      </c>
      <c r="Q829" s="116">
        <v>467.45</v>
      </c>
      <c r="R829">
        <v>3906</v>
      </c>
    </row>
    <row r="830" spans="1:18" x14ac:dyDescent="0.25">
      <c r="A830" s="169">
        <v>43717</v>
      </c>
      <c r="B830" s="116">
        <v>156.11666666666699</v>
      </c>
      <c r="C830" s="116">
        <v>155.85</v>
      </c>
      <c r="D830" s="116">
        <v>153.416666666667</v>
      </c>
      <c r="E830" s="116">
        <v>154.566666666667</v>
      </c>
      <c r="F830" s="116">
        <v>467.55</v>
      </c>
      <c r="G830">
        <v>746</v>
      </c>
      <c r="H830" s="116"/>
      <c r="I830" s="116"/>
      <c r="L830" s="169">
        <v>43717</v>
      </c>
      <c r="M830" s="116">
        <v>155.88333333333301</v>
      </c>
      <c r="N830" s="116">
        <v>156.11666666666699</v>
      </c>
      <c r="O830" s="116">
        <v>153</v>
      </c>
      <c r="P830" s="116">
        <v>156.1</v>
      </c>
      <c r="Q830" s="116">
        <v>467.65</v>
      </c>
      <c r="R830">
        <v>20631</v>
      </c>
    </row>
    <row r="831" spans="1:18" x14ac:dyDescent="0.25">
      <c r="A831" s="169">
        <v>43719</v>
      </c>
      <c r="B831" s="116">
        <v>158.666666666667</v>
      </c>
      <c r="C831" s="116">
        <v>156.25</v>
      </c>
      <c r="D831" s="116">
        <v>153.5</v>
      </c>
      <c r="E831" s="116">
        <v>153.5</v>
      </c>
      <c r="F831" s="116">
        <v>468.75</v>
      </c>
      <c r="G831">
        <v>1792</v>
      </c>
      <c r="H831" s="116"/>
      <c r="I831" s="116"/>
      <c r="L831" s="169">
        <v>43719</v>
      </c>
      <c r="M831" s="116">
        <v>156.933333333333</v>
      </c>
      <c r="N831" s="116">
        <v>158.63333333333301</v>
      </c>
      <c r="O831" s="116">
        <v>154</v>
      </c>
      <c r="P831" s="116">
        <v>157.63333333333301</v>
      </c>
      <c r="Q831" s="116">
        <v>470.8</v>
      </c>
      <c r="R831">
        <v>71486</v>
      </c>
    </row>
    <row r="832" spans="1:18" x14ac:dyDescent="0.25">
      <c r="A832" s="169">
        <v>43720</v>
      </c>
      <c r="B832" s="116">
        <v>157.583333333333</v>
      </c>
      <c r="C832" s="116">
        <v>157.333333333333</v>
      </c>
      <c r="D832" s="116">
        <v>155.73333333333301</v>
      </c>
      <c r="E832" s="116">
        <v>156</v>
      </c>
      <c r="F832" s="116">
        <v>472</v>
      </c>
      <c r="G832">
        <v>1234</v>
      </c>
      <c r="H832" s="116"/>
      <c r="I832" s="116"/>
      <c r="L832" s="169">
        <v>43720</v>
      </c>
      <c r="M832" s="116">
        <v>157.30000000000001</v>
      </c>
      <c r="N832" s="116">
        <v>157.6</v>
      </c>
      <c r="O832" s="116">
        <v>155.13333333333301</v>
      </c>
      <c r="P832" s="116">
        <v>157.316666666667</v>
      </c>
      <c r="Q832" s="116">
        <v>471.9</v>
      </c>
      <c r="R832">
        <v>63829</v>
      </c>
    </row>
    <row r="833" spans="1:18" x14ac:dyDescent="0.25">
      <c r="A833" s="169">
        <v>43721</v>
      </c>
      <c r="B833" s="116">
        <v>157.583333333333</v>
      </c>
      <c r="C833" s="116">
        <v>156.85</v>
      </c>
      <c r="D833" s="116">
        <v>156.36666666666699</v>
      </c>
      <c r="E833" s="116">
        <v>157.583333333333</v>
      </c>
      <c r="F833" s="116">
        <v>470.55</v>
      </c>
      <c r="G833">
        <v>490</v>
      </c>
      <c r="H833" s="116"/>
      <c r="I833" s="116"/>
      <c r="L833" s="169">
        <v>43721</v>
      </c>
      <c r="M833" s="116">
        <v>156.916666666667</v>
      </c>
      <c r="N833" s="116">
        <v>157.65</v>
      </c>
      <c r="O833" s="116">
        <v>155.816666666667</v>
      </c>
      <c r="P833" s="116">
        <v>157.36666666666699</v>
      </c>
      <c r="Q833" s="116">
        <v>470.75</v>
      </c>
      <c r="R833">
        <v>41680</v>
      </c>
    </row>
    <row r="834" spans="1:18" x14ac:dyDescent="0.25">
      <c r="A834" s="169">
        <v>43724</v>
      </c>
      <c r="B834" s="116">
        <v>158.566666666667</v>
      </c>
      <c r="C834" s="116">
        <v>158.48333333333301</v>
      </c>
      <c r="D834" s="116">
        <v>155.666666666667</v>
      </c>
      <c r="E834" s="116">
        <v>157.21666666666701</v>
      </c>
      <c r="F834" s="116">
        <v>475.45</v>
      </c>
      <c r="G834">
        <v>476</v>
      </c>
      <c r="H834" s="116"/>
      <c r="I834" s="116"/>
      <c r="L834" s="169">
        <v>43724</v>
      </c>
      <c r="M834" s="116">
        <v>158.51666666666699</v>
      </c>
      <c r="N834" s="116">
        <v>158.666666666667</v>
      </c>
      <c r="O834" s="116">
        <v>155</v>
      </c>
      <c r="P834" s="116">
        <v>157.03333333333299</v>
      </c>
      <c r="Q834" s="116">
        <v>475.55</v>
      </c>
      <c r="R834">
        <v>19629</v>
      </c>
    </row>
    <row r="835" spans="1:18" x14ac:dyDescent="0.25">
      <c r="A835" s="169">
        <v>43725</v>
      </c>
      <c r="B835" s="116">
        <v>158.333333333333</v>
      </c>
      <c r="C835" s="116">
        <v>158.1</v>
      </c>
      <c r="D835" s="116">
        <v>155.13333333333301</v>
      </c>
      <c r="E835" s="116">
        <v>157</v>
      </c>
      <c r="F835" s="116">
        <v>474.3</v>
      </c>
      <c r="G835">
        <v>839</v>
      </c>
      <c r="H835" s="116"/>
      <c r="I835" s="116"/>
      <c r="L835" s="169">
        <v>43725</v>
      </c>
      <c r="M835" s="116">
        <v>158.5</v>
      </c>
      <c r="N835" s="116">
        <v>158.666666666667</v>
      </c>
      <c r="O835" s="116">
        <v>155.166666666667</v>
      </c>
      <c r="P835" s="116">
        <v>158.166666666667</v>
      </c>
      <c r="Q835" s="116">
        <v>475.5</v>
      </c>
      <c r="R835">
        <v>19744</v>
      </c>
    </row>
    <row r="836" spans="1:18" x14ac:dyDescent="0.25">
      <c r="A836" s="169">
        <v>43726</v>
      </c>
      <c r="B836" s="116">
        <v>159.066666666667</v>
      </c>
      <c r="C836" s="116">
        <v>158.01666666666699</v>
      </c>
      <c r="D836" s="116">
        <v>157.5</v>
      </c>
      <c r="E836" s="116">
        <v>158</v>
      </c>
      <c r="F836" s="116">
        <v>474.05</v>
      </c>
      <c r="G836">
        <v>380</v>
      </c>
      <c r="H836" s="116"/>
      <c r="I836" s="116"/>
      <c r="L836" s="169">
        <v>43726</v>
      </c>
      <c r="M836" s="116">
        <v>157.48333333333301</v>
      </c>
      <c r="N836" s="116">
        <v>158.666666666667</v>
      </c>
      <c r="O836" s="116">
        <v>156.76666666666699</v>
      </c>
      <c r="P836" s="116">
        <v>158.333333333333</v>
      </c>
      <c r="Q836" s="116">
        <v>472.45</v>
      </c>
      <c r="R836">
        <v>22521</v>
      </c>
    </row>
    <row r="837" spans="1:18" x14ac:dyDescent="0.25">
      <c r="A837" s="169">
        <v>43727</v>
      </c>
      <c r="B837" s="116">
        <v>165.3</v>
      </c>
      <c r="C837" s="116">
        <v>164.21666666666701</v>
      </c>
      <c r="D837" s="116">
        <v>157.30000000000001</v>
      </c>
      <c r="E837" s="116">
        <v>157.833333333333</v>
      </c>
      <c r="F837" s="116">
        <v>492.65</v>
      </c>
      <c r="G837">
        <v>1968</v>
      </c>
      <c r="H837" s="116"/>
      <c r="I837" s="116"/>
      <c r="L837" s="169">
        <v>43727</v>
      </c>
      <c r="M837" s="116">
        <v>164.11666666666699</v>
      </c>
      <c r="N837" s="116">
        <v>165.666666666667</v>
      </c>
      <c r="O837" s="116">
        <v>156.666666666667</v>
      </c>
      <c r="P837" s="116">
        <v>158.61666666666699</v>
      </c>
      <c r="Q837" s="116">
        <v>492.35</v>
      </c>
      <c r="R837">
        <v>41285</v>
      </c>
    </row>
    <row r="838" spans="1:18" x14ac:dyDescent="0.25">
      <c r="A838" s="169">
        <v>43728</v>
      </c>
      <c r="B838" s="116">
        <v>176.666666666667</v>
      </c>
      <c r="C838" s="116">
        <v>175.3</v>
      </c>
      <c r="D838" s="116">
        <v>165.833333333333</v>
      </c>
      <c r="E838" s="116">
        <v>166.333333333333</v>
      </c>
      <c r="F838" s="116">
        <v>525.9</v>
      </c>
      <c r="G838">
        <v>10573</v>
      </c>
      <c r="H838" s="116"/>
      <c r="I838" s="116"/>
      <c r="L838" s="169">
        <v>43728</v>
      </c>
      <c r="M838" s="116">
        <v>175.03333333333299</v>
      </c>
      <c r="N838" s="116">
        <v>176.45</v>
      </c>
      <c r="O838" s="116">
        <v>163.44999999999999</v>
      </c>
      <c r="P838" s="116">
        <v>165.333333333333</v>
      </c>
      <c r="Q838" s="116">
        <v>525.1</v>
      </c>
      <c r="R838">
        <v>186953</v>
      </c>
    </row>
    <row r="839" spans="1:18" x14ac:dyDescent="0.25">
      <c r="A839" s="169">
        <v>43731</v>
      </c>
      <c r="B839" s="116">
        <v>178.3</v>
      </c>
      <c r="C839" s="116">
        <v>173.51666666666699</v>
      </c>
      <c r="D839" s="116">
        <v>166.666666666667</v>
      </c>
      <c r="E839" s="116">
        <v>174</v>
      </c>
      <c r="F839" s="116">
        <v>520.54999999999995</v>
      </c>
      <c r="G839">
        <v>6765</v>
      </c>
      <c r="H839" s="116"/>
      <c r="I839" s="116"/>
      <c r="L839" s="169">
        <v>43731</v>
      </c>
      <c r="M839" s="116">
        <v>171.73333333333301</v>
      </c>
      <c r="N839" s="116">
        <v>178.333333333333</v>
      </c>
      <c r="O839" s="116">
        <v>166.63333333333301</v>
      </c>
      <c r="P839" s="116">
        <v>177.28333333333299</v>
      </c>
      <c r="Q839" s="116">
        <v>515.20000000000005</v>
      </c>
      <c r="R839">
        <v>89324</v>
      </c>
    </row>
    <row r="840" spans="1:18" x14ac:dyDescent="0.25">
      <c r="A840" s="169">
        <v>43732</v>
      </c>
      <c r="B840" s="116">
        <v>172.78333333333299</v>
      </c>
      <c r="C840" s="116">
        <v>169.46666666666701</v>
      </c>
      <c r="D840" s="116">
        <v>168.38333333333301</v>
      </c>
      <c r="E840" s="116">
        <v>171.35</v>
      </c>
      <c r="F840" s="116">
        <v>508.4</v>
      </c>
      <c r="G840">
        <v>1840</v>
      </c>
      <c r="H840" s="116"/>
      <c r="I840" s="116"/>
      <c r="L840" s="169">
        <v>43732</v>
      </c>
      <c r="M840" s="116">
        <v>169.5</v>
      </c>
      <c r="N840" s="116">
        <v>173.26666666666699</v>
      </c>
      <c r="O840" s="116">
        <v>168.333333333333</v>
      </c>
      <c r="P840" s="116">
        <v>169.166666666667</v>
      </c>
      <c r="Q840" s="116">
        <v>508.5</v>
      </c>
      <c r="R840">
        <v>12535</v>
      </c>
    </row>
    <row r="841" spans="1:18" x14ac:dyDescent="0.25">
      <c r="A841" s="169">
        <v>43733</v>
      </c>
      <c r="B841" s="116">
        <v>173.05</v>
      </c>
      <c r="C841" s="116">
        <v>171.1</v>
      </c>
      <c r="D841" s="116">
        <v>170.5</v>
      </c>
      <c r="E841" s="116">
        <v>171.683333333333</v>
      </c>
      <c r="F841" s="116">
        <v>513.29999999999995</v>
      </c>
      <c r="G841">
        <v>912</v>
      </c>
      <c r="H841" s="116"/>
      <c r="I841" s="116"/>
      <c r="L841" s="169">
        <v>43733</v>
      </c>
      <c r="M841" s="116">
        <v>170.71666666666701</v>
      </c>
      <c r="N841" s="116">
        <v>173.166666666667</v>
      </c>
      <c r="O841" s="116">
        <v>169.666666666667</v>
      </c>
      <c r="P841" s="116">
        <v>169.683333333333</v>
      </c>
      <c r="Q841" s="116">
        <v>512.15</v>
      </c>
      <c r="R841">
        <v>13369</v>
      </c>
    </row>
    <row r="842" spans="1:18" x14ac:dyDescent="0.25">
      <c r="A842" s="169">
        <v>43734</v>
      </c>
      <c r="B842" s="116">
        <v>175</v>
      </c>
      <c r="C842" s="116">
        <v>172.9</v>
      </c>
      <c r="D842" s="116">
        <v>171</v>
      </c>
      <c r="E842" s="116">
        <v>173.433333333333</v>
      </c>
      <c r="F842" s="116">
        <v>518.70000000000005</v>
      </c>
      <c r="G842">
        <v>869</v>
      </c>
      <c r="H842" s="116"/>
      <c r="I842" s="116"/>
      <c r="L842" s="169">
        <v>43734</v>
      </c>
      <c r="M842" s="116">
        <v>173.183333333333</v>
      </c>
      <c r="N842" s="116">
        <v>175.316666666667</v>
      </c>
      <c r="O842" s="116">
        <v>170.833333333333</v>
      </c>
      <c r="P842" s="116">
        <v>171.933333333333</v>
      </c>
      <c r="Q842" s="116">
        <v>519.54999999999995</v>
      </c>
      <c r="R842">
        <v>16934</v>
      </c>
    </row>
    <row r="843" spans="1:18" x14ac:dyDescent="0.25">
      <c r="A843" s="169">
        <v>43735</v>
      </c>
      <c r="B843" s="116">
        <v>176.333333333333</v>
      </c>
      <c r="C843" s="116">
        <v>175.95</v>
      </c>
      <c r="D843" s="116">
        <v>171.63333333333301</v>
      </c>
      <c r="E843" s="116">
        <v>173.066666666667</v>
      </c>
      <c r="F843" s="116">
        <v>527.85</v>
      </c>
      <c r="G843">
        <v>506</v>
      </c>
      <c r="H843" s="116"/>
      <c r="I843" s="116"/>
      <c r="L843" s="169">
        <v>43735</v>
      </c>
      <c r="M843" s="116">
        <v>176.083333333333</v>
      </c>
      <c r="N843" s="116">
        <v>176.666666666667</v>
      </c>
      <c r="O843" s="116">
        <v>171.4</v>
      </c>
      <c r="P843" s="116">
        <v>173.11666666666699</v>
      </c>
      <c r="Q843" s="116">
        <v>528.25</v>
      </c>
      <c r="R843">
        <v>13848</v>
      </c>
    </row>
    <row r="844" spans="1:18" x14ac:dyDescent="0.25">
      <c r="A844" s="169">
        <v>43738</v>
      </c>
      <c r="B844" s="116">
        <v>175.416666666667</v>
      </c>
      <c r="C844" s="116">
        <v>171.78333333333299</v>
      </c>
      <c r="D844" s="116">
        <v>171.166666666667</v>
      </c>
      <c r="E844" s="116">
        <v>175.333333333333</v>
      </c>
      <c r="F844" s="116">
        <v>515.35</v>
      </c>
      <c r="G844">
        <v>451</v>
      </c>
      <c r="H844" s="116"/>
      <c r="I844" s="116"/>
      <c r="L844" s="169">
        <v>43738</v>
      </c>
      <c r="M844" s="116">
        <v>171.933333333333</v>
      </c>
      <c r="N844" s="116">
        <v>177</v>
      </c>
      <c r="O844" s="116">
        <v>171.416666666667</v>
      </c>
      <c r="P844" s="116">
        <v>176.333333333333</v>
      </c>
      <c r="Q844" s="116">
        <v>515.79999999999995</v>
      </c>
      <c r="R844">
        <v>26301</v>
      </c>
    </row>
    <row r="845" spans="1:18" x14ac:dyDescent="0.25">
      <c r="A845" s="169">
        <v>43739</v>
      </c>
      <c r="B845" s="116">
        <v>172.11666666666699</v>
      </c>
      <c r="C845" s="116">
        <v>168.8</v>
      </c>
      <c r="D845" s="116">
        <v>167.4</v>
      </c>
      <c r="E845" s="116">
        <v>171.15</v>
      </c>
      <c r="F845" s="116">
        <v>506.4</v>
      </c>
      <c r="G845">
        <v>1219</v>
      </c>
      <c r="H845" s="116"/>
      <c r="I845" s="116"/>
      <c r="L845" s="169">
        <v>43739</v>
      </c>
      <c r="M845" s="116">
        <v>168.71666666666701</v>
      </c>
      <c r="N845" s="116">
        <v>173.333333333333</v>
      </c>
      <c r="O845" s="116">
        <v>167.4</v>
      </c>
      <c r="P845" s="116">
        <v>172.45</v>
      </c>
      <c r="Q845" s="116">
        <v>506.15</v>
      </c>
      <c r="R845">
        <v>35821</v>
      </c>
    </row>
    <row r="846" spans="1:18" x14ac:dyDescent="0.25">
      <c r="A846" s="169">
        <v>43741</v>
      </c>
      <c r="B846" s="116">
        <v>167.55</v>
      </c>
      <c r="C846" s="116">
        <v>166.8</v>
      </c>
      <c r="D846" s="116">
        <v>165.63333333333301</v>
      </c>
      <c r="E846" s="116">
        <v>167.4</v>
      </c>
      <c r="F846" s="116">
        <v>500.4</v>
      </c>
      <c r="G846">
        <v>595</v>
      </c>
      <c r="H846" s="116"/>
      <c r="I846" s="116"/>
      <c r="L846" s="169">
        <v>43741</v>
      </c>
      <c r="M846" s="116">
        <v>166.76666666666699</v>
      </c>
      <c r="N846" s="116">
        <v>168.316666666667</v>
      </c>
      <c r="O846" s="116">
        <v>165.7</v>
      </c>
      <c r="P846" s="116">
        <v>167.35</v>
      </c>
      <c r="Q846" s="116">
        <v>500.3</v>
      </c>
      <c r="R846">
        <v>9975</v>
      </c>
    </row>
    <row r="847" spans="1:18" x14ac:dyDescent="0.25">
      <c r="A847" s="169">
        <v>43742</v>
      </c>
      <c r="B847" s="116">
        <v>167.333333333333</v>
      </c>
      <c r="C847" s="116">
        <v>165.6</v>
      </c>
      <c r="D847" s="116">
        <v>163.69999999999999</v>
      </c>
      <c r="E847" s="116">
        <v>166.666666666667</v>
      </c>
      <c r="F847" s="116">
        <v>496.8</v>
      </c>
      <c r="G847">
        <v>333</v>
      </c>
      <c r="H847" s="116"/>
      <c r="I847" s="116"/>
      <c r="L847" s="169">
        <v>43742</v>
      </c>
      <c r="M847" s="116">
        <v>165.066666666667</v>
      </c>
      <c r="N847" s="116">
        <v>167.666666666667</v>
      </c>
      <c r="O847" s="116">
        <v>163.4</v>
      </c>
      <c r="P847" s="116">
        <v>166.333333333333</v>
      </c>
      <c r="Q847" s="116">
        <v>495.2</v>
      </c>
      <c r="R847">
        <v>55459</v>
      </c>
    </row>
    <row r="848" spans="1:18" x14ac:dyDescent="0.25">
      <c r="A848" s="169">
        <v>43745</v>
      </c>
      <c r="B848" s="116">
        <v>169.35</v>
      </c>
      <c r="C848" s="116">
        <v>167.03333333333299</v>
      </c>
      <c r="D848" s="116">
        <v>165</v>
      </c>
      <c r="E848" s="116">
        <v>166.333333333333</v>
      </c>
      <c r="F848" s="116">
        <v>501.1</v>
      </c>
      <c r="G848">
        <v>1500</v>
      </c>
      <c r="H848" s="116"/>
      <c r="I848" s="116"/>
      <c r="L848" s="169">
        <v>43745</v>
      </c>
      <c r="M848" s="116">
        <v>166.75</v>
      </c>
      <c r="N848" s="116">
        <v>170.666666666667</v>
      </c>
      <c r="O848" s="116">
        <v>164.683333333333</v>
      </c>
      <c r="P848" s="116">
        <v>167.95</v>
      </c>
      <c r="Q848" s="116">
        <v>500.25</v>
      </c>
      <c r="R848">
        <v>10185</v>
      </c>
    </row>
    <row r="849" spans="1:18" x14ac:dyDescent="0.25">
      <c r="A849" s="169">
        <v>43747</v>
      </c>
      <c r="B849" s="116">
        <v>168</v>
      </c>
      <c r="C849" s="116">
        <v>166.916666666667</v>
      </c>
      <c r="D849" s="116">
        <v>162.4</v>
      </c>
      <c r="E849" s="116">
        <v>165.45</v>
      </c>
      <c r="F849" s="116">
        <v>500.75</v>
      </c>
      <c r="G849">
        <v>1354</v>
      </c>
      <c r="H849" s="116"/>
      <c r="I849" s="116"/>
      <c r="L849" s="169">
        <v>43747</v>
      </c>
      <c r="M849" s="116">
        <v>166.816666666667</v>
      </c>
      <c r="N849" s="116">
        <v>167.65</v>
      </c>
      <c r="O849" s="116">
        <v>162.683333333333</v>
      </c>
      <c r="P849" s="116">
        <v>166.8</v>
      </c>
      <c r="Q849" s="116">
        <v>500.45</v>
      </c>
      <c r="R849">
        <v>17436</v>
      </c>
    </row>
    <row r="850" spans="1:18" x14ac:dyDescent="0.25">
      <c r="A850" s="169">
        <v>43748</v>
      </c>
      <c r="B850" s="116">
        <v>177.6</v>
      </c>
      <c r="C850" s="116">
        <v>175.683333333333</v>
      </c>
      <c r="D850" s="116">
        <v>166.46666666666701</v>
      </c>
      <c r="E850" s="116">
        <v>166.666666666667</v>
      </c>
      <c r="F850" s="116">
        <v>527.04999999999995</v>
      </c>
      <c r="G850">
        <v>3756</v>
      </c>
      <c r="H850" s="116"/>
      <c r="I850" s="116"/>
      <c r="L850" s="169">
        <v>43748</v>
      </c>
      <c r="M850" s="116">
        <v>175.53333333333299</v>
      </c>
      <c r="N850" s="116">
        <v>177.5</v>
      </c>
      <c r="O850" s="116">
        <v>163.416666666667</v>
      </c>
      <c r="P850" s="116">
        <v>163.416666666667</v>
      </c>
      <c r="Q850" s="116">
        <v>526.6</v>
      </c>
      <c r="R850">
        <v>43084</v>
      </c>
    </row>
    <row r="851" spans="1:18" x14ac:dyDescent="0.25">
      <c r="A851" s="169">
        <v>43749</v>
      </c>
      <c r="B851" s="116">
        <v>177.45</v>
      </c>
      <c r="C851" s="116">
        <v>172.6</v>
      </c>
      <c r="D851" s="116">
        <v>171</v>
      </c>
      <c r="E851" s="116">
        <v>175.683333333333</v>
      </c>
      <c r="F851" s="116">
        <v>517.79999999999995</v>
      </c>
      <c r="G851">
        <v>1286</v>
      </c>
      <c r="H851" s="116"/>
      <c r="I851" s="116"/>
      <c r="L851" s="169">
        <v>43749</v>
      </c>
      <c r="M851" s="116">
        <v>172.833333333333</v>
      </c>
      <c r="N851" s="116">
        <v>177.2</v>
      </c>
      <c r="O851" s="116">
        <v>170.96666666666701</v>
      </c>
      <c r="P851" s="116">
        <v>175.53333333333299</v>
      </c>
      <c r="Q851" s="116">
        <v>518.5</v>
      </c>
      <c r="R851">
        <v>13022</v>
      </c>
    </row>
    <row r="852" spans="1:18" x14ac:dyDescent="0.25">
      <c r="A852" s="169">
        <v>43752</v>
      </c>
      <c r="B852" s="116">
        <v>175</v>
      </c>
      <c r="C852" s="116">
        <v>169.55</v>
      </c>
      <c r="D852" s="116">
        <v>166.7</v>
      </c>
      <c r="E852" s="116">
        <v>173.166666666667</v>
      </c>
      <c r="F852" s="116">
        <v>508.65</v>
      </c>
      <c r="G852">
        <v>1333</v>
      </c>
      <c r="H852" s="116"/>
      <c r="I852" s="116"/>
      <c r="L852" s="169">
        <v>43752</v>
      </c>
      <c r="M852" s="116">
        <v>168.433333333333</v>
      </c>
      <c r="N852" s="116">
        <v>178.3</v>
      </c>
      <c r="O852" s="116">
        <v>166.666666666667</v>
      </c>
      <c r="P852" s="116">
        <v>178.3</v>
      </c>
      <c r="Q852" s="116">
        <v>505.3</v>
      </c>
      <c r="R852">
        <v>13713</v>
      </c>
    </row>
    <row r="853" spans="1:18" x14ac:dyDescent="0.25">
      <c r="A853" s="169">
        <v>43753</v>
      </c>
      <c r="B853" s="116">
        <v>171.3</v>
      </c>
      <c r="C853" s="116">
        <v>167.51666666666699</v>
      </c>
      <c r="D853" s="116">
        <v>166.666666666667</v>
      </c>
      <c r="E853" s="116">
        <v>169.95</v>
      </c>
      <c r="F853" s="116">
        <v>502.55</v>
      </c>
      <c r="G853">
        <v>3895</v>
      </c>
      <c r="H853" s="116"/>
      <c r="I853" s="116"/>
      <c r="L853" s="169">
        <v>43753</v>
      </c>
      <c r="M853" s="116">
        <v>167.05</v>
      </c>
      <c r="N853" s="116">
        <v>171.583333333333</v>
      </c>
      <c r="O853" s="116">
        <v>166.666666666667</v>
      </c>
      <c r="P853" s="116">
        <v>168.433333333333</v>
      </c>
      <c r="Q853" s="116">
        <v>501.15</v>
      </c>
      <c r="R853">
        <v>8981</v>
      </c>
    </row>
    <row r="854" spans="1:18" x14ac:dyDescent="0.25">
      <c r="A854" s="169">
        <v>43754</v>
      </c>
      <c r="B854" s="116">
        <v>170.38333333333301</v>
      </c>
      <c r="C854" s="116">
        <v>166.36666666666699</v>
      </c>
      <c r="D854" s="116">
        <v>165.833333333333</v>
      </c>
      <c r="E854" s="116">
        <v>167.666666666667</v>
      </c>
      <c r="F854" s="116">
        <v>499.1</v>
      </c>
      <c r="G854">
        <v>632</v>
      </c>
      <c r="H854" s="116"/>
      <c r="I854" s="116"/>
      <c r="L854" s="169">
        <v>43754</v>
      </c>
      <c r="M854" s="116">
        <v>166.26666666666699</v>
      </c>
      <c r="N854" s="116">
        <v>170.3</v>
      </c>
      <c r="O854" s="116">
        <v>165.73333333333301</v>
      </c>
      <c r="P854" s="116">
        <v>167.166666666667</v>
      </c>
      <c r="Q854" s="116">
        <v>498.8</v>
      </c>
      <c r="R854">
        <v>10909</v>
      </c>
    </row>
    <row r="855" spans="1:18" x14ac:dyDescent="0.25">
      <c r="A855" s="169">
        <v>43755</v>
      </c>
      <c r="B855" s="116">
        <v>168.63333333333301</v>
      </c>
      <c r="C855" s="116">
        <v>167.21666666666701</v>
      </c>
      <c r="D855" s="116">
        <v>166.21666666666701</v>
      </c>
      <c r="E855" s="116">
        <v>168.21666666666701</v>
      </c>
      <c r="F855" s="116">
        <v>501.65</v>
      </c>
      <c r="G855">
        <v>1095</v>
      </c>
      <c r="H855" s="116"/>
      <c r="I855" s="116"/>
      <c r="L855" s="169">
        <v>43755</v>
      </c>
      <c r="M855" s="116">
        <v>167.183333333333</v>
      </c>
      <c r="N855" s="116">
        <v>169.333333333333</v>
      </c>
      <c r="O855" s="116">
        <v>166</v>
      </c>
      <c r="P855" s="116">
        <v>166.65</v>
      </c>
      <c r="Q855" s="116">
        <v>501.55</v>
      </c>
      <c r="R855">
        <v>16164</v>
      </c>
    </row>
    <row r="856" spans="1:18" x14ac:dyDescent="0.25">
      <c r="A856" s="169">
        <v>43756</v>
      </c>
      <c r="B856" s="116">
        <v>169.73333333333301</v>
      </c>
      <c r="C856" s="116">
        <v>168.96666666666701</v>
      </c>
      <c r="D856" s="116">
        <v>166.05</v>
      </c>
      <c r="E856" s="116">
        <v>167</v>
      </c>
      <c r="F856" s="116">
        <v>506.9</v>
      </c>
      <c r="G856">
        <v>902</v>
      </c>
      <c r="H856" s="116"/>
      <c r="I856" s="116"/>
      <c r="L856" s="169">
        <v>43756</v>
      </c>
      <c r="M856" s="116">
        <v>168.73333333333301</v>
      </c>
      <c r="N856" s="116">
        <v>170.98333333333301</v>
      </c>
      <c r="O856" s="116">
        <v>166.05</v>
      </c>
      <c r="P856" s="116">
        <v>170.98333333333301</v>
      </c>
      <c r="Q856" s="116">
        <v>506.2</v>
      </c>
      <c r="R856">
        <v>21644</v>
      </c>
    </row>
    <row r="857" spans="1:18" x14ac:dyDescent="0.25">
      <c r="A857" s="169">
        <v>43760</v>
      </c>
      <c r="B857" s="116">
        <v>174.46666666666701</v>
      </c>
      <c r="C857" s="116">
        <v>171.2</v>
      </c>
      <c r="D857" s="116">
        <v>169.833333333333</v>
      </c>
      <c r="E857" s="116">
        <v>170</v>
      </c>
      <c r="F857" s="116">
        <v>513.6</v>
      </c>
      <c r="G857">
        <v>2095</v>
      </c>
      <c r="H857" s="116"/>
      <c r="I857" s="116"/>
      <c r="L857" s="169">
        <v>43760</v>
      </c>
      <c r="M857" s="116">
        <v>171.666666666667</v>
      </c>
      <c r="N857" s="116">
        <v>174</v>
      </c>
      <c r="O857" s="116">
        <v>167.683333333333</v>
      </c>
      <c r="P857" s="116">
        <v>167.683333333333</v>
      </c>
      <c r="Q857" s="116">
        <v>515</v>
      </c>
      <c r="R857">
        <v>16250</v>
      </c>
    </row>
    <row r="858" spans="1:18" x14ac:dyDescent="0.25">
      <c r="A858" s="169">
        <v>43761</v>
      </c>
      <c r="B858" s="116">
        <v>177.2</v>
      </c>
      <c r="C858" s="116">
        <v>171.63333333333301</v>
      </c>
      <c r="D858" s="116">
        <v>171.01666666666699</v>
      </c>
      <c r="E858" s="116">
        <v>177.2</v>
      </c>
      <c r="F858" s="116">
        <v>514.9</v>
      </c>
      <c r="G858">
        <v>369</v>
      </c>
      <c r="H858" s="116"/>
      <c r="I858" s="116"/>
      <c r="L858" s="169">
        <v>43761</v>
      </c>
      <c r="M858" s="116">
        <v>171.833333333333</v>
      </c>
      <c r="N858" s="116">
        <v>175.333333333333</v>
      </c>
      <c r="O858" s="116">
        <v>170.86666666666699</v>
      </c>
      <c r="P858" s="116">
        <v>175.333333333333</v>
      </c>
      <c r="Q858" s="116">
        <v>515.5</v>
      </c>
      <c r="R858">
        <v>24769</v>
      </c>
    </row>
    <row r="859" spans="1:18" x14ac:dyDescent="0.25">
      <c r="A859" s="169">
        <v>43762</v>
      </c>
      <c r="B859" s="116">
        <v>195.23333333333301</v>
      </c>
      <c r="C859" s="116">
        <v>189.13333333333301</v>
      </c>
      <c r="D859" s="116">
        <v>172.45</v>
      </c>
      <c r="E859" s="116">
        <v>173.48333333333301</v>
      </c>
      <c r="F859" s="116">
        <v>567.4</v>
      </c>
      <c r="G859">
        <v>9981</v>
      </c>
      <c r="H859" s="116"/>
      <c r="I859" s="116"/>
      <c r="L859" s="169">
        <v>43762</v>
      </c>
      <c r="M859" s="116">
        <v>190.083333333333</v>
      </c>
      <c r="N859" s="116">
        <v>195.066666666667</v>
      </c>
      <c r="O859" s="116">
        <v>170.6</v>
      </c>
      <c r="P859" s="116">
        <v>172</v>
      </c>
      <c r="Q859" s="116">
        <v>570.25</v>
      </c>
      <c r="R859">
        <v>111821</v>
      </c>
    </row>
    <row r="860" spans="1:18" x14ac:dyDescent="0.25">
      <c r="A860" s="169">
        <v>43763</v>
      </c>
      <c r="B860" s="116">
        <v>193.333333333333</v>
      </c>
      <c r="C860" s="116">
        <v>181.166666666667</v>
      </c>
      <c r="D860" s="116">
        <v>178.666666666667</v>
      </c>
      <c r="E860" s="116">
        <v>193.333333333333</v>
      </c>
      <c r="F860" s="116">
        <v>543.5</v>
      </c>
      <c r="G860">
        <v>4922</v>
      </c>
      <c r="H860" s="116"/>
      <c r="I860" s="116"/>
      <c r="L860" s="169">
        <v>43763</v>
      </c>
      <c r="M860" s="116">
        <v>180.9</v>
      </c>
      <c r="N860" s="116">
        <v>188.23333333333301</v>
      </c>
      <c r="O860" s="116">
        <v>178.333333333333</v>
      </c>
      <c r="P860" s="116">
        <v>185.53333333333299</v>
      </c>
      <c r="Q860" s="116">
        <v>542.70000000000005</v>
      </c>
      <c r="R860">
        <v>34461</v>
      </c>
    </row>
    <row r="861" spans="1:18" x14ac:dyDescent="0.25">
      <c r="A861" s="169">
        <v>43765</v>
      </c>
      <c r="B861" s="116">
        <v>188.15</v>
      </c>
      <c r="C861" s="116">
        <v>185.36666666666699</v>
      </c>
      <c r="D861" s="116">
        <v>183.333333333333</v>
      </c>
      <c r="E861" s="116">
        <v>183.88333333333301</v>
      </c>
      <c r="F861" s="116">
        <v>556.1</v>
      </c>
      <c r="G861">
        <v>1270</v>
      </c>
      <c r="H861" s="116"/>
      <c r="I861" s="116"/>
      <c r="L861" s="169">
        <v>43765</v>
      </c>
      <c r="M861" s="116">
        <v>185.21666666666701</v>
      </c>
      <c r="N861" s="116">
        <v>188.3</v>
      </c>
      <c r="O861" s="116">
        <v>180.9</v>
      </c>
      <c r="P861" s="116">
        <v>180.9</v>
      </c>
      <c r="Q861" s="116">
        <v>555.65</v>
      </c>
      <c r="R861">
        <v>9471</v>
      </c>
    </row>
    <row r="862" spans="1:18" x14ac:dyDescent="0.25">
      <c r="A862" s="169">
        <v>43767</v>
      </c>
      <c r="B862" s="116">
        <v>190</v>
      </c>
      <c r="C862" s="116">
        <v>180.416666666667</v>
      </c>
      <c r="D862" s="116">
        <v>180.03333333333299</v>
      </c>
      <c r="E862" s="116">
        <v>185.666666666667</v>
      </c>
      <c r="F862" s="116">
        <v>541.25</v>
      </c>
      <c r="G862">
        <v>2945</v>
      </c>
      <c r="H862" s="116"/>
      <c r="I862" s="116"/>
      <c r="L862" s="169">
        <v>43767</v>
      </c>
      <c r="M862" s="116">
        <v>180.76666666666699</v>
      </c>
      <c r="N862" s="116">
        <v>186.63333333333301</v>
      </c>
      <c r="O862" s="116">
        <v>175.083333333333</v>
      </c>
      <c r="P862" s="116">
        <v>186.63333333333301</v>
      </c>
      <c r="Q862" s="116">
        <v>542.29999999999995</v>
      </c>
      <c r="R862">
        <v>20031</v>
      </c>
    </row>
    <row r="863" spans="1:18" x14ac:dyDescent="0.25">
      <c r="A863" s="169">
        <v>43768</v>
      </c>
      <c r="B863" s="116">
        <v>185.63333333333301</v>
      </c>
      <c r="C863" s="116">
        <v>183.45</v>
      </c>
      <c r="D863" s="116">
        <v>181.666666666667</v>
      </c>
      <c r="E863" s="116">
        <v>185.083333333333</v>
      </c>
      <c r="F863" s="116">
        <v>550.35</v>
      </c>
      <c r="G863">
        <v>1750</v>
      </c>
      <c r="H863" s="116"/>
      <c r="I863" s="116"/>
      <c r="L863" s="169">
        <v>43768</v>
      </c>
      <c r="M863" s="116">
        <v>183.05</v>
      </c>
      <c r="N863" s="116">
        <v>186</v>
      </c>
      <c r="O863" s="116">
        <v>179.333333333333</v>
      </c>
      <c r="P863" s="116">
        <v>179.333333333333</v>
      </c>
      <c r="Q863" s="116">
        <v>549.15</v>
      </c>
      <c r="R863">
        <v>18390</v>
      </c>
    </row>
    <row r="864" spans="1:18" x14ac:dyDescent="0.25">
      <c r="A864" s="169">
        <v>43769</v>
      </c>
      <c r="B864" s="116">
        <v>190.13333333333301</v>
      </c>
      <c r="C864" s="116">
        <v>189.7</v>
      </c>
      <c r="D864" s="116">
        <v>184.38333333333301</v>
      </c>
      <c r="E864" s="116">
        <v>184.45</v>
      </c>
      <c r="F864" s="116">
        <v>569.1</v>
      </c>
      <c r="G864">
        <v>5946</v>
      </c>
      <c r="H864" s="116"/>
      <c r="I864" s="116"/>
      <c r="L864" s="169">
        <v>43769</v>
      </c>
      <c r="M864" s="116">
        <v>189.26666666666699</v>
      </c>
      <c r="N864" s="116">
        <v>189.95</v>
      </c>
      <c r="O864" s="116">
        <v>183.416666666667</v>
      </c>
      <c r="P864" s="116">
        <v>184.666666666667</v>
      </c>
      <c r="Q864" s="116">
        <v>567.79999999999995</v>
      </c>
      <c r="R864">
        <v>24878</v>
      </c>
    </row>
    <row r="865" spans="1:18" x14ac:dyDescent="0.25">
      <c r="A865" s="169">
        <v>43770</v>
      </c>
      <c r="B865" s="116">
        <v>199.76666666666699</v>
      </c>
      <c r="C865" s="116">
        <v>196.03333333333299</v>
      </c>
      <c r="D865" s="116">
        <v>189.7</v>
      </c>
      <c r="E865" s="116">
        <v>189.7</v>
      </c>
      <c r="F865" s="116">
        <v>588.1</v>
      </c>
      <c r="G865">
        <v>8160</v>
      </c>
      <c r="H865" s="116"/>
      <c r="I865" s="116"/>
      <c r="L865" s="169">
        <v>43770</v>
      </c>
      <c r="M865" s="116">
        <v>196.11666666666699</v>
      </c>
      <c r="N865" s="116">
        <v>199.566666666667</v>
      </c>
      <c r="O865" s="116">
        <v>189.96666666666701</v>
      </c>
      <c r="P865" s="116">
        <v>190</v>
      </c>
      <c r="Q865" s="116">
        <v>588.35</v>
      </c>
      <c r="R865">
        <v>59204</v>
      </c>
    </row>
    <row r="866" spans="1:18" x14ac:dyDescent="0.25">
      <c r="A866" s="169">
        <v>43773</v>
      </c>
      <c r="B866" s="116">
        <v>196.666666666667</v>
      </c>
      <c r="C866" s="116">
        <v>189.55</v>
      </c>
      <c r="D866" s="116">
        <v>188.666666666667</v>
      </c>
      <c r="E866" s="116">
        <v>195.05</v>
      </c>
      <c r="F866" s="116">
        <v>568.65</v>
      </c>
      <c r="G866">
        <v>1543</v>
      </c>
      <c r="H866" s="116"/>
      <c r="I866" s="116"/>
      <c r="L866" s="169">
        <v>43773</v>
      </c>
      <c r="M866" s="116">
        <v>189.55</v>
      </c>
      <c r="N866" s="116">
        <v>196.48333333333301</v>
      </c>
      <c r="O866" s="116">
        <v>188.666666666667</v>
      </c>
      <c r="P866" s="116">
        <v>196.11666666666699</v>
      </c>
      <c r="Q866" s="116">
        <v>568.65</v>
      </c>
      <c r="R866">
        <v>23041</v>
      </c>
    </row>
    <row r="867" spans="1:18" x14ac:dyDescent="0.25">
      <c r="A867" s="169">
        <v>43774</v>
      </c>
      <c r="B867" s="116">
        <v>192.8</v>
      </c>
      <c r="C867" s="116">
        <v>188.25</v>
      </c>
      <c r="D867" s="116">
        <v>187</v>
      </c>
      <c r="E867" s="116">
        <v>189.03333333333299</v>
      </c>
      <c r="F867" s="116">
        <v>564.75</v>
      </c>
      <c r="G867">
        <v>476</v>
      </c>
      <c r="H867" s="116"/>
      <c r="I867" s="116"/>
      <c r="L867" s="169">
        <v>43774</v>
      </c>
      <c r="M867" s="116">
        <v>188.65</v>
      </c>
      <c r="N867" s="116">
        <v>192.933333333333</v>
      </c>
      <c r="O867" s="116">
        <v>187.6</v>
      </c>
      <c r="P867" s="116">
        <v>191</v>
      </c>
      <c r="Q867" s="116">
        <v>565.95000000000005</v>
      </c>
      <c r="R867">
        <v>11152</v>
      </c>
    </row>
    <row r="868" spans="1:18" x14ac:dyDescent="0.25">
      <c r="A868" s="169">
        <v>43775</v>
      </c>
      <c r="B868" s="116">
        <v>198.333333333333</v>
      </c>
      <c r="C868" s="116">
        <v>195.98333333333301</v>
      </c>
      <c r="D868" s="116">
        <v>185.98333333333301</v>
      </c>
      <c r="E868" s="116">
        <v>189</v>
      </c>
      <c r="F868" s="116">
        <v>587.95000000000005</v>
      </c>
      <c r="G868">
        <v>6491</v>
      </c>
      <c r="H868" s="116"/>
      <c r="I868" s="116"/>
      <c r="L868" s="169">
        <v>43775</v>
      </c>
      <c r="M868" s="116">
        <v>196.083333333333</v>
      </c>
      <c r="N868" s="116">
        <v>198.933333333333</v>
      </c>
      <c r="O868" s="116">
        <v>185.166666666667</v>
      </c>
      <c r="P868" s="116">
        <v>189.683333333333</v>
      </c>
      <c r="Q868" s="116">
        <v>588.25</v>
      </c>
      <c r="R868">
        <v>54910</v>
      </c>
    </row>
    <row r="869" spans="1:18" x14ac:dyDescent="0.25">
      <c r="A869" s="169">
        <v>43776</v>
      </c>
      <c r="B869" s="116">
        <v>201.333333333333</v>
      </c>
      <c r="C869" s="116">
        <v>186.066666666667</v>
      </c>
      <c r="D869" s="116">
        <v>184.333333333333</v>
      </c>
      <c r="E869" s="116">
        <v>199</v>
      </c>
      <c r="F869" s="116">
        <v>558.20000000000005</v>
      </c>
      <c r="G869">
        <v>7020</v>
      </c>
      <c r="H869" s="116"/>
      <c r="I869" s="116"/>
      <c r="L869" s="169">
        <v>43776</v>
      </c>
      <c r="M869" s="116">
        <v>186.183333333333</v>
      </c>
      <c r="N869" s="116">
        <v>200.96666666666701</v>
      </c>
      <c r="O869" s="116">
        <v>184.2</v>
      </c>
      <c r="P869" s="116">
        <v>198.45</v>
      </c>
      <c r="Q869" s="116">
        <v>558.54999999999995</v>
      </c>
      <c r="R869">
        <v>73131</v>
      </c>
    </row>
    <row r="870" spans="1:18" x14ac:dyDescent="0.25">
      <c r="A870" s="169">
        <v>43777</v>
      </c>
      <c r="B870" s="116">
        <v>201.51666666666699</v>
      </c>
      <c r="C870" s="116">
        <v>182.26666666666699</v>
      </c>
      <c r="D870" s="116">
        <v>180.76666666666699</v>
      </c>
      <c r="E870" s="116">
        <v>192</v>
      </c>
      <c r="F870" s="116">
        <v>546.79999999999995</v>
      </c>
      <c r="G870">
        <v>17149</v>
      </c>
      <c r="H870" s="116"/>
      <c r="I870" s="116"/>
      <c r="L870" s="169">
        <v>43777</v>
      </c>
      <c r="M870" s="116">
        <v>182.583333333333</v>
      </c>
      <c r="N870" s="116">
        <v>201.5</v>
      </c>
      <c r="O870" s="116">
        <v>180.78333333333299</v>
      </c>
      <c r="P870" s="116">
        <v>192</v>
      </c>
      <c r="Q870" s="116">
        <v>547.75</v>
      </c>
      <c r="R870">
        <v>254189</v>
      </c>
    </row>
    <row r="871" spans="1:18" x14ac:dyDescent="0.25">
      <c r="A871" s="169">
        <v>43780</v>
      </c>
      <c r="B871" s="116">
        <v>187.666666666667</v>
      </c>
      <c r="C871" s="116">
        <v>184.48333333333301</v>
      </c>
      <c r="D871" s="116">
        <v>182.73333333333301</v>
      </c>
      <c r="E871" s="116">
        <v>182.73333333333301</v>
      </c>
      <c r="F871" s="116">
        <v>553.45000000000005</v>
      </c>
      <c r="G871">
        <v>1301</v>
      </c>
      <c r="H871" s="116"/>
      <c r="I871" s="116"/>
      <c r="L871" s="169">
        <v>43780</v>
      </c>
      <c r="M871" s="116">
        <v>184.76666666666699</v>
      </c>
      <c r="N871" s="116">
        <v>188.333333333333</v>
      </c>
      <c r="O871" s="116">
        <v>182.333333333333</v>
      </c>
      <c r="P871" s="116">
        <v>183.333333333333</v>
      </c>
      <c r="Q871" s="116">
        <v>554.29999999999995</v>
      </c>
      <c r="R871">
        <v>52121</v>
      </c>
    </row>
    <row r="872" spans="1:18" x14ac:dyDescent="0.25">
      <c r="A872" s="169">
        <v>43782</v>
      </c>
      <c r="B872" s="116">
        <v>190.11666666666699</v>
      </c>
      <c r="C872" s="116">
        <v>188.316666666667</v>
      </c>
      <c r="D872" s="116">
        <v>181.03333333333299</v>
      </c>
      <c r="E872" s="116">
        <v>181.03333333333299</v>
      </c>
      <c r="F872" s="116">
        <v>564.95000000000005</v>
      </c>
      <c r="G872">
        <v>5184</v>
      </c>
      <c r="H872" s="116"/>
      <c r="I872" s="116"/>
      <c r="L872" s="169">
        <v>43782</v>
      </c>
      <c r="M872" s="116">
        <v>188.36666666666699</v>
      </c>
      <c r="N872" s="116">
        <v>190</v>
      </c>
      <c r="O872" s="116">
        <v>180.78333333333299</v>
      </c>
      <c r="P872" s="116">
        <v>180.78333333333299</v>
      </c>
      <c r="Q872" s="116">
        <v>565.1</v>
      </c>
      <c r="R872">
        <v>42527</v>
      </c>
    </row>
    <row r="873" spans="1:18" x14ac:dyDescent="0.25">
      <c r="A873" s="169">
        <v>43783</v>
      </c>
      <c r="B873" s="116">
        <v>192.11666666666699</v>
      </c>
      <c r="C873" s="116">
        <v>191</v>
      </c>
      <c r="D873" s="116">
        <v>188.333333333333</v>
      </c>
      <c r="E873" s="116">
        <v>192.01666666666699</v>
      </c>
      <c r="F873" s="116">
        <v>573</v>
      </c>
      <c r="G873">
        <v>2401</v>
      </c>
      <c r="H873" s="116"/>
      <c r="I873" s="116"/>
      <c r="L873" s="169">
        <v>43783</v>
      </c>
      <c r="M873" s="116">
        <v>190.85</v>
      </c>
      <c r="N873" s="116">
        <v>193.333333333333</v>
      </c>
      <c r="O873" s="116">
        <v>188.333333333333</v>
      </c>
      <c r="P873" s="116">
        <v>189.38333333333301</v>
      </c>
      <c r="Q873" s="116">
        <v>572.54999999999995</v>
      </c>
      <c r="R873">
        <v>30985</v>
      </c>
    </row>
    <row r="874" spans="1:18" x14ac:dyDescent="0.25">
      <c r="A874" s="169">
        <v>43784</v>
      </c>
      <c r="B874" s="116">
        <v>193.666666666667</v>
      </c>
      <c r="C874" s="116">
        <v>186.933333333333</v>
      </c>
      <c r="D874" s="116">
        <v>186.066666666667</v>
      </c>
      <c r="E874" s="116">
        <v>193.666666666667</v>
      </c>
      <c r="F874" s="116">
        <v>560.79999999999995</v>
      </c>
      <c r="G874">
        <v>2373</v>
      </c>
      <c r="H874" s="116"/>
      <c r="I874" s="116"/>
      <c r="L874" s="169">
        <v>43784</v>
      </c>
      <c r="M874" s="116">
        <v>187.3</v>
      </c>
      <c r="N874" s="116">
        <v>193.3</v>
      </c>
      <c r="O874" s="116">
        <v>186.01666666666699</v>
      </c>
      <c r="P874" s="116">
        <v>191.666666666667</v>
      </c>
      <c r="Q874" s="116">
        <v>561.9</v>
      </c>
      <c r="R874">
        <v>21690</v>
      </c>
    </row>
    <row r="875" spans="1:18" x14ac:dyDescent="0.25">
      <c r="A875" s="169">
        <v>43787</v>
      </c>
      <c r="B875" s="116">
        <v>190.96666666666701</v>
      </c>
      <c r="C875" s="116">
        <v>188.96666666666701</v>
      </c>
      <c r="D875" s="116">
        <v>187.166666666667</v>
      </c>
      <c r="E875" s="116">
        <v>187.666666666667</v>
      </c>
      <c r="F875" s="116">
        <v>566.9</v>
      </c>
      <c r="G875">
        <v>1030</v>
      </c>
      <c r="H875" s="116"/>
      <c r="I875" s="116"/>
      <c r="L875" s="169">
        <v>43787</v>
      </c>
      <c r="M875" s="116">
        <v>189.03333333333299</v>
      </c>
      <c r="N875" s="116">
        <v>190.98333333333301</v>
      </c>
      <c r="O875" s="116">
        <v>186.816666666667</v>
      </c>
      <c r="P875" s="116">
        <v>186.98333333333301</v>
      </c>
      <c r="Q875" s="116">
        <v>567.1</v>
      </c>
      <c r="R875">
        <v>19678</v>
      </c>
    </row>
    <row r="876" spans="1:18" x14ac:dyDescent="0.25">
      <c r="A876" s="169">
        <v>43788</v>
      </c>
      <c r="B876" s="116">
        <v>188.76666666666699</v>
      </c>
      <c r="C876" s="116">
        <v>180.05</v>
      </c>
      <c r="D876" s="116">
        <v>179.333333333333</v>
      </c>
      <c r="E876" s="116">
        <v>188.76666666666699</v>
      </c>
      <c r="F876" s="116">
        <v>540.15</v>
      </c>
      <c r="G876">
        <v>2006</v>
      </c>
      <c r="H876" s="116"/>
      <c r="I876" s="116"/>
      <c r="L876" s="169">
        <v>43788</v>
      </c>
      <c r="M876" s="116">
        <v>179.96666666666701</v>
      </c>
      <c r="N876" s="116">
        <v>189.11666666666699</v>
      </c>
      <c r="O876" s="116">
        <v>179.333333333333</v>
      </c>
      <c r="P876" s="116">
        <v>187.55</v>
      </c>
      <c r="Q876" s="116">
        <v>539.9</v>
      </c>
      <c r="R876">
        <v>86022</v>
      </c>
    </row>
    <row r="877" spans="1:18" x14ac:dyDescent="0.25">
      <c r="A877" s="169">
        <v>43789</v>
      </c>
      <c r="B877" s="116">
        <v>188.333333333333</v>
      </c>
      <c r="C877" s="116">
        <v>186.63333333333301</v>
      </c>
      <c r="D877" s="116">
        <v>176.28333333333299</v>
      </c>
      <c r="E877" s="116">
        <v>180</v>
      </c>
      <c r="F877" s="116">
        <v>559.9</v>
      </c>
      <c r="G877">
        <v>5396</v>
      </c>
      <c r="H877" s="116"/>
      <c r="I877" s="116"/>
      <c r="L877" s="169">
        <v>43789</v>
      </c>
      <c r="M877" s="116">
        <v>186.816666666667</v>
      </c>
      <c r="N877" s="116">
        <v>188.46666666666701</v>
      </c>
      <c r="O877" s="116">
        <v>180</v>
      </c>
      <c r="P877" s="116">
        <v>181.583333333333</v>
      </c>
      <c r="Q877" s="116">
        <v>560.45000000000005</v>
      </c>
      <c r="R877">
        <v>60897</v>
      </c>
    </row>
    <row r="878" spans="1:18" x14ac:dyDescent="0.25">
      <c r="A878" s="169">
        <v>43790</v>
      </c>
      <c r="B878" s="116">
        <v>187.666666666667</v>
      </c>
      <c r="C878" s="116">
        <v>186.76666666666699</v>
      </c>
      <c r="D878" s="116">
        <v>185.6</v>
      </c>
      <c r="E878" s="116">
        <v>187.666666666667</v>
      </c>
      <c r="F878" s="116">
        <v>560.29999999999995</v>
      </c>
      <c r="G878">
        <v>1283</v>
      </c>
      <c r="H878" s="116"/>
      <c r="I878" s="116"/>
      <c r="L878" s="169">
        <v>43790</v>
      </c>
      <c r="M878" s="116">
        <v>186.416666666667</v>
      </c>
      <c r="N878" s="116">
        <v>188</v>
      </c>
      <c r="O878" s="116">
        <v>185</v>
      </c>
      <c r="P878" s="116">
        <v>187</v>
      </c>
      <c r="Q878" s="116">
        <v>559.25</v>
      </c>
      <c r="R878">
        <v>14424</v>
      </c>
    </row>
    <row r="879" spans="1:18" x14ac:dyDescent="0.25">
      <c r="A879" s="169">
        <v>43791</v>
      </c>
      <c r="B879" s="116">
        <v>186.13333333333301</v>
      </c>
      <c r="C879" s="116">
        <v>184.13333333333301</v>
      </c>
      <c r="D879" s="116">
        <v>182</v>
      </c>
      <c r="E879" s="116">
        <v>184.78333333333299</v>
      </c>
      <c r="F879" s="116">
        <v>552.4</v>
      </c>
      <c r="G879">
        <v>2130</v>
      </c>
      <c r="H879" s="116"/>
      <c r="I879" s="116"/>
      <c r="L879" s="169">
        <v>43791</v>
      </c>
      <c r="M879" s="116">
        <v>184</v>
      </c>
      <c r="N879" s="116">
        <v>186.666666666667</v>
      </c>
      <c r="O879" s="116">
        <v>181.666666666667</v>
      </c>
      <c r="P879" s="116">
        <v>186.333333333333</v>
      </c>
      <c r="Q879" s="116">
        <v>552</v>
      </c>
      <c r="R879">
        <v>11820</v>
      </c>
    </row>
    <row r="880" spans="1:18" x14ac:dyDescent="0.25">
      <c r="A880" s="169">
        <v>43794</v>
      </c>
      <c r="B880" s="116">
        <v>187.4</v>
      </c>
      <c r="C880" s="116">
        <v>186.333333333333</v>
      </c>
      <c r="D880" s="116">
        <v>182.333333333333</v>
      </c>
      <c r="E880" s="116">
        <v>183.21666666666701</v>
      </c>
      <c r="F880" s="116">
        <v>559</v>
      </c>
      <c r="G880">
        <v>693</v>
      </c>
      <c r="H880" s="116"/>
      <c r="I880" s="116"/>
      <c r="L880" s="169">
        <v>43794</v>
      </c>
      <c r="M880" s="116">
        <v>186.316666666667</v>
      </c>
      <c r="N880" s="116">
        <v>188.333333333333</v>
      </c>
      <c r="O880" s="116">
        <v>181.73333333333301</v>
      </c>
      <c r="P880" s="116">
        <v>185</v>
      </c>
      <c r="Q880" s="116">
        <v>558.95000000000005</v>
      </c>
      <c r="R880">
        <v>11131</v>
      </c>
    </row>
    <row r="881" spans="1:18" x14ac:dyDescent="0.25">
      <c r="A881" s="169">
        <v>43795</v>
      </c>
      <c r="B881" s="116">
        <v>191.333333333333</v>
      </c>
      <c r="C881" s="116">
        <v>187.083333333333</v>
      </c>
      <c r="D881" s="116">
        <v>186.416666666667</v>
      </c>
      <c r="E881" s="116">
        <v>186.416666666667</v>
      </c>
      <c r="F881" s="116">
        <v>561.25</v>
      </c>
      <c r="G881">
        <v>1666</v>
      </c>
      <c r="H881" s="116"/>
      <c r="I881" s="116"/>
      <c r="L881" s="169">
        <v>43795</v>
      </c>
      <c r="M881" s="116">
        <v>187.65</v>
      </c>
      <c r="N881" s="116">
        <v>191.63333333333301</v>
      </c>
      <c r="O881" s="116">
        <v>186.683333333333</v>
      </c>
      <c r="P881" s="116">
        <v>188.183333333333</v>
      </c>
      <c r="Q881" s="116">
        <v>562.95000000000005</v>
      </c>
      <c r="R881">
        <v>30661</v>
      </c>
    </row>
    <row r="882" spans="1:18" x14ac:dyDescent="0.25">
      <c r="A882" s="169">
        <v>43796</v>
      </c>
      <c r="B882" s="116">
        <v>189.9</v>
      </c>
      <c r="C882" s="116">
        <v>188.5</v>
      </c>
      <c r="D882" s="116">
        <v>187.23333333333301</v>
      </c>
      <c r="E882" s="116">
        <v>189.63333333333301</v>
      </c>
      <c r="F882" s="116">
        <v>565.5</v>
      </c>
      <c r="G882">
        <v>2128</v>
      </c>
      <c r="H882" s="116"/>
      <c r="I882" s="116"/>
      <c r="L882" s="169">
        <v>43796</v>
      </c>
      <c r="M882" s="116">
        <v>188.25</v>
      </c>
      <c r="N882" s="116">
        <v>190.666666666667</v>
      </c>
      <c r="O882" s="116">
        <v>187.333333333333</v>
      </c>
      <c r="P882" s="116">
        <v>187.333333333333</v>
      </c>
      <c r="Q882" s="116">
        <v>564.75</v>
      </c>
      <c r="R882">
        <v>9753</v>
      </c>
    </row>
    <row r="883" spans="1:18" x14ac:dyDescent="0.25">
      <c r="A883" s="169">
        <v>43797</v>
      </c>
      <c r="B883" s="116">
        <v>189.96666666666701</v>
      </c>
      <c r="C883" s="116">
        <v>187.566666666667</v>
      </c>
      <c r="D883" s="116">
        <v>186.36666666666699</v>
      </c>
      <c r="E883" s="116">
        <v>189</v>
      </c>
      <c r="F883" s="116">
        <v>562.70000000000005</v>
      </c>
      <c r="G883">
        <v>1211</v>
      </c>
      <c r="H883" s="116"/>
      <c r="I883" s="116"/>
      <c r="L883" s="169">
        <v>43797</v>
      </c>
      <c r="M883" s="116">
        <v>187.816666666667</v>
      </c>
      <c r="N883" s="116">
        <v>191.316666666667</v>
      </c>
      <c r="O883" s="116">
        <v>186.666666666667</v>
      </c>
      <c r="P883" s="116">
        <v>191.316666666667</v>
      </c>
      <c r="Q883" s="116">
        <v>563.45000000000005</v>
      </c>
      <c r="R883">
        <v>16085</v>
      </c>
    </row>
    <row r="884" spans="1:18" x14ac:dyDescent="0.25">
      <c r="A884" s="169">
        <v>43798</v>
      </c>
      <c r="B884" s="116">
        <v>188</v>
      </c>
      <c r="C884" s="116">
        <v>183.066666666667</v>
      </c>
      <c r="D884" s="116">
        <v>182.45</v>
      </c>
      <c r="E884" s="116">
        <v>188</v>
      </c>
      <c r="F884" s="116">
        <v>549.20000000000005</v>
      </c>
      <c r="G884">
        <v>4606</v>
      </c>
      <c r="H884" s="116"/>
      <c r="I884" s="116"/>
      <c r="L884" s="169">
        <v>43798</v>
      </c>
      <c r="M884" s="116">
        <v>183.066666666667</v>
      </c>
      <c r="N884" s="116">
        <v>190.63333333333301</v>
      </c>
      <c r="O884" s="116">
        <v>181.73333333333301</v>
      </c>
      <c r="P884" s="116">
        <v>190.63333333333301</v>
      </c>
      <c r="Q884" s="116">
        <v>549.20000000000005</v>
      </c>
      <c r="R884">
        <v>17825</v>
      </c>
    </row>
    <row r="885" spans="1:18" x14ac:dyDescent="0.25">
      <c r="A885" s="169">
        <v>43801</v>
      </c>
      <c r="B885" s="116">
        <v>183.4</v>
      </c>
      <c r="C885" s="116">
        <v>181.5</v>
      </c>
      <c r="D885" s="116">
        <v>180.333333333333</v>
      </c>
      <c r="E885" s="116">
        <v>183.4</v>
      </c>
      <c r="F885" s="116">
        <v>544.5</v>
      </c>
      <c r="G885">
        <v>2257</v>
      </c>
      <c r="H885" s="116"/>
      <c r="I885" s="116"/>
      <c r="L885" s="169">
        <v>43801</v>
      </c>
      <c r="M885" s="116">
        <v>181.55</v>
      </c>
      <c r="N885" s="116">
        <v>186.4</v>
      </c>
      <c r="O885" s="116">
        <v>180.53333333333299</v>
      </c>
      <c r="P885" s="116">
        <v>186.4</v>
      </c>
      <c r="Q885" s="116">
        <v>544.65</v>
      </c>
      <c r="R885">
        <v>25861</v>
      </c>
    </row>
    <row r="886" spans="1:18" x14ac:dyDescent="0.25">
      <c r="A886" s="169">
        <v>43802</v>
      </c>
      <c r="B886" s="116">
        <v>183.333333333333</v>
      </c>
      <c r="C886" s="116">
        <v>182.5</v>
      </c>
      <c r="D886" s="116">
        <v>180.55</v>
      </c>
      <c r="E886" s="116">
        <v>181.333333333333</v>
      </c>
      <c r="F886" s="116">
        <v>547.5</v>
      </c>
      <c r="G886">
        <v>2133</v>
      </c>
      <c r="H886" s="116"/>
      <c r="I886" s="116"/>
      <c r="L886" s="169">
        <v>43802</v>
      </c>
      <c r="M886" s="116">
        <v>182.98333333333301</v>
      </c>
      <c r="N886" s="116">
        <v>184</v>
      </c>
      <c r="O886" s="116">
        <v>180.45</v>
      </c>
      <c r="P886" s="116">
        <v>181.55</v>
      </c>
      <c r="Q886" s="116">
        <v>548.95000000000005</v>
      </c>
      <c r="R886">
        <v>12800</v>
      </c>
    </row>
    <row r="887" spans="1:18" x14ac:dyDescent="0.25">
      <c r="A887" s="169">
        <v>43803</v>
      </c>
      <c r="B887" s="116">
        <v>191.36666666666699</v>
      </c>
      <c r="C887" s="116">
        <v>189.11666666666699</v>
      </c>
      <c r="D887" s="116">
        <v>181.833333333333</v>
      </c>
      <c r="E887" s="116">
        <v>181.833333333333</v>
      </c>
      <c r="F887" s="116">
        <v>567.35</v>
      </c>
      <c r="G887">
        <v>7838</v>
      </c>
      <c r="H887" s="116"/>
      <c r="I887" s="116"/>
      <c r="L887" s="169">
        <v>43803</v>
      </c>
      <c r="M887" s="116">
        <v>188.7</v>
      </c>
      <c r="N887" s="116">
        <v>191.333333333333</v>
      </c>
      <c r="O887" s="116">
        <v>181.28333333333299</v>
      </c>
      <c r="P887" s="116">
        <v>181.666666666667</v>
      </c>
      <c r="Q887" s="116">
        <v>566.1</v>
      </c>
      <c r="R887">
        <v>112532</v>
      </c>
    </row>
    <row r="888" spans="1:18" x14ac:dyDescent="0.25">
      <c r="A888" s="169">
        <v>43804</v>
      </c>
      <c r="B888" s="116">
        <v>195</v>
      </c>
      <c r="C888" s="116">
        <v>190.416666666667</v>
      </c>
      <c r="D888" s="116">
        <v>187.066666666667</v>
      </c>
      <c r="E888" s="116">
        <v>187.066666666667</v>
      </c>
      <c r="F888" s="116">
        <v>571.25</v>
      </c>
      <c r="G888">
        <v>5127</v>
      </c>
      <c r="H888" s="116"/>
      <c r="I888" s="116"/>
      <c r="L888" s="169">
        <v>43804</v>
      </c>
      <c r="M888" s="116">
        <v>190.36666666666699</v>
      </c>
      <c r="N888" s="116">
        <v>195.316666666667</v>
      </c>
      <c r="O888" s="116">
        <v>187.333333333333</v>
      </c>
      <c r="P888" s="116">
        <v>189.65</v>
      </c>
      <c r="Q888" s="116">
        <v>571.1</v>
      </c>
      <c r="R888">
        <v>38009</v>
      </c>
    </row>
    <row r="889" spans="1:18" x14ac:dyDescent="0.25">
      <c r="A889" s="169">
        <v>43805</v>
      </c>
      <c r="B889" s="116">
        <v>193.333333333333</v>
      </c>
      <c r="C889" s="116">
        <v>190.76666666666699</v>
      </c>
      <c r="D889" s="116">
        <v>187.76666666666699</v>
      </c>
      <c r="E889" s="116">
        <v>192.416666666667</v>
      </c>
      <c r="F889" s="116">
        <v>572.29999999999995</v>
      </c>
      <c r="G889">
        <v>1055</v>
      </c>
      <c r="H889" s="116"/>
      <c r="I889" s="116"/>
      <c r="L889" s="169">
        <v>43805</v>
      </c>
      <c r="M889" s="116">
        <v>190.55</v>
      </c>
      <c r="N889" s="116">
        <v>193.666666666667</v>
      </c>
      <c r="O889" s="116">
        <v>186.683333333333</v>
      </c>
      <c r="P889" s="116">
        <v>191.13333333333301</v>
      </c>
      <c r="Q889" s="116">
        <v>571.65</v>
      </c>
      <c r="R889">
        <v>13825</v>
      </c>
    </row>
    <row r="890" spans="1:18" x14ac:dyDescent="0.25">
      <c r="A890" s="169">
        <v>43808</v>
      </c>
      <c r="B890" s="116">
        <v>191.166666666667</v>
      </c>
      <c r="C890" s="116">
        <v>189.5</v>
      </c>
      <c r="D890" s="116">
        <v>187.316666666667</v>
      </c>
      <c r="E890" s="116">
        <v>190.78333333333299</v>
      </c>
      <c r="F890" s="116">
        <v>568.5</v>
      </c>
      <c r="G890">
        <v>907</v>
      </c>
      <c r="H890" s="116"/>
      <c r="I890" s="116"/>
      <c r="L890" s="169">
        <v>43808</v>
      </c>
      <c r="M890" s="116">
        <v>189.8</v>
      </c>
      <c r="N890" s="116">
        <v>191.433333333333</v>
      </c>
      <c r="O890" s="116">
        <v>186.65</v>
      </c>
      <c r="P890" s="116">
        <v>191.433333333333</v>
      </c>
      <c r="Q890" s="116">
        <v>569.4</v>
      </c>
      <c r="R890">
        <v>10815</v>
      </c>
    </row>
    <row r="891" spans="1:18" x14ac:dyDescent="0.25">
      <c r="A891" s="169">
        <v>43809</v>
      </c>
      <c r="B891" s="116">
        <v>187.71666666666701</v>
      </c>
      <c r="C891" s="116">
        <v>179</v>
      </c>
      <c r="D891" s="116">
        <v>176.46666666666701</v>
      </c>
      <c r="E891" s="116">
        <v>187.583333333333</v>
      </c>
      <c r="F891" s="116">
        <v>537</v>
      </c>
      <c r="G891">
        <v>7193</v>
      </c>
      <c r="H891" s="116"/>
      <c r="I891" s="116"/>
      <c r="L891" s="169">
        <v>43809</v>
      </c>
      <c r="M891" s="116">
        <v>178.916666666667</v>
      </c>
      <c r="N891" s="116">
        <v>188.55</v>
      </c>
      <c r="O891" s="116">
        <v>176.833333333333</v>
      </c>
      <c r="P891" s="116">
        <v>188.2</v>
      </c>
      <c r="Q891" s="116">
        <v>536.75</v>
      </c>
      <c r="R891">
        <v>106256</v>
      </c>
    </row>
    <row r="892" spans="1:18" x14ac:dyDescent="0.25">
      <c r="A892" s="169">
        <v>43810</v>
      </c>
      <c r="B892" s="116">
        <v>181.63333333333301</v>
      </c>
      <c r="C892" s="116">
        <v>177.416666666667</v>
      </c>
      <c r="D892" s="116">
        <v>175.666666666667</v>
      </c>
      <c r="E892" s="116">
        <v>180</v>
      </c>
      <c r="F892" s="116">
        <v>532.25</v>
      </c>
      <c r="G892">
        <v>2972</v>
      </c>
      <c r="H892" s="116"/>
      <c r="I892" s="116"/>
      <c r="L892" s="169">
        <v>43810</v>
      </c>
      <c r="M892" s="116">
        <v>177.51666666666699</v>
      </c>
      <c r="N892" s="116">
        <v>181.333333333333</v>
      </c>
      <c r="O892" s="116">
        <v>175.51666666666699</v>
      </c>
      <c r="P892" s="116">
        <v>178.78333333333299</v>
      </c>
      <c r="Q892" s="116">
        <v>532.54999999999995</v>
      </c>
      <c r="R892">
        <v>22235</v>
      </c>
    </row>
    <row r="893" spans="1:18" x14ac:dyDescent="0.25">
      <c r="A893" s="169">
        <v>43811</v>
      </c>
      <c r="B893" s="116">
        <v>182.98333333333301</v>
      </c>
      <c r="C893" s="116">
        <v>179.916666666667</v>
      </c>
      <c r="D893" s="116">
        <v>177.61666666666699</v>
      </c>
      <c r="E893" s="116">
        <v>182.98333333333301</v>
      </c>
      <c r="F893" s="116">
        <v>539.75</v>
      </c>
      <c r="G893">
        <v>1292</v>
      </c>
      <c r="H893" s="116"/>
      <c r="I893" s="116"/>
      <c r="L893" s="169">
        <v>43811</v>
      </c>
      <c r="M893" s="116">
        <v>180.083333333333</v>
      </c>
      <c r="N893" s="116">
        <v>181.53333333333299</v>
      </c>
      <c r="O893" s="116">
        <v>177.03333333333299</v>
      </c>
      <c r="P893" s="116">
        <v>178.3</v>
      </c>
      <c r="Q893" s="116">
        <v>540.25</v>
      </c>
      <c r="R893">
        <v>29242</v>
      </c>
    </row>
    <row r="894" spans="1:18" x14ac:dyDescent="0.25">
      <c r="A894" s="169">
        <v>43812</v>
      </c>
      <c r="B894" s="116">
        <v>184.666666666667</v>
      </c>
      <c r="C894" s="116">
        <v>178.3</v>
      </c>
      <c r="D894" s="116">
        <v>177.75</v>
      </c>
      <c r="E894" s="116">
        <v>181.416666666667</v>
      </c>
      <c r="F894" s="116">
        <v>534.9</v>
      </c>
      <c r="G894">
        <v>2171</v>
      </c>
      <c r="H894" s="116"/>
      <c r="I894" s="116"/>
      <c r="L894" s="169">
        <v>43812</v>
      </c>
      <c r="M894" s="116">
        <v>178.71666666666701</v>
      </c>
      <c r="N894" s="116">
        <v>185.333333333333</v>
      </c>
      <c r="O894" s="116">
        <v>177.73333333333301</v>
      </c>
      <c r="P894" s="116">
        <v>180.666666666667</v>
      </c>
      <c r="Q894" s="116">
        <v>536.15</v>
      </c>
      <c r="R894">
        <v>28418</v>
      </c>
    </row>
    <row r="895" spans="1:18" x14ac:dyDescent="0.25">
      <c r="A895" s="169">
        <v>43815</v>
      </c>
      <c r="B895" s="116">
        <v>180.36666666666699</v>
      </c>
      <c r="C895" s="116">
        <v>179.583333333333</v>
      </c>
      <c r="D895" s="116">
        <v>179.01666666666699</v>
      </c>
      <c r="E895" s="116">
        <v>179.26666666666699</v>
      </c>
      <c r="F895" s="116">
        <v>538.75</v>
      </c>
      <c r="G895">
        <v>555</v>
      </c>
      <c r="H895" s="116"/>
      <c r="I895" s="116"/>
      <c r="L895" s="169">
        <v>43815</v>
      </c>
      <c r="M895" s="116">
        <v>179.65</v>
      </c>
      <c r="N895" s="116">
        <v>181.11666666666699</v>
      </c>
      <c r="O895" s="116">
        <v>178.333333333333</v>
      </c>
      <c r="P895" s="116">
        <v>178.333333333333</v>
      </c>
      <c r="Q895" s="116">
        <v>538.95000000000005</v>
      </c>
      <c r="R895">
        <v>37195</v>
      </c>
    </row>
    <row r="896" spans="1:18" x14ac:dyDescent="0.25">
      <c r="A896" s="169">
        <v>43816</v>
      </c>
      <c r="B896" s="116">
        <v>182.46666666666701</v>
      </c>
      <c r="C896" s="116">
        <v>180.666666666667</v>
      </c>
      <c r="D896" s="116">
        <v>178</v>
      </c>
      <c r="E896" s="116">
        <v>179.666666666667</v>
      </c>
      <c r="F896" s="116">
        <v>542</v>
      </c>
      <c r="G896">
        <v>484</v>
      </c>
      <c r="H896" s="116"/>
      <c r="I896" s="116"/>
      <c r="L896" s="169">
        <v>43816</v>
      </c>
      <c r="M896" s="116">
        <v>181.13333333333301</v>
      </c>
      <c r="N896" s="116">
        <v>182.75</v>
      </c>
      <c r="O896" s="116">
        <v>178.333333333333</v>
      </c>
      <c r="P896" s="116">
        <v>179.666666666667</v>
      </c>
      <c r="Q896" s="116">
        <v>543.4</v>
      </c>
      <c r="R896">
        <v>31434</v>
      </c>
    </row>
    <row r="897" spans="1:18" x14ac:dyDescent="0.25">
      <c r="A897" s="169">
        <v>43817</v>
      </c>
      <c r="B897" s="116">
        <v>181.166666666667</v>
      </c>
      <c r="C897" s="116">
        <v>179.083333333333</v>
      </c>
      <c r="D897" s="116">
        <v>178.683333333333</v>
      </c>
      <c r="E897" s="116">
        <v>181.166666666667</v>
      </c>
      <c r="F897" s="116">
        <v>537.25</v>
      </c>
      <c r="G897">
        <v>1109</v>
      </c>
      <c r="H897" s="116"/>
      <c r="I897" s="116"/>
      <c r="L897" s="169">
        <v>43817</v>
      </c>
      <c r="M897" s="116">
        <v>179.36666666666699</v>
      </c>
      <c r="N897" s="116">
        <v>181.35</v>
      </c>
      <c r="O897" s="116">
        <v>178.666666666667</v>
      </c>
      <c r="P897" s="116">
        <v>181.35</v>
      </c>
      <c r="Q897" s="116">
        <v>538.1</v>
      </c>
      <c r="R897">
        <v>10468</v>
      </c>
    </row>
    <row r="898" spans="1:18" x14ac:dyDescent="0.25">
      <c r="A898" s="169">
        <v>43818</v>
      </c>
      <c r="B898" s="116">
        <v>181.03333333333299</v>
      </c>
      <c r="C898" s="116">
        <v>180.3</v>
      </c>
      <c r="D898" s="116">
        <v>179</v>
      </c>
      <c r="E898" s="116">
        <v>179.75</v>
      </c>
      <c r="F898" s="116">
        <v>540.9</v>
      </c>
      <c r="G898">
        <v>1302</v>
      </c>
      <c r="H898" s="116"/>
      <c r="I898" s="116"/>
      <c r="L898" s="169">
        <v>43818</v>
      </c>
      <c r="M898" s="116">
        <v>180.46666666666701</v>
      </c>
      <c r="N898" s="116">
        <v>181.333333333333</v>
      </c>
      <c r="O898" s="116">
        <v>178.333333333333</v>
      </c>
      <c r="P898" s="116">
        <v>178.333333333333</v>
      </c>
      <c r="Q898" s="116">
        <v>541.4</v>
      </c>
      <c r="R898">
        <v>23561</v>
      </c>
    </row>
    <row r="899" spans="1:18" x14ac:dyDescent="0.25">
      <c r="A899" s="169">
        <v>43819</v>
      </c>
      <c r="B899" s="116">
        <v>181.316666666667</v>
      </c>
      <c r="C899" s="116">
        <v>179.916666666667</v>
      </c>
      <c r="D899" s="116">
        <v>178.73333333333301</v>
      </c>
      <c r="E899" s="116">
        <v>181.316666666667</v>
      </c>
      <c r="F899" s="116">
        <v>539.75</v>
      </c>
      <c r="G899">
        <v>541</v>
      </c>
      <c r="H899" s="116"/>
      <c r="I899" s="116"/>
      <c r="L899" s="169">
        <v>43819</v>
      </c>
      <c r="M899" s="116">
        <v>179.76666666666699</v>
      </c>
      <c r="N899" s="116">
        <v>181.28333333333299</v>
      </c>
      <c r="O899" s="116">
        <v>178.666666666667</v>
      </c>
      <c r="P899" s="116">
        <v>181</v>
      </c>
      <c r="Q899" s="116">
        <v>539.29999999999995</v>
      </c>
      <c r="R899">
        <v>8547</v>
      </c>
    </row>
    <row r="900" spans="1:18" x14ac:dyDescent="0.25">
      <c r="A900" s="169">
        <v>43822</v>
      </c>
      <c r="B900" s="116">
        <v>183</v>
      </c>
      <c r="C900" s="116">
        <v>182.13333333333301</v>
      </c>
      <c r="D900" s="116">
        <v>179.48333333333301</v>
      </c>
      <c r="E900" s="116">
        <v>180</v>
      </c>
      <c r="F900" s="116">
        <v>546.4</v>
      </c>
      <c r="G900">
        <v>313</v>
      </c>
      <c r="H900" s="116"/>
      <c r="I900" s="116"/>
      <c r="L900" s="169">
        <v>43822</v>
      </c>
      <c r="M900" s="116">
        <v>182.21666666666701</v>
      </c>
      <c r="N900" s="116">
        <v>183.1</v>
      </c>
      <c r="O900" s="116">
        <v>179</v>
      </c>
      <c r="P900" s="116">
        <v>179</v>
      </c>
      <c r="Q900" s="116">
        <v>546.65</v>
      </c>
      <c r="R900">
        <v>12695</v>
      </c>
    </row>
    <row r="901" spans="1:18" x14ac:dyDescent="0.25">
      <c r="A901" s="169">
        <v>43823</v>
      </c>
      <c r="B901" s="116">
        <v>182.666666666667</v>
      </c>
      <c r="C901" s="116">
        <v>179.816666666667</v>
      </c>
      <c r="D901" s="116">
        <v>179.666666666667</v>
      </c>
      <c r="E901" s="116">
        <v>181.066666666667</v>
      </c>
      <c r="F901" s="116">
        <v>539.45000000000005</v>
      </c>
      <c r="G901">
        <v>1166</v>
      </c>
      <c r="H901" s="116"/>
      <c r="I901" s="116"/>
      <c r="L901" s="169">
        <v>43823</v>
      </c>
      <c r="M901" s="116">
        <v>180.066666666667</v>
      </c>
      <c r="N901" s="116">
        <v>183.28333333333299</v>
      </c>
      <c r="O901" s="116">
        <v>179.566666666667</v>
      </c>
      <c r="P901" s="116">
        <v>183.28333333333299</v>
      </c>
      <c r="Q901" s="116">
        <v>540.20000000000005</v>
      </c>
      <c r="R901">
        <v>9234</v>
      </c>
    </row>
    <row r="902" spans="1:18" x14ac:dyDescent="0.25">
      <c r="A902" s="169">
        <v>43825</v>
      </c>
      <c r="B902" s="116">
        <v>183.53333333333299</v>
      </c>
      <c r="C902" s="116">
        <v>180.566666666667</v>
      </c>
      <c r="D902" s="116">
        <v>180.03333333333299</v>
      </c>
      <c r="E902" s="116">
        <v>181.28333333333299</v>
      </c>
      <c r="F902" s="116">
        <v>541.70000000000005</v>
      </c>
      <c r="G902">
        <v>2406</v>
      </c>
      <c r="H902" s="116"/>
      <c r="I902" s="116"/>
      <c r="L902" s="169">
        <v>43825</v>
      </c>
      <c r="M902" s="116">
        <v>180.45</v>
      </c>
      <c r="N902" s="116">
        <v>184.183333333333</v>
      </c>
      <c r="O902" s="116">
        <v>180</v>
      </c>
      <c r="P902" s="116">
        <v>182</v>
      </c>
      <c r="Q902" s="116">
        <v>541.35</v>
      </c>
      <c r="R902">
        <v>9066</v>
      </c>
    </row>
    <row r="903" spans="1:18" x14ac:dyDescent="0.25">
      <c r="A903" s="169">
        <v>43826</v>
      </c>
      <c r="B903" s="116">
        <v>181.666666666667</v>
      </c>
      <c r="C903" s="116">
        <v>180.53333333333299</v>
      </c>
      <c r="D903" s="116">
        <v>179.95</v>
      </c>
      <c r="E903" s="116">
        <v>180.333333333333</v>
      </c>
      <c r="F903" s="116">
        <v>541.6</v>
      </c>
      <c r="G903">
        <v>367</v>
      </c>
      <c r="H903" s="116"/>
      <c r="I903" s="116"/>
      <c r="L903" s="169">
        <v>43826</v>
      </c>
      <c r="M903" s="116">
        <v>180.8</v>
      </c>
      <c r="N903" s="116">
        <v>182.65</v>
      </c>
      <c r="O903" s="116">
        <v>180.083333333333</v>
      </c>
      <c r="P903" s="116">
        <v>182.65</v>
      </c>
      <c r="Q903" s="116">
        <v>542.4</v>
      </c>
      <c r="R903">
        <v>7156</v>
      </c>
    </row>
    <row r="904" spans="1:18" x14ac:dyDescent="0.25">
      <c r="A904" s="169">
        <v>43829</v>
      </c>
      <c r="B904" s="116">
        <v>185.46666666666701</v>
      </c>
      <c r="C904" s="116">
        <v>180.583333333333</v>
      </c>
      <c r="D904" s="116">
        <v>180.166666666667</v>
      </c>
      <c r="E904" s="116">
        <v>180.3</v>
      </c>
      <c r="F904" s="116">
        <v>541.75</v>
      </c>
      <c r="G904">
        <v>726</v>
      </c>
      <c r="H904" s="116"/>
      <c r="I904" s="116"/>
      <c r="L904" s="169">
        <v>43829</v>
      </c>
      <c r="M904" s="116">
        <v>180.4</v>
      </c>
      <c r="N904" s="116">
        <v>182.2</v>
      </c>
      <c r="O904" s="116">
        <v>180</v>
      </c>
      <c r="P904" s="116">
        <v>180.85</v>
      </c>
      <c r="Q904" s="116">
        <v>541.20000000000005</v>
      </c>
      <c r="R904">
        <v>14572</v>
      </c>
    </row>
    <row r="905" spans="1:18" x14ac:dyDescent="0.25">
      <c r="A905" s="169">
        <v>43830</v>
      </c>
      <c r="B905" s="116">
        <v>184.65</v>
      </c>
      <c r="C905" s="116">
        <v>182.3</v>
      </c>
      <c r="D905" s="116">
        <v>178.21666666666701</v>
      </c>
      <c r="E905" s="116">
        <v>179.083333333333</v>
      </c>
      <c r="F905" s="116">
        <v>546.9</v>
      </c>
      <c r="G905">
        <v>2653</v>
      </c>
      <c r="H905" s="116"/>
      <c r="I905" s="116"/>
      <c r="L905" s="169">
        <v>43830</v>
      </c>
      <c r="M905" s="116">
        <v>183.05</v>
      </c>
      <c r="N905" s="116">
        <v>184.48333333333301</v>
      </c>
      <c r="O905" s="116">
        <v>178.333333333333</v>
      </c>
      <c r="P905" s="116">
        <v>180.86666666666699</v>
      </c>
      <c r="Q905" s="116">
        <v>549.15</v>
      </c>
      <c r="R905">
        <v>42003</v>
      </c>
    </row>
    <row r="906" spans="1:18" x14ac:dyDescent="0.25">
      <c r="A906" s="169">
        <v>43831</v>
      </c>
      <c r="B906" s="116">
        <v>182.666666666667</v>
      </c>
      <c r="C906" s="116">
        <v>179.46666666666701</v>
      </c>
      <c r="D906" s="116">
        <v>175.683333333333</v>
      </c>
      <c r="E906" s="116">
        <v>182.666666666667</v>
      </c>
      <c r="F906" s="116">
        <v>538.4</v>
      </c>
      <c r="G906">
        <v>934</v>
      </c>
      <c r="H906" s="116"/>
      <c r="I906" s="116"/>
      <c r="L906" s="169">
        <v>43831</v>
      </c>
      <c r="M906" s="116">
        <v>179.86666666666699</v>
      </c>
      <c r="N906" s="116">
        <v>183.666666666667</v>
      </c>
      <c r="O906" s="116">
        <v>178.88333333333301</v>
      </c>
      <c r="P906" s="116">
        <v>181.71666666666701</v>
      </c>
      <c r="Q906" s="116">
        <v>539.6</v>
      </c>
      <c r="R906">
        <v>14768</v>
      </c>
    </row>
    <row r="907" spans="1:18" x14ac:dyDescent="0.25">
      <c r="A907" s="169">
        <v>43832</v>
      </c>
      <c r="B907" s="116">
        <v>180.9</v>
      </c>
      <c r="C907" s="116">
        <v>179.583333333333</v>
      </c>
      <c r="D907" s="116">
        <v>179.11666666666699</v>
      </c>
      <c r="E907" s="116">
        <v>180.73333333333301</v>
      </c>
      <c r="F907" s="116">
        <v>538.75</v>
      </c>
      <c r="G907">
        <v>2302</v>
      </c>
      <c r="H907" s="116"/>
      <c r="I907" s="116"/>
      <c r="L907" s="169">
        <v>43832</v>
      </c>
      <c r="M907" s="116">
        <v>179.316666666667</v>
      </c>
      <c r="N907" s="116">
        <v>181.35</v>
      </c>
      <c r="O907" s="116">
        <v>179</v>
      </c>
      <c r="P907" s="116">
        <v>180.183333333333</v>
      </c>
      <c r="Q907" s="116">
        <v>537.95000000000005</v>
      </c>
      <c r="R907">
        <v>17527</v>
      </c>
    </row>
    <row r="908" spans="1:18" x14ac:dyDescent="0.25">
      <c r="A908" s="169">
        <v>43833</v>
      </c>
      <c r="B908" s="116">
        <v>180</v>
      </c>
      <c r="C908" s="116">
        <v>177.76666666666699</v>
      </c>
      <c r="D908" s="116">
        <v>177</v>
      </c>
      <c r="E908" s="116">
        <v>180</v>
      </c>
      <c r="F908" s="116">
        <v>533.29999999999995</v>
      </c>
      <c r="G908">
        <v>559</v>
      </c>
      <c r="H908" s="116"/>
      <c r="I908" s="116"/>
      <c r="L908" s="169">
        <v>43833</v>
      </c>
      <c r="M908" s="116">
        <v>177.583333333333</v>
      </c>
      <c r="N908" s="116">
        <v>181.13333333333301</v>
      </c>
      <c r="O908" s="116">
        <v>177.3</v>
      </c>
      <c r="P908" s="116">
        <v>179.38333333333301</v>
      </c>
      <c r="Q908" s="116">
        <v>532.75</v>
      </c>
      <c r="R908">
        <v>18597</v>
      </c>
    </row>
    <row r="909" spans="1:18" x14ac:dyDescent="0.25">
      <c r="A909" s="169">
        <v>43836</v>
      </c>
      <c r="B909" s="116">
        <v>176.666666666667</v>
      </c>
      <c r="C909" s="116">
        <v>172.65</v>
      </c>
      <c r="D909" s="116">
        <v>171.666666666667</v>
      </c>
      <c r="E909" s="116">
        <v>176.666666666667</v>
      </c>
      <c r="F909" s="116">
        <v>517.95000000000005</v>
      </c>
      <c r="G909">
        <v>5683</v>
      </c>
      <c r="H909" s="116"/>
      <c r="I909" s="116"/>
      <c r="L909" s="169">
        <v>43836</v>
      </c>
      <c r="M909" s="116">
        <v>172.816666666667</v>
      </c>
      <c r="N909" s="116">
        <v>178.333333333333</v>
      </c>
      <c r="O909" s="116">
        <v>171.683333333333</v>
      </c>
      <c r="P909" s="116">
        <v>176.666666666667</v>
      </c>
      <c r="Q909" s="116">
        <v>518.45000000000005</v>
      </c>
      <c r="R909">
        <v>43283</v>
      </c>
    </row>
    <row r="910" spans="1:18" x14ac:dyDescent="0.25">
      <c r="A910" s="169">
        <v>43837</v>
      </c>
      <c r="B910" s="116">
        <v>176.21666666666701</v>
      </c>
      <c r="C910" s="116">
        <v>173.35</v>
      </c>
      <c r="D910" s="116">
        <v>172.666666666667</v>
      </c>
      <c r="E910" s="116">
        <v>176.21666666666701</v>
      </c>
      <c r="F910" s="116">
        <v>520.04999999999995</v>
      </c>
      <c r="G910">
        <v>182</v>
      </c>
      <c r="H910" s="116"/>
      <c r="I910" s="116"/>
      <c r="L910" s="169">
        <v>43837</v>
      </c>
      <c r="M910" s="116">
        <v>173.76666666666699</v>
      </c>
      <c r="N910" s="116">
        <v>175.98333333333301</v>
      </c>
      <c r="O910" s="116">
        <v>172.666666666667</v>
      </c>
      <c r="P910" s="116">
        <v>173</v>
      </c>
      <c r="Q910" s="116">
        <v>521.29999999999995</v>
      </c>
      <c r="R910">
        <v>8693</v>
      </c>
    </row>
    <row r="911" spans="1:18" x14ac:dyDescent="0.25">
      <c r="A911" s="169">
        <v>43838</v>
      </c>
      <c r="B911" s="116">
        <v>174.6</v>
      </c>
      <c r="C911" s="116">
        <v>173.916666666667</v>
      </c>
      <c r="D911" s="116">
        <v>172.13333333333301</v>
      </c>
      <c r="E911" s="116">
        <v>174.25</v>
      </c>
      <c r="F911" s="116">
        <v>521.75</v>
      </c>
      <c r="G911">
        <v>729</v>
      </c>
      <c r="H911" s="116"/>
      <c r="I911" s="116"/>
      <c r="L911" s="169">
        <v>43838</v>
      </c>
      <c r="M911" s="116">
        <v>173.416666666667</v>
      </c>
      <c r="N911" s="116">
        <v>174.933333333333</v>
      </c>
      <c r="O911" s="116">
        <v>171.61666666666699</v>
      </c>
      <c r="P911" s="116">
        <v>174.933333333333</v>
      </c>
      <c r="Q911" s="116">
        <v>520.25</v>
      </c>
      <c r="R911">
        <v>13745</v>
      </c>
    </row>
    <row r="912" spans="1:18" x14ac:dyDescent="0.25">
      <c r="A912" s="169">
        <v>43839</v>
      </c>
      <c r="B912" s="116">
        <v>176.916666666667</v>
      </c>
      <c r="C912" s="116">
        <v>175.9</v>
      </c>
      <c r="D912" s="116">
        <v>174.666666666667</v>
      </c>
      <c r="E912" s="116">
        <v>175.933333333333</v>
      </c>
      <c r="F912" s="116">
        <v>527.70000000000005</v>
      </c>
      <c r="G912">
        <v>409</v>
      </c>
      <c r="H912" s="116"/>
      <c r="I912" s="116"/>
      <c r="L912" s="169">
        <v>43839</v>
      </c>
      <c r="M912" s="116">
        <v>175.88333333333301</v>
      </c>
      <c r="N912" s="116">
        <v>176.666666666667</v>
      </c>
      <c r="O912" s="116">
        <v>174.666666666667</v>
      </c>
      <c r="P912" s="116">
        <v>175</v>
      </c>
      <c r="Q912" s="116">
        <v>527.65</v>
      </c>
      <c r="R912">
        <v>16089</v>
      </c>
    </row>
    <row r="913" spans="1:18" x14ac:dyDescent="0.25">
      <c r="A913" s="169">
        <v>43840</v>
      </c>
      <c r="B913" s="116">
        <v>178.05</v>
      </c>
      <c r="C913" s="116">
        <v>176.36666666666699</v>
      </c>
      <c r="D913" s="116">
        <v>175.666666666667</v>
      </c>
      <c r="E913" s="116">
        <v>176.666666666667</v>
      </c>
      <c r="F913" s="116">
        <v>529.1</v>
      </c>
      <c r="G913">
        <v>546</v>
      </c>
      <c r="H913" s="116"/>
      <c r="I913" s="116"/>
      <c r="L913" s="169">
        <v>43840</v>
      </c>
      <c r="M913" s="116">
        <v>176.73333333333301</v>
      </c>
      <c r="N913" s="116">
        <v>178.333333333333</v>
      </c>
      <c r="O913" s="116">
        <v>175.333333333333</v>
      </c>
      <c r="P913" s="116">
        <v>176.65</v>
      </c>
      <c r="Q913" s="116">
        <v>530.20000000000005</v>
      </c>
      <c r="R913">
        <v>13118</v>
      </c>
    </row>
    <row r="914" spans="1:18" x14ac:dyDescent="0.25">
      <c r="A914" s="169">
        <v>43843</v>
      </c>
      <c r="B914" s="116">
        <v>178.566666666667</v>
      </c>
      <c r="C914" s="116">
        <v>176.46666666666701</v>
      </c>
      <c r="D914" s="116">
        <v>176</v>
      </c>
      <c r="E914" s="116">
        <v>177.95</v>
      </c>
      <c r="F914" s="116">
        <v>529.4</v>
      </c>
      <c r="G914">
        <v>857</v>
      </c>
      <c r="H914" s="116"/>
      <c r="I914" s="116"/>
      <c r="L914" s="169">
        <v>43843</v>
      </c>
      <c r="M914" s="116">
        <v>176.25</v>
      </c>
      <c r="N914" s="116">
        <v>178.333333333333</v>
      </c>
      <c r="O914" s="116">
        <v>175.666666666667</v>
      </c>
      <c r="P914" s="116">
        <v>177.8</v>
      </c>
      <c r="Q914" s="116">
        <v>528.75</v>
      </c>
      <c r="R914">
        <v>14916</v>
      </c>
    </row>
    <row r="915" spans="1:18" x14ac:dyDescent="0.25">
      <c r="A915" s="169">
        <v>43844</v>
      </c>
      <c r="B915" s="116">
        <v>178.45</v>
      </c>
      <c r="C915" s="116">
        <v>177.86666666666699</v>
      </c>
      <c r="D915" s="116">
        <v>176.933333333333</v>
      </c>
      <c r="E915" s="116">
        <v>177.63333333333301</v>
      </c>
      <c r="F915" s="116">
        <v>533.6</v>
      </c>
      <c r="G915">
        <v>331</v>
      </c>
      <c r="H915" s="116"/>
      <c r="I915" s="116"/>
      <c r="L915" s="169">
        <v>43844</v>
      </c>
      <c r="M915" s="116">
        <v>177.48333333333301</v>
      </c>
      <c r="N915" s="116">
        <v>178.333333333333</v>
      </c>
      <c r="O915" s="116">
        <v>176.333333333333</v>
      </c>
      <c r="P915" s="116">
        <v>176.333333333333</v>
      </c>
      <c r="Q915" s="116">
        <v>532.45000000000005</v>
      </c>
      <c r="R915">
        <v>19669</v>
      </c>
    </row>
    <row r="916" spans="1:18" x14ac:dyDescent="0.25">
      <c r="A916" s="169">
        <v>43845</v>
      </c>
      <c r="B916" s="116">
        <v>181.55</v>
      </c>
      <c r="C916" s="116">
        <v>179.166666666667</v>
      </c>
      <c r="D916" s="116">
        <v>175.03333333333299</v>
      </c>
      <c r="E916" s="116">
        <v>178.03333333333299</v>
      </c>
      <c r="F916" s="116">
        <v>537.5</v>
      </c>
      <c r="G916">
        <v>2145</v>
      </c>
      <c r="H916" s="116"/>
      <c r="I916" s="116"/>
      <c r="L916" s="169">
        <v>43845</v>
      </c>
      <c r="M916" s="116">
        <v>176.73333333333301</v>
      </c>
      <c r="N916" s="116">
        <v>178.683333333333</v>
      </c>
      <c r="O916" s="116">
        <v>175.01666666666699</v>
      </c>
      <c r="P916" s="116">
        <v>175.01666666666699</v>
      </c>
      <c r="Q916" s="116">
        <v>530.20000000000005</v>
      </c>
      <c r="R916">
        <v>42624</v>
      </c>
    </row>
    <row r="917" spans="1:18" x14ac:dyDescent="0.25">
      <c r="A917" s="169">
        <v>43846</v>
      </c>
      <c r="B917" s="116">
        <v>178.65</v>
      </c>
      <c r="C917" s="116">
        <v>178.11666666666699</v>
      </c>
      <c r="D917" s="116">
        <v>176.3</v>
      </c>
      <c r="E917" s="116">
        <v>176.6</v>
      </c>
      <c r="F917" s="116">
        <v>534.35</v>
      </c>
      <c r="G917">
        <v>495</v>
      </c>
      <c r="H917" s="116"/>
      <c r="I917" s="116"/>
      <c r="L917" s="169">
        <v>43846</v>
      </c>
      <c r="M917" s="116">
        <v>178.1</v>
      </c>
      <c r="N917" s="116">
        <v>178.3</v>
      </c>
      <c r="O917" s="116">
        <v>176</v>
      </c>
      <c r="P917" s="116">
        <v>177.65</v>
      </c>
      <c r="Q917" s="116">
        <v>534.29999999999995</v>
      </c>
      <c r="R917">
        <v>11069</v>
      </c>
    </row>
    <row r="918" spans="1:18" x14ac:dyDescent="0.25">
      <c r="A918" s="169">
        <v>43847</v>
      </c>
      <c r="B918" s="116">
        <v>184.333333333333</v>
      </c>
      <c r="C918" s="116">
        <v>182.51666666666699</v>
      </c>
      <c r="D918" s="116">
        <v>177.73333333333301</v>
      </c>
      <c r="E918" s="116">
        <v>178.333333333333</v>
      </c>
      <c r="F918" s="116">
        <v>547.54999999999995</v>
      </c>
      <c r="G918">
        <v>2027</v>
      </c>
      <c r="H918" s="116"/>
      <c r="I918" s="116"/>
      <c r="L918" s="169">
        <v>43847</v>
      </c>
      <c r="M918" s="116">
        <v>182.35</v>
      </c>
      <c r="N918" s="116">
        <v>184.96666666666701</v>
      </c>
      <c r="O918" s="116">
        <v>176.666666666667</v>
      </c>
      <c r="P918" s="116">
        <v>178.833333333333</v>
      </c>
      <c r="Q918" s="116">
        <v>547.04999999999995</v>
      </c>
      <c r="R918">
        <v>27897</v>
      </c>
    </row>
    <row r="919" spans="1:18" x14ac:dyDescent="0.25">
      <c r="A919" s="169">
        <v>43850</v>
      </c>
      <c r="B919" s="116">
        <v>186.666666666667</v>
      </c>
      <c r="C919" s="116">
        <v>183.85</v>
      </c>
      <c r="D919" s="116">
        <v>181.86666666666699</v>
      </c>
      <c r="E919" s="116">
        <v>186.333333333333</v>
      </c>
      <c r="F919" s="116">
        <v>551.54999999999995</v>
      </c>
      <c r="G919">
        <v>1676</v>
      </c>
      <c r="H919" s="116"/>
      <c r="I919" s="116"/>
      <c r="L919" s="169">
        <v>43850</v>
      </c>
      <c r="M919" s="116">
        <v>184.1</v>
      </c>
      <c r="N919" s="116">
        <v>187.95</v>
      </c>
      <c r="O919" s="116">
        <v>181.7</v>
      </c>
      <c r="P919" s="116">
        <v>186.666666666667</v>
      </c>
      <c r="Q919" s="116">
        <v>552.29999999999995</v>
      </c>
      <c r="R919">
        <v>45322</v>
      </c>
    </row>
    <row r="920" spans="1:18" x14ac:dyDescent="0.25">
      <c r="A920" s="169">
        <v>43851</v>
      </c>
      <c r="B920" s="116">
        <v>185</v>
      </c>
      <c r="C920" s="116">
        <v>183.35</v>
      </c>
      <c r="D920" s="116">
        <v>180.98333333333301</v>
      </c>
      <c r="E920" s="116">
        <v>185</v>
      </c>
      <c r="F920" s="116">
        <v>550.04999999999995</v>
      </c>
      <c r="G920">
        <v>1026</v>
      </c>
      <c r="H920" s="116"/>
      <c r="I920" s="116"/>
      <c r="L920" s="169">
        <v>43851</v>
      </c>
      <c r="M920" s="116">
        <v>183.05</v>
      </c>
      <c r="N920" s="116">
        <v>185.666666666667</v>
      </c>
      <c r="O920" s="116">
        <v>180.666666666667</v>
      </c>
      <c r="P920" s="116">
        <v>184.23333333333301</v>
      </c>
      <c r="Q920" s="116">
        <v>549.15</v>
      </c>
      <c r="R920">
        <v>13295</v>
      </c>
    </row>
    <row r="921" spans="1:18" x14ac:dyDescent="0.25">
      <c r="A921" s="169">
        <v>43852</v>
      </c>
      <c r="B921" s="116">
        <v>185.85</v>
      </c>
      <c r="C921" s="116">
        <v>185.13333333333301</v>
      </c>
      <c r="D921" s="116">
        <v>180.916666666667</v>
      </c>
      <c r="E921" s="116">
        <v>183.333333333333</v>
      </c>
      <c r="F921" s="116">
        <v>555.4</v>
      </c>
      <c r="G921">
        <v>951</v>
      </c>
      <c r="H921" s="116"/>
      <c r="I921" s="116"/>
      <c r="L921" s="169">
        <v>43852</v>
      </c>
      <c r="M921" s="116">
        <v>185.25</v>
      </c>
      <c r="N921" s="116">
        <v>185.9</v>
      </c>
      <c r="O921" s="116">
        <v>180.566666666667</v>
      </c>
      <c r="P921" s="116">
        <v>183.666666666667</v>
      </c>
      <c r="Q921" s="116">
        <v>555.75</v>
      </c>
      <c r="R921">
        <v>19592</v>
      </c>
    </row>
    <row r="922" spans="1:18" x14ac:dyDescent="0.25">
      <c r="A922" s="169">
        <v>43853</v>
      </c>
      <c r="B922" s="116">
        <v>185.26666666666699</v>
      </c>
      <c r="C922" s="116">
        <v>183.5</v>
      </c>
      <c r="D922" s="116">
        <v>181.51666666666699</v>
      </c>
      <c r="E922" s="116">
        <v>185.26666666666699</v>
      </c>
      <c r="F922" s="116">
        <v>550.5</v>
      </c>
      <c r="G922">
        <v>1458</v>
      </c>
      <c r="H922" s="116"/>
      <c r="I922" s="116"/>
      <c r="L922" s="169">
        <v>43853</v>
      </c>
      <c r="M922" s="116">
        <v>183.316666666667</v>
      </c>
      <c r="N922" s="116">
        <v>186</v>
      </c>
      <c r="O922" s="116">
        <v>181.833333333333</v>
      </c>
      <c r="P922" s="116">
        <v>186</v>
      </c>
      <c r="Q922" s="116">
        <v>549.95000000000005</v>
      </c>
      <c r="R922">
        <v>49952</v>
      </c>
    </row>
    <row r="923" spans="1:18" x14ac:dyDescent="0.25">
      <c r="A923" s="169">
        <v>43854</v>
      </c>
      <c r="B923" s="116">
        <v>184.8</v>
      </c>
      <c r="C923" s="116">
        <v>183.03333333333299</v>
      </c>
      <c r="D923" s="116">
        <v>182.13333333333301</v>
      </c>
      <c r="E923" s="116">
        <v>183.45</v>
      </c>
      <c r="F923" s="116">
        <v>549.1</v>
      </c>
      <c r="G923">
        <v>706</v>
      </c>
      <c r="H923" s="116"/>
      <c r="I923" s="116"/>
      <c r="L923" s="169">
        <v>43854</v>
      </c>
      <c r="M923" s="116">
        <v>182.916666666667</v>
      </c>
      <c r="N923" s="116">
        <v>184.583333333333</v>
      </c>
      <c r="O923" s="116">
        <v>181.85</v>
      </c>
      <c r="P923" s="116">
        <v>183.2</v>
      </c>
      <c r="Q923" s="116">
        <v>548.75</v>
      </c>
      <c r="R923">
        <v>8324</v>
      </c>
    </row>
    <row r="924" spans="1:18" x14ac:dyDescent="0.25">
      <c r="A924" s="169">
        <v>43857</v>
      </c>
      <c r="B924" s="116">
        <v>195.666666666667</v>
      </c>
      <c r="C924" s="116">
        <v>190.566666666667</v>
      </c>
      <c r="D924" s="116">
        <v>183.333333333333</v>
      </c>
      <c r="E924" s="116">
        <v>183.333333333333</v>
      </c>
      <c r="F924" s="116">
        <v>571.70000000000005</v>
      </c>
      <c r="G924">
        <v>7421</v>
      </c>
      <c r="H924" s="116"/>
      <c r="I924" s="116"/>
      <c r="L924" s="169">
        <v>43857</v>
      </c>
      <c r="M924" s="116">
        <v>190.38333333333301</v>
      </c>
      <c r="N924" s="116">
        <v>196</v>
      </c>
      <c r="O924" s="116">
        <v>183.01666666666699</v>
      </c>
      <c r="P924" s="116">
        <v>184.3</v>
      </c>
      <c r="Q924" s="116">
        <v>571.15</v>
      </c>
      <c r="R924">
        <v>157695</v>
      </c>
    </row>
    <row r="925" spans="1:18" x14ac:dyDescent="0.25">
      <c r="A925" s="169">
        <v>43858</v>
      </c>
      <c r="B925" s="116">
        <v>192.96666666666701</v>
      </c>
      <c r="C925" s="116">
        <v>191.833333333333</v>
      </c>
      <c r="D925" s="116">
        <v>188.25</v>
      </c>
      <c r="E925" s="116">
        <v>190.066666666667</v>
      </c>
      <c r="F925" s="116">
        <v>575.5</v>
      </c>
      <c r="G925">
        <v>6098</v>
      </c>
      <c r="H925" s="116"/>
      <c r="I925" s="116"/>
      <c r="L925" s="169">
        <v>43858</v>
      </c>
      <c r="M925" s="116">
        <v>191.85</v>
      </c>
      <c r="N925" s="116">
        <v>193.333333333333</v>
      </c>
      <c r="O925" s="116">
        <v>188.333333333333</v>
      </c>
      <c r="P925" s="116">
        <v>191.05</v>
      </c>
      <c r="Q925" s="116">
        <v>575.54999999999995</v>
      </c>
      <c r="R925">
        <v>48602</v>
      </c>
    </row>
    <row r="926" spans="1:18" x14ac:dyDescent="0.25">
      <c r="A926" s="169">
        <v>43859</v>
      </c>
      <c r="B926" s="116">
        <v>191.95</v>
      </c>
      <c r="C926" s="116">
        <v>188.933333333333</v>
      </c>
      <c r="D926" s="116">
        <v>187.666666666667</v>
      </c>
      <c r="E926" s="116">
        <v>190.65</v>
      </c>
      <c r="F926" s="116">
        <v>566.79999999999995</v>
      </c>
      <c r="G926">
        <v>943</v>
      </c>
      <c r="H926" s="116"/>
      <c r="I926" s="116"/>
      <c r="L926" s="169">
        <v>43859</v>
      </c>
      <c r="M926" s="116">
        <v>188.6</v>
      </c>
      <c r="N926" s="116">
        <v>192.666666666667</v>
      </c>
      <c r="O926" s="116">
        <v>187.666666666667</v>
      </c>
      <c r="P926" s="116">
        <v>192.333333333333</v>
      </c>
      <c r="Q926" s="116">
        <v>565.79999999999995</v>
      </c>
      <c r="R926">
        <v>19516</v>
      </c>
    </row>
    <row r="927" spans="1:18" x14ac:dyDescent="0.25">
      <c r="A927" s="169">
        <v>43860</v>
      </c>
      <c r="B927" s="116">
        <v>189.96666666666701</v>
      </c>
      <c r="C927" s="116">
        <v>188.35</v>
      </c>
      <c r="D927" s="116">
        <v>182.583333333333</v>
      </c>
      <c r="E927" s="116">
        <v>189.96666666666701</v>
      </c>
      <c r="F927" s="116">
        <v>565.04999999999995</v>
      </c>
      <c r="G927">
        <v>2229</v>
      </c>
      <c r="H927" s="116"/>
      <c r="I927" s="116"/>
      <c r="L927" s="169">
        <v>43860</v>
      </c>
      <c r="M927" s="116">
        <v>188.933333333333</v>
      </c>
      <c r="N927" s="116">
        <v>190.61666666666699</v>
      </c>
      <c r="O927" s="116">
        <v>182.666666666667</v>
      </c>
      <c r="P927" s="116">
        <v>190.25</v>
      </c>
      <c r="Q927" s="116">
        <v>566.79999999999995</v>
      </c>
      <c r="R927">
        <v>31187</v>
      </c>
    </row>
    <row r="928" spans="1:18" x14ac:dyDescent="0.25">
      <c r="A928" s="169">
        <v>43861</v>
      </c>
      <c r="B928" s="116">
        <v>191.166666666667</v>
      </c>
      <c r="C928" s="116">
        <v>186.13333333333301</v>
      </c>
      <c r="D928" s="116">
        <v>184.7</v>
      </c>
      <c r="E928" s="116">
        <v>189.85</v>
      </c>
      <c r="F928" s="116">
        <v>558.4</v>
      </c>
      <c r="G928">
        <v>699</v>
      </c>
      <c r="H928" s="116"/>
      <c r="I928" s="116"/>
      <c r="L928" s="169">
        <v>43861</v>
      </c>
      <c r="M928" s="116">
        <v>185.916666666667</v>
      </c>
      <c r="N928" s="116">
        <v>191.833333333333</v>
      </c>
      <c r="O928" s="116">
        <v>184.76666666666699</v>
      </c>
      <c r="P928" s="116">
        <v>189.78333333333299</v>
      </c>
      <c r="Q928" s="116">
        <v>557.75</v>
      </c>
      <c r="R928">
        <v>13741</v>
      </c>
    </row>
    <row r="929" spans="1:18" x14ac:dyDescent="0.25">
      <c r="A929" s="169">
        <v>43862</v>
      </c>
      <c r="B929" s="116">
        <v>191.666666666667</v>
      </c>
      <c r="C929" s="116">
        <v>179.95</v>
      </c>
      <c r="D929" s="116">
        <v>172.21666666666701</v>
      </c>
      <c r="E929" s="116">
        <v>186.666666666667</v>
      </c>
      <c r="F929" s="116">
        <v>539.85</v>
      </c>
      <c r="G929">
        <v>2530</v>
      </c>
      <c r="H929" s="116"/>
      <c r="I929" s="116"/>
      <c r="L929" s="169">
        <v>43862</v>
      </c>
      <c r="M929" s="116">
        <v>177.9</v>
      </c>
      <c r="N929" s="116">
        <v>192.666666666667</v>
      </c>
      <c r="O929" s="116">
        <v>170.666666666667</v>
      </c>
      <c r="P929" s="116">
        <v>184.01666666666699</v>
      </c>
      <c r="Q929" s="116">
        <v>533.70000000000005</v>
      </c>
      <c r="R929">
        <v>28905</v>
      </c>
    </row>
    <row r="930" spans="1:18" x14ac:dyDescent="0.25">
      <c r="A930" s="169">
        <v>43864</v>
      </c>
      <c r="B930" s="116">
        <v>207</v>
      </c>
      <c r="C930" s="116">
        <v>201.53333333333299</v>
      </c>
      <c r="D930" s="116">
        <v>180.13333333333301</v>
      </c>
      <c r="E930" s="116">
        <v>186.65</v>
      </c>
      <c r="F930" s="116">
        <v>604.6</v>
      </c>
      <c r="G930">
        <v>19745</v>
      </c>
      <c r="H930" s="116"/>
      <c r="I930" s="116"/>
      <c r="L930" s="169">
        <v>43864</v>
      </c>
      <c r="M930" s="116">
        <v>200.833333333333</v>
      </c>
      <c r="N930" s="116">
        <v>206.433333333333</v>
      </c>
      <c r="O930" s="116">
        <v>180</v>
      </c>
      <c r="P930" s="116">
        <v>182.65</v>
      </c>
      <c r="Q930" s="116">
        <v>602.5</v>
      </c>
      <c r="R930">
        <v>188539</v>
      </c>
    </row>
    <row r="931" spans="1:18" x14ac:dyDescent="0.25">
      <c r="A931" s="169">
        <v>43865</v>
      </c>
      <c r="B931" s="116">
        <v>229.816666666667</v>
      </c>
      <c r="C931" s="116">
        <v>208.916666666667</v>
      </c>
      <c r="D931" s="116">
        <v>198.36666666666699</v>
      </c>
      <c r="E931" s="116">
        <v>203.333333333333</v>
      </c>
      <c r="F931" s="116">
        <v>626.75</v>
      </c>
      <c r="G931">
        <v>116582</v>
      </c>
      <c r="H931" s="116"/>
      <c r="I931" s="116"/>
      <c r="L931" s="169">
        <v>43865</v>
      </c>
      <c r="M931" s="116">
        <v>209.05</v>
      </c>
      <c r="N931" s="116">
        <v>241</v>
      </c>
      <c r="O931" s="116">
        <v>199</v>
      </c>
      <c r="P931" s="116">
        <v>201.38333333333301</v>
      </c>
      <c r="Q931" s="116">
        <v>627.15</v>
      </c>
      <c r="R931">
        <v>1132686</v>
      </c>
    </row>
    <row r="932" spans="1:18" x14ac:dyDescent="0.25">
      <c r="A932" s="169">
        <v>43866</v>
      </c>
      <c r="B932" s="116">
        <v>213.63333333333301</v>
      </c>
      <c r="C932" s="116">
        <v>204.61666666666699</v>
      </c>
      <c r="D932" s="116">
        <v>202.583333333333</v>
      </c>
      <c r="E932" s="116">
        <v>209.666666666667</v>
      </c>
      <c r="F932" s="116">
        <v>613.85</v>
      </c>
      <c r="G932">
        <v>7882</v>
      </c>
      <c r="H932" s="116"/>
      <c r="I932" s="116"/>
      <c r="L932" s="169">
        <v>43866</v>
      </c>
      <c r="M932" s="116">
        <v>204.51666666666699</v>
      </c>
      <c r="N932" s="116">
        <v>214</v>
      </c>
      <c r="O932" s="116">
        <v>201.05</v>
      </c>
      <c r="P932" s="116">
        <v>209.066666666667</v>
      </c>
      <c r="Q932" s="116">
        <v>613.54999999999995</v>
      </c>
      <c r="R932">
        <v>130273</v>
      </c>
    </row>
    <row r="933" spans="1:18" x14ac:dyDescent="0.25">
      <c r="A933" s="169">
        <v>43867</v>
      </c>
      <c r="B933" s="116">
        <v>208.333333333333</v>
      </c>
      <c r="C933" s="116">
        <v>203.65</v>
      </c>
      <c r="D933" s="116">
        <v>201.816666666667</v>
      </c>
      <c r="E933" s="116">
        <v>206.48333333333301</v>
      </c>
      <c r="F933" s="116">
        <v>610.95000000000005</v>
      </c>
      <c r="G933">
        <v>3140</v>
      </c>
      <c r="H933" s="116"/>
      <c r="I933" s="116"/>
      <c r="L933" s="169">
        <v>43867</v>
      </c>
      <c r="M933" s="116">
        <v>203.833333333333</v>
      </c>
      <c r="N933" s="116">
        <v>208.05</v>
      </c>
      <c r="O933" s="116">
        <v>201.666666666667</v>
      </c>
      <c r="P933" s="116">
        <v>205</v>
      </c>
      <c r="Q933" s="116">
        <v>611.5</v>
      </c>
      <c r="R933">
        <v>54637</v>
      </c>
    </row>
    <row r="934" spans="1:18" x14ac:dyDescent="0.25">
      <c r="A934" s="169">
        <v>43868</v>
      </c>
      <c r="B934" s="116">
        <v>206.65</v>
      </c>
      <c r="C934" s="116">
        <v>201.95</v>
      </c>
      <c r="D934" s="116">
        <v>201.583333333333</v>
      </c>
      <c r="E934" s="116">
        <v>206.65</v>
      </c>
      <c r="F934" s="116">
        <v>605.85</v>
      </c>
      <c r="G934">
        <v>3460</v>
      </c>
      <c r="H934" s="116"/>
      <c r="I934" s="116"/>
      <c r="L934" s="169">
        <v>43868</v>
      </c>
      <c r="M934" s="116">
        <v>202.23333333333301</v>
      </c>
      <c r="N934" s="116">
        <v>205.666666666667</v>
      </c>
      <c r="O934" s="116">
        <v>201.666666666667</v>
      </c>
      <c r="P934" s="116">
        <v>205.3</v>
      </c>
      <c r="Q934" s="116">
        <v>606.70000000000005</v>
      </c>
      <c r="R934">
        <v>33407</v>
      </c>
    </row>
    <row r="935" spans="1:18" x14ac:dyDescent="0.25">
      <c r="A935" s="169">
        <v>43871</v>
      </c>
      <c r="B935" s="116">
        <v>203.666666666667</v>
      </c>
      <c r="C935" s="116">
        <v>199.51666666666699</v>
      </c>
      <c r="D935" s="116">
        <v>193.71666666666701</v>
      </c>
      <c r="E935" s="116">
        <v>203.666666666667</v>
      </c>
      <c r="F935" s="116">
        <v>598.54999999999995</v>
      </c>
      <c r="G935">
        <v>3422</v>
      </c>
      <c r="H935" s="116"/>
      <c r="I935" s="116"/>
      <c r="L935" s="169">
        <v>43871</v>
      </c>
      <c r="M935" s="116">
        <v>199.53333333333299</v>
      </c>
      <c r="N935" s="116">
        <v>203.23333333333301</v>
      </c>
      <c r="O935" s="116">
        <v>193.666666666667</v>
      </c>
      <c r="P935" s="116">
        <v>202.333333333333</v>
      </c>
      <c r="Q935" s="116">
        <v>598.6</v>
      </c>
      <c r="R935">
        <v>55842</v>
      </c>
    </row>
    <row r="936" spans="1:18" x14ac:dyDescent="0.25">
      <c r="A936" s="169">
        <v>43872</v>
      </c>
      <c r="B936" s="116">
        <v>212.333333333333</v>
      </c>
      <c r="C936" s="116">
        <v>203.13333333333301</v>
      </c>
      <c r="D936" s="116">
        <v>198</v>
      </c>
      <c r="E936" s="116">
        <v>201.933333333333</v>
      </c>
      <c r="F936" s="116">
        <v>609.4</v>
      </c>
      <c r="G936">
        <v>19547</v>
      </c>
      <c r="H936" s="116"/>
      <c r="I936" s="116"/>
      <c r="L936" s="169">
        <v>43872</v>
      </c>
      <c r="M936" s="116">
        <v>203.28333333333299</v>
      </c>
      <c r="N936" s="116">
        <v>212.3</v>
      </c>
      <c r="O936" s="116">
        <v>197.666666666667</v>
      </c>
      <c r="P936" s="116">
        <v>200.01666666666699</v>
      </c>
      <c r="Q936" s="116">
        <v>609.85</v>
      </c>
      <c r="R936">
        <v>246222</v>
      </c>
    </row>
    <row r="937" spans="1:18" x14ac:dyDescent="0.25">
      <c r="A937" s="169">
        <v>43873</v>
      </c>
      <c r="B937" s="116">
        <v>208.5</v>
      </c>
      <c r="C937" s="116">
        <v>205.76666666666699</v>
      </c>
      <c r="D937" s="116">
        <v>203.4</v>
      </c>
      <c r="E937" s="116">
        <v>204.5</v>
      </c>
      <c r="F937" s="116">
        <v>617.29999999999995</v>
      </c>
      <c r="G937">
        <v>3955</v>
      </c>
      <c r="H937" s="116"/>
      <c r="I937" s="116"/>
      <c r="L937" s="169">
        <v>43873</v>
      </c>
      <c r="M937" s="116">
        <v>206</v>
      </c>
      <c r="N937" s="116">
        <v>208.666666666667</v>
      </c>
      <c r="O937" s="116">
        <v>203.333333333333</v>
      </c>
      <c r="P937" s="116">
        <v>204.333333333333</v>
      </c>
      <c r="Q937" s="116">
        <v>618</v>
      </c>
      <c r="R937">
        <v>65762</v>
      </c>
    </row>
    <row r="938" spans="1:18" x14ac:dyDescent="0.25">
      <c r="A938" s="169">
        <v>43874</v>
      </c>
      <c r="B938" s="116">
        <v>207.21666666666701</v>
      </c>
      <c r="C938" s="116">
        <v>200.98333333333301</v>
      </c>
      <c r="D938" s="116">
        <v>199.65</v>
      </c>
      <c r="E938" s="116">
        <v>206.28333333333299</v>
      </c>
      <c r="F938" s="116">
        <v>602.95000000000005</v>
      </c>
      <c r="G938">
        <v>6745</v>
      </c>
      <c r="H938" s="116"/>
      <c r="I938" s="116"/>
      <c r="L938" s="169">
        <v>43874</v>
      </c>
      <c r="M938" s="116">
        <v>200.98333333333301</v>
      </c>
      <c r="N938" s="116">
        <v>207.38333333333301</v>
      </c>
      <c r="O938" s="116">
        <v>200</v>
      </c>
      <c r="P938" s="116">
        <v>206.666666666667</v>
      </c>
      <c r="Q938" s="116">
        <v>602.95000000000005</v>
      </c>
      <c r="R938">
        <v>36104</v>
      </c>
    </row>
    <row r="939" spans="1:18" x14ac:dyDescent="0.25">
      <c r="A939" s="169">
        <v>43875</v>
      </c>
      <c r="B939" s="116">
        <v>209.333333333333</v>
      </c>
      <c r="C939" s="116">
        <v>203.333333333333</v>
      </c>
      <c r="D939" s="116">
        <v>200.96666666666701</v>
      </c>
      <c r="E939" s="116">
        <v>200.96666666666701</v>
      </c>
      <c r="F939" s="116">
        <v>610</v>
      </c>
      <c r="G939">
        <v>7172</v>
      </c>
      <c r="H939" s="116"/>
      <c r="I939" s="116"/>
      <c r="L939" s="169">
        <v>43875</v>
      </c>
      <c r="M939" s="116">
        <v>202.666666666667</v>
      </c>
      <c r="N939" s="116">
        <v>209.6</v>
      </c>
      <c r="O939" s="116">
        <v>200.45</v>
      </c>
      <c r="P939" s="116">
        <v>202.5</v>
      </c>
      <c r="Q939" s="116">
        <v>608</v>
      </c>
      <c r="R939">
        <v>138870</v>
      </c>
    </row>
    <row r="940" spans="1:18" x14ac:dyDescent="0.25">
      <c r="A940" s="169">
        <v>43878</v>
      </c>
      <c r="B940" s="116">
        <v>211.55</v>
      </c>
      <c r="C940" s="116">
        <v>206.63333333333301</v>
      </c>
      <c r="D940" s="116">
        <v>204.166666666667</v>
      </c>
      <c r="E940" s="116">
        <v>205</v>
      </c>
      <c r="F940" s="116">
        <v>619.9</v>
      </c>
      <c r="G940">
        <v>8408</v>
      </c>
      <c r="H940" s="116"/>
      <c r="I940" s="116"/>
      <c r="L940" s="169">
        <v>43878</v>
      </c>
      <c r="M940" s="116">
        <v>206.566666666667</v>
      </c>
      <c r="N940" s="116">
        <v>211.71666666666701</v>
      </c>
      <c r="O940" s="116">
        <v>203.5</v>
      </c>
      <c r="P940" s="116">
        <v>204.26666666666699</v>
      </c>
      <c r="Q940" s="116">
        <v>619.70000000000005</v>
      </c>
      <c r="R940">
        <v>168948</v>
      </c>
    </row>
    <row r="941" spans="1:18" x14ac:dyDescent="0.25">
      <c r="A941" s="169">
        <v>43879</v>
      </c>
      <c r="B941" s="116">
        <v>211.666666666667</v>
      </c>
      <c r="C941" s="116">
        <v>206.066666666667</v>
      </c>
      <c r="D941" s="116">
        <v>204</v>
      </c>
      <c r="E941" s="116">
        <v>211.666666666667</v>
      </c>
      <c r="F941" s="116">
        <v>618.20000000000005</v>
      </c>
      <c r="G941">
        <v>5410</v>
      </c>
      <c r="H941" s="116"/>
      <c r="I941" s="116"/>
      <c r="L941" s="169">
        <v>43879</v>
      </c>
      <c r="M941" s="116">
        <v>205.96666666666701</v>
      </c>
      <c r="N941" s="116">
        <v>210.63333333333301</v>
      </c>
      <c r="O941" s="116">
        <v>203.76666666666699</v>
      </c>
      <c r="P941" s="116">
        <v>209</v>
      </c>
      <c r="Q941" s="116">
        <v>617.9</v>
      </c>
      <c r="R941">
        <v>97564</v>
      </c>
    </row>
    <row r="942" spans="1:18" x14ac:dyDescent="0.25">
      <c r="A942" s="169">
        <v>43880</v>
      </c>
      <c r="B942" s="116">
        <v>217.816666666667</v>
      </c>
      <c r="C942" s="116">
        <v>206.23333333333301</v>
      </c>
      <c r="D942" s="116">
        <v>203</v>
      </c>
      <c r="E942" s="116">
        <v>207.73333333333301</v>
      </c>
      <c r="F942" s="116">
        <v>618.70000000000005</v>
      </c>
      <c r="G942">
        <v>31912</v>
      </c>
      <c r="H942" s="116"/>
      <c r="I942" s="116"/>
      <c r="L942" s="169">
        <v>43880</v>
      </c>
      <c r="M942" s="116">
        <v>205.2</v>
      </c>
      <c r="N942" s="116">
        <v>217.98333333333301</v>
      </c>
      <c r="O942" s="116">
        <v>202.03333333333299</v>
      </c>
      <c r="P942" s="116">
        <v>208.28333333333299</v>
      </c>
      <c r="Q942" s="116">
        <v>615.6</v>
      </c>
      <c r="R942">
        <v>760693</v>
      </c>
    </row>
    <row r="943" spans="1:18" x14ac:dyDescent="0.25">
      <c r="A943" s="169">
        <v>43881</v>
      </c>
      <c r="B943" s="116">
        <v>208</v>
      </c>
      <c r="C943" s="116">
        <v>203.933333333333</v>
      </c>
      <c r="D943" s="116">
        <v>202.666666666667</v>
      </c>
      <c r="E943" s="116">
        <v>206.8</v>
      </c>
      <c r="F943" s="116">
        <v>611.79999999999995</v>
      </c>
      <c r="G943">
        <v>6455</v>
      </c>
      <c r="H943" s="116"/>
      <c r="I943" s="116"/>
      <c r="L943" s="169">
        <v>43881</v>
      </c>
      <c r="M943" s="116">
        <v>204.05</v>
      </c>
      <c r="N943" s="116">
        <v>208.13333333333301</v>
      </c>
      <c r="O943" s="116">
        <v>202.51666666666699</v>
      </c>
      <c r="P943" s="116">
        <v>206</v>
      </c>
      <c r="Q943" s="116">
        <v>612.15</v>
      </c>
      <c r="R943">
        <v>409692</v>
      </c>
    </row>
    <row r="944" spans="1:18" x14ac:dyDescent="0.25">
      <c r="A944" s="169">
        <v>43885</v>
      </c>
      <c r="B944" s="116">
        <v>205.21666666666701</v>
      </c>
      <c r="C944" s="116">
        <v>196.816666666667</v>
      </c>
      <c r="D944" s="116">
        <v>196.333333333333</v>
      </c>
      <c r="E944" s="116">
        <v>202.11666666666699</v>
      </c>
      <c r="F944" s="116">
        <v>590.45000000000005</v>
      </c>
      <c r="G944">
        <v>6985</v>
      </c>
      <c r="H944" s="116"/>
      <c r="I944" s="116"/>
      <c r="L944" s="169">
        <v>43885</v>
      </c>
      <c r="M944" s="116">
        <v>196.95</v>
      </c>
      <c r="N944" s="116">
        <v>205.333333333333</v>
      </c>
      <c r="O944" s="116">
        <v>196.666666666667</v>
      </c>
      <c r="P944" s="116">
        <v>204</v>
      </c>
      <c r="Q944" s="116">
        <v>590.85</v>
      </c>
      <c r="R944">
        <v>105615</v>
      </c>
    </row>
    <row r="945" spans="1:18" x14ac:dyDescent="0.25">
      <c r="A945" s="169">
        <v>43886</v>
      </c>
      <c r="B945" s="116">
        <v>201.46666666666701</v>
      </c>
      <c r="C945" s="116">
        <v>197.066666666667</v>
      </c>
      <c r="D945" s="116">
        <v>193.566666666667</v>
      </c>
      <c r="E945" s="116">
        <v>199.88333333333301</v>
      </c>
      <c r="F945" s="116">
        <v>591.20000000000005</v>
      </c>
      <c r="G945">
        <v>16007</v>
      </c>
      <c r="H945" s="116"/>
      <c r="I945" s="116"/>
      <c r="L945" s="169">
        <v>43886</v>
      </c>
      <c r="M945" s="116">
        <v>196.566666666667</v>
      </c>
      <c r="N945" s="116">
        <v>201.333333333333</v>
      </c>
      <c r="O945" s="116">
        <v>193.35</v>
      </c>
      <c r="P945" s="116">
        <v>199</v>
      </c>
      <c r="Q945" s="116">
        <v>589.70000000000005</v>
      </c>
      <c r="R945">
        <v>94772</v>
      </c>
    </row>
    <row r="946" spans="1:18" x14ac:dyDescent="0.25">
      <c r="A946" s="169">
        <v>43887</v>
      </c>
      <c r="B946" s="116">
        <v>206.566666666667</v>
      </c>
      <c r="C946" s="116">
        <v>198.96666666666701</v>
      </c>
      <c r="D946" s="116">
        <v>195.8</v>
      </c>
      <c r="E946" s="116">
        <v>196.46666666666701</v>
      </c>
      <c r="F946" s="116">
        <v>596.9</v>
      </c>
      <c r="G946">
        <v>8737</v>
      </c>
      <c r="H946" s="116"/>
      <c r="I946" s="116"/>
      <c r="L946" s="169">
        <v>43887</v>
      </c>
      <c r="M946" s="116">
        <v>198.88333333333301</v>
      </c>
      <c r="N946" s="116">
        <v>206.666666666667</v>
      </c>
      <c r="O946" s="116">
        <v>195.28333333333299</v>
      </c>
      <c r="P946" s="116">
        <v>196.566666666667</v>
      </c>
      <c r="Q946" s="116">
        <v>596.65</v>
      </c>
      <c r="R946">
        <v>199746</v>
      </c>
    </row>
    <row r="947" spans="1:18" x14ac:dyDescent="0.25">
      <c r="A947" s="169">
        <v>43888</v>
      </c>
      <c r="B947" s="116">
        <v>204.5</v>
      </c>
      <c r="C947" s="116">
        <v>201.88333333333301</v>
      </c>
      <c r="D947" s="116">
        <v>198.333333333333</v>
      </c>
      <c r="E947" s="116">
        <v>203.9</v>
      </c>
      <c r="F947" s="116">
        <v>605.65</v>
      </c>
      <c r="G947">
        <v>8295</v>
      </c>
      <c r="H947" s="116"/>
      <c r="I947" s="116"/>
      <c r="L947" s="169">
        <v>43888</v>
      </c>
      <c r="M947" s="116">
        <v>202.083333333333</v>
      </c>
      <c r="N947" s="116">
        <v>204.9</v>
      </c>
      <c r="O947" s="116">
        <v>197.083333333333</v>
      </c>
      <c r="P947" s="116">
        <v>197.083333333333</v>
      </c>
      <c r="Q947" s="116">
        <v>606.25</v>
      </c>
      <c r="R947">
        <v>119079</v>
      </c>
    </row>
    <row r="948" spans="1:18" x14ac:dyDescent="0.25">
      <c r="A948" s="169">
        <v>43889</v>
      </c>
      <c r="B948" s="116">
        <v>200.666666666667</v>
      </c>
      <c r="C948" s="116">
        <v>195.48333333333301</v>
      </c>
      <c r="D948" s="116">
        <v>191.46666666666701</v>
      </c>
      <c r="E948" s="116">
        <v>197.916666666667</v>
      </c>
      <c r="F948" s="116">
        <v>586.45000000000005</v>
      </c>
      <c r="G948">
        <v>9378</v>
      </c>
      <c r="H948" s="116"/>
      <c r="I948" s="116"/>
      <c r="L948" s="169">
        <v>43889</v>
      </c>
      <c r="M948" s="116">
        <v>195.48333333333301</v>
      </c>
      <c r="N948" s="116">
        <v>201.26666666666699</v>
      </c>
      <c r="O948" s="116">
        <v>190.666666666667</v>
      </c>
      <c r="P948" s="116">
        <v>196.666666666667</v>
      </c>
      <c r="Q948" s="116">
        <v>586.45000000000005</v>
      </c>
      <c r="R948">
        <v>123150</v>
      </c>
    </row>
    <row r="949" spans="1:18" x14ac:dyDescent="0.25">
      <c r="A949" s="169">
        <v>43892</v>
      </c>
      <c r="B949" s="116">
        <v>205</v>
      </c>
      <c r="C949" s="116">
        <v>198.683333333333</v>
      </c>
      <c r="D949" s="116">
        <v>195.71666666666701</v>
      </c>
      <c r="E949" s="116">
        <v>200.333333333333</v>
      </c>
      <c r="F949" s="116">
        <v>596.04999999999995</v>
      </c>
      <c r="G949">
        <v>8312</v>
      </c>
      <c r="H949" s="116"/>
      <c r="I949" s="116"/>
      <c r="L949" s="169">
        <v>43892</v>
      </c>
      <c r="M949" s="116">
        <v>197.7</v>
      </c>
      <c r="N949" s="116">
        <v>205.15</v>
      </c>
      <c r="O949" s="116">
        <v>195.666666666667</v>
      </c>
      <c r="P949" s="116">
        <v>199</v>
      </c>
      <c r="Q949" s="116">
        <v>593.1</v>
      </c>
      <c r="R949">
        <v>182825</v>
      </c>
    </row>
    <row r="950" spans="1:18" x14ac:dyDescent="0.25">
      <c r="A950" s="169">
        <v>43893</v>
      </c>
      <c r="B950" s="116">
        <v>206.666666666667</v>
      </c>
      <c r="C950" s="116">
        <v>198.71666666666701</v>
      </c>
      <c r="D950" s="116">
        <v>195.9</v>
      </c>
      <c r="E950" s="116">
        <v>206.666666666667</v>
      </c>
      <c r="F950" s="116">
        <v>596.15</v>
      </c>
      <c r="G950">
        <v>6722</v>
      </c>
      <c r="H950" s="116"/>
      <c r="I950" s="116"/>
      <c r="L950" s="169">
        <v>43893</v>
      </c>
      <c r="M950" s="116">
        <v>198.933333333333</v>
      </c>
      <c r="N950" s="116">
        <v>206.666666666667</v>
      </c>
      <c r="O950" s="116">
        <v>195.36666666666699</v>
      </c>
      <c r="P950" s="116">
        <v>206.666666666667</v>
      </c>
      <c r="Q950" s="116">
        <v>596.79999999999995</v>
      </c>
      <c r="R950">
        <v>164853</v>
      </c>
    </row>
    <row r="951" spans="1:18" x14ac:dyDescent="0.25">
      <c r="A951" s="169">
        <v>43894</v>
      </c>
      <c r="B951" s="116">
        <v>201.333333333333</v>
      </c>
      <c r="C951" s="116">
        <v>195.8</v>
      </c>
      <c r="D951" s="116">
        <v>192.53333333333299</v>
      </c>
      <c r="E951" s="116">
        <v>200.75</v>
      </c>
      <c r="F951" s="116">
        <v>587.4</v>
      </c>
      <c r="G951">
        <v>5061</v>
      </c>
      <c r="H951" s="116"/>
      <c r="I951" s="116"/>
      <c r="L951" s="169">
        <v>43894</v>
      </c>
      <c r="M951" s="116">
        <v>195.333333333333</v>
      </c>
      <c r="N951" s="116">
        <v>201.666666666667</v>
      </c>
      <c r="O951" s="116">
        <v>192.25</v>
      </c>
      <c r="P951" s="116">
        <v>200</v>
      </c>
      <c r="Q951" s="116">
        <v>586</v>
      </c>
      <c r="R951">
        <v>236879</v>
      </c>
    </row>
    <row r="952" spans="1:18" x14ac:dyDescent="0.25">
      <c r="A952" s="169">
        <v>43895</v>
      </c>
      <c r="B952" s="116">
        <v>199.53333333333299</v>
      </c>
      <c r="C952" s="116">
        <v>195.5</v>
      </c>
      <c r="D952" s="116">
        <v>194.96666666666701</v>
      </c>
      <c r="E952" s="116">
        <v>198</v>
      </c>
      <c r="F952" s="116">
        <v>586.5</v>
      </c>
      <c r="G952">
        <v>2220</v>
      </c>
      <c r="H952" s="116"/>
      <c r="I952" s="116"/>
      <c r="L952" s="169">
        <v>43895</v>
      </c>
      <c r="M952" s="116">
        <v>195.933333333333</v>
      </c>
      <c r="N952" s="116">
        <v>199.666666666667</v>
      </c>
      <c r="O952" s="116">
        <v>195.083333333333</v>
      </c>
      <c r="P952" s="116">
        <v>198.333333333333</v>
      </c>
      <c r="Q952" s="116">
        <v>587.79999999999995</v>
      </c>
      <c r="R952">
        <v>66931</v>
      </c>
    </row>
    <row r="953" spans="1:18" x14ac:dyDescent="0.25">
      <c r="A953" s="169">
        <v>43896</v>
      </c>
      <c r="B953" s="116">
        <v>190.4</v>
      </c>
      <c r="C953" s="116">
        <v>188.4</v>
      </c>
      <c r="D953" s="116">
        <v>187.166666666667</v>
      </c>
      <c r="E953" s="116">
        <v>190.05</v>
      </c>
      <c r="F953" s="116">
        <v>565.20000000000005</v>
      </c>
      <c r="G953">
        <v>3028</v>
      </c>
      <c r="H953" s="116"/>
      <c r="I953" s="116"/>
      <c r="L953" s="169">
        <v>43896</v>
      </c>
      <c r="M953" s="116">
        <v>188.5</v>
      </c>
      <c r="N953" s="116">
        <v>191.666666666667</v>
      </c>
      <c r="O953" s="116">
        <v>186.166666666667</v>
      </c>
      <c r="P953" s="116">
        <v>190</v>
      </c>
      <c r="Q953" s="116">
        <v>565.5</v>
      </c>
      <c r="R953">
        <v>54970</v>
      </c>
    </row>
    <row r="954" spans="1:18" x14ac:dyDescent="0.25">
      <c r="A954" s="169">
        <v>43899</v>
      </c>
      <c r="B954" s="116">
        <v>186.166666666667</v>
      </c>
      <c r="C954" s="116">
        <v>174.28333333333299</v>
      </c>
      <c r="D954" s="116">
        <v>167.03333333333299</v>
      </c>
      <c r="E954" s="116">
        <v>186.15</v>
      </c>
      <c r="F954" s="116">
        <v>522.85</v>
      </c>
      <c r="G954">
        <v>4968</v>
      </c>
      <c r="H954" s="116"/>
      <c r="I954" s="116"/>
      <c r="L954" s="169">
        <v>43899</v>
      </c>
      <c r="M954" s="116">
        <v>174.75</v>
      </c>
      <c r="N954" s="116">
        <v>186.666666666667</v>
      </c>
      <c r="O954" s="116">
        <v>166.21666666666701</v>
      </c>
      <c r="P954" s="116">
        <v>184.11666666666699</v>
      </c>
      <c r="Q954" s="116">
        <v>524.25</v>
      </c>
      <c r="R954">
        <v>119160</v>
      </c>
    </row>
    <row r="955" spans="1:18" x14ac:dyDescent="0.25">
      <c r="A955" s="169">
        <v>43901</v>
      </c>
      <c r="B955" s="116">
        <v>183.333333333333</v>
      </c>
      <c r="C955" s="116">
        <v>175.35</v>
      </c>
      <c r="D955" s="116">
        <v>171.65</v>
      </c>
      <c r="E955" s="116">
        <v>175</v>
      </c>
      <c r="F955" s="116">
        <v>526.04999999999995</v>
      </c>
      <c r="G955">
        <v>4395</v>
      </c>
      <c r="H955" s="116"/>
      <c r="I955" s="116"/>
      <c r="L955" s="169">
        <v>43901</v>
      </c>
      <c r="M955" s="116">
        <v>175.45</v>
      </c>
      <c r="N955" s="116">
        <v>182.9</v>
      </c>
      <c r="O955" s="116">
        <v>171</v>
      </c>
      <c r="P955" s="116">
        <v>173.333333333333</v>
      </c>
      <c r="Q955" s="116">
        <v>526.35</v>
      </c>
      <c r="R955">
        <v>87608</v>
      </c>
    </row>
    <row r="956" spans="1:18" x14ac:dyDescent="0.25">
      <c r="A956" s="169">
        <v>43902</v>
      </c>
      <c r="B956" s="116">
        <v>167.2</v>
      </c>
      <c r="C956" s="116">
        <v>159.683333333333</v>
      </c>
      <c r="D956" s="116">
        <v>145.53333333333299</v>
      </c>
      <c r="E956" s="116">
        <v>167.2</v>
      </c>
      <c r="F956" s="116">
        <v>479.05</v>
      </c>
      <c r="G956">
        <v>7577</v>
      </c>
      <c r="H956" s="116"/>
      <c r="I956" s="116"/>
      <c r="L956" s="169">
        <v>43902</v>
      </c>
      <c r="M956" s="116">
        <v>159.80000000000001</v>
      </c>
      <c r="N956" s="116">
        <v>169.666666666667</v>
      </c>
      <c r="O956" s="116">
        <v>146.01666666666699</v>
      </c>
      <c r="P956" s="116">
        <v>169.666666666667</v>
      </c>
      <c r="Q956" s="116">
        <v>479.4</v>
      </c>
      <c r="R956">
        <v>152976</v>
      </c>
    </row>
    <row r="957" spans="1:18" x14ac:dyDescent="0.25">
      <c r="A957" s="169">
        <v>43903</v>
      </c>
      <c r="B957" s="116">
        <v>173.38333333333301</v>
      </c>
      <c r="C957" s="116">
        <v>165.666666666667</v>
      </c>
      <c r="D957" s="116">
        <v>136.666666666667</v>
      </c>
      <c r="E957" s="116">
        <v>150</v>
      </c>
      <c r="F957" s="116">
        <v>497</v>
      </c>
      <c r="G957">
        <v>7604</v>
      </c>
      <c r="H957" s="116"/>
      <c r="I957" s="116"/>
      <c r="L957" s="169">
        <v>43903</v>
      </c>
      <c r="M957" s="116">
        <v>165.13333333333301</v>
      </c>
      <c r="N957" s="116">
        <v>173.333333333333</v>
      </c>
      <c r="O957" s="116">
        <v>136.53333333333299</v>
      </c>
      <c r="P957" s="116">
        <v>139.01666666666699</v>
      </c>
      <c r="Q957" s="116">
        <v>495.4</v>
      </c>
      <c r="R957">
        <v>105779</v>
      </c>
    </row>
    <row r="958" spans="1:18" x14ac:dyDescent="0.25">
      <c r="A958" s="169">
        <v>43906</v>
      </c>
      <c r="B958" s="116">
        <v>173.333333333333</v>
      </c>
      <c r="C958" s="116">
        <v>163.69999999999999</v>
      </c>
      <c r="D958" s="116">
        <v>156.666666666667</v>
      </c>
      <c r="E958" s="116">
        <v>168.333333333333</v>
      </c>
      <c r="F958" s="116">
        <v>491.1</v>
      </c>
      <c r="G958">
        <v>6129</v>
      </c>
      <c r="H958" s="116"/>
      <c r="I958" s="116"/>
      <c r="L958" s="169">
        <v>43906</v>
      </c>
      <c r="M958" s="116">
        <v>163.6</v>
      </c>
      <c r="N958" s="116">
        <v>173.333333333333</v>
      </c>
      <c r="O958" s="116">
        <v>158.333333333333</v>
      </c>
      <c r="P958" s="116">
        <v>160</v>
      </c>
      <c r="Q958" s="116">
        <v>490.8</v>
      </c>
      <c r="R958">
        <v>74433</v>
      </c>
    </row>
    <row r="959" spans="1:18" x14ac:dyDescent="0.25">
      <c r="A959" s="169">
        <v>43907</v>
      </c>
      <c r="B959" s="116">
        <v>191.25</v>
      </c>
      <c r="C959" s="116">
        <v>179.65</v>
      </c>
      <c r="D959" s="116">
        <v>168.26666666666699</v>
      </c>
      <c r="E959" s="116">
        <v>172.333333333333</v>
      </c>
      <c r="F959" s="116">
        <v>538.95000000000005</v>
      </c>
      <c r="G959">
        <v>31301</v>
      </c>
      <c r="H959" s="116"/>
      <c r="I959" s="116"/>
      <c r="L959" s="169">
        <v>43907</v>
      </c>
      <c r="M959" s="116">
        <v>178.76666666666699</v>
      </c>
      <c r="N959" s="116">
        <v>191.666666666667</v>
      </c>
      <c r="O959" s="116">
        <v>168</v>
      </c>
      <c r="P959" s="116">
        <v>171.333333333333</v>
      </c>
      <c r="Q959" s="116">
        <v>536.29999999999995</v>
      </c>
      <c r="R959">
        <v>399135</v>
      </c>
    </row>
    <row r="960" spans="1:18" x14ac:dyDescent="0.25">
      <c r="A960" s="169">
        <v>43908</v>
      </c>
      <c r="B960" s="116">
        <v>195.333333333333</v>
      </c>
      <c r="C960" s="116">
        <v>165.86666666666699</v>
      </c>
      <c r="D960" s="116">
        <v>160.80000000000001</v>
      </c>
      <c r="E960" s="116">
        <v>188.333333333333</v>
      </c>
      <c r="F960" s="116">
        <v>497.6</v>
      </c>
      <c r="G960">
        <v>27764</v>
      </c>
      <c r="H960" s="116"/>
      <c r="I960" s="116"/>
      <c r="L960" s="169">
        <v>43908</v>
      </c>
      <c r="M960" s="116">
        <v>166.183333333333</v>
      </c>
      <c r="N960" s="116">
        <v>195.333333333333</v>
      </c>
      <c r="O960" s="116">
        <v>161.333333333333</v>
      </c>
      <c r="P960" s="116">
        <v>190</v>
      </c>
      <c r="Q960" s="116">
        <v>498.55</v>
      </c>
      <c r="R960">
        <v>497860</v>
      </c>
    </row>
    <row r="961" spans="1:18" x14ac:dyDescent="0.25">
      <c r="A961" s="169">
        <v>43909</v>
      </c>
      <c r="B961" s="116">
        <v>170.23333333333301</v>
      </c>
      <c r="C961" s="116">
        <v>163.96666666666701</v>
      </c>
      <c r="D961" s="116">
        <v>152.51666666666699</v>
      </c>
      <c r="E961" s="116">
        <v>160</v>
      </c>
      <c r="F961" s="116">
        <v>491.9</v>
      </c>
      <c r="G961">
        <v>11152</v>
      </c>
      <c r="H961" s="116"/>
      <c r="I961" s="116"/>
      <c r="L961" s="169">
        <v>43909</v>
      </c>
      <c r="M961" s="116">
        <v>164.96666666666701</v>
      </c>
      <c r="N961" s="116">
        <v>170.15</v>
      </c>
      <c r="O961" s="116">
        <v>151.816666666667</v>
      </c>
      <c r="P961" s="116">
        <v>163</v>
      </c>
      <c r="Q961" s="116">
        <v>494.9</v>
      </c>
      <c r="R961">
        <v>203562</v>
      </c>
    </row>
    <row r="962" spans="1:18" x14ac:dyDescent="0.25">
      <c r="A962" s="169">
        <v>43910</v>
      </c>
      <c r="B962" s="116">
        <v>173.13333333333301</v>
      </c>
      <c r="C962" s="116">
        <v>168.583333333333</v>
      </c>
      <c r="D962" s="116">
        <v>161.816666666667</v>
      </c>
      <c r="E962" s="116">
        <v>168.566666666667</v>
      </c>
      <c r="F962" s="116">
        <v>505.75</v>
      </c>
      <c r="G962">
        <v>260204</v>
      </c>
      <c r="H962" s="116"/>
      <c r="I962" s="116"/>
      <c r="L962" s="169">
        <v>43910</v>
      </c>
      <c r="M962" s="116">
        <v>168.63333333333301</v>
      </c>
      <c r="N962" s="116">
        <v>176.333333333333</v>
      </c>
      <c r="O962" s="116">
        <v>160.85</v>
      </c>
      <c r="P962" s="116">
        <v>176.333333333333</v>
      </c>
      <c r="Q962" s="116">
        <v>505.9</v>
      </c>
      <c r="R962">
        <v>416747</v>
      </c>
    </row>
    <row r="963" spans="1:18" x14ac:dyDescent="0.25">
      <c r="A963" s="169">
        <v>43913</v>
      </c>
      <c r="B963" s="116">
        <v>191.333333333333</v>
      </c>
      <c r="C963" s="116">
        <v>153.083333333333</v>
      </c>
      <c r="D963" s="116">
        <v>150.36666666666699</v>
      </c>
      <c r="E963" s="116">
        <v>173.3</v>
      </c>
      <c r="F963" s="116">
        <v>459.25</v>
      </c>
      <c r="G963">
        <v>36088</v>
      </c>
      <c r="H963" s="116"/>
      <c r="I963" s="116"/>
      <c r="L963" s="169">
        <v>43913</v>
      </c>
      <c r="M963" s="116">
        <v>153.833333333333</v>
      </c>
      <c r="N963" s="116">
        <v>187.583333333333</v>
      </c>
      <c r="O963" s="116">
        <v>150.36666666666699</v>
      </c>
      <c r="P963" s="116">
        <v>168.46666666666701</v>
      </c>
      <c r="Q963" s="116">
        <v>461.5</v>
      </c>
      <c r="R963">
        <v>585696</v>
      </c>
    </row>
    <row r="964" spans="1:18" x14ac:dyDescent="0.25">
      <c r="A964" s="169">
        <v>43914</v>
      </c>
      <c r="B964" s="116">
        <v>176.666666666667</v>
      </c>
      <c r="C964" s="116">
        <v>155.333333333333</v>
      </c>
      <c r="D964" s="116">
        <v>145.333333333333</v>
      </c>
      <c r="E964" s="116">
        <v>166.333333333333</v>
      </c>
      <c r="F964" s="116">
        <v>466</v>
      </c>
      <c r="G964">
        <v>21226</v>
      </c>
      <c r="H964" s="116"/>
      <c r="I964" s="116"/>
      <c r="L964" s="169">
        <v>43914</v>
      </c>
      <c r="M964" s="116">
        <v>165.78333333333299</v>
      </c>
      <c r="N964" s="116">
        <v>178.333333333333</v>
      </c>
      <c r="O964" s="116">
        <v>145.05000000000001</v>
      </c>
      <c r="P964" s="116">
        <v>168.333333333333</v>
      </c>
      <c r="Q964" s="116">
        <v>497.35</v>
      </c>
      <c r="R964">
        <v>1423521</v>
      </c>
    </row>
    <row r="965" spans="1:18" x14ac:dyDescent="0.25">
      <c r="A965" s="169">
        <v>43915</v>
      </c>
      <c r="B965" s="116">
        <v>179.73333333333301</v>
      </c>
      <c r="C965" s="116">
        <v>171.3</v>
      </c>
      <c r="D965" s="116">
        <v>161</v>
      </c>
      <c r="E965" s="116">
        <v>165</v>
      </c>
      <c r="F965" s="116">
        <v>513.9</v>
      </c>
      <c r="G965">
        <v>24050</v>
      </c>
      <c r="H965" s="116"/>
      <c r="I965" s="116"/>
      <c r="L965" s="169">
        <v>43915</v>
      </c>
      <c r="M965" s="116">
        <v>172.666666666667</v>
      </c>
      <c r="N965" s="116">
        <v>180</v>
      </c>
      <c r="O965" s="116">
        <v>160.416666666667</v>
      </c>
      <c r="P965" s="116">
        <v>166.666666666667</v>
      </c>
      <c r="Q965" s="116">
        <v>518</v>
      </c>
      <c r="R965">
        <v>2325698</v>
      </c>
    </row>
    <row r="966" spans="1:18" x14ac:dyDescent="0.25">
      <c r="A966" s="169">
        <v>43916</v>
      </c>
      <c r="B966" s="116">
        <v>183.333333333333</v>
      </c>
      <c r="C966" s="116">
        <v>177.65</v>
      </c>
      <c r="D966" s="116">
        <v>171.683333333333</v>
      </c>
      <c r="E966" s="116">
        <v>180</v>
      </c>
      <c r="F966" s="116">
        <v>532.95000000000005</v>
      </c>
      <c r="G966">
        <v>256912</v>
      </c>
      <c r="H966" s="116"/>
      <c r="I966" s="116"/>
      <c r="L966" s="169">
        <v>43916</v>
      </c>
      <c r="M966" s="116">
        <v>175.63333333333301</v>
      </c>
      <c r="N966" s="116">
        <v>179.96666666666701</v>
      </c>
      <c r="O966" s="116">
        <v>167.03333333333299</v>
      </c>
      <c r="P966" s="116">
        <v>178.333333333333</v>
      </c>
      <c r="Q966" s="116">
        <v>526.9</v>
      </c>
      <c r="R966">
        <v>218231</v>
      </c>
    </row>
    <row r="967" spans="1:18" x14ac:dyDescent="0.25">
      <c r="A967" s="169">
        <v>43917</v>
      </c>
      <c r="B967" s="116">
        <v>180</v>
      </c>
      <c r="C967" s="116">
        <v>173</v>
      </c>
      <c r="D967" s="116">
        <v>171</v>
      </c>
      <c r="E967" s="116">
        <v>179.333333333333</v>
      </c>
      <c r="F967" s="116">
        <v>519</v>
      </c>
      <c r="G967">
        <v>6840</v>
      </c>
      <c r="H967" s="116"/>
      <c r="I967" s="116"/>
      <c r="L967" s="169">
        <v>43917</v>
      </c>
      <c r="M967" s="116">
        <v>173.25</v>
      </c>
      <c r="N967" s="116">
        <v>180</v>
      </c>
      <c r="O967" s="116">
        <v>170.833333333333</v>
      </c>
      <c r="P967" s="116">
        <v>180</v>
      </c>
      <c r="Q967" s="116">
        <v>519.75</v>
      </c>
      <c r="R967">
        <v>227938</v>
      </c>
    </row>
    <row r="968" spans="1:18" x14ac:dyDescent="0.25">
      <c r="A968" s="169">
        <v>43920</v>
      </c>
      <c r="B968" s="116">
        <v>172.666666666667</v>
      </c>
      <c r="C968" s="116">
        <v>166.7</v>
      </c>
      <c r="D968" s="116">
        <v>165.666666666667</v>
      </c>
      <c r="E968" s="116">
        <v>172.666666666667</v>
      </c>
      <c r="F968" s="116">
        <v>500.1</v>
      </c>
      <c r="G968">
        <v>2973</v>
      </c>
      <c r="H968" s="116"/>
      <c r="I968" s="116"/>
      <c r="L968" s="169">
        <v>43920</v>
      </c>
      <c r="M968" s="116">
        <v>166.7</v>
      </c>
      <c r="N968" s="116">
        <v>171.95</v>
      </c>
      <c r="O968" s="116">
        <v>165.4</v>
      </c>
      <c r="P968" s="116">
        <v>170.333333333333</v>
      </c>
      <c r="Q968" s="116">
        <v>500.1</v>
      </c>
      <c r="R968">
        <v>93084</v>
      </c>
    </row>
    <row r="969" spans="1:18" x14ac:dyDescent="0.25">
      <c r="A969" s="169">
        <v>43921</v>
      </c>
      <c r="B969" s="116">
        <v>175</v>
      </c>
      <c r="C969" s="116">
        <v>165.183333333333</v>
      </c>
      <c r="D969" s="116">
        <v>163.333333333333</v>
      </c>
      <c r="E969" s="116">
        <v>175</v>
      </c>
      <c r="F969" s="116">
        <v>495.55</v>
      </c>
      <c r="G969">
        <v>3059</v>
      </c>
      <c r="H969" s="116"/>
      <c r="I969" s="116"/>
      <c r="L969" s="169">
        <v>43921</v>
      </c>
      <c r="M969" s="116">
        <v>165.51666666666699</v>
      </c>
      <c r="N969" s="116">
        <v>170</v>
      </c>
      <c r="O969" s="116">
        <v>162.666666666667</v>
      </c>
      <c r="P969" s="116">
        <v>168.36666666666699</v>
      </c>
      <c r="Q969" s="116">
        <v>496.55</v>
      </c>
      <c r="R969">
        <v>71435</v>
      </c>
    </row>
    <row r="970" spans="1:18" x14ac:dyDescent="0.25">
      <c r="A970" s="169">
        <v>43922</v>
      </c>
      <c r="B970" s="116">
        <v>170</v>
      </c>
      <c r="C970" s="116">
        <v>166.48333333333301</v>
      </c>
      <c r="D970" s="116">
        <v>163.333333333333</v>
      </c>
      <c r="E970" s="116">
        <v>170</v>
      </c>
      <c r="F970" s="116">
        <v>499.45</v>
      </c>
      <c r="G970">
        <v>1952</v>
      </c>
      <c r="H970" s="116"/>
      <c r="I970" s="116"/>
      <c r="L970" s="169">
        <v>43922</v>
      </c>
      <c r="M970" s="116">
        <v>166.6</v>
      </c>
      <c r="N970" s="116">
        <v>168.316666666667</v>
      </c>
      <c r="O970" s="116">
        <v>163</v>
      </c>
      <c r="P970" s="116">
        <v>167.63333333333301</v>
      </c>
      <c r="Q970" s="116">
        <v>499.8</v>
      </c>
      <c r="R970">
        <v>46368</v>
      </c>
    </row>
    <row r="971" spans="1:18" x14ac:dyDescent="0.25">
      <c r="A971" s="169">
        <v>43924</v>
      </c>
      <c r="B971" s="116">
        <v>181.65</v>
      </c>
      <c r="C971" s="116">
        <v>172.15</v>
      </c>
      <c r="D971" s="116">
        <v>167</v>
      </c>
      <c r="E971" s="116">
        <v>169.583333333333</v>
      </c>
      <c r="F971" s="116">
        <v>516.45000000000005</v>
      </c>
      <c r="G971">
        <v>11780</v>
      </c>
      <c r="H971" s="116"/>
      <c r="I971" s="116"/>
      <c r="L971" s="169">
        <v>43924</v>
      </c>
      <c r="M971" s="116">
        <v>172.316666666667</v>
      </c>
      <c r="N971" s="116">
        <v>181.11666666666699</v>
      </c>
      <c r="O971" s="116">
        <v>166.666666666667</v>
      </c>
      <c r="P971" s="116">
        <v>170.666666666667</v>
      </c>
      <c r="Q971" s="116">
        <v>516.95000000000005</v>
      </c>
      <c r="R971">
        <v>359306</v>
      </c>
    </row>
    <row r="972" spans="1:18" x14ac:dyDescent="0.25">
      <c r="A972" s="169">
        <v>43928</v>
      </c>
      <c r="B972" s="116">
        <v>182</v>
      </c>
      <c r="C972" s="116">
        <v>175.53333333333299</v>
      </c>
      <c r="D972" s="116">
        <v>173</v>
      </c>
      <c r="E972" s="116">
        <v>173</v>
      </c>
      <c r="F972" s="116">
        <v>526.6</v>
      </c>
      <c r="G972">
        <v>5167</v>
      </c>
      <c r="H972" s="116"/>
      <c r="I972" s="116"/>
      <c r="L972" s="169">
        <v>43928</v>
      </c>
      <c r="M972" s="116">
        <v>175.5</v>
      </c>
      <c r="N972" s="116">
        <v>182.933333333333</v>
      </c>
      <c r="O972" s="116">
        <v>173.333333333333</v>
      </c>
      <c r="P972" s="116">
        <v>180</v>
      </c>
      <c r="Q972" s="116">
        <v>526.5</v>
      </c>
      <c r="R972">
        <v>98118</v>
      </c>
    </row>
    <row r="973" spans="1:18" x14ac:dyDescent="0.25">
      <c r="A973" s="169">
        <v>43929</v>
      </c>
      <c r="B973" s="116">
        <v>193.96666666666701</v>
      </c>
      <c r="C973" s="116">
        <v>184.4</v>
      </c>
      <c r="D973" s="116">
        <v>178.88333333333301</v>
      </c>
      <c r="E973" s="116">
        <v>182.666666666667</v>
      </c>
      <c r="F973" s="116">
        <v>553.20000000000005</v>
      </c>
      <c r="G973">
        <v>20263</v>
      </c>
      <c r="H973" s="116"/>
      <c r="I973" s="116"/>
      <c r="L973" s="169">
        <v>43929</v>
      </c>
      <c r="M973" s="116">
        <v>184.61666666666699</v>
      </c>
      <c r="N973" s="116">
        <v>194.23333333333301</v>
      </c>
      <c r="O973" s="116">
        <v>178.36666666666699</v>
      </c>
      <c r="P973" s="116">
        <v>181.333333333333</v>
      </c>
      <c r="Q973" s="116">
        <v>553.85</v>
      </c>
      <c r="R973">
        <v>401034</v>
      </c>
    </row>
    <row r="974" spans="1:18" x14ac:dyDescent="0.25">
      <c r="A974" s="169">
        <v>43930</v>
      </c>
      <c r="B974" s="116">
        <v>180.05</v>
      </c>
      <c r="C974" s="116">
        <v>177.7</v>
      </c>
      <c r="D974" s="116">
        <v>173.333333333333</v>
      </c>
      <c r="E974" s="116">
        <v>174.683333333333</v>
      </c>
      <c r="F974" s="116">
        <v>533.1</v>
      </c>
      <c r="G974">
        <v>21391</v>
      </c>
      <c r="H974" s="116"/>
      <c r="I974" s="116"/>
      <c r="L974" s="169">
        <v>43930</v>
      </c>
      <c r="M974" s="116">
        <v>177.75</v>
      </c>
      <c r="N974" s="116">
        <v>180.333333333333</v>
      </c>
      <c r="O974" s="116">
        <v>168.5</v>
      </c>
      <c r="P974" s="116">
        <v>176.666666666667</v>
      </c>
      <c r="Q974" s="116">
        <v>533.25</v>
      </c>
      <c r="R974">
        <v>415355</v>
      </c>
    </row>
    <row r="975" spans="1:18" x14ac:dyDescent="0.25">
      <c r="A975" s="169">
        <v>43934</v>
      </c>
      <c r="B975" s="116">
        <v>179.36666666666699</v>
      </c>
      <c r="C975" s="116">
        <v>177.333333333333</v>
      </c>
      <c r="D975" s="116">
        <v>171.333333333333</v>
      </c>
      <c r="E975" s="116">
        <v>178.71666666666701</v>
      </c>
      <c r="F975" s="116">
        <v>532</v>
      </c>
      <c r="G975">
        <v>7281</v>
      </c>
      <c r="H975" s="116"/>
      <c r="I975" s="116"/>
      <c r="L975" s="169">
        <v>43934</v>
      </c>
      <c r="M975" s="116">
        <v>177.433333333333</v>
      </c>
      <c r="N975" s="116">
        <v>181.183333333333</v>
      </c>
      <c r="O975" s="116">
        <v>169.61666666666699</v>
      </c>
      <c r="P975" s="116">
        <v>178.333333333333</v>
      </c>
      <c r="Q975" s="116">
        <v>532.29999999999995</v>
      </c>
      <c r="R975">
        <v>140565</v>
      </c>
    </row>
    <row r="976" spans="1:18" x14ac:dyDescent="0.25">
      <c r="A976" s="169">
        <v>43936</v>
      </c>
      <c r="B976" s="116">
        <v>185.26666666666699</v>
      </c>
      <c r="C976" s="116">
        <v>174.23333333333301</v>
      </c>
      <c r="D976" s="116">
        <v>171.28333333333299</v>
      </c>
      <c r="E976" s="116">
        <v>183.333333333333</v>
      </c>
      <c r="F976" s="116">
        <v>522.70000000000005</v>
      </c>
      <c r="G976">
        <v>16442</v>
      </c>
      <c r="H976" s="116"/>
      <c r="I976" s="116"/>
      <c r="L976" s="169">
        <v>43936</v>
      </c>
      <c r="M976" s="116">
        <v>174.1</v>
      </c>
      <c r="N976" s="116">
        <v>185.98333333333301</v>
      </c>
      <c r="O976" s="116">
        <v>170.833333333333</v>
      </c>
      <c r="P976" s="116">
        <v>182.666666666667</v>
      </c>
      <c r="Q976" s="116">
        <v>522.29999999999995</v>
      </c>
      <c r="R976">
        <v>226026</v>
      </c>
    </row>
    <row r="977" spans="1:18" x14ac:dyDescent="0.25">
      <c r="A977" s="169">
        <v>43937</v>
      </c>
      <c r="B977" s="116">
        <v>177.416666666667</v>
      </c>
      <c r="C977" s="116">
        <v>175.38333333333301</v>
      </c>
      <c r="D977" s="116">
        <v>172.88333333333301</v>
      </c>
      <c r="E977" s="116">
        <v>173.333333333333</v>
      </c>
      <c r="F977" s="116">
        <v>526.15</v>
      </c>
      <c r="G977">
        <v>2836</v>
      </c>
      <c r="H977" s="116"/>
      <c r="I977" s="116"/>
      <c r="L977" s="169">
        <v>43937</v>
      </c>
      <c r="M977" s="116">
        <v>174.916666666667</v>
      </c>
      <c r="N977" s="116">
        <v>177.666666666667</v>
      </c>
      <c r="O977" s="116">
        <v>171</v>
      </c>
      <c r="P977" s="116">
        <v>171</v>
      </c>
      <c r="Q977" s="116">
        <v>524.75</v>
      </c>
      <c r="R977">
        <v>58580</v>
      </c>
    </row>
    <row r="978" spans="1:18" x14ac:dyDescent="0.25">
      <c r="A978" s="169">
        <v>43938</v>
      </c>
      <c r="B978" s="116">
        <v>182.05</v>
      </c>
      <c r="C978" s="116">
        <v>180.61666666666699</v>
      </c>
      <c r="D978" s="116">
        <v>176.51666666666699</v>
      </c>
      <c r="E978" s="116">
        <v>177.76666666666699</v>
      </c>
      <c r="F978" s="116">
        <v>541.85</v>
      </c>
      <c r="G978">
        <v>7875</v>
      </c>
      <c r="H978" s="116"/>
      <c r="I978" s="116"/>
      <c r="L978" s="169">
        <v>43938</v>
      </c>
      <c r="M978" s="116">
        <v>180.86666666666699</v>
      </c>
      <c r="N978" s="116">
        <v>182.333333333333</v>
      </c>
      <c r="O978" s="116">
        <v>176.23333333333301</v>
      </c>
      <c r="P978" s="116">
        <v>177.35</v>
      </c>
      <c r="Q978" s="116">
        <v>542.6</v>
      </c>
      <c r="R978">
        <v>265741</v>
      </c>
    </row>
    <row r="979" spans="1:18" x14ac:dyDescent="0.25">
      <c r="A979" s="169">
        <v>43941</v>
      </c>
      <c r="B979" s="116">
        <v>187.666666666667</v>
      </c>
      <c r="C979" s="116">
        <v>182.566666666667</v>
      </c>
      <c r="D979" s="116">
        <v>181.666666666667</v>
      </c>
      <c r="E979" s="116">
        <v>183.666666666667</v>
      </c>
      <c r="F979" s="116">
        <v>547.70000000000005</v>
      </c>
      <c r="G979">
        <v>5056</v>
      </c>
      <c r="H979" s="116"/>
      <c r="I979" s="116"/>
      <c r="L979" s="169">
        <v>43941</v>
      </c>
      <c r="M979" s="116">
        <v>183.21666666666701</v>
      </c>
      <c r="N979" s="116">
        <v>187.333333333333</v>
      </c>
      <c r="O979" s="116">
        <v>181.666666666667</v>
      </c>
      <c r="P979" s="116">
        <v>186.666666666667</v>
      </c>
      <c r="Q979" s="116">
        <v>549.65</v>
      </c>
      <c r="R979">
        <v>153404</v>
      </c>
    </row>
    <row r="980" spans="1:18" x14ac:dyDescent="0.25">
      <c r="A980" s="169">
        <v>43942</v>
      </c>
      <c r="B980" s="116">
        <v>179.4</v>
      </c>
      <c r="C980" s="116">
        <v>174.4</v>
      </c>
      <c r="D980" s="116">
        <v>171.73333333333301</v>
      </c>
      <c r="E980" s="116">
        <v>178.683333333333</v>
      </c>
      <c r="F980" s="116">
        <v>523.20000000000005</v>
      </c>
      <c r="G980">
        <v>7386</v>
      </c>
      <c r="H980" s="116"/>
      <c r="I980" s="116"/>
      <c r="L980" s="169">
        <v>43942</v>
      </c>
      <c r="M980" s="116">
        <v>174.583333333333</v>
      </c>
      <c r="N980" s="116">
        <v>179.98333333333301</v>
      </c>
      <c r="O980" s="116">
        <v>171.666666666667</v>
      </c>
      <c r="P980" s="116">
        <v>179.5</v>
      </c>
      <c r="Q980" s="116">
        <v>523.75</v>
      </c>
      <c r="R980">
        <v>175679</v>
      </c>
    </row>
    <row r="981" spans="1:18" x14ac:dyDescent="0.25">
      <c r="A981" s="169">
        <v>43943</v>
      </c>
      <c r="B981" s="116">
        <v>177.7</v>
      </c>
      <c r="C981" s="116">
        <v>176.683333333333</v>
      </c>
      <c r="D981" s="116">
        <v>173.416666666667</v>
      </c>
      <c r="E981" s="116">
        <v>175.6</v>
      </c>
      <c r="F981" s="116">
        <v>530.04999999999995</v>
      </c>
      <c r="G981">
        <v>1411</v>
      </c>
      <c r="H981" s="116"/>
      <c r="I981" s="116"/>
      <c r="L981" s="169">
        <v>43943</v>
      </c>
      <c r="M981" s="116">
        <v>176.76666666666699</v>
      </c>
      <c r="N981" s="116">
        <v>177.666666666667</v>
      </c>
      <c r="O981" s="116">
        <v>173.166666666667</v>
      </c>
      <c r="P981" s="116">
        <v>175.63333333333301</v>
      </c>
      <c r="Q981" s="116">
        <v>530.29999999999995</v>
      </c>
      <c r="R981">
        <v>54091</v>
      </c>
    </row>
    <row r="982" spans="1:18" x14ac:dyDescent="0.25">
      <c r="A982" s="169">
        <v>43944</v>
      </c>
      <c r="B982" s="116">
        <v>180</v>
      </c>
      <c r="C982" s="116">
        <v>178.183333333333</v>
      </c>
      <c r="D982" s="116">
        <v>177.333333333333</v>
      </c>
      <c r="E982" s="116">
        <v>177.71666666666701</v>
      </c>
      <c r="F982" s="116">
        <v>534.54999999999995</v>
      </c>
      <c r="G982">
        <v>2561</v>
      </c>
      <c r="H982" s="116"/>
      <c r="I982" s="116"/>
      <c r="L982" s="169">
        <v>43944</v>
      </c>
      <c r="M982" s="116">
        <v>178.01666666666699</v>
      </c>
      <c r="N982" s="116">
        <v>180</v>
      </c>
      <c r="O982" s="116">
        <v>176.75</v>
      </c>
      <c r="P982" s="116">
        <v>176.76666666666699</v>
      </c>
      <c r="Q982" s="116">
        <v>534.04999999999995</v>
      </c>
      <c r="R982">
        <v>32832</v>
      </c>
    </row>
    <row r="983" spans="1:18" x14ac:dyDescent="0.25">
      <c r="A983" s="169">
        <v>43945</v>
      </c>
      <c r="B983" s="116">
        <v>179.4</v>
      </c>
      <c r="C983" s="116">
        <v>175.333333333333</v>
      </c>
      <c r="D983" s="116">
        <v>171.683333333333</v>
      </c>
      <c r="E983" s="116">
        <v>171.683333333333</v>
      </c>
      <c r="F983" s="116">
        <v>526</v>
      </c>
      <c r="G983">
        <v>1836</v>
      </c>
      <c r="H983" s="116"/>
      <c r="I983" s="116"/>
      <c r="L983" s="169">
        <v>43945</v>
      </c>
      <c r="M983" s="116">
        <v>175.63333333333301</v>
      </c>
      <c r="N983" s="116">
        <v>179.333333333333</v>
      </c>
      <c r="O983" s="116">
        <v>175</v>
      </c>
      <c r="P983" s="116">
        <v>176.75</v>
      </c>
      <c r="Q983" s="116">
        <v>526.9</v>
      </c>
      <c r="R983">
        <v>28106</v>
      </c>
    </row>
    <row r="984" spans="1:18" x14ac:dyDescent="0.25">
      <c r="A984" s="169">
        <v>43948</v>
      </c>
      <c r="B984" s="116">
        <v>179</v>
      </c>
      <c r="C984" s="116">
        <v>174.21666666666701</v>
      </c>
      <c r="D984" s="116">
        <v>173.333333333333</v>
      </c>
      <c r="E984" s="116">
        <v>178.85</v>
      </c>
      <c r="F984" s="116">
        <v>522.65</v>
      </c>
      <c r="G984">
        <v>3242</v>
      </c>
      <c r="H984" s="116"/>
      <c r="I984" s="116"/>
      <c r="L984" s="169">
        <v>43948</v>
      </c>
      <c r="M984" s="116">
        <v>174.433333333333</v>
      </c>
      <c r="N984" s="116">
        <v>179.38333333333301</v>
      </c>
      <c r="O984" s="116">
        <v>173.25</v>
      </c>
      <c r="P984" s="116">
        <v>176</v>
      </c>
      <c r="Q984" s="116">
        <v>523.29999999999995</v>
      </c>
      <c r="R984">
        <v>65077</v>
      </c>
    </row>
    <row r="985" spans="1:18" x14ac:dyDescent="0.25">
      <c r="A985" s="169">
        <v>43949</v>
      </c>
      <c r="B985" s="116">
        <v>176</v>
      </c>
      <c r="C985" s="116">
        <v>173.066666666667</v>
      </c>
      <c r="D985" s="116">
        <v>172.71666666666701</v>
      </c>
      <c r="E985" s="116">
        <v>175.05</v>
      </c>
      <c r="F985" s="116">
        <v>519.20000000000005</v>
      </c>
      <c r="G985">
        <v>2789</v>
      </c>
      <c r="H985" s="116"/>
      <c r="I985" s="116"/>
      <c r="L985" s="169">
        <v>43949</v>
      </c>
      <c r="M985" s="116">
        <v>173.11666666666699</v>
      </c>
      <c r="N985" s="116">
        <v>177.333333333333</v>
      </c>
      <c r="O985" s="116">
        <v>172.433333333333</v>
      </c>
      <c r="P985" s="116">
        <v>176.666666666667</v>
      </c>
      <c r="Q985" s="116">
        <v>519.35</v>
      </c>
      <c r="R985">
        <v>83615</v>
      </c>
    </row>
    <row r="986" spans="1:18" x14ac:dyDescent="0.25">
      <c r="A986" s="169">
        <v>43950</v>
      </c>
      <c r="B986" s="116">
        <v>176.3</v>
      </c>
      <c r="C986" s="116">
        <v>172.11666666666699</v>
      </c>
      <c r="D986" s="116">
        <v>171.85</v>
      </c>
      <c r="E986" s="116">
        <v>176.3</v>
      </c>
      <c r="F986" s="116">
        <v>516.35</v>
      </c>
      <c r="G986">
        <v>3806</v>
      </c>
      <c r="H986" s="116"/>
      <c r="I986" s="116"/>
      <c r="L986" s="169">
        <v>43950</v>
      </c>
      <c r="M986" s="116">
        <v>172.2</v>
      </c>
      <c r="N986" s="116">
        <v>175</v>
      </c>
      <c r="O986" s="116">
        <v>171.7</v>
      </c>
      <c r="P986" s="116">
        <v>174.98333333333301</v>
      </c>
      <c r="Q986" s="116">
        <v>516.6</v>
      </c>
      <c r="R986">
        <v>49375</v>
      </c>
    </row>
    <row r="987" spans="1:18" x14ac:dyDescent="0.25">
      <c r="A987" s="169">
        <v>43951</v>
      </c>
      <c r="B987" s="116">
        <v>174.5</v>
      </c>
      <c r="C987" s="116">
        <v>169.61666666666699</v>
      </c>
      <c r="D987" s="116">
        <v>168.73333333333301</v>
      </c>
      <c r="E987" s="116">
        <v>173.95</v>
      </c>
      <c r="F987" s="116">
        <v>508.85</v>
      </c>
      <c r="G987">
        <v>4676</v>
      </c>
      <c r="H987" s="116"/>
      <c r="I987" s="116"/>
      <c r="L987" s="169">
        <v>43951</v>
      </c>
      <c r="M987" s="116">
        <v>169.566666666667</v>
      </c>
      <c r="N987" s="116">
        <v>174.01666666666699</v>
      </c>
      <c r="O987" s="116">
        <v>168.88333333333301</v>
      </c>
      <c r="P987" s="116">
        <v>173.35</v>
      </c>
      <c r="Q987" s="116">
        <v>508.7</v>
      </c>
      <c r="R987">
        <v>91436</v>
      </c>
    </row>
    <row r="988" spans="1:18" x14ac:dyDescent="0.25">
      <c r="A988" s="169">
        <v>43955</v>
      </c>
      <c r="B988" s="116">
        <v>168.03333333333299</v>
      </c>
      <c r="C988" s="116">
        <v>165.15</v>
      </c>
      <c r="D988" s="116">
        <v>161.76666666666699</v>
      </c>
      <c r="E988" s="116">
        <v>168.03333333333299</v>
      </c>
      <c r="F988" s="116">
        <v>495.45</v>
      </c>
      <c r="G988">
        <v>3637</v>
      </c>
      <c r="H988" s="116"/>
      <c r="I988" s="116"/>
      <c r="L988" s="169">
        <v>43955</v>
      </c>
      <c r="M988" s="116">
        <v>165.066666666667</v>
      </c>
      <c r="N988" s="116">
        <v>168.65</v>
      </c>
      <c r="O988" s="116">
        <v>160.666666666667</v>
      </c>
      <c r="P988" s="116">
        <v>167.183333333333</v>
      </c>
      <c r="Q988" s="116">
        <v>495.2</v>
      </c>
      <c r="R988">
        <v>116868</v>
      </c>
    </row>
    <row r="989" spans="1:18" x14ac:dyDescent="0.25">
      <c r="A989" s="169">
        <v>43956</v>
      </c>
      <c r="B989" s="116">
        <v>167.48333333333301</v>
      </c>
      <c r="C989" s="116">
        <v>167</v>
      </c>
      <c r="D989" s="116">
        <v>164.916666666667</v>
      </c>
      <c r="E989" s="116">
        <v>166.333333333333</v>
      </c>
      <c r="F989" s="116">
        <v>501</v>
      </c>
      <c r="G989">
        <v>3386</v>
      </c>
      <c r="H989" s="116"/>
      <c r="I989" s="116"/>
      <c r="L989" s="169">
        <v>43956</v>
      </c>
      <c r="M989" s="116">
        <v>166.683333333333</v>
      </c>
      <c r="N989" s="116">
        <v>168.76666666666699</v>
      </c>
      <c r="O989" s="116">
        <v>164.73333333333301</v>
      </c>
      <c r="P989" s="116">
        <v>166.666666666667</v>
      </c>
      <c r="Q989" s="116">
        <v>500.05</v>
      </c>
      <c r="R989">
        <v>162722</v>
      </c>
    </row>
    <row r="990" spans="1:18" x14ac:dyDescent="0.25">
      <c r="A990" s="169">
        <v>43957</v>
      </c>
      <c r="B990" s="116">
        <v>169.61666666666699</v>
      </c>
      <c r="C990" s="116">
        <v>167.9</v>
      </c>
      <c r="D990" s="116">
        <v>166.21666666666701</v>
      </c>
      <c r="E990" s="116">
        <v>168.48333333333301</v>
      </c>
      <c r="F990" s="116">
        <v>503.7</v>
      </c>
      <c r="G990">
        <v>2211</v>
      </c>
      <c r="H990" s="116"/>
      <c r="I990" s="116"/>
      <c r="L990" s="169">
        <v>43957</v>
      </c>
      <c r="M990" s="116">
        <v>168.23333333333301</v>
      </c>
      <c r="N990" s="116">
        <v>169.86666666666699</v>
      </c>
      <c r="O990" s="116">
        <v>166.666666666667</v>
      </c>
      <c r="P990" s="116">
        <v>167.65</v>
      </c>
      <c r="Q990" s="116">
        <v>504.7</v>
      </c>
      <c r="R990">
        <v>32338</v>
      </c>
    </row>
    <row r="991" spans="1:18" x14ac:dyDescent="0.25">
      <c r="A991" s="169">
        <v>43958</v>
      </c>
      <c r="B991" s="116">
        <v>169.566666666667</v>
      </c>
      <c r="C991" s="116">
        <v>166.916666666667</v>
      </c>
      <c r="D991" s="116">
        <v>166.36666666666699</v>
      </c>
      <c r="E991" s="116">
        <v>166.666666666667</v>
      </c>
      <c r="F991" s="116">
        <v>500.75</v>
      </c>
      <c r="G991">
        <v>1139</v>
      </c>
      <c r="H991" s="116"/>
      <c r="I991" s="116"/>
      <c r="L991" s="169">
        <v>43958</v>
      </c>
      <c r="M991" s="116">
        <v>166.73333333333301</v>
      </c>
      <c r="N991" s="116">
        <v>169.666666666667</v>
      </c>
      <c r="O991" s="116">
        <v>166.666666666667</v>
      </c>
      <c r="P991" s="116">
        <v>167.96666666666701</v>
      </c>
      <c r="Q991" s="116">
        <v>500.2</v>
      </c>
      <c r="R991">
        <v>25571</v>
      </c>
    </row>
    <row r="992" spans="1:18" x14ac:dyDescent="0.25">
      <c r="A992" s="169">
        <v>43959</v>
      </c>
      <c r="B992" s="116">
        <v>168.333333333333</v>
      </c>
      <c r="C992" s="116">
        <v>166.73333333333301</v>
      </c>
      <c r="D992" s="116">
        <v>166.21666666666701</v>
      </c>
      <c r="E992" s="116">
        <v>168.333333333333</v>
      </c>
      <c r="F992" s="116">
        <v>500.2</v>
      </c>
      <c r="G992">
        <v>1232</v>
      </c>
      <c r="H992" s="116"/>
      <c r="I992" s="116"/>
      <c r="L992" s="169">
        <v>43959</v>
      </c>
      <c r="M992" s="116">
        <v>166.65</v>
      </c>
      <c r="N992" s="116">
        <v>169</v>
      </c>
      <c r="O992" s="116">
        <v>166.11666666666699</v>
      </c>
      <c r="P992" s="116">
        <v>168.98333333333301</v>
      </c>
      <c r="Q992" s="116">
        <v>499.95</v>
      </c>
      <c r="R992">
        <v>35185</v>
      </c>
    </row>
    <row r="993" spans="1:18" x14ac:dyDescent="0.25">
      <c r="A993" s="169">
        <v>43962</v>
      </c>
      <c r="B993" s="116">
        <v>169.316666666667</v>
      </c>
      <c r="C993" s="116">
        <v>167.4</v>
      </c>
      <c r="D993" s="116">
        <v>166.95</v>
      </c>
      <c r="E993" s="116">
        <v>167.666666666667</v>
      </c>
      <c r="F993" s="116">
        <v>502.2</v>
      </c>
      <c r="G993">
        <v>720</v>
      </c>
      <c r="H993" s="116"/>
      <c r="I993" s="116"/>
      <c r="L993" s="169">
        <v>43962</v>
      </c>
      <c r="M993" s="116">
        <v>167.8</v>
      </c>
      <c r="N993" s="116">
        <v>169.566666666667</v>
      </c>
      <c r="O993" s="116">
        <v>166.666666666667</v>
      </c>
      <c r="P993" s="116">
        <v>166.916666666667</v>
      </c>
      <c r="Q993" s="116">
        <v>503.4</v>
      </c>
      <c r="R993">
        <v>36997</v>
      </c>
    </row>
    <row r="994" spans="1:18" x14ac:dyDescent="0.25">
      <c r="A994" s="169">
        <v>43963</v>
      </c>
      <c r="B994" s="116">
        <v>170.8</v>
      </c>
      <c r="C994" s="116">
        <v>170.36666666666699</v>
      </c>
      <c r="D994" s="116">
        <v>166.566666666667</v>
      </c>
      <c r="E994" s="116">
        <v>167.333333333333</v>
      </c>
      <c r="F994" s="116">
        <v>511.1</v>
      </c>
      <c r="G994">
        <v>2023</v>
      </c>
      <c r="H994" s="116"/>
      <c r="I994" s="116"/>
      <c r="L994" s="169">
        <v>43963</v>
      </c>
      <c r="M994" s="116">
        <v>170.333333333333</v>
      </c>
      <c r="N994" s="116">
        <v>170.666666666667</v>
      </c>
      <c r="O994" s="116">
        <v>166</v>
      </c>
      <c r="P994" s="116">
        <v>167.333333333333</v>
      </c>
      <c r="Q994" s="116">
        <v>511</v>
      </c>
      <c r="R994">
        <v>98853</v>
      </c>
    </row>
    <row r="995" spans="1:18" x14ac:dyDescent="0.25">
      <c r="A995" s="169">
        <v>43964</v>
      </c>
      <c r="B995" s="116">
        <v>173.86666666666699</v>
      </c>
      <c r="C995" s="116">
        <v>169.916666666667</v>
      </c>
      <c r="D995" s="116">
        <v>169.333333333333</v>
      </c>
      <c r="E995" s="116">
        <v>173.86666666666699</v>
      </c>
      <c r="F995" s="116">
        <v>509.75</v>
      </c>
      <c r="G995">
        <v>2997</v>
      </c>
      <c r="H995" s="116"/>
      <c r="I995" s="116"/>
      <c r="L995" s="169">
        <v>43964</v>
      </c>
      <c r="M995" s="116">
        <v>170.5</v>
      </c>
      <c r="N995" s="116">
        <v>173.566666666667</v>
      </c>
      <c r="O995" s="116">
        <v>169</v>
      </c>
      <c r="P995" s="116">
        <v>172.3</v>
      </c>
      <c r="Q995" s="116">
        <v>511.5</v>
      </c>
      <c r="R995">
        <v>29590</v>
      </c>
    </row>
    <row r="996" spans="1:18" x14ac:dyDescent="0.25">
      <c r="A996" s="169">
        <v>43965</v>
      </c>
      <c r="B996" s="116">
        <v>175.083333333333</v>
      </c>
      <c r="C996" s="116">
        <v>173.35</v>
      </c>
      <c r="D996" s="116">
        <v>172.5</v>
      </c>
      <c r="E996" s="116">
        <v>173.333333333333</v>
      </c>
      <c r="F996" s="116">
        <v>520.04999999999995</v>
      </c>
      <c r="G996">
        <v>1978</v>
      </c>
      <c r="H996" s="116"/>
      <c r="I996" s="116"/>
      <c r="L996" s="169">
        <v>43965</v>
      </c>
      <c r="M996" s="116">
        <v>173.55</v>
      </c>
      <c r="N996" s="116">
        <v>175.71666666666701</v>
      </c>
      <c r="O996" s="116">
        <v>167.666666666667</v>
      </c>
      <c r="P996" s="116">
        <v>169.98333333333301</v>
      </c>
      <c r="Q996" s="116">
        <v>520.65</v>
      </c>
      <c r="R996">
        <v>74723</v>
      </c>
    </row>
    <row r="997" spans="1:18" x14ac:dyDescent="0.25">
      <c r="A997" s="169">
        <v>43966</v>
      </c>
      <c r="B997" s="116">
        <v>177</v>
      </c>
      <c r="C997" s="116">
        <v>171.583333333333</v>
      </c>
      <c r="D997" s="116">
        <v>170.53333333333299</v>
      </c>
      <c r="E997" s="116">
        <v>175.683333333333</v>
      </c>
      <c r="F997" s="116">
        <v>514.75</v>
      </c>
      <c r="G997">
        <v>1952</v>
      </c>
      <c r="H997" s="116"/>
      <c r="I997" s="116"/>
      <c r="L997" s="169">
        <v>43966</v>
      </c>
      <c r="M997" s="116">
        <v>171.666666666667</v>
      </c>
      <c r="N997" s="116">
        <v>177.26666666666699</v>
      </c>
      <c r="O997" s="116">
        <v>170.666666666667</v>
      </c>
      <c r="P997" s="116">
        <v>174.3</v>
      </c>
      <c r="Q997" s="116">
        <v>515</v>
      </c>
      <c r="R997">
        <v>120049</v>
      </c>
    </row>
    <row r="998" spans="1:18" x14ac:dyDescent="0.25">
      <c r="A998" s="169">
        <v>43969</v>
      </c>
      <c r="B998" s="116">
        <v>172.833333333333</v>
      </c>
      <c r="C998" s="116">
        <v>167.933333333333</v>
      </c>
      <c r="D998" s="116">
        <v>166.666666666667</v>
      </c>
      <c r="E998" s="116">
        <v>172</v>
      </c>
      <c r="F998" s="116">
        <v>503.8</v>
      </c>
      <c r="G998">
        <v>2391</v>
      </c>
      <c r="H998" s="116"/>
      <c r="I998" s="116"/>
      <c r="L998" s="169">
        <v>43969</v>
      </c>
      <c r="M998" s="116">
        <v>167.73333333333301</v>
      </c>
      <c r="N998" s="116">
        <v>174.333333333333</v>
      </c>
      <c r="O998" s="116">
        <v>166.36666666666699</v>
      </c>
      <c r="P998" s="116">
        <v>172.46666666666701</v>
      </c>
      <c r="Q998" s="116">
        <v>503.2</v>
      </c>
      <c r="R998">
        <v>182051</v>
      </c>
    </row>
    <row r="999" spans="1:18" x14ac:dyDescent="0.25">
      <c r="A999" s="169">
        <v>43970</v>
      </c>
      <c r="B999" s="116">
        <v>171.333333333333</v>
      </c>
      <c r="C999" s="116">
        <v>166.75</v>
      </c>
      <c r="D999" s="116">
        <v>166.35</v>
      </c>
      <c r="E999" s="116">
        <v>171.333333333333</v>
      </c>
      <c r="F999" s="116">
        <v>500.25</v>
      </c>
      <c r="G999">
        <v>1081</v>
      </c>
      <c r="H999" s="116"/>
      <c r="I999" s="116"/>
      <c r="L999" s="169">
        <v>43970</v>
      </c>
      <c r="M999" s="116">
        <v>166.95</v>
      </c>
      <c r="N999" s="116">
        <v>170.066666666667</v>
      </c>
      <c r="O999" s="116">
        <v>166.666666666667</v>
      </c>
      <c r="P999" s="116">
        <v>168.35</v>
      </c>
      <c r="Q999" s="116">
        <v>500.85</v>
      </c>
      <c r="R999">
        <v>14881</v>
      </c>
    </row>
    <row r="1000" spans="1:18" x14ac:dyDescent="0.25">
      <c r="A1000" s="169">
        <v>43971</v>
      </c>
      <c r="B1000" s="116">
        <v>174.083333333333</v>
      </c>
      <c r="C1000" s="116">
        <v>172.98333333333301</v>
      </c>
      <c r="D1000" s="116">
        <v>167.433333333333</v>
      </c>
      <c r="E1000" s="116">
        <v>167.48333333333301</v>
      </c>
      <c r="F1000" s="116">
        <v>518.95000000000005</v>
      </c>
      <c r="G1000">
        <v>2251</v>
      </c>
      <c r="H1000" s="116"/>
      <c r="I1000" s="116"/>
      <c r="L1000" s="169">
        <v>43971</v>
      </c>
      <c r="M1000" s="116">
        <v>173.3</v>
      </c>
      <c r="N1000" s="116">
        <v>174.45</v>
      </c>
      <c r="O1000" s="116">
        <v>166.7</v>
      </c>
      <c r="P1000" s="116">
        <v>169.333333333333</v>
      </c>
      <c r="Q1000" s="116">
        <v>519.9</v>
      </c>
      <c r="R1000">
        <v>72066</v>
      </c>
    </row>
    <row r="1001" spans="1:18" x14ac:dyDescent="0.25">
      <c r="A1001" s="169">
        <v>43972</v>
      </c>
      <c r="B1001" s="116">
        <v>177.316666666667</v>
      </c>
      <c r="C1001" s="116">
        <v>174.21666666666701</v>
      </c>
      <c r="D1001" s="116">
        <v>173.433333333333</v>
      </c>
      <c r="E1001" s="116">
        <v>175.316666666667</v>
      </c>
      <c r="F1001" s="116">
        <v>522.65</v>
      </c>
      <c r="G1001">
        <v>953</v>
      </c>
      <c r="H1001" s="116"/>
      <c r="I1001" s="116"/>
      <c r="L1001" s="169">
        <v>43972</v>
      </c>
      <c r="M1001" s="116">
        <v>173.933333333333</v>
      </c>
      <c r="N1001" s="116">
        <v>177.3</v>
      </c>
      <c r="O1001" s="116">
        <v>171.7</v>
      </c>
      <c r="P1001" s="116">
        <v>171.7</v>
      </c>
      <c r="Q1001" s="116">
        <v>521.79999999999995</v>
      </c>
      <c r="R1001">
        <v>46970</v>
      </c>
    </row>
    <row r="1002" spans="1:18" x14ac:dyDescent="0.25">
      <c r="A1002" s="169">
        <v>43973</v>
      </c>
      <c r="B1002" s="116">
        <v>176.98333333333301</v>
      </c>
      <c r="C1002" s="116">
        <v>176.11666666666699</v>
      </c>
      <c r="D1002" s="116">
        <v>174.05</v>
      </c>
      <c r="E1002" s="116">
        <v>175.96666666666701</v>
      </c>
      <c r="F1002" s="116">
        <v>528.35</v>
      </c>
      <c r="G1002">
        <v>1479</v>
      </c>
      <c r="H1002" s="116"/>
      <c r="I1002" s="116"/>
      <c r="L1002" s="169">
        <v>43973</v>
      </c>
      <c r="M1002" s="116">
        <v>176.5</v>
      </c>
      <c r="N1002" s="116">
        <v>177</v>
      </c>
      <c r="O1002" s="116">
        <v>173.933333333333</v>
      </c>
      <c r="P1002" s="116">
        <v>173.933333333333</v>
      </c>
      <c r="Q1002" s="116">
        <v>529.5</v>
      </c>
      <c r="R1002">
        <v>50041</v>
      </c>
    </row>
    <row r="1003" spans="1:18" x14ac:dyDescent="0.25">
      <c r="A1003" s="169">
        <v>43977</v>
      </c>
      <c r="B1003" s="116">
        <v>171.333333333333</v>
      </c>
      <c r="C1003" s="116">
        <v>167.166666666667</v>
      </c>
      <c r="D1003" s="116">
        <v>166.666666666667</v>
      </c>
      <c r="E1003" s="116">
        <v>169.333333333333</v>
      </c>
      <c r="F1003" s="116">
        <v>501.5</v>
      </c>
      <c r="G1003">
        <v>3261</v>
      </c>
      <c r="H1003" s="116"/>
      <c r="I1003" s="116"/>
      <c r="L1003" s="169">
        <v>43977</v>
      </c>
      <c r="M1003" s="116">
        <v>167.566666666667</v>
      </c>
      <c r="N1003" s="116">
        <v>171.6</v>
      </c>
      <c r="O1003" s="116">
        <v>166.63333333333301</v>
      </c>
      <c r="P1003" s="116">
        <v>168.333333333333</v>
      </c>
      <c r="Q1003" s="116">
        <v>502.7</v>
      </c>
      <c r="R1003">
        <v>94633</v>
      </c>
    </row>
    <row r="1004" spans="1:18" x14ac:dyDescent="0.25">
      <c r="A1004" s="169">
        <v>43978</v>
      </c>
      <c r="B1004" s="116">
        <v>171</v>
      </c>
      <c r="C1004" s="116">
        <v>170.38333333333301</v>
      </c>
      <c r="D1004" s="116">
        <v>167.933333333333</v>
      </c>
      <c r="E1004" s="116">
        <v>168.083333333333</v>
      </c>
      <c r="F1004" s="116">
        <v>511.15</v>
      </c>
      <c r="G1004">
        <v>1672</v>
      </c>
      <c r="H1004" s="116"/>
      <c r="I1004" s="116"/>
      <c r="L1004" s="169">
        <v>43978</v>
      </c>
      <c r="M1004" s="116">
        <v>170.183333333333</v>
      </c>
      <c r="N1004" s="116">
        <v>170.98333333333301</v>
      </c>
      <c r="O1004" s="116">
        <v>167.566666666667</v>
      </c>
      <c r="P1004" s="116">
        <v>168</v>
      </c>
      <c r="Q1004" s="116">
        <v>510.55</v>
      </c>
      <c r="R1004">
        <v>56179</v>
      </c>
    </row>
    <row r="1005" spans="1:18" x14ac:dyDescent="0.25">
      <c r="A1005" s="169">
        <v>43979</v>
      </c>
      <c r="B1005" s="116">
        <v>172.333333333333</v>
      </c>
      <c r="C1005" s="116">
        <v>171.066666666667</v>
      </c>
      <c r="D1005" s="116">
        <v>168.75</v>
      </c>
      <c r="E1005" s="116">
        <v>171.3</v>
      </c>
      <c r="F1005" s="116">
        <v>513.20000000000005</v>
      </c>
      <c r="G1005">
        <v>1196</v>
      </c>
      <c r="H1005" s="116"/>
      <c r="I1005" s="116"/>
      <c r="L1005" s="169">
        <v>43979</v>
      </c>
      <c r="M1005" s="116">
        <v>171.05</v>
      </c>
      <c r="N1005" s="116">
        <v>172.63333333333301</v>
      </c>
      <c r="O1005" s="116">
        <v>168.5</v>
      </c>
      <c r="P1005" s="116">
        <v>171</v>
      </c>
      <c r="Q1005" s="116">
        <v>513.15</v>
      </c>
      <c r="R1005">
        <v>59263</v>
      </c>
    </row>
    <row r="1006" spans="1:18" x14ac:dyDescent="0.25">
      <c r="A1006" s="169">
        <v>43980</v>
      </c>
      <c r="B1006" s="116">
        <v>176.666666666667</v>
      </c>
      <c r="C1006" s="116">
        <v>173.7</v>
      </c>
      <c r="D1006" s="116">
        <v>171.36666666666699</v>
      </c>
      <c r="E1006" s="116">
        <v>171.55</v>
      </c>
      <c r="F1006" s="116">
        <v>521.1</v>
      </c>
      <c r="G1006">
        <v>2658</v>
      </c>
      <c r="H1006" s="116"/>
      <c r="I1006" s="116"/>
      <c r="L1006" s="169">
        <v>43980</v>
      </c>
      <c r="M1006" s="116">
        <v>174.26666666666699</v>
      </c>
      <c r="N1006" s="116">
        <v>176.63333333333301</v>
      </c>
      <c r="O1006" s="116">
        <v>171.35</v>
      </c>
      <c r="P1006" s="116">
        <v>171.35</v>
      </c>
      <c r="Q1006" s="116">
        <v>522.79999999999995</v>
      </c>
      <c r="R1006">
        <v>111353</v>
      </c>
    </row>
    <row r="1007" spans="1:18" x14ac:dyDescent="0.25">
      <c r="A1007" s="169">
        <v>43983</v>
      </c>
      <c r="B1007" s="116">
        <v>176</v>
      </c>
      <c r="C1007" s="116">
        <v>175.01666666666699</v>
      </c>
      <c r="D1007" s="116">
        <v>167.6</v>
      </c>
      <c r="E1007" s="116">
        <v>174.96666666666701</v>
      </c>
      <c r="F1007" s="116">
        <v>525.04999999999995</v>
      </c>
      <c r="G1007">
        <v>1382</v>
      </c>
      <c r="H1007" s="116"/>
      <c r="I1007" s="116"/>
      <c r="L1007" s="169">
        <v>43983</v>
      </c>
      <c r="M1007" s="116">
        <v>174.86666666666699</v>
      </c>
      <c r="N1007" s="116">
        <v>176.6</v>
      </c>
      <c r="O1007" s="116">
        <v>171.666666666667</v>
      </c>
      <c r="P1007" s="116">
        <v>174.416666666667</v>
      </c>
      <c r="Q1007" s="116">
        <v>524.6</v>
      </c>
      <c r="R1007">
        <v>81505</v>
      </c>
    </row>
    <row r="1008" spans="1:18" x14ac:dyDescent="0.25">
      <c r="A1008" s="169">
        <v>43984</v>
      </c>
      <c r="B1008" s="116">
        <v>179.333333333333</v>
      </c>
      <c r="C1008" s="116">
        <v>176.85</v>
      </c>
      <c r="D1008" s="116">
        <v>174.566666666667</v>
      </c>
      <c r="E1008" s="116">
        <v>176.333333333333</v>
      </c>
      <c r="F1008" s="116">
        <v>530.54999999999995</v>
      </c>
      <c r="G1008">
        <v>1822</v>
      </c>
      <c r="H1008" s="116"/>
      <c r="I1008" s="116"/>
      <c r="L1008" s="169">
        <v>43984</v>
      </c>
      <c r="M1008" s="116">
        <v>176.683333333333</v>
      </c>
      <c r="N1008" s="116">
        <v>179.666666666667</v>
      </c>
      <c r="O1008" s="116">
        <v>174.433333333333</v>
      </c>
      <c r="P1008" s="116">
        <v>176.63333333333301</v>
      </c>
      <c r="Q1008" s="116">
        <v>530.04999999999995</v>
      </c>
      <c r="R1008">
        <v>63103</v>
      </c>
    </row>
    <row r="1009" spans="1:18" x14ac:dyDescent="0.25">
      <c r="A1009" s="169">
        <v>43985</v>
      </c>
      <c r="B1009" s="116">
        <v>183.333333333333</v>
      </c>
      <c r="C1009" s="116">
        <v>179.316666666667</v>
      </c>
      <c r="D1009" s="116">
        <v>177.13333333333301</v>
      </c>
      <c r="E1009" s="116">
        <v>179.3</v>
      </c>
      <c r="F1009" s="116">
        <v>537.95000000000005</v>
      </c>
      <c r="G1009">
        <v>2147</v>
      </c>
      <c r="H1009" s="116"/>
      <c r="I1009" s="116"/>
      <c r="L1009" s="169">
        <v>43985</v>
      </c>
      <c r="M1009" s="116">
        <v>178.11666666666699</v>
      </c>
      <c r="N1009" s="116">
        <v>181</v>
      </c>
      <c r="O1009" s="116">
        <v>176.333333333333</v>
      </c>
      <c r="P1009" s="116">
        <v>176.333333333333</v>
      </c>
      <c r="Q1009" s="116">
        <v>534.35</v>
      </c>
      <c r="R1009">
        <v>55866</v>
      </c>
    </row>
    <row r="1010" spans="1:18" x14ac:dyDescent="0.25">
      <c r="A1010" s="169">
        <v>43986</v>
      </c>
      <c r="B1010" s="116">
        <v>182.23333333333301</v>
      </c>
      <c r="C1010" s="116">
        <v>181.6</v>
      </c>
      <c r="D1010" s="116">
        <v>177.583333333333</v>
      </c>
      <c r="E1010" s="116">
        <v>178.666666666667</v>
      </c>
      <c r="F1010" s="116">
        <v>544.79999999999995</v>
      </c>
      <c r="G1010">
        <v>1493</v>
      </c>
      <c r="H1010" s="116"/>
      <c r="I1010" s="116"/>
      <c r="L1010" s="169">
        <v>43986</v>
      </c>
      <c r="M1010" s="116">
        <v>181.46666666666701</v>
      </c>
      <c r="N1010" s="116">
        <v>181.96666666666701</v>
      </c>
      <c r="O1010" s="116">
        <v>177.53333333333299</v>
      </c>
      <c r="P1010" s="116">
        <v>178.666666666667</v>
      </c>
      <c r="Q1010" s="116">
        <v>544.4</v>
      </c>
      <c r="R1010">
        <v>58178</v>
      </c>
    </row>
    <row r="1011" spans="1:18" x14ac:dyDescent="0.25">
      <c r="A1011" s="169">
        <v>43987</v>
      </c>
      <c r="B1011" s="116">
        <v>183.333333333333</v>
      </c>
      <c r="C1011" s="116">
        <v>180.75</v>
      </c>
      <c r="D1011" s="116">
        <v>180</v>
      </c>
      <c r="E1011" s="116">
        <v>183</v>
      </c>
      <c r="F1011" s="116">
        <v>542.25</v>
      </c>
      <c r="G1011">
        <v>1229</v>
      </c>
      <c r="H1011" s="116"/>
      <c r="I1011" s="116"/>
      <c r="L1011" s="169">
        <v>43987</v>
      </c>
      <c r="M1011" s="116">
        <v>180.5</v>
      </c>
      <c r="N1011" s="116">
        <v>183.76666666666699</v>
      </c>
      <c r="O1011" s="116">
        <v>178.75</v>
      </c>
      <c r="P1011" s="116">
        <v>183.166666666667</v>
      </c>
      <c r="Q1011" s="116">
        <v>541.5</v>
      </c>
      <c r="R1011">
        <v>39697</v>
      </c>
    </row>
    <row r="1012" spans="1:18" x14ac:dyDescent="0.25">
      <c r="A1012" s="169">
        <v>43990</v>
      </c>
      <c r="B1012" s="116">
        <v>185.833333333333</v>
      </c>
      <c r="C1012" s="116">
        <v>182.15</v>
      </c>
      <c r="D1012" s="116">
        <v>180.183333333333</v>
      </c>
      <c r="E1012" s="116">
        <v>181.666666666667</v>
      </c>
      <c r="F1012" s="116">
        <v>546.45000000000005</v>
      </c>
      <c r="G1012">
        <v>7324</v>
      </c>
      <c r="H1012" s="116"/>
      <c r="I1012" s="116"/>
      <c r="L1012" s="169">
        <v>43990</v>
      </c>
      <c r="M1012" s="116">
        <v>182.61666666666699</v>
      </c>
      <c r="N1012" s="116">
        <v>186</v>
      </c>
      <c r="O1012" s="116">
        <v>180</v>
      </c>
      <c r="P1012" s="116">
        <v>180.71666666666701</v>
      </c>
      <c r="Q1012" s="116">
        <v>547.85</v>
      </c>
      <c r="R1012">
        <v>104066</v>
      </c>
    </row>
    <row r="1013" spans="1:18" x14ac:dyDescent="0.25">
      <c r="A1013" s="169">
        <v>43991</v>
      </c>
      <c r="B1013" s="116">
        <v>183.833333333333</v>
      </c>
      <c r="C1013" s="116">
        <v>181.583333333333</v>
      </c>
      <c r="D1013" s="116">
        <v>180</v>
      </c>
      <c r="E1013" s="116">
        <v>183.71666666666701</v>
      </c>
      <c r="F1013" s="116">
        <v>544.75</v>
      </c>
      <c r="G1013">
        <v>1088</v>
      </c>
      <c r="H1013" s="116"/>
      <c r="I1013" s="116"/>
      <c r="L1013" s="169">
        <v>43991</v>
      </c>
      <c r="M1013" s="116">
        <v>181.4</v>
      </c>
      <c r="N1013" s="116">
        <v>184.38333333333301</v>
      </c>
      <c r="O1013" s="116">
        <v>180</v>
      </c>
      <c r="P1013" s="116">
        <v>182.61666666666699</v>
      </c>
      <c r="Q1013" s="116">
        <v>544.20000000000005</v>
      </c>
      <c r="R1013">
        <v>43130</v>
      </c>
    </row>
    <row r="1014" spans="1:18" x14ac:dyDescent="0.25">
      <c r="A1014" s="169">
        <v>43992</v>
      </c>
      <c r="B1014" s="116">
        <v>183.98333333333301</v>
      </c>
      <c r="C1014" s="116">
        <v>182.86666666666699</v>
      </c>
      <c r="D1014" s="116">
        <v>180</v>
      </c>
      <c r="E1014" s="116">
        <v>180</v>
      </c>
      <c r="F1014" s="116">
        <v>548.6</v>
      </c>
      <c r="G1014">
        <v>538</v>
      </c>
      <c r="H1014" s="116"/>
      <c r="I1014" s="116"/>
      <c r="L1014" s="169">
        <v>43992</v>
      </c>
      <c r="M1014" s="116">
        <v>182.73333333333301</v>
      </c>
      <c r="N1014" s="116">
        <v>183.98333333333301</v>
      </c>
      <c r="O1014" s="116">
        <v>179.933333333333</v>
      </c>
      <c r="P1014" s="116">
        <v>180.5</v>
      </c>
      <c r="Q1014" s="116">
        <v>548.20000000000005</v>
      </c>
      <c r="R1014">
        <v>31267</v>
      </c>
    </row>
    <row r="1015" spans="1:18" x14ac:dyDescent="0.25">
      <c r="A1015" s="169">
        <v>43993</v>
      </c>
      <c r="B1015" s="116">
        <v>183.5</v>
      </c>
      <c r="C1015" s="116">
        <v>178.53333333333299</v>
      </c>
      <c r="D1015" s="116">
        <v>177.85</v>
      </c>
      <c r="E1015" s="116">
        <v>181.3</v>
      </c>
      <c r="F1015" s="116">
        <v>535.6</v>
      </c>
      <c r="G1015">
        <v>988</v>
      </c>
      <c r="H1015" s="116"/>
      <c r="I1015" s="116"/>
      <c r="L1015" s="169">
        <v>43993</v>
      </c>
      <c r="M1015" s="116">
        <v>178.21666666666701</v>
      </c>
      <c r="N1015" s="116">
        <v>183.333333333333</v>
      </c>
      <c r="O1015" s="116">
        <v>177.51666666666699</v>
      </c>
      <c r="P1015" s="116">
        <v>181.666666666667</v>
      </c>
      <c r="Q1015" s="116">
        <v>534.65</v>
      </c>
      <c r="R1015">
        <v>100605</v>
      </c>
    </row>
    <row r="1016" spans="1:18" x14ac:dyDescent="0.25">
      <c r="A1016" s="169">
        <v>43994</v>
      </c>
      <c r="B1016" s="116">
        <v>176.566666666667</v>
      </c>
      <c r="C1016" s="116">
        <v>173.583333333333</v>
      </c>
      <c r="D1016" s="116">
        <v>168.666666666667</v>
      </c>
      <c r="E1016" s="116">
        <v>171.666666666667</v>
      </c>
      <c r="F1016" s="116">
        <v>520.75</v>
      </c>
      <c r="G1016">
        <v>2587</v>
      </c>
      <c r="H1016" s="116"/>
      <c r="I1016" s="116"/>
      <c r="L1016" s="169">
        <v>43994</v>
      </c>
      <c r="M1016" s="116">
        <v>172.816666666667</v>
      </c>
      <c r="N1016" s="116">
        <v>178</v>
      </c>
      <c r="O1016" s="116">
        <v>168.333333333333</v>
      </c>
      <c r="P1016" s="116">
        <v>178</v>
      </c>
      <c r="Q1016" s="116">
        <v>518.45000000000005</v>
      </c>
      <c r="R1016">
        <v>145478</v>
      </c>
    </row>
    <row r="1017" spans="1:18" x14ac:dyDescent="0.25">
      <c r="A1017" s="169">
        <v>43997</v>
      </c>
      <c r="B1017" s="116">
        <v>175.433333333333</v>
      </c>
      <c r="C1017" s="116">
        <v>173.01666666666699</v>
      </c>
      <c r="D1017" s="116">
        <v>169.333333333333</v>
      </c>
      <c r="E1017" s="116">
        <v>169.36666666666699</v>
      </c>
      <c r="F1017" s="116">
        <v>519.04999999999995</v>
      </c>
      <c r="G1017">
        <v>1065</v>
      </c>
      <c r="H1017" s="116"/>
      <c r="I1017" s="116"/>
      <c r="L1017" s="169">
        <v>43997</v>
      </c>
      <c r="M1017" s="116">
        <v>172.53333333333299</v>
      </c>
      <c r="N1017" s="116">
        <v>174.833333333333</v>
      </c>
      <c r="O1017" s="116">
        <v>170.066666666667</v>
      </c>
      <c r="P1017" s="116">
        <v>174.816666666667</v>
      </c>
      <c r="Q1017" s="116">
        <v>517.6</v>
      </c>
      <c r="R1017">
        <v>32438</v>
      </c>
    </row>
    <row r="1018" spans="1:18" x14ac:dyDescent="0.25">
      <c r="A1018" s="169">
        <v>43998</v>
      </c>
      <c r="B1018" s="116">
        <v>174.2</v>
      </c>
      <c r="C1018" s="116">
        <v>170.63333333333301</v>
      </c>
      <c r="D1018" s="116">
        <v>168.51666666666699</v>
      </c>
      <c r="E1018" s="116">
        <v>174.15</v>
      </c>
      <c r="F1018" s="116">
        <v>511.9</v>
      </c>
      <c r="G1018">
        <v>1806</v>
      </c>
      <c r="H1018" s="116"/>
      <c r="I1018" s="116"/>
      <c r="L1018" s="169">
        <v>43998</v>
      </c>
      <c r="M1018" s="116">
        <v>170.48333333333301</v>
      </c>
      <c r="N1018" s="116">
        <v>174.316666666667</v>
      </c>
      <c r="O1018" s="116">
        <v>168.433333333333</v>
      </c>
      <c r="P1018" s="116">
        <v>173.333333333333</v>
      </c>
      <c r="Q1018" s="116">
        <v>511.45</v>
      </c>
      <c r="R1018">
        <v>34553</v>
      </c>
    </row>
    <row r="1019" spans="1:18" x14ac:dyDescent="0.25">
      <c r="A1019" s="169">
        <v>43999</v>
      </c>
      <c r="B1019" s="116">
        <v>173.88333333333301</v>
      </c>
      <c r="C1019" s="116">
        <v>173.35</v>
      </c>
      <c r="D1019" s="116">
        <v>168.3</v>
      </c>
      <c r="E1019" s="116">
        <v>168.85</v>
      </c>
      <c r="F1019" s="116">
        <v>520.04999999999995</v>
      </c>
      <c r="G1019">
        <v>4210</v>
      </c>
      <c r="H1019" s="116"/>
      <c r="I1019" s="116"/>
      <c r="L1019" s="169">
        <v>43999</v>
      </c>
      <c r="M1019" s="116">
        <v>173.433333333333</v>
      </c>
      <c r="N1019" s="116">
        <v>174.26666666666699</v>
      </c>
      <c r="O1019" s="116">
        <v>168.666666666667</v>
      </c>
      <c r="P1019" s="116">
        <v>168.666666666667</v>
      </c>
      <c r="Q1019" s="116">
        <v>520.29999999999995</v>
      </c>
      <c r="R1019">
        <v>39633</v>
      </c>
    </row>
    <row r="1020" spans="1:18" x14ac:dyDescent="0.25">
      <c r="A1020" s="169">
        <v>44000</v>
      </c>
      <c r="B1020" s="116">
        <v>173.95</v>
      </c>
      <c r="C1020" s="116">
        <v>171.583333333333</v>
      </c>
      <c r="D1020" s="116">
        <v>171.15</v>
      </c>
      <c r="E1020" s="116">
        <v>173.95</v>
      </c>
      <c r="F1020" s="116">
        <v>514.75</v>
      </c>
      <c r="G1020">
        <v>634</v>
      </c>
      <c r="H1020" s="116"/>
      <c r="I1020" s="116"/>
      <c r="L1020" s="169">
        <v>44000</v>
      </c>
      <c r="M1020" s="116">
        <v>171.46666666666701</v>
      </c>
      <c r="N1020" s="116">
        <v>174.63333333333301</v>
      </c>
      <c r="O1020" s="116">
        <v>170.5</v>
      </c>
      <c r="P1020" s="116">
        <v>172.76666666666699</v>
      </c>
      <c r="Q1020" s="116">
        <v>514.4</v>
      </c>
      <c r="R1020">
        <v>15392</v>
      </c>
    </row>
    <row r="1021" spans="1:18" x14ac:dyDescent="0.25">
      <c r="A1021" s="169">
        <v>44001</v>
      </c>
      <c r="B1021" s="116">
        <v>173.98333333333301</v>
      </c>
      <c r="C1021" s="116">
        <v>170.433333333333</v>
      </c>
      <c r="D1021" s="116">
        <v>170</v>
      </c>
      <c r="E1021" s="116">
        <v>173.98333333333301</v>
      </c>
      <c r="F1021" s="116">
        <v>511.3</v>
      </c>
      <c r="G1021">
        <v>3523</v>
      </c>
      <c r="H1021" s="116"/>
      <c r="I1021" s="116"/>
      <c r="L1021" s="169">
        <v>44001</v>
      </c>
      <c r="M1021" s="116">
        <v>170.53333333333299</v>
      </c>
      <c r="N1021" s="116">
        <v>173.15</v>
      </c>
      <c r="O1021" s="116">
        <v>170.01666666666699</v>
      </c>
      <c r="P1021" s="116">
        <v>172.816666666667</v>
      </c>
      <c r="Q1021" s="116">
        <v>511.6</v>
      </c>
      <c r="R1021">
        <v>20089</v>
      </c>
    </row>
    <row r="1022" spans="1:18" x14ac:dyDescent="0.25">
      <c r="A1022" s="169">
        <v>44004</v>
      </c>
      <c r="B1022" s="116">
        <v>172.65</v>
      </c>
      <c r="C1022" s="116">
        <v>169.816666666667</v>
      </c>
      <c r="D1022" s="116">
        <v>169.35</v>
      </c>
      <c r="E1022" s="116">
        <v>172.65</v>
      </c>
      <c r="F1022" s="116">
        <v>509.45</v>
      </c>
      <c r="G1022">
        <v>1216</v>
      </c>
      <c r="H1022" s="116"/>
      <c r="I1022" s="116"/>
      <c r="L1022" s="169">
        <v>44004</v>
      </c>
      <c r="M1022" s="116">
        <v>169.8</v>
      </c>
      <c r="N1022" s="116">
        <v>173.333333333333</v>
      </c>
      <c r="O1022" s="116">
        <v>169.416666666667</v>
      </c>
      <c r="P1022" s="116">
        <v>171.666666666667</v>
      </c>
      <c r="Q1022" s="116">
        <v>509.4</v>
      </c>
      <c r="R1022">
        <v>51325</v>
      </c>
    </row>
    <row r="1023" spans="1:18" x14ac:dyDescent="0.25">
      <c r="A1023" s="169">
        <v>44005</v>
      </c>
      <c r="B1023" s="116">
        <v>171.333333333333</v>
      </c>
      <c r="C1023" s="116">
        <v>168.333333333333</v>
      </c>
      <c r="D1023" s="116">
        <v>166.666666666667</v>
      </c>
      <c r="E1023" s="116">
        <v>170.333333333333</v>
      </c>
      <c r="F1023" s="116">
        <v>505</v>
      </c>
      <c r="G1023">
        <v>210004</v>
      </c>
      <c r="H1023" s="116"/>
      <c r="I1023" s="116"/>
      <c r="L1023" s="169">
        <v>44005</v>
      </c>
      <c r="M1023" s="116">
        <v>168.76666666666699</v>
      </c>
      <c r="N1023" s="116">
        <v>171.666666666667</v>
      </c>
      <c r="O1023" s="116">
        <v>168.166666666667</v>
      </c>
      <c r="P1023" s="116">
        <v>169.683333333333</v>
      </c>
      <c r="Q1023" s="116">
        <v>506.3</v>
      </c>
      <c r="R1023">
        <v>78849</v>
      </c>
    </row>
    <row r="1024" spans="1:18" x14ac:dyDescent="0.25">
      <c r="A1024" s="169">
        <v>44006</v>
      </c>
      <c r="B1024" s="116">
        <v>171.65</v>
      </c>
      <c r="C1024" s="116">
        <v>168.55</v>
      </c>
      <c r="D1024" s="116">
        <v>168.333333333333</v>
      </c>
      <c r="E1024" s="116">
        <v>171.65</v>
      </c>
      <c r="F1024" s="116">
        <v>505.65</v>
      </c>
      <c r="G1024">
        <v>2620</v>
      </c>
      <c r="H1024" s="116"/>
      <c r="I1024" s="116"/>
      <c r="L1024" s="169">
        <v>44006</v>
      </c>
      <c r="M1024" s="116">
        <v>168.46666666666701</v>
      </c>
      <c r="N1024" s="116">
        <v>171.583333333333</v>
      </c>
      <c r="O1024" s="116">
        <v>168.13333333333301</v>
      </c>
      <c r="P1024" s="116">
        <v>169.333333333333</v>
      </c>
      <c r="Q1024" s="116">
        <v>505.4</v>
      </c>
      <c r="R1024">
        <v>47365</v>
      </c>
    </row>
    <row r="1025" spans="1:18" x14ac:dyDescent="0.25">
      <c r="A1025" s="169">
        <v>44007</v>
      </c>
      <c r="B1025" s="116">
        <v>169.51666666666699</v>
      </c>
      <c r="C1025" s="116">
        <v>168.53333333333299</v>
      </c>
      <c r="D1025" s="116">
        <v>166.083333333333</v>
      </c>
      <c r="E1025" s="116">
        <v>168.28333333333299</v>
      </c>
      <c r="F1025" s="116">
        <v>505.6</v>
      </c>
      <c r="G1025">
        <v>3783</v>
      </c>
      <c r="H1025" s="116"/>
      <c r="I1025" s="116"/>
      <c r="L1025" s="169">
        <v>44007</v>
      </c>
      <c r="M1025" s="116">
        <v>168.5</v>
      </c>
      <c r="N1025" s="116">
        <v>169.6</v>
      </c>
      <c r="O1025" s="116">
        <v>166.333333333333</v>
      </c>
      <c r="P1025" s="116">
        <v>168.333333333333</v>
      </c>
      <c r="Q1025" s="116">
        <v>505.5</v>
      </c>
      <c r="R1025">
        <v>25222</v>
      </c>
    </row>
    <row r="1026" spans="1:18" x14ac:dyDescent="0.25">
      <c r="A1026" s="169">
        <v>44008</v>
      </c>
      <c r="B1026" s="116">
        <v>170</v>
      </c>
      <c r="C1026" s="116">
        <v>168.5</v>
      </c>
      <c r="D1026" s="116">
        <v>167.35</v>
      </c>
      <c r="E1026" s="116">
        <v>168.35</v>
      </c>
      <c r="F1026" s="116">
        <v>505.5</v>
      </c>
      <c r="G1026">
        <v>4188</v>
      </c>
      <c r="H1026" s="116"/>
      <c r="I1026" s="116"/>
      <c r="L1026" s="169">
        <v>44008</v>
      </c>
      <c r="M1026" s="116">
        <v>168.5</v>
      </c>
      <c r="N1026" s="116">
        <v>170</v>
      </c>
      <c r="O1026" s="116">
        <v>167.01666666666699</v>
      </c>
      <c r="P1026" s="116">
        <v>169.666666666667</v>
      </c>
      <c r="Q1026" s="116">
        <v>505.5</v>
      </c>
      <c r="R1026">
        <v>52610</v>
      </c>
    </row>
    <row r="1027" spans="1:18" x14ac:dyDescent="0.25">
      <c r="A1027" s="169">
        <v>44011</v>
      </c>
      <c r="B1027" s="116">
        <v>168.63333333333301</v>
      </c>
      <c r="C1027" s="116">
        <v>167.066666666667</v>
      </c>
      <c r="D1027" s="116">
        <v>166.51666666666699</v>
      </c>
      <c r="E1027" s="116">
        <v>167.71666666666701</v>
      </c>
      <c r="F1027" s="116">
        <v>501.2</v>
      </c>
      <c r="G1027">
        <v>2613</v>
      </c>
      <c r="H1027" s="116"/>
      <c r="I1027" s="116"/>
      <c r="L1027" s="169">
        <v>44011</v>
      </c>
      <c r="M1027" s="116">
        <v>167.166666666667</v>
      </c>
      <c r="N1027" s="116">
        <v>169</v>
      </c>
      <c r="O1027" s="116">
        <v>166.666666666667</v>
      </c>
      <c r="P1027" s="116">
        <v>168.666666666667</v>
      </c>
      <c r="Q1027" s="116">
        <v>501.5</v>
      </c>
      <c r="R1027">
        <v>15159</v>
      </c>
    </row>
    <row r="1028" spans="1:18" x14ac:dyDescent="0.25">
      <c r="A1028" s="169">
        <v>44012</v>
      </c>
      <c r="B1028" s="116">
        <v>170.3</v>
      </c>
      <c r="C1028" s="116">
        <v>168.666666666667</v>
      </c>
      <c r="D1028" s="116">
        <v>166.833333333333</v>
      </c>
      <c r="E1028" s="116">
        <v>168.666666666667</v>
      </c>
      <c r="F1028" s="116">
        <v>506</v>
      </c>
      <c r="G1028">
        <v>1064</v>
      </c>
      <c r="H1028" s="116"/>
      <c r="I1028" s="116"/>
      <c r="L1028" s="169">
        <v>44012</v>
      </c>
      <c r="M1028" s="116">
        <v>169.5</v>
      </c>
      <c r="N1028" s="116">
        <v>170.333333333333</v>
      </c>
      <c r="O1028" s="116">
        <v>166.683333333333</v>
      </c>
      <c r="P1028" s="116">
        <v>167.05</v>
      </c>
      <c r="Q1028" s="116">
        <v>508.5</v>
      </c>
      <c r="R1028">
        <v>27420</v>
      </c>
    </row>
    <row r="1029" spans="1:18" x14ac:dyDescent="0.25">
      <c r="A1029" s="169">
        <v>44013</v>
      </c>
      <c r="B1029" s="116">
        <v>169.666666666667</v>
      </c>
      <c r="C1029" s="116">
        <v>167.7</v>
      </c>
      <c r="D1029" s="116">
        <v>161.76666666666699</v>
      </c>
      <c r="E1029" s="116">
        <v>169.333333333333</v>
      </c>
      <c r="F1029" s="116">
        <v>503.1</v>
      </c>
      <c r="G1029">
        <v>2239</v>
      </c>
      <c r="H1029" s="116"/>
      <c r="I1029" s="116"/>
      <c r="L1029" s="169">
        <v>44013</v>
      </c>
      <c r="M1029" s="116">
        <v>167.86666666666699</v>
      </c>
      <c r="N1029" s="116">
        <v>169.95</v>
      </c>
      <c r="O1029" s="116">
        <v>167.333333333333</v>
      </c>
      <c r="P1029" s="116">
        <v>167.35</v>
      </c>
      <c r="Q1029" s="116">
        <v>503.6</v>
      </c>
      <c r="R1029">
        <v>27073</v>
      </c>
    </row>
    <row r="1030" spans="1:18" x14ac:dyDescent="0.25">
      <c r="A1030" s="169">
        <v>44014</v>
      </c>
      <c r="B1030" s="116">
        <v>173.666666666667</v>
      </c>
      <c r="C1030" s="116">
        <v>170.65</v>
      </c>
      <c r="D1030" s="116">
        <v>168.333333333333</v>
      </c>
      <c r="E1030" s="116">
        <v>170.98333333333301</v>
      </c>
      <c r="F1030" s="116">
        <v>511.95</v>
      </c>
      <c r="G1030">
        <v>3126</v>
      </c>
      <c r="H1030" s="116"/>
      <c r="I1030" s="116"/>
      <c r="L1030" s="169">
        <v>44014</v>
      </c>
      <c r="M1030" s="116">
        <v>170.333333333333</v>
      </c>
      <c r="N1030" s="116">
        <v>174</v>
      </c>
      <c r="O1030" s="116">
        <v>168.416666666667</v>
      </c>
      <c r="P1030" s="116">
        <v>169.316666666667</v>
      </c>
      <c r="Q1030" s="116">
        <v>511</v>
      </c>
      <c r="R1030">
        <v>76233</v>
      </c>
    </row>
    <row r="1031" spans="1:18" x14ac:dyDescent="0.25">
      <c r="A1031" s="169">
        <v>44015</v>
      </c>
      <c r="B1031" s="116">
        <v>172.15</v>
      </c>
      <c r="C1031" s="116">
        <v>170.316666666667</v>
      </c>
      <c r="D1031" s="116">
        <v>169.78333333333299</v>
      </c>
      <c r="E1031" s="116">
        <v>170.51666666666699</v>
      </c>
      <c r="F1031" s="116">
        <v>510.95</v>
      </c>
      <c r="G1031">
        <v>1631</v>
      </c>
      <c r="H1031" s="116"/>
      <c r="I1031" s="116"/>
      <c r="L1031" s="169">
        <v>44015</v>
      </c>
      <c r="M1031" s="116">
        <v>170.36666666666699</v>
      </c>
      <c r="N1031" s="116">
        <v>172.35</v>
      </c>
      <c r="O1031" s="116">
        <v>170</v>
      </c>
      <c r="P1031" s="116">
        <v>171.666666666667</v>
      </c>
      <c r="Q1031" s="116">
        <v>511.1</v>
      </c>
      <c r="R1031">
        <v>21787</v>
      </c>
    </row>
    <row r="1032" spans="1:18" x14ac:dyDescent="0.25">
      <c r="A1032" s="169">
        <v>44018</v>
      </c>
      <c r="B1032" s="116">
        <v>172.65</v>
      </c>
      <c r="C1032" s="116">
        <v>170.88333333333301</v>
      </c>
      <c r="D1032" s="116">
        <v>170.666666666667</v>
      </c>
      <c r="E1032" s="116">
        <v>171</v>
      </c>
      <c r="F1032" s="116">
        <v>512.65</v>
      </c>
      <c r="G1032">
        <v>3028</v>
      </c>
      <c r="H1032" s="116"/>
      <c r="I1032" s="116"/>
      <c r="L1032" s="169">
        <v>44018</v>
      </c>
      <c r="M1032" s="116">
        <v>170.816666666667</v>
      </c>
      <c r="N1032" s="116">
        <v>172.683333333333</v>
      </c>
      <c r="O1032" s="116">
        <v>170.36666666666699</v>
      </c>
      <c r="P1032" s="116">
        <v>172</v>
      </c>
      <c r="Q1032" s="116">
        <v>512.45000000000005</v>
      </c>
      <c r="R1032">
        <v>36911</v>
      </c>
    </row>
    <row r="1033" spans="1:18" x14ac:dyDescent="0.25">
      <c r="A1033" s="169">
        <v>44019</v>
      </c>
      <c r="B1033" s="116">
        <v>172</v>
      </c>
      <c r="C1033" s="116">
        <v>171.9</v>
      </c>
      <c r="D1033" s="116">
        <v>170.76666666666699</v>
      </c>
      <c r="E1033" s="116">
        <v>171.03333333333299</v>
      </c>
      <c r="F1033" s="116">
        <v>515.70000000000005</v>
      </c>
      <c r="G1033">
        <v>4518</v>
      </c>
      <c r="H1033" s="116"/>
      <c r="I1033" s="116"/>
      <c r="L1033" s="169">
        <v>44019</v>
      </c>
      <c r="M1033" s="116">
        <v>171.88333333333301</v>
      </c>
      <c r="N1033" s="116">
        <v>172.333333333333</v>
      </c>
      <c r="O1033" s="116">
        <v>170.45</v>
      </c>
      <c r="P1033" s="116">
        <v>171</v>
      </c>
      <c r="Q1033" s="116">
        <v>515.65</v>
      </c>
      <c r="R1033">
        <v>24524</v>
      </c>
    </row>
    <row r="1034" spans="1:18" x14ac:dyDescent="0.25">
      <c r="A1034" s="169">
        <v>44020</v>
      </c>
      <c r="B1034" s="116">
        <v>176.666666666667</v>
      </c>
      <c r="C1034" s="116">
        <v>174.683333333333</v>
      </c>
      <c r="D1034" s="116">
        <v>173.333333333333</v>
      </c>
      <c r="E1034" s="116">
        <v>173.333333333333</v>
      </c>
      <c r="F1034" s="116">
        <v>524.04999999999995</v>
      </c>
      <c r="G1034">
        <v>11343</v>
      </c>
      <c r="H1034" s="116"/>
      <c r="I1034" s="116"/>
      <c r="L1034" s="169">
        <v>44020</v>
      </c>
      <c r="M1034" s="116">
        <v>174.583333333333</v>
      </c>
      <c r="N1034" s="116">
        <v>176.63333333333301</v>
      </c>
      <c r="O1034" s="116">
        <v>172</v>
      </c>
      <c r="P1034" s="116">
        <v>172</v>
      </c>
      <c r="Q1034" s="116">
        <v>523.75</v>
      </c>
      <c r="R1034">
        <v>116264</v>
      </c>
    </row>
    <row r="1035" spans="1:18" x14ac:dyDescent="0.25">
      <c r="A1035" s="169">
        <v>44021</v>
      </c>
      <c r="B1035" s="116">
        <v>180.666666666667</v>
      </c>
      <c r="C1035" s="116">
        <v>178.36666666666699</v>
      </c>
      <c r="D1035" s="116">
        <v>173.566666666667</v>
      </c>
      <c r="E1035" s="116">
        <v>174.833333333333</v>
      </c>
      <c r="F1035" s="116">
        <v>535.1</v>
      </c>
      <c r="G1035">
        <v>8700</v>
      </c>
      <c r="H1035" s="116"/>
      <c r="I1035" s="116"/>
      <c r="L1035" s="169">
        <v>44021</v>
      </c>
      <c r="M1035" s="116">
        <v>178.566666666667</v>
      </c>
      <c r="N1035" s="116">
        <v>180.86666666666699</v>
      </c>
      <c r="O1035" s="116">
        <v>173.7</v>
      </c>
      <c r="P1035" s="116">
        <v>175.666666666667</v>
      </c>
      <c r="Q1035" s="116">
        <v>535.70000000000005</v>
      </c>
      <c r="R1035">
        <v>106056</v>
      </c>
    </row>
    <row r="1036" spans="1:18" x14ac:dyDescent="0.25">
      <c r="A1036" s="169">
        <v>44022</v>
      </c>
      <c r="B1036" s="116">
        <v>179.6</v>
      </c>
      <c r="C1036" s="116">
        <v>176.333333333333</v>
      </c>
      <c r="D1036" s="116">
        <v>175.88333333333301</v>
      </c>
      <c r="E1036" s="116">
        <v>178.666666666667</v>
      </c>
      <c r="F1036" s="116">
        <v>529</v>
      </c>
      <c r="G1036">
        <v>1003</v>
      </c>
      <c r="H1036" s="116"/>
      <c r="I1036" s="116"/>
      <c r="L1036" s="169">
        <v>44022</v>
      </c>
      <c r="M1036" s="116">
        <v>176.11666666666699</v>
      </c>
      <c r="N1036" s="116">
        <v>179.9</v>
      </c>
      <c r="O1036" s="116">
        <v>175.666666666667</v>
      </c>
      <c r="P1036" s="116">
        <v>178.666666666667</v>
      </c>
      <c r="Q1036" s="116">
        <v>528.35</v>
      </c>
      <c r="R1036">
        <v>33485</v>
      </c>
    </row>
    <row r="1037" spans="1:18" x14ac:dyDescent="0.25">
      <c r="A1037" s="169">
        <v>44025</v>
      </c>
      <c r="B1037" s="116">
        <v>200.15</v>
      </c>
      <c r="C1037" s="116">
        <v>196.1</v>
      </c>
      <c r="D1037" s="116">
        <v>178.666666666667</v>
      </c>
      <c r="E1037" s="116">
        <v>179.333333333333</v>
      </c>
      <c r="F1037" s="116">
        <v>588.29999999999995</v>
      </c>
      <c r="G1037">
        <v>41699</v>
      </c>
      <c r="H1037" s="116"/>
      <c r="I1037" s="116"/>
      <c r="L1037" s="169">
        <v>44025</v>
      </c>
      <c r="M1037" s="116">
        <v>195.433333333333</v>
      </c>
      <c r="N1037" s="116">
        <v>200.4</v>
      </c>
      <c r="O1037" s="116">
        <v>178.5</v>
      </c>
      <c r="P1037" s="116">
        <v>181.21666666666701</v>
      </c>
      <c r="Q1037" s="116">
        <v>586.29999999999995</v>
      </c>
      <c r="R1037">
        <v>621475</v>
      </c>
    </row>
    <row r="1038" spans="1:18" x14ac:dyDescent="0.25">
      <c r="A1038" s="169">
        <v>44026</v>
      </c>
      <c r="B1038" s="116">
        <v>203.333333333333</v>
      </c>
      <c r="C1038" s="116">
        <v>193.316666666667</v>
      </c>
      <c r="D1038" s="116">
        <v>191.416666666667</v>
      </c>
      <c r="E1038" s="116">
        <v>199.3</v>
      </c>
      <c r="F1038" s="116">
        <v>579.95000000000005</v>
      </c>
      <c r="G1038">
        <v>50467</v>
      </c>
      <c r="H1038" s="116"/>
      <c r="I1038" s="116"/>
      <c r="L1038" s="169">
        <v>44026</v>
      </c>
      <c r="M1038" s="116">
        <v>193.3</v>
      </c>
      <c r="N1038" s="116">
        <v>203.48333333333301</v>
      </c>
      <c r="O1038" s="116">
        <v>191.5</v>
      </c>
      <c r="P1038" s="116">
        <v>198.5</v>
      </c>
      <c r="Q1038" s="116">
        <v>579.9</v>
      </c>
      <c r="R1038">
        <v>658050</v>
      </c>
    </row>
    <row r="1039" spans="1:18" x14ac:dyDescent="0.25">
      <c r="A1039" s="169">
        <v>44027</v>
      </c>
      <c r="B1039" s="116">
        <v>197.183333333333</v>
      </c>
      <c r="C1039" s="116">
        <v>189.71666666666701</v>
      </c>
      <c r="D1039" s="116">
        <v>189.083333333333</v>
      </c>
      <c r="E1039" s="116">
        <v>196.666666666667</v>
      </c>
      <c r="F1039" s="116">
        <v>569.15</v>
      </c>
      <c r="G1039">
        <v>12936</v>
      </c>
      <c r="H1039" s="116"/>
      <c r="I1039" s="116"/>
      <c r="L1039" s="169">
        <v>44027</v>
      </c>
      <c r="M1039" s="116">
        <v>189.88333333333301</v>
      </c>
      <c r="N1039" s="116">
        <v>197.333333333333</v>
      </c>
      <c r="O1039" s="116">
        <v>188.55</v>
      </c>
      <c r="P1039" s="116">
        <v>195.01666666666699</v>
      </c>
      <c r="Q1039" s="116">
        <v>569.65</v>
      </c>
      <c r="R1039">
        <v>125707</v>
      </c>
    </row>
    <row r="1040" spans="1:18" x14ac:dyDescent="0.25">
      <c r="A1040" s="169">
        <v>44028</v>
      </c>
      <c r="B1040" s="116">
        <v>203.46666666666701</v>
      </c>
      <c r="C1040" s="116">
        <v>202.15</v>
      </c>
      <c r="D1040" s="116">
        <v>183.26666666666699</v>
      </c>
      <c r="E1040" s="116">
        <v>190</v>
      </c>
      <c r="F1040" s="116">
        <v>606.45000000000005</v>
      </c>
      <c r="G1040">
        <v>17199</v>
      </c>
      <c r="H1040" s="116"/>
      <c r="I1040" s="116"/>
      <c r="L1040" s="169">
        <v>44028</v>
      </c>
      <c r="M1040" s="116">
        <v>201.63333333333301</v>
      </c>
      <c r="N1040" s="116">
        <v>203.333333333333</v>
      </c>
      <c r="O1040" s="116">
        <v>183.333333333333</v>
      </c>
      <c r="P1040" s="116">
        <v>190.88333333333301</v>
      </c>
      <c r="Q1040" s="116">
        <v>604.9</v>
      </c>
      <c r="R1040">
        <v>330228</v>
      </c>
    </row>
    <row r="1041" spans="1:18" x14ac:dyDescent="0.25">
      <c r="A1041" s="169">
        <v>44029</v>
      </c>
      <c r="B1041" s="116">
        <v>203.333333333333</v>
      </c>
      <c r="C1041" s="116">
        <v>200.21666666666701</v>
      </c>
      <c r="D1041" s="116">
        <v>199.1</v>
      </c>
      <c r="E1041" s="116">
        <v>202.083333333333</v>
      </c>
      <c r="F1041" s="116">
        <v>600.65</v>
      </c>
      <c r="G1041">
        <v>14861</v>
      </c>
      <c r="H1041" s="116"/>
      <c r="I1041" s="116"/>
      <c r="L1041" s="169">
        <v>44029</v>
      </c>
      <c r="M1041" s="116">
        <v>200.3</v>
      </c>
      <c r="N1041" s="116">
        <v>203.333333333333</v>
      </c>
      <c r="O1041" s="116">
        <v>199.333333333333</v>
      </c>
      <c r="P1041" s="116">
        <v>203</v>
      </c>
      <c r="Q1041" s="116">
        <v>600.9</v>
      </c>
      <c r="R1041">
        <v>138130</v>
      </c>
    </row>
    <row r="1042" spans="1:18" x14ac:dyDescent="0.25">
      <c r="A1042" s="169">
        <v>44032</v>
      </c>
      <c r="B1042" s="116">
        <v>201.916666666667</v>
      </c>
      <c r="C1042" s="116">
        <v>201.11666666666699</v>
      </c>
      <c r="D1042" s="116">
        <v>199.78333333333299</v>
      </c>
      <c r="E1042" s="116">
        <v>201.76666666666699</v>
      </c>
      <c r="F1042" s="116">
        <v>603.35</v>
      </c>
      <c r="G1042">
        <v>4392</v>
      </c>
      <c r="H1042" s="116"/>
      <c r="I1042" s="116"/>
      <c r="L1042" s="169">
        <v>44032</v>
      </c>
      <c r="M1042" s="116">
        <v>201.23333333333301</v>
      </c>
      <c r="N1042" s="116">
        <v>202.35</v>
      </c>
      <c r="O1042" s="116">
        <v>199.53333333333299</v>
      </c>
      <c r="P1042" s="116">
        <v>201.566666666667</v>
      </c>
      <c r="Q1042" s="116">
        <v>603.70000000000005</v>
      </c>
      <c r="R1042">
        <v>83326</v>
      </c>
    </row>
    <row r="1043" spans="1:18" x14ac:dyDescent="0.25">
      <c r="A1043" s="169">
        <v>44033</v>
      </c>
      <c r="B1043" s="116">
        <v>206.78333333333299</v>
      </c>
      <c r="C1043" s="116">
        <v>201.933333333333</v>
      </c>
      <c r="D1043" s="116">
        <v>200.7</v>
      </c>
      <c r="E1043" s="116">
        <v>203.333333333333</v>
      </c>
      <c r="F1043" s="116">
        <v>605.79999999999995</v>
      </c>
      <c r="G1043">
        <v>7284</v>
      </c>
      <c r="H1043" s="116"/>
      <c r="I1043" s="116"/>
      <c r="L1043" s="169">
        <v>44033</v>
      </c>
      <c r="M1043" s="116">
        <v>201.96666666666701</v>
      </c>
      <c r="N1043" s="116">
        <v>206.666666666667</v>
      </c>
      <c r="O1043" s="116">
        <v>200.36666666666699</v>
      </c>
      <c r="P1043" s="116">
        <v>202.35</v>
      </c>
      <c r="Q1043" s="116">
        <v>605.9</v>
      </c>
      <c r="R1043">
        <v>141098</v>
      </c>
    </row>
    <row r="1044" spans="1:18" x14ac:dyDescent="0.25">
      <c r="A1044" s="169">
        <v>44034</v>
      </c>
      <c r="B1044" s="116">
        <v>205.666666666667</v>
      </c>
      <c r="C1044" s="116">
        <v>200.333333333333</v>
      </c>
      <c r="D1044" s="116">
        <v>195.21666666666701</v>
      </c>
      <c r="E1044" s="116">
        <v>205.666666666667</v>
      </c>
      <c r="F1044" s="116">
        <v>601</v>
      </c>
      <c r="G1044">
        <v>4808</v>
      </c>
      <c r="H1044" s="116"/>
      <c r="I1044" s="116"/>
      <c r="L1044" s="169">
        <v>44034</v>
      </c>
      <c r="M1044" s="116">
        <v>200.3</v>
      </c>
      <c r="N1044" s="116">
        <v>202.98333333333301</v>
      </c>
      <c r="O1044" s="116">
        <v>195.333333333333</v>
      </c>
      <c r="P1044" s="116">
        <v>202.96666666666701</v>
      </c>
      <c r="Q1044" s="116">
        <v>600.9</v>
      </c>
      <c r="R1044">
        <v>62269</v>
      </c>
    </row>
    <row r="1045" spans="1:18" x14ac:dyDescent="0.25">
      <c r="A1045" s="169">
        <v>44035</v>
      </c>
      <c r="B1045" s="116">
        <v>203.333333333333</v>
      </c>
      <c r="C1045" s="116">
        <v>201.55</v>
      </c>
      <c r="D1045" s="116">
        <v>199.1</v>
      </c>
      <c r="E1045" s="116">
        <v>203</v>
      </c>
      <c r="F1045" s="116">
        <v>604.65</v>
      </c>
      <c r="G1045">
        <v>4036</v>
      </c>
      <c r="H1045" s="116"/>
      <c r="I1045" s="116"/>
      <c r="L1045" s="169">
        <v>44035</v>
      </c>
      <c r="M1045" s="116">
        <v>201.816666666667</v>
      </c>
      <c r="N1045" s="116">
        <v>203.666666666667</v>
      </c>
      <c r="O1045" s="116">
        <v>199.03333333333299</v>
      </c>
      <c r="P1045" s="116">
        <v>201.3</v>
      </c>
      <c r="Q1045" s="116">
        <v>605.45000000000005</v>
      </c>
      <c r="R1045">
        <v>67880</v>
      </c>
    </row>
    <row r="1046" spans="1:18" x14ac:dyDescent="0.25">
      <c r="A1046" s="169">
        <v>44036</v>
      </c>
      <c r="B1046" s="116">
        <v>208.933333333333</v>
      </c>
      <c r="C1046" s="116">
        <v>202.51666666666699</v>
      </c>
      <c r="D1046" s="116">
        <v>201.816666666667</v>
      </c>
      <c r="E1046" s="116">
        <v>202.95</v>
      </c>
      <c r="F1046" s="116">
        <v>607.54999999999995</v>
      </c>
      <c r="G1046">
        <v>5598</v>
      </c>
      <c r="H1046" s="116"/>
      <c r="I1046" s="116"/>
      <c r="L1046" s="169">
        <v>44036</v>
      </c>
      <c r="M1046" s="116">
        <v>202.61666666666699</v>
      </c>
      <c r="N1046" s="116">
        <v>209</v>
      </c>
      <c r="O1046" s="116">
        <v>201.666666666667</v>
      </c>
      <c r="P1046" s="116">
        <v>202.333333333333</v>
      </c>
      <c r="Q1046" s="116">
        <v>607.85</v>
      </c>
      <c r="R1046">
        <v>120594</v>
      </c>
    </row>
    <row r="1047" spans="1:18" x14ac:dyDescent="0.25">
      <c r="A1047" s="169">
        <v>44039</v>
      </c>
      <c r="B1047" s="116">
        <v>214.76666666666699</v>
      </c>
      <c r="C1047" s="116">
        <v>210.61666666666699</v>
      </c>
      <c r="D1047" s="116">
        <v>204.75</v>
      </c>
      <c r="E1047" s="116">
        <v>210.666666666667</v>
      </c>
      <c r="F1047" s="116">
        <v>631.85</v>
      </c>
      <c r="G1047">
        <v>11715</v>
      </c>
      <c r="H1047" s="116"/>
      <c r="I1047" s="116"/>
      <c r="L1047" s="169">
        <v>44039</v>
      </c>
      <c r="M1047" s="116">
        <v>210.75</v>
      </c>
      <c r="N1047" s="116">
        <v>215</v>
      </c>
      <c r="O1047" s="116">
        <v>204</v>
      </c>
      <c r="P1047" s="116">
        <v>205.78333333333299</v>
      </c>
      <c r="Q1047" s="116">
        <v>632.25</v>
      </c>
      <c r="R1047">
        <v>284380</v>
      </c>
    </row>
    <row r="1048" spans="1:18" x14ac:dyDescent="0.25">
      <c r="A1048" s="169">
        <v>44040</v>
      </c>
      <c r="B1048" s="116">
        <v>245.333333333333</v>
      </c>
      <c r="C1048" s="116">
        <v>240.9</v>
      </c>
      <c r="D1048" s="116">
        <v>213.28333333333299</v>
      </c>
      <c r="E1048" s="116">
        <v>213.28333333333299</v>
      </c>
      <c r="F1048" s="116">
        <v>722.7</v>
      </c>
      <c r="G1048">
        <v>83039</v>
      </c>
      <c r="H1048" s="116"/>
      <c r="I1048" s="116"/>
      <c r="L1048" s="169">
        <v>44040</v>
      </c>
      <c r="M1048" s="116">
        <v>240.78333333333299</v>
      </c>
      <c r="N1048" s="116">
        <v>245.9</v>
      </c>
      <c r="O1048" s="116">
        <v>213</v>
      </c>
      <c r="P1048" s="116">
        <v>213</v>
      </c>
      <c r="Q1048" s="116">
        <v>722.35</v>
      </c>
      <c r="R1048">
        <v>1240776</v>
      </c>
    </row>
    <row r="1049" spans="1:18" x14ac:dyDescent="0.25">
      <c r="A1049" s="169">
        <v>44041</v>
      </c>
      <c r="B1049" s="116">
        <v>244.28333333333299</v>
      </c>
      <c r="C1049" s="116">
        <v>230.98333333333301</v>
      </c>
      <c r="D1049" s="116">
        <v>227.36666666666699</v>
      </c>
      <c r="E1049" s="116">
        <v>242.13333333333301</v>
      </c>
      <c r="F1049" s="116">
        <v>692.95</v>
      </c>
      <c r="G1049">
        <v>48056</v>
      </c>
      <c r="H1049" s="116"/>
      <c r="I1049" s="116"/>
      <c r="L1049" s="169">
        <v>44041</v>
      </c>
      <c r="M1049" s="116">
        <v>230.98333333333301</v>
      </c>
      <c r="N1049" s="116">
        <v>244.416666666667</v>
      </c>
      <c r="O1049" s="116">
        <v>228.666666666667</v>
      </c>
      <c r="P1049" s="116">
        <v>243.066666666667</v>
      </c>
      <c r="Q1049" s="116">
        <v>692.95</v>
      </c>
      <c r="R1049">
        <v>469989</v>
      </c>
    </row>
    <row r="1050" spans="1:18" x14ac:dyDescent="0.25">
      <c r="A1050" s="169">
        <v>44042</v>
      </c>
      <c r="B1050" s="116">
        <v>238.65</v>
      </c>
      <c r="C1050" s="116">
        <v>227.583333333333</v>
      </c>
      <c r="D1050" s="116">
        <v>224.916666666667</v>
      </c>
      <c r="E1050" s="116">
        <v>231</v>
      </c>
      <c r="F1050" s="116">
        <v>682.75</v>
      </c>
      <c r="G1050">
        <v>43572</v>
      </c>
      <c r="H1050" s="116"/>
      <c r="I1050" s="116"/>
      <c r="L1050" s="169">
        <v>44042</v>
      </c>
      <c r="M1050" s="116">
        <v>227.61666666666699</v>
      </c>
      <c r="N1050" s="116">
        <v>238.6</v>
      </c>
      <c r="O1050" s="116">
        <v>224.76666666666699</v>
      </c>
      <c r="P1050" s="116">
        <v>233</v>
      </c>
      <c r="Q1050" s="116">
        <v>682.85</v>
      </c>
      <c r="R1050">
        <v>353976</v>
      </c>
    </row>
    <row r="1051" spans="1:18" x14ac:dyDescent="0.25">
      <c r="A1051" s="169">
        <v>44043</v>
      </c>
      <c r="B1051" s="116">
        <v>238.666666666667</v>
      </c>
      <c r="C1051" s="116">
        <v>233.98333333333301</v>
      </c>
      <c r="D1051" s="116">
        <v>225.98333333333301</v>
      </c>
      <c r="E1051" s="116">
        <v>230</v>
      </c>
      <c r="F1051" s="116">
        <v>701.95</v>
      </c>
      <c r="G1051">
        <v>18512</v>
      </c>
      <c r="H1051" s="116"/>
      <c r="I1051" s="116"/>
      <c r="L1051" s="169">
        <v>44043</v>
      </c>
      <c r="M1051" s="116">
        <v>233.86666666666699</v>
      </c>
      <c r="N1051" s="116">
        <v>238.78333333333299</v>
      </c>
      <c r="O1051" s="116">
        <v>225.683333333333</v>
      </c>
      <c r="P1051" s="116">
        <v>229.38333333333301</v>
      </c>
      <c r="Q1051" s="116">
        <v>701.6</v>
      </c>
      <c r="R1051">
        <v>414425</v>
      </c>
    </row>
    <row r="1052" spans="1:18" x14ac:dyDescent="0.25">
      <c r="A1052" s="169">
        <v>44046</v>
      </c>
      <c r="B1052" s="116">
        <v>232.933333333333</v>
      </c>
      <c r="C1052" s="116">
        <v>225.35</v>
      </c>
      <c r="D1052" s="116">
        <v>213.833333333333</v>
      </c>
      <c r="E1052" s="116">
        <v>230</v>
      </c>
      <c r="F1052" s="116">
        <v>676.05</v>
      </c>
      <c r="G1052">
        <v>26991</v>
      </c>
      <c r="H1052" s="116"/>
      <c r="I1052" s="116"/>
      <c r="L1052" s="169">
        <v>44046</v>
      </c>
      <c r="M1052" s="116">
        <v>225.55</v>
      </c>
      <c r="N1052" s="116">
        <v>232.9</v>
      </c>
      <c r="O1052" s="116">
        <v>210.416666666667</v>
      </c>
      <c r="P1052" s="116">
        <v>231</v>
      </c>
      <c r="Q1052" s="116">
        <v>676.65</v>
      </c>
      <c r="R1052">
        <v>337539</v>
      </c>
    </row>
    <row r="1053" spans="1:18" x14ac:dyDescent="0.25">
      <c r="A1053" s="169">
        <v>44047</v>
      </c>
      <c r="B1053" s="116">
        <v>227.86666666666699</v>
      </c>
      <c r="C1053" s="116">
        <v>223.53333333333299</v>
      </c>
      <c r="D1053" s="116">
        <v>222.666666666667</v>
      </c>
      <c r="E1053" s="116">
        <v>227.816666666667</v>
      </c>
      <c r="F1053" s="116">
        <v>670.6</v>
      </c>
      <c r="G1053">
        <v>3554</v>
      </c>
      <c r="H1053" s="116"/>
      <c r="I1053" s="116"/>
      <c r="L1053" s="169">
        <v>44047</v>
      </c>
      <c r="M1053" s="116">
        <v>223.4</v>
      </c>
      <c r="N1053" s="116">
        <v>227.666666666667</v>
      </c>
      <c r="O1053" s="116">
        <v>221.75</v>
      </c>
      <c r="P1053" s="116">
        <v>225.8</v>
      </c>
      <c r="Q1053" s="116">
        <v>670.2</v>
      </c>
      <c r="R1053">
        <v>89862</v>
      </c>
    </row>
    <row r="1054" spans="1:18" x14ac:dyDescent="0.25">
      <c r="A1054" s="169">
        <v>44048</v>
      </c>
      <c r="B1054" s="116">
        <v>232.4</v>
      </c>
      <c r="C1054" s="116">
        <v>227.28333333333299</v>
      </c>
      <c r="D1054" s="116">
        <v>219.76666666666699</v>
      </c>
      <c r="E1054" s="116">
        <v>223.833333333333</v>
      </c>
      <c r="F1054" s="116">
        <v>681.85</v>
      </c>
      <c r="G1054">
        <v>11924</v>
      </c>
      <c r="H1054" s="116"/>
      <c r="I1054" s="116"/>
      <c r="L1054" s="169">
        <v>44048</v>
      </c>
      <c r="M1054" s="116">
        <v>226.95</v>
      </c>
      <c r="N1054" s="116">
        <v>232.4</v>
      </c>
      <c r="O1054" s="116">
        <v>223.26666666666699</v>
      </c>
      <c r="P1054" s="116">
        <v>223.4</v>
      </c>
      <c r="Q1054" s="116">
        <v>680.85</v>
      </c>
      <c r="R1054">
        <v>163739</v>
      </c>
    </row>
    <row r="1055" spans="1:18" x14ac:dyDescent="0.25">
      <c r="A1055" s="169">
        <v>44049</v>
      </c>
      <c r="B1055" s="116">
        <v>235.38333333333301</v>
      </c>
      <c r="C1055" s="116">
        <v>234.23333333333301</v>
      </c>
      <c r="D1055" s="116">
        <v>225.816666666667</v>
      </c>
      <c r="E1055" s="116">
        <v>227.333333333333</v>
      </c>
      <c r="F1055" s="116">
        <v>702.7</v>
      </c>
      <c r="G1055">
        <v>20237</v>
      </c>
      <c r="H1055" s="116"/>
      <c r="I1055" s="116"/>
      <c r="L1055" s="169">
        <v>44049</v>
      </c>
      <c r="M1055" s="116">
        <v>233.6</v>
      </c>
      <c r="N1055" s="116">
        <v>235.333333333333</v>
      </c>
      <c r="O1055" s="116">
        <v>225.48333333333301</v>
      </c>
      <c r="P1055" s="116">
        <v>229.333333333333</v>
      </c>
      <c r="Q1055" s="116">
        <v>700.8</v>
      </c>
      <c r="R1055">
        <v>267989</v>
      </c>
    </row>
    <row r="1056" spans="1:18" x14ac:dyDescent="0.25">
      <c r="A1056" s="169">
        <v>44050</v>
      </c>
      <c r="B1056" s="116">
        <v>236.51666666666699</v>
      </c>
      <c r="C1056" s="116">
        <v>233.28333333333299</v>
      </c>
      <c r="D1056" s="116">
        <v>232.65</v>
      </c>
      <c r="E1056" s="116">
        <v>235.666666666667</v>
      </c>
      <c r="F1056" s="116">
        <v>699.85</v>
      </c>
      <c r="G1056">
        <v>8808</v>
      </c>
      <c r="H1056" s="116"/>
      <c r="I1056" s="116"/>
      <c r="L1056" s="169">
        <v>44050</v>
      </c>
      <c r="M1056" s="116">
        <v>233.316666666667</v>
      </c>
      <c r="N1056" s="116">
        <v>236.683333333333</v>
      </c>
      <c r="O1056" s="116">
        <v>232.333333333333</v>
      </c>
      <c r="P1056" s="116">
        <v>234.98333333333301</v>
      </c>
      <c r="Q1056" s="116">
        <v>699.95</v>
      </c>
      <c r="R1056">
        <v>106797</v>
      </c>
    </row>
    <row r="1057" spans="1:18" x14ac:dyDescent="0.25">
      <c r="A1057" s="169">
        <v>44053</v>
      </c>
      <c r="B1057" s="116">
        <v>240</v>
      </c>
      <c r="C1057" s="116">
        <v>237.13333333333301</v>
      </c>
      <c r="D1057" s="116">
        <v>229.9</v>
      </c>
      <c r="E1057" s="116">
        <v>236.65</v>
      </c>
      <c r="F1057" s="116">
        <v>711.4</v>
      </c>
      <c r="G1057">
        <v>11181</v>
      </c>
      <c r="H1057" s="116"/>
      <c r="I1057" s="116"/>
      <c r="L1057" s="169">
        <v>44053</v>
      </c>
      <c r="M1057" s="116">
        <v>237.53333333333299</v>
      </c>
      <c r="N1057" s="116">
        <v>240</v>
      </c>
      <c r="O1057" s="116">
        <v>229.35</v>
      </c>
      <c r="P1057" s="116">
        <v>233.666666666667</v>
      </c>
      <c r="Q1057" s="116">
        <v>712.6</v>
      </c>
      <c r="R1057">
        <v>195769</v>
      </c>
    </row>
    <row r="1058" spans="1:18" x14ac:dyDescent="0.25">
      <c r="A1058" s="169">
        <v>44054</v>
      </c>
      <c r="B1058" s="116">
        <v>239.2</v>
      </c>
      <c r="C1058" s="116">
        <v>234.36666666666699</v>
      </c>
      <c r="D1058" s="116">
        <v>233.5</v>
      </c>
      <c r="E1058" s="116">
        <v>238.433333333333</v>
      </c>
      <c r="F1058" s="116">
        <v>703.1</v>
      </c>
      <c r="G1058">
        <v>9186</v>
      </c>
      <c r="H1058" s="116"/>
      <c r="I1058" s="116"/>
      <c r="L1058" s="169">
        <v>44054</v>
      </c>
      <c r="M1058" s="116">
        <v>234.816666666667</v>
      </c>
      <c r="N1058" s="116">
        <v>239.666666666667</v>
      </c>
      <c r="O1058" s="116">
        <v>233.333333333333</v>
      </c>
      <c r="P1058" s="116">
        <v>238.333333333333</v>
      </c>
      <c r="Q1058" s="116">
        <v>704.45</v>
      </c>
      <c r="R1058">
        <v>97491</v>
      </c>
    </row>
    <row r="1059" spans="1:18" x14ac:dyDescent="0.25">
      <c r="A1059" s="169">
        <v>44055</v>
      </c>
      <c r="B1059" s="116">
        <v>240</v>
      </c>
      <c r="C1059" s="116">
        <v>234.55</v>
      </c>
      <c r="D1059" s="116">
        <v>228.95</v>
      </c>
      <c r="E1059" s="116">
        <v>236</v>
      </c>
      <c r="F1059" s="116">
        <v>703.65</v>
      </c>
      <c r="G1059">
        <v>6071</v>
      </c>
      <c r="H1059" s="116"/>
      <c r="I1059" s="116"/>
      <c r="L1059" s="169">
        <v>44055</v>
      </c>
      <c r="M1059" s="116">
        <v>234.333333333333</v>
      </c>
      <c r="N1059" s="116">
        <v>240</v>
      </c>
      <c r="O1059" s="116">
        <v>228.666666666667</v>
      </c>
      <c r="P1059" s="116">
        <v>233.333333333333</v>
      </c>
      <c r="Q1059" s="116">
        <v>703</v>
      </c>
      <c r="R1059">
        <v>131033</v>
      </c>
    </row>
    <row r="1060" spans="1:18" x14ac:dyDescent="0.25">
      <c r="A1060" s="169">
        <v>44056</v>
      </c>
      <c r="B1060" s="116">
        <v>237.316666666667</v>
      </c>
      <c r="C1060" s="116">
        <v>234.95</v>
      </c>
      <c r="D1060" s="116">
        <v>231.816666666667</v>
      </c>
      <c r="E1060" s="116">
        <v>233.71666666666701</v>
      </c>
      <c r="F1060" s="116">
        <v>704.85</v>
      </c>
      <c r="G1060">
        <v>6058</v>
      </c>
      <c r="H1060" s="116"/>
      <c r="I1060" s="116"/>
      <c r="L1060" s="169">
        <v>44056</v>
      </c>
      <c r="M1060" s="116">
        <v>235.03333333333299</v>
      </c>
      <c r="N1060" s="116">
        <v>237.76666666666699</v>
      </c>
      <c r="O1060" s="116">
        <v>231.683333333333</v>
      </c>
      <c r="P1060" s="116">
        <v>234.666666666667</v>
      </c>
      <c r="Q1060" s="116">
        <v>705.1</v>
      </c>
      <c r="R1060">
        <v>76108</v>
      </c>
    </row>
    <row r="1061" spans="1:18" x14ac:dyDescent="0.25">
      <c r="A1061" s="169">
        <v>44057</v>
      </c>
      <c r="B1061" s="116">
        <v>239.166666666667</v>
      </c>
      <c r="C1061" s="116">
        <v>234.8</v>
      </c>
      <c r="D1061" s="116">
        <v>231.666666666667</v>
      </c>
      <c r="E1061" s="116">
        <v>232.333333333333</v>
      </c>
      <c r="F1061" s="116">
        <v>704.4</v>
      </c>
      <c r="G1061">
        <v>8399</v>
      </c>
      <c r="H1061" s="116"/>
      <c r="I1061" s="116"/>
      <c r="L1061" s="169">
        <v>44057</v>
      </c>
      <c r="M1061" s="116">
        <v>234.98333333333301</v>
      </c>
      <c r="N1061" s="116">
        <v>239.23333333333301</v>
      </c>
      <c r="O1061" s="116">
        <v>233</v>
      </c>
      <c r="P1061" s="116">
        <v>236.7</v>
      </c>
      <c r="Q1061" s="116">
        <v>704.95</v>
      </c>
      <c r="R1061">
        <v>140975</v>
      </c>
    </row>
    <row r="1062" spans="1:18" x14ac:dyDescent="0.25">
      <c r="A1062" s="169">
        <v>44060</v>
      </c>
      <c r="B1062" s="116">
        <v>281.75</v>
      </c>
      <c r="C1062" s="116">
        <v>279.58333333333297</v>
      </c>
      <c r="D1062" s="116">
        <v>235.25</v>
      </c>
      <c r="E1062" s="116">
        <v>238.98333333333301</v>
      </c>
      <c r="F1062" s="116">
        <v>838.75</v>
      </c>
      <c r="G1062">
        <v>164447</v>
      </c>
      <c r="H1062" s="116"/>
      <c r="I1062" s="116"/>
      <c r="L1062" s="169">
        <v>44060</v>
      </c>
      <c r="M1062" s="116">
        <v>278.78333333333302</v>
      </c>
      <c r="N1062" s="116">
        <v>281.96666666666698</v>
      </c>
      <c r="O1062" s="116">
        <v>234.05</v>
      </c>
      <c r="P1062" s="116">
        <v>236.666666666667</v>
      </c>
      <c r="Q1062" s="116">
        <v>836.35</v>
      </c>
      <c r="R1062">
        <v>3440438</v>
      </c>
    </row>
    <row r="1063" spans="1:18" x14ac:dyDescent="0.25">
      <c r="A1063" s="169">
        <v>44061</v>
      </c>
      <c r="B1063" s="116">
        <v>281.66666666666703</v>
      </c>
      <c r="C1063" s="116">
        <v>262.14999999999998</v>
      </c>
      <c r="D1063" s="116">
        <v>261</v>
      </c>
      <c r="E1063" s="116">
        <v>281.33333333333297</v>
      </c>
      <c r="F1063" s="116">
        <v>786.45</v>
      </c>
      <c r="G1063">
        <v>51532</v>
      </c>
      <c r="H1063" s="116"/>
      <c r="I1063" s="116"/>
      <c r="L1063" s="169">
        <v>44061</v>
      </c>
      <c r="M1063" s="116">
        <v>261.89999999999998</v>
      </c>
      <c r="N1063" s="116">
        <v>282.3</v>
      </c>
      <c r="O1063" s="116">
        <v>260</v>
      </c>
      <c r="P1063" s="116">
        <v>280</v>
      </c>
      <c r="Q1063" s="116">
        <v>785.7</v>
      </c>
      <c r="R1063">
        <v>827624</v>
      </c>
    </row>
    <row r="1064" spans="1:18" x14ac:dyDescent="0.25">
      <c r="A1064" s="169">
        <v>44062</v>
      </c>
      <c r="B1064" s="116">
        <v>271.13333333333298</v>
      </c>
      <c r="C1064" s="116">
        <v>261.183333333333</v>
      </c>
      <c r="D1064" s="116">
        <v>259.58333333333297</v>
      </c>
      <c r="E1064" s="116">
        <v>262.66666666666703</v>
      </c>
      <c r="F1064" s="116">
        <v>783.55</v>
      </c>
      <c r="G1064">
        <v>30155</v>
      </c>
      <c r="H1064" s="116"/>
      <c r="I1064" s="116"/>
      <c r="L1064" s="169">
        <v>44062</v>
      </c>
      <c r="M1064" s="116">
        <v>261.01666666666699</v>
      </c>
      <c r="N1064" s="116">
        <v>271</v>
      </c>
      <c r="O1064" s="116">
        <v>259.433333333333</v>
      </c>
      <c r="P1064" s="116">
        <v>263.33333333333297</v>
      </c>
      <c r="Q1064" s="116">
        <v>783.05</v>
      </c>
      <c r="R1064">
        <v>335088</v>
      </c>
    </row>
    <row r="1065" spans="1:18" x14ac:dyDescent="0.25">
      <c r="A1065" s="169">
        <v>44063</v>
      </c>
      <c r="B1065" s="116">
        <v>274.05</v>
      </c>
      <c r="C1065" s="116">
        <v>264.14999999999998</v>
      </c>
      <c r="D1065" s="116">
        <v>256.66666666666703</v>
      </c>
      <c r="E1065" s="116">
        <v>260.66666666666703</v>
      </c>
      <c r="F1065" s="116">
        <v>792.45</v>
      </c>
      <c r="G1065">
        <v>24543</v>
      </c>
      <c r="H1065" s="116"/>
      <c r="I1065" s="116"/>
      <c r="L1065" s="169">
        <v>44063</v>
      </c>
      <c r="M1065" s="116">
        <v>263.98333333333301</v>
      </c>
      <c r="N1065" s="116">
        <v>274</v>
      </c>
      <c r="O1065" s="116">
        <v>256.683333333333</v>
      </c>
      <c r="P1065" s="116">
        <v>258.3</v>
      </c>
      <c r="Q1065" s="116">
        <v>791.95</v>
      </c>
      <c r="R1065">
        <v>389765</v>
      </c>
    </row>
    <row r="1066" spans="1:18" x14ac:dyDescent="0.25">
      <c r="A1066" s="169">
        <v>44064</v>
      </c>
      <c r="B1066" s="116">
        <v>268</v>
      </c>
      <c r="C1066" s="116">
        <v>262.3</v>
      </c>
      <c r="D1066" s="116">
        <v>261.48333333333301</v>
      </c>
      <c r="E1066" s="116">
        <v>264.14999999999998</v>
      </c>
      <c r="F1066" s="116">
        <v>786.9</v>
      </c>
      <c r="G1066">
        <v>11085</v>
      </c>
      <c r="H1066" s="116"/>
      <c r="I1066" s="116"/>
      <c r="L1066" s="169">
        <v>44064</v>
      </c>
      <c r="M1066" s="116">
        <v>262.66666666666703</v>
      </c>
      <c r="N1066" s="116">
        <v>268</v>
      </c>
      <c r="O1066" s="116">
        <v>261.683333333333</v>
      </c>
      <c r="P1066" s="116">
        <v>265.41666666666703</v>
      </c>
      <c r="Q1066" s="116">
        <v>788</v>
      </c>
      <c r="R1066">
        <v>118045</v>
      </c>
    </row>
    <row r="1067" spans="1:18" x14ac:dyDescent="0.25">
      <c r="A1067" s="169">
        <v>44067</v>
      </c>
      <c r="B1067" s="116">
        <v>276.33333333333297</v>
      </c>
      <c r="C1067" s="116">
        <v>268.14999999999998</v>
      </c>
      <c r="D1067" s="116">
        <v>265</v>
      </c>
      <c r="E1067" s="116">
        <v>265.33333333333297</v>
      </c>
      <c r="F1067" s="116">
        <v>804.45</v>
      </c>
      <c r="G1067">
        <v>23349</v>
      </c>
      <c r="H1067" s="116"/>
      <c r="I1067" s="116"/>
      <c r="L1067" s="169">
        <v>44067</v>
      </c>
      <c r="M1067" s="116">
        <v>267.98333333333301</v>
      </c>
      <c r="N1067" s="116">
        <v>276.433333333333</v>
      </c>
      <c r="O1067" s="116">
        <v>263.35000000000002</v>
      </c>
      <c r="P1067" s="116">
        <v>263.35000000000002</v>
      </c>
      <c r="Q1067" s="116">
        <v>803.95</v>
      </c>
      <c r="R1067">
        <v>309616</v>
      </c>
    </row>
    <row r="1068" spans="1:18" x14ac:dyDescent="0.25">
      <c r="A1068" s="169">
        <v>44068</v>
      </c>
      <c r="B1068" s="116">
        <v>270.60000000000002</v>
      </c>
      <c r="C1068" s="116">
        <v>258.53333333333302</v>
      </c>
      <c r="D1068" s="116">
        <v>256</v>
      </c>
      <c r="E1068" s="116">
        <v>268.11666666666702</v>
      </c>
      <c r="F1068" s="116">
        <v>775.6</v>
      </c>
      <c r="G1068">
        <v>16165</v>
      </c>
      <c r="H1068" s="116"/>
      <c r="I1068" s="116"/>
      <c r="L1068" s="169">
        <v>44068</v>
      </c>
      <c r="M1068" s="116">
        <v>258.85000000000002</v>
      </c>
      <c r="N1068" s="116">
        <v>270.48333333333301</v>
      </c>
      <c r="O1068" s="116">
        <v>255.666666666667</v>
      </c>
      <c r="P1068" s="116">
        <v>268.03333333333302</v>
      </c>
      <c r="Q1068" s="116">
        <v>776.55</v>
      </c>
      <c r="R1068">
        <v>165689</v>
      </c>
    </row>
    <row r="1069" spans="1:18" x14ac:dyDescent="0.25">
      <c r="A1069" s="169">
        <v>44069</v>
      </c>
      <c r="B1069" s="116">
        <v>260.8</v>
      </c>
      <c r="C1069" s="116">
        <v>253.083333333333</v>
      </c>
      <c r="D1069" s="116">
        <v>248.666666666667</v>
      </c>
      <c r="E1069" s="116">
        <v>260</v>
      </c>
      <c r="F1069" s="116">
        <v>759.25</v>
      </c>
      <c r="G1069">
        <v>31946</v>
      </c>
      <c r="H1069" s="116"/>
      <c r="I1069" s="116"/>
      <c r="L1069" s="169">
        <v>44069</v>
      </c>
      <c r="M1069" s="116">
        <v>253.166666666667</v>
      </c>
      <c r="N1069" s="116">
        <v>261.01666666666699</v>
      </c>
      <c r="O1069" s="116">
        <v>248.7</v>
      </c>
      <c r="P1069" s="116">
        <v>259.26666666666699</v>
      </c>
      <c r="Q1069" s="116">
        <v>759.5</v>
      </c>
      <c r="R1069">
        <v>211323</v>
      </c>
    </row>
    <row r="1070" spans="1:18" x14ac:dyDescent="0.25">
      <c r="A1070" s="169">
        <v>44070</v>
      </c>
      <c r="B1070" s="116">
        <v>258.183333333333</v>
      </c>
      <c r="C1070" s="116">
        <v>251.183333333333</v>
      </c>
      <c r="D1070" s="116">
        <v>250.36666666666699</v>
      </c>
      <c r="E1070" s="116">
        <v>255.21666666666701</v>
      </c>
      <c r="F1070" s="116">
        <v>753.55</v>
      </c>
      <c r="G1070">
        <v>8407</v>
      </c>
      <c r="H1070" s="116"/>
      <c r="I1070" s="116"/>
      <c r="L1070" s="169">
        <v>44070</v>
      </c>
      <c r="M1070" s="116">
        <v>251.2</v>
      </c>
      <c r="N1070" s="116">
        <v>258.14999999999998</v>
      </c>
      <c r="O1070" s="116">
        <v>250.333333333333</v>
      </c>
      <c r="P1070" s="116">
        <v>254.6</v>
      </c>
      <c r="Q1070" s="116">
        <v>753.6</v>
      </c>
      <c r="R1070">
        <v>130251</v>
      </c>
    </row>
    <row r="1071" spans="1:18" x14ac:dyDescent="0.25">
      <c r="A1071" s="169">
        <v>44071</v>
      </c>
      <c r="B1071" s="116">
        <v>257.66666666666703</v>
      </c>
      <c r="C1071" s="116">
        <v>250.333333333333</v>
      </c>
      <c r="D1071" s="116">
        <v>250</v>
      </c>
      <c r="E1071" s="116">
        <v>257.66666666666703</v>
      </c>
      <c r="F1071" s="116">
        <v>751</v>
      </c>
      <c r="G1071">
        <v>6425</v>
      </c>
      <c r="H1071" s="116"/>
      <c r="I1071" s="116"/>
      <c r="L1071" s="169">
        <v>44071</v>
      </c>
      <c r="M1071" s="116">
        <v>250.333333333333</v>
      </c>
      <c r="N1071" s="116">
        <v>258.33333333333297</v>
      </c>
      <c r="O1071" s="116">
        <v>250</v>
      </c>
      <c r="P1071" s="116">
        <v>258.33333333333297</v>
      </c>
      <c r="Q1071" s="116">
        <v>751</v>
      </c>
      <c r="R1071">
        <v>107304</v>
      </c>
    </row>
    <row r="1072" spans="1:18" x14ac:dyDescent="0.25">
      <c r="A1072" s="169">
        <v>44074</v>
      </c>
      <c r="B1072" s="116">
        <v>254.51666666666699</v>
      </c>
      <c r="C1072" s="116">
        <v>250.13333333333301</v>
      </c>
      <c r="D1072" s="116">
        <v>246.96666666666701</v>
      </c>
      <c r="E1072" s="116">
        <v>249.35</v>
      </c>
      <c r="F1072" s="116">
        <v>750.4</v>
      </c>
      <c r="G1072">
        <v>17999</v>
      </c>
      <c r="H1072" s="116"/>
      <c r="I1072" s="116"/>
      <c r="L1072" s="169">
        <v>44074</v>
      </c>
      <c r="M1072" s="116">
        <v>250.2</v>
      </c>
      <c r="N1072" s="116">
        <v>255</v>
      </c>
      <c r="O1072" s="116">
        <v>247.4</v>
      </c>
      <c r="P1072" s="116">
        <v>252.96666666666701</v>
      </c>
      <c r="Q1072" s="116">
        <v>750.6</v>
      </c>
      <c r="R1072">
        <v>133030</v>
      </c>
    </row>
    <row r="1073" spans="1:18" x14ac:dyDescent="0.25">
      <c r="A1073" s="169">
        <v>44075</v>
      </c>
      <c r="B1073" s="116">
        <v>257.21666666666698</v>
      </c>
      <c r="C1073" s="116">
        <v>251.05</v>
      </c>
      <c r="D1073" s="116">
        <v>248.98333333333301</v>
      </c>
      <c r="E1073" s="116">
        <v>253.316666666667</v>
      </c>
      <c r="F1073" s="116">
        <v>753.15</v>
      </c>
      <c r="G1073">
        <v>8474</v>
      </c>
      <c r="H1073" s="116"/>
      <c r="I1073" s="116"/>
      <c r="L1073" s="169">
        <v>44075</v>
      </c>
      <c r="M1073" s="116">
        <v>250.85</v>
      </c>
      <c r="N1073" s="116">
        <v>257.83333333333297</v>
      </c>
      <c r="O1073" s="116">
        <v>248.8</v>
      </c>
      <c r="P1073" s="116">
        <v>250.2</v>
      </c>
      <c r="Q1073" s="116">
        <v>752.55</v>
      </c>
      <c r="R1073">
        <v>91242</v>
      </c>
    </row>
    <row r="1074" spans="1:18" x14ac:dyDescent="0.25">
      <c r="A1074" s="169">
        <v>44076</v>
      </c>
      <c r="B1074" s="116">
        <v>256.33333333333297</v>
      </c>
      <c r="C1074" s="116">
        <v>251.5</v>
      </c>
      <c r="D1074" s="116">
        <v>250.28333333333299</v>
      </c>
      <c r="E1074" s="116">
        <v>252.566666666667</v>
      </c>
      <c r="F1074" s="116">
        <v>754.5</v>
      </c>
      <c r="G1074">
        <v>4416</v>
      </c>
      <c r="H1074" s="116"/>
      <c r="I1074" s="116"/>
      <c r="L1074" s="169">
        <v>44076</v>
      </c>
      <c r="M1074" s="116">
        <v>251.416666666667</v>
      </c>
      <c r="N1074" s="116">
        <v>256.66666666666703</v>
      </c>
      <c r="O1074" s="116">
        <v>250.35</v>
      </c>
      <c r="P1074" s="116">
        <v>252.11666666666699</v>
      </c>
      <c r="Q1074" s="116">
        <v>754.25</v>
      </c>
      <c r="R1074">
        <v>41726</v>
      </c>
    </row>
    <row r="1075" spans="1:18" x14ac:dyDescent="0.25">
      <c r="A1075" s="169">
        <v>44077</v>
      </c>
      <c r="B1075" s="116">
        <v>256</v>
      </c>
      <c r="C1075" s="116">
        <v>250.36666666666699</v>
      </c>
      <c r="D1075" s="116">
        <v>250.01666666666699</v>
      </c>
      <c r="E1075" s="116">
        <v>253.35</v>
      </c>
      <c r="F1075" s="116">
        <v>751.1</v>
      </c>
      <c r="G1075">
        <v>10924</v>
      </c>
      <c r="H1075" s="116"/>
      <c r="I1075" s="116"/>
      <c r="L1075" s="169">
        <v>44077</v>
      </c>
      <c r="M1075" s="116">
        <v>250.45</v>
      </c>
      <c r="N1075" s="116">
        <v>256.11666666666702</v>
      </c>
      <c r="O1075" s="116">
        <v>250</v>
      </c>
      <c r="P1075" s="116">
        <v>253.333333333333</v>
      </c>
      <c r="Q1075" s="116">
        <v>751.35</v>
      </c>
      <c r="R1075">
        <v>52287</v>
      </c>
    </row>
    <row r="1076" spans="1:18" x14ac:dyDescent="0.25">
      <c r="A1076" s="169">
        <v>44078</v>
      </c>
      <c r="B1076" s="116">
        <v>255.833333333333</v>
      </c>
      <c r="C1076" s="116">
        <v>249.98333333333301</v>
      </c>
      <c r="D1076" s="116">
        <v>248.61666666666699</v>
      </c>
      <c r="E1076" s="116">
        <v>251.316666666667</v>
      </c>
      <c r="F1076" s="116">
        <v>749.95</v>
      </c>
      <c r="G1076">
        <v>2569</v>
      </c>
      <c r="H1076" s="116"/>
      <c r="I1076" s="116"/>
      <c r="L1076" s="169">
        <v>44078</v>
      </c>
      <c r="M1076" s="116">
        <v>250.13333333333301</v>
      </c>
      <c r="N1076" s="116">
        <v>256</v>
      </c>
      <c r="O1076" s="116">
        <v>246.666666666667</v>
      </c>
      <c r="P1076" s="116">
        <v>246.666666666667</v>
      </c>
      <c r="Q1076" s="116">
        <v>750.4</v>
      </c>
      <c r="R1076">
        <v>73320</v>
      </c>
    </row>
    <row r="1077" spans="1:18" x14ac:dyDescent="0.25">
      <c r="A1077" s="169">
        <v>44081</v>
      </c>
      <c r="B1077" s="116">
        <v>254.333333333333</v>
      </c>
      <c r="C1077" s="116">
        <v>249.96666666666701</v>
      </c>
      <c r="D1077" s="116">
        <v>249.4</v>
      </c>
      <c r="E1077" s="116">
        <v>250.666666666667</v>
      </c>
      <c r="F1077" s="116">
        <v>749.9</v>
      </c>
      <c r="G1077">
        <v>11714</v>
      </c>
      <c r="H1077" s="116"/>
      <c r="I1077" s="116"/>
      <c r="L1077" s="169">
        <v>44081</v>
      </c>
      <c r="M1077" s="116">
        <v>250.11666666666699</v>
      </c>
      <c r="N1077" s="116">
        <v>254.333333333333</v>
      </c>
      <c r="O1077" s="116">
        <v>249.833333333333</v>
      </c>
      <c r="P1077" s="116">
        <v>251.666666666667</v>
      </c>
      <c r="Q1077" s="116">
        <v>750.35</v>
      </c>
      <c r="R1077">
        <v>46552</v>
      </c>
    </row>
    <row r="1078" spans="1:18" x14ac:dyDescent="0.25">
      <c r="A1078" s="169">
        <v>44082</v>
      </c>
      <c r="B1078" s="116">
        <v>252.933333333333</v>
      </c>
      <c r="C1078" s="116">
        <v>250.7</v>
      </c>
      <c r="D1078" s="116">
        <v>243.48333333333301</v>
      </c>
      <c r="E1078" s="116">
        <v>249.666666666667</v>
      </c>
      <c r="F1078" s="116">
        <v>752.1</v>
      </c>
      <c r="G1078">
        <v>5982</v>
      </c>
      <c r="H1078" s="116"/>
      <c r="I1078" s="116"/>
      <c r="L1078" s="169">
        <v>44082</v>
      </c>
      <c r="M1078" s="116">
        <v>250.95</v>
      </c>
      <c r="N1078" s="116">
        <v>253</v>
      </c>
      <c r="O1078" s="116">
        <v>240.78333333333299</v>
      </c>
      <c r="P1078" s="116">
        <v>247.8</v>
      </c>
      <c r="Q1078" s="116">
        <v>752.85</v>
      </c>
      <c r="R1078">
        <v>117449</v>
      </c>
    </row>
    <row r="1079" spans="1:18" x14ac:dyDescent="0.25">
      <c r="A1079" s="169">
        <v>44083</v>
      </c>
      <c r="B1079" s="116">
        <v>254.666666666667</v>
      </c>
      <c r="C1079" s="116">
        <v>250.333333333333</v>
      </c>
      <c r="D1079" s="116">
        <v>247.6</v>
      </c>
      <c r="E1079" s="116">
        <v>250.95</v>
      </c>
      <c r="F1079" s="116">
        <v>751</v>
      </c>
      <c r="G1079">
        <v>2484</v>
      </c>
      <c r="H1079" s="116"/>
      <c r="I1079" s="116"/>
      <c r="L1079" s="169">
        <v>44083</v>
      </c>
      <c r="M1079" s="116">
        <v>250.333333333333</v>
      </c>
      <c r="N1079" s="116">
        <v>254.98333333333301</v>
      </c>
      <c r="O1079" s="116">
        <v>247.666666666667</v>
      </c>
      <c r="P1079" s="116">
        <v>251.5</v>
      </c>
      <c r="Q1079" s="116">
        <v>751</v>
      </c>
      <c r="R1079">
        <v>76244</v>
      </c>
    </row>
    <row r="1080" spans="1:18" x14ac:dyDescent="0.25">
      <c r="A1080" s="169">
        <v>44084</v>
      </c>
      <c r="B1080" s="116">
        <v>257.183333333333</v>
      </c>
      <c r="C1080" s="116">
        <v>255.566666666667</v>
      </c>
      <c r="D1080" s="116">
        <v>250.8</v>
      </c>
      <c r="E1080" s="116">
        <v>251.816666666667</v>
      </c>
      <c r="F1080" s="116">
        <v>766.7</v>
      </c>
      <c r="G1080">
        <v>4671</v>
      </c>
      <c r="H1080" s="116"/>
      <c r="I1080" s="116"/>
      <c r="L1080" s="169">
        <v>44084</v>
      </c>
      <c r="M1080" s="116">
        <v>255.333333333333</v>
      </c>
      <c r="N1080" s="116">
        <v>257.33333333333297</v>
      </c>
      <c r="O1080" s="116">
        <v>250.2</v>
      </c>
      <c r="P1080" s="116">
        <v>252</v>
      </c>
      <c r="Q1080" s="116">
        <v>766</v>
      </c>
      <c r="R1080">
        <v>91071</v>
      </c>
    </row>
    <row r="1081" spans="1:18" x14ac:dyDescent="0.25">
      <c r="A1081" s="169">
        <v>44085</v>
      </c>
      <c r="B1081" s="116">
        <v>269.933333333333</v>
      </c>
      <c r="C1081" s="116">
        <v>260.683333333333</v>
      </c>
      <c r="D1081" s="116">
        <v>256.66666666666703</v>
      </c>
      <c r="E1081" s="116">
        <v>256.66666666666703</v>
      </c>
      <c r="F1081" s="116">
        <v>782.05</v>
      </c>
      <c r="G1081">
        <v>31471</v>
      </c>
      <c r="H1081" s="116"/>
      <c r="I1081" s="116"/>
      <c r="L1081" s="169">
        <v>44085</v>
      </c>
      <c r="M1081" s="116">
        <v>261.2</v>
      </c>
      <c r="N1081" s="116">
        <v>269.96666666666698</v>
      </c>
      <c r="O1081" s="116">
        <v>256.66666666666703</v>
      </c>
      <c r="P1081" s="116">
        <v>257</v>
      </c>
      <c r="Q1081" s="116">
        <v>783.6</v>
      </c>
      <c r="R1081">
        <v>424732</v>
      </c>
    </row>
    <row r="1082" spans="1:18" x14ac:dyDescent="0.25">
      <c r="A1082" s="169">
        <v>44088</v>
      </c>
      <c r="B1082" s="116">
        <v>268.33333333333297</v>
      </c>
      <c r="C1082" s="116">
        <v>263.78333333333302</v>
      </c>
      <c r="D1082" s="116">
        <v>257.11666666666702</v>
      </c>
      <c r="E1082" s="116">
        <v>261.933333333333</v>
      </c>
      <c r="F1082" s="116">
        <v>791.35</v>
      </c>
      <c r="G1082">
        <v>8171</v>
      </c>
      <c r="H1082" s="116"/>
      <c r="I1082" s="116"/>
      <c r="L1082" s="169">
        <v>44088</v>
      </c>
      <c r="M1082" s="116">
        <v>264</v>
      </c>
      <c r="N1082" s="116">
        <v>268.33333333333297</v>
      </c>
      <c r="O1082" s="116">
        <v>256.66666666666703</v>
      </c>
      <c r="P1082" s="116">
        <v>261.95</v>
      </c>
      <c r="Q1082" s="116">
        <v>792</v>
      </c>
      <c r="R1082">
        <v>169705</v>
      </c>
    </row>
    <row r="1083" spans="1:18" x14ac:dyDescent="0.25">
      <c r="A1083" s="169">
        <v>44089</v>
      </c>
      <c r="B1083" s="116">
        <v>266.183333333333</v>
      </c>
      <c r="C1083" s="116">
        <v>261.61666666666702</v>
      </c>
      <c r="D1083" s="116">
        <v>260.41666666666703</v>
      </c>
      <c r="E1083" s="116">
        <v>265.83333333333297</v>
      </c>
      <c r="F1083" s="116">
        <v>784.85</v>
      </c>
      <c r="G1083">
        <v>2004</v>
      </c>
      <c r="H1083" s="116"/>
      <c r="I1083" s="116"/>
      <c r="L1083" s="169">
        <v>44089</v>
      </c>
      <c r="M1083" s="116">
        <v>261.61666666666702</v>
      </c>
      <c r="N1083" s="116">
        <v>266.26666666666699</v>
      </c>
      <c r="O1083" s="116">
        <v>260.23333333333301</v>
      </c>
      <c r="P1083" s="116">
        <v>265</v>
      </c>
      <c r="Q1083" s="116">
        <v>784.85</v>
      </c>
      <c r="R1083">
        <v>68136</v>
      </c>
    </row>
    <row r="1084" spans="1:18" x14ac:dyDescent="0.25">
      <c r="A1084" s="169">
        <v>44090</v>
      </c>
      <c r="B1084" s="116">
        <v>264.38333333333298</v>
      </c>
      <c r="C1084" s="116">
        <v>262.73333333333301</v>
      </c>
      <c r="D1084" s="116">
        <v>261.85000000000002</v>
      </c>
      <c r="E1084" s="116">
        <v>263.816666666667</v>
      </c>
      <c r="F1084" s="116">
        <v>788.2</v>
      </c>
      <c r="G1084">
        <v>1961</v>
      </c>
      <c r="H1084" s="116"/>
      <c r="I1084" s="116"/>
      <c r="L1084" s="169">
        <v>44090</v>
      </c>
      <c r="M1084" s="116">
        <v>262.8</v>
      </c>
      <c r="N1084" s="116">
        <v>265</v>
      </c>
      <c r="O1084" s="116">
        <v>260.23333333333301</v>
      </c>
      <c r="P1084" s="116">
        <v>260.23333333333301</v>
      </c>
      <c r="Q1084" s="116">
        <v>788.4</v>
      </c>
      <c r="R1084">
        <v>73705</v>
      </c>
    </row>
    <row r="1085" spans="1:18" x14ac:dyDescent="0.25">
      <c r="A1085" s="169">
        <v>44091</v>
      </c>
      <c r="B1085" s="116">
        <v>275.683333333333</v>
      </c>
      <c r="C1085" s="116">
        <v>268.21666666666698</v>
      </c>
      <c r="D1085" s="116">
        <v>262.61666666666702</v>
      </c>
      <c r="E1085" s="116">
        <v>265</v>
      </c>
      <c r="F1085" s="116">
        <v>804.65</v>
      </c>
      <c r="G1085">
        <v>15755</v>
      </c>
      <c r="H1085" s="116"/>
      <c r="I1085" s="116"/>
      <c r="L1085" s="169">
        <v>44091</v>
      </c>
      <c r="M1085" s="116">
        <v>268.60000000000002</v>
      </c>
      <c r="N1085" s="116">
        <v>275.66666666666703</v>
      </c>
      <c r="O1085" s="116">
        <v>260.8</v>
      </c>
      <c r="P1085" s="116">
        <v>260.8</v>
      </c>
      <c r="Q1085" s="116">
        <v>805.8</v>
      </c>
      <c r="R1085">
        <v>343962</v>
      </c>
    </row>
    <row r="1086" spans="1:18" x14ac:dyDescent="0.25">
      <c r="A1086" s="169">
        <v>44092</v>
      </c>
      <c r="B1086" s="116">
        <v>273.183333333333</v>
      </c>
      <c r="C1086" s="116">
        <v>268.933333333333</v>
      </c>
      <c r="D1086" s="116">
        <v>264.33333333333297</v>
      </c>
      <c r="E1086" s="116">
        <v>271.816666666667</v>
      </c>
      <c r="F1086" s="116">
        <v>806.8</v>
      </c>
      <c r="G1086">
        <v>3921</v>
      </c>
      <c r="H1086" s="116"/>
      <c r="I1086" s="116"/>
      <c r="L1086" s="169">
        <v>44092</v>
      </c>
      <c r="M1086" s="116">
        <v>268.63333333333298</v>
      </c>
      <c r="N1086" s="116">
        <v>273.316666666667</v>
      </c>
      <c r="O1086" s="116">
        <v>264.01666666666699</v>
      </c>
      <c r="P1086" s="116">
        <v>271.60000000000002</v>
      </c>
      <c r="Q1086" s="116">
        <v>805.9</v>
      </c>
      <c r="R1086">
        <v>88618</v>
      </c>
    </row>
    <row r="1087" spans="1:18" x14ac:dyDescent="0.25">
      <c r="A1087" s="169">
        <v>44095</v>
      </c>
      <c r="B1087" s="116">
        <v>271.66666666666703</v>
      </c>
      <c r="C1087" s="116">
        <v>258.96666666666698</v>
      </c>
      <c r="D1087" s="116">
        <v>250.5</v>
      </c>
      <c r="E1087" s="116">
        <v>268.66666666666703</v>
      </c>
      <c r="F1087" s="116">
        <v>776.9</v>
      </c>
      <c r="G1087">
        <v>16549</v>
      </c>
      <c r="H1087" s="116"/>
      <c r="I1087" s="116"/>
      <c r="L1087" s="169">
        <v>44095</v>
      </c>
      <c r="M1087" s="116">
        <v>258.38333333333298</v>
      </c>
      <c r="N1087" s="116">
        <v>271.55</v>
      </c>
      <c r="O1087" s="116">
        <v>248.333333333333</v>
      </c>
      <c r="P1087" s="116">
        <v>268</v>
      </c>
      <c r="Q1087" s="116">
        <v>775.15</v>
      </c>
      <c r="R1087">
        <v>91967</v>
      </c>
    </row>
    <row r="1088" spans="1:18" x14ac:dyDescent="0.25">
      <c r="A1088" s="169">
        <v>44096</v>
      </c>
      <c r="B1088" s="116">
        <v>271.66666666666703</v>
      </c>
      <c r="C1088" s="116">
        <v>267.05</v>
      </c>
      <c r="D1088" s="116">
        <v>237.65</v>
      </c>
      <c r="E1088" s="116">
        <v>255.333333333333</v>
      </c>
      <c r="F1088" s="116">
        <v>801.15</v>
      </c>
      <c r="G1088">
        <v>11785</v>
      </c>
      <c r="H1088" s="116"/>
      <c r="I1088" s="116"/>
      <c r="L1088" s="169">
        <v>44096</v>
      </c>
      <c r="M1088" s="116">
        <v>267.11666666666702</v>
      </c>
      <c r="N1088" s="116">
        <v>271.66666666666703</v>
      </c>
      <c r="O1088" s="116">
        <v>237.05</v>
      </c>
      <c r="P1088" s="116">
        <v>259.683333333333</v>
      </c>
      <c r="Q1088" s="116">
        <v>801.35</v>
      </c>
      <c r="R1088">
        <v>194988</v>
      </c>
    </row>
    <row r="1089" spans="1:18" x14ac:dyDescent="0.25">
      <c r="A1089" s="169">
        <v>44097</v>
      </c>
      <c r="B1089" s="116">
        <v>270.11666666666702</v>
      </c>
      <c r="C1089" s="116">
        <v>261.86666666666702</v>
      </c>
      <c r="D1089" s="116">
        <v>261.33333333333297</v>
      </c>
      <c r="E1089" s="116">
        <v>263.33333333333297</v>
      </c>
      <c r="F1089" s="116">
        <v>785.6</v>
      </c>
      <c r="G1089">
        <v>10296</v>
      </c>
      <c r="H1089" s="116"/>
      <c r="I1089" s="116"/>
      <c r="L1089" s="169">
        <v>44097</v>
      </c>
      <c r="M1089" s="116">
        <v>262.183333333333</v>
      </c>
      <c r="N1089" s="116">
        <v>271.78333333333302</v>
      </c>
      <c r="O1089" s="116">
        <v>260.11666666666702</v>
      </c>
      <c r="P1089" s="116">
        <v>268.46666666666698</v>
      </c>
      <c r="Q1089" s="116">
        <v>786.55</v>
      </c>
      <c r="R1089">
        <v>100992</v>
      </c>
    </row>
    <row r="1090" spans="1:18" x14ac:dyDescent="0.25">
      <c r="A1090" s="169">
        <v>44098</v>
      </c>
      <c r="B1090" s="116">
        <v>268.33333333333297</v>
      </c>
      <c r="C1090" s="116">
        <v>255.333333333333</v>
      </c>
      <c r="D1090" s="116">
        <v>255</v>
      </c>
      <c r="E1090" s="116">
        <v>259.14999999999998</v>
      </c>
      <c r="F1090" s="116">
        <v>766</v>
      </c>
      <c r="G1090">
        <v>3070</v>
      </c>
      <c r="H1090" s="116"/>
      <c r="I1090" s="116"/>
      <c r="L1090" s="169">
        <v>44098</v>
      </c>
      <c r="M1090" s="116">
        <v>255.683333333333</v>
      </c>
      <c r="N1090" s="116">
        <v>269.33333333333297</v>
      </c>
      <c r="O1090" s="116">
        <v>255</v>
      </c>
      <c r="P1090" s="116">
        <v>261.33333333333297</v>
      </c>
      <c r="Q1090" s="116">
        <v>767.05</v>
      </c>
      <c r="R1090">
        <v>95803</v>
      </c>
    </row>
    <row r="1091" spans="1:18" x14ac:dyDescent="0.25">
      <c r="A1091" s="169">
        <v>44099</v>
      </c>
      <c r="B1091" s="116">
        <v>261.98333333333301</v>
      </c>
      <c r="C1091" s="116">
        <v>253.96666666666701</v>
      </c>
      <c r="D1091" s="116">
        <v>253.11666666666699</v>
      </c>
      <c r="E1091" s="116">
        <v>260.28333333333302</v>
      </c>
      <c r="F1091" s="116">
        <v>761.9</v>
      </c>
      <c r="G1091">
        <v>3221</v>
      </c>
      <c r="H1091" s="116"/>
      <c r="I1091" s="116"/>
      <c r="L1091" s="169">
        <v>44099</v>
      </c>
      <c r="M1091" s="116">
        <v>254.05</v>
      </c>
      <c r="N1091" s="116">
        <v>263.48333333333301</v>
      </c>
      <c r="O1091" s="116">
        <v>251.666666666667</v>
      </c>
      <c r="P1091" s="116">
        <v>256.96666666666698</v>
      </c>
      <c r="Q1091" s="116">
        <v>762.15</v>
      </c>
      <c r="R1091">
        <v>88714</v>
      </c>
    </row>
    <row r="1092" spans="1:18" x14ac:dyDescent="0.25">
      <c r="A1092" s="169">
        <v>44102</v>
      </c>
      <c r="B1092" s="116">
        <v>258.83333333333297</v>
      </c>
      <c r="C1092" s="116">
        <v>254.683333333333</v>
      </c>
      <c r="D1092" s="116">
        <v>252.666666666667</v>
      </c>
      <c r="E1092" s="116">
        <v>256.63333333333298</v>
      </c>
      <c r="F1092" s="116">
        <v>764.05</v>
      </c>
      <c r="G1092">
        <v>7389</v>
      </c>
      <c r="H1092" s="116"/>
      <c r="I1092" s="116"/>
      <c r="L1092" s="169">
        <v>44102</v>
      </c>
      <c r="M1092" s="116">
        <v>254.833333333333</v>
      </c>
      <c r="N1092" s="116">
        <v>258.89999999999998</v>
      </c>
      <c r="O1092" s="116">
        <v>252.3</v>
      </c>
      <c r="P1092" s="116">
        <v>257.33333333333297</v>
      </c>
      <c r="Q1092" s="116">
        <v>764.5</v>
      </c>
      <c r="R1092">
        <v>89959</v>
      </c>
    </row>
    <row r="1093" spans="1:18" x14ac:dyDescent="0.25">
      <c r="A1093" s="169">
        <v>44103</v>
      </c>
      <c r="B1093" s="116">
        <v>257.48333333333301</v>
      </c>
      <c r="C1093" s="116">
        <v>252.8</v>
      </c>
      <c r="D1093" s="116">
        <v>250.333333333333</v>
      </c>
      <c r="E1093" s="116">
        <v>257.48333333333301</v>
      </c>
      <c r="F1093" s="116">
        <v>758.4</v>
      </c>
      <c r="G1093">
        <v>1361</v>
      </c>
      <c r="H1093" s="116"/>
      <c r="I1093" s="116"/>
      <c r="L1093" s="169">
        <v>44103</v>
      </c>
      <c r="M1093" s="116">
        <v>252.78333333333299</v>
      </c>
      <c r="N1093" s="116">
        <v>258.33333333333297</v>
      </c>
      <c r="O1093" s="116">
        <v>250.1</v>
      </c>
      <c r="P1093" s="116">
        <v>256.11666666666702</v>
      </c>
      <c r="Q1093" s="116">
        <v>758.35</v>
      </c>
      <c r="R1093">
        <v>97159</v>
      </c>
    </row>
    <row r="1094" spans="1:18" x14ac:dyDescent="0.25">
      <c r="A1094" s="169">
        <v>44104</v>
      </c>
      <c r="B1094" s="116">
        <v>257.683333333333</v>
      </c>
      <c r="C1094" s="116">
        <v>252.8</v>
      </c>
      <c r="D1094" s="116">
        <v>247.1</v>
      </c>
      <c r="E1094" s="116">
        <v>249.833333333333</v>
      </c>
      <c r="F1094" s="116">
        <v>758.4</v>
      </c>
      <c r="G1094">
        <v>6154</v>
      </c>
      <c r="H1094" s="116"/>
      <c r="I1094" s="116"/>
      <c r="L1094" s="169">
        <v>44104</v>
      </c>
      <c r="M1094" s="116">
        <v>252.75</v>
      </c>
      <c r="N1094" s="116">
        <v>258</v>
      </c>
      <c r="O1094" s="116">
        <v>246.916666666667</v>
      </c>
      <c r="P1094" s="116">
        <v>252</v>
      </c>
      <c r="Q1094" s="116">
        <v>758.25</v>
      </c>
      <c r="R1094">
        <v>97943</v>
      </c>
    </row>
    <row r="1095" spans="1:18" x14ac:dyDescent="0.25">
      <c r="A1095" s="169">
        <v>44105</v>
      </c>
      <c r="B1095" s="116">
        <v>256.41666666666703</v>
      </c>
      <c r="C1095" s="116">
        <v>252.166666666667</v>
      </c>
      <c r="D1095" s="116">
        <v>251.666666666667</v>
      </c>
      <c r="E1095" s="116">
        <v>254.816666666667</v>
      </c>
      <c r="F1095" s="116">
        <v>756.5</v>
      </c>
      <c r="G1095">
        <v>4813</v>
      </c>
      <c r="H1095" s="116"/>
      <c r="I1095" s="116"/>
      <c r="L1095" s="169">
        <v>44105</v>
      </c>
      <c r="M1095" s="116">
        <v>252.583333333333</v>
      </c>
      <c r="N1095" s="116">
        <v>256.5</v>
      </c>
      <c r="O1095" s="116">
        <v>251</v>
      </c>
      <c r="P1095" s="116">
        <v>255.96666666666701</v>
      </c>
      <c r="Q1095" s="116">
        <v>757.75</v>
      </c>
      <c r="R1095">
        <v>46307</v>
      </c>
    </row>
    <row r="1096" spans="1:18" x14ac:dyDescent="0.25">
      <c r="A1096" s="169">
        <v>44109</v>
      </c>
      <c r="B1096" s="116">
        <v>262.28333333333302</v>
      </c>
      <c r="C1096" s="116">
        <v>256.71666666666698</v>
      </c>
      <c r="D1096" s="116">
        <v>250.86666666666699</v>
      </c>
      <c r="E1096" s="116">
        <v>252.666666666667</v>
      </c>
      <c r="F1096" s="116">
        <v>770.15</v>
      </c>
      <c r="G1096">
        <v>13184</v>
      </c>
      <c r="H1096" s="116"/>
      <c r="I1096" s="116"/>
      <c r="L1096" s="169">
        <v>44109</v>
      </c>
      <c r="M1096" s="116">
        <v>258.33333333333297</v>
      </c>
      <c r="N1096" s="116">
        <v>262.66666666666703</v>
      </c>
      <c r="O1096" s="116">
        <v>253.71666666666701</v>
      </c>
      <c r="P1096" s="116">
        <v>253.85</v>
      </c>
      <c r="Q1096" s="116">
        <v>775</v>
      </c>
      <c r="R1096">
        <v>236966</v>
      </c>
    </row>
    <row r="1097" spans="1:18" x14ac:dyDescent="0.25">
      <c r="A1097" s="169">
        <v>44110</v>
      </c>
      <c r="B1097" s="116">
        <v>303.2</v>
      </c>
      <c r="C1097" s="116">
        <v>294.73333333333301</v>
      </c>
      <c r="D1097" s="116">
        <v>260</v>
      </c>
      <c r="E1097" s="116">
        <v>260</v>
      </c>
      <c r="F1097" s="116">
        <v>884.2</v>
      </c>
      <c r="G1097">
        <v>124928</v>
      </c>
      <c r="H1097" s="116"/>
      <c r="I1097" s="116"/>
      <c r="L1097" s="169">
        <v>44110</v>
      </c>
      <c r="M1097" s="116">
        <v>294.75</v>
      </c>
      <c r="N1097" s="116">
        <v>303.33333333333297</v>
      </c>
      <c r="O1097" s="116">
        <v>258.5</v>
      </c>
      <c r="P1097" s="116">
        <v>258.5</v>
      </c>
      <c r="Q1097" s="116">
        <v>884.25</v>
      </c>
      <c r="R1097">
        <v>3185430</v>
      </c>
    </row>
    <row r="1098" spans="1:18" x14ac:dyDescent="0.25">
      <c r="A1098" s="169">
        <v>44111</v>
      </c>
      <c r="B1098" s="116">
        <v>353.66666666666703</v>
      </c>
      <c r="C1098" s="116">
        <v>353.66666666666703</v>
      </c>
      <c r="D1098" s="116">
        <v>294.35000000000002</v>
      </c>
      <c r="E1098" s="116">
        <v>295.60000000000002</v>
      </c>
      <c r="F1098" s="116">
        <v>1061</v>
      </c>
      <c r="G1098">
        <v>192912</v>
      </c>
      <c r="H1098" s="116"/>
      <c r="I1098" s="116"/>
      <c r="L1098" s="169">
        <v>44111</v>
      </c>
      <c r="M1098" s="116">
        <v>353.7</v>
      </c>
      <c r="N1098" s="116">
        <v>353.7</v>
      </c>
      <c r="O1098" s="116">
        <v>293.316666666667</v>
      </c>
      <c r="P1098" s="116">
        <v>295.3</v>
      </c>
      <c r="Q1098" s="116">
        <v>1061.0999999999999</v>
      </c>
      <c r="R1098">
        <v>4567966</v>
      </c>
    </row>
    <row r="1099" spans="1:18" x14ac:dyDescent="0.25">
      <c r="A1099" s="169">
        <v>44112</v>
      </c>
      <c r="B1099" s="116">
        <v>383.3</v>
      </c>
      <c r="C1099" s="116">
        <v>340.066666666667</v>
      </c>
      <c r="D1099" s="116">
        <v>336</v>
      </c>
      <c r="E1099" s="116">
        <v>375</v>
      </c>
      <c r="F1099" s="116">
        <v>1020.2</v>
      </c>
      <c r="G1099">
        <v>117179</v>
      </c>
      <c r="H1099" s="116"/>
      <c r="I1099" s="116"/>
      <c r="L1099" s="169">
        <v>44112</v>
      </c>
      <c r="M1099" s="116">
        <v>340.03333333333302</v>
      </c>
      <c r="N1099" s="116">
        <v>383.33333333333297</v>
      </c>
      <c r="O1099" s="116">
        <v>336</v>
      </c>
      <c r="P1099" s="116">
        <v>380</v>
      </c>
      <c r="Q1099" s="116">
        <v>1020.1</v>
      </c>
      <c r="R1099">
        <v>2109402</v>
      </c>
    </row>
    <row r="1100" spans="1:18" x14ac:dyDescent="0.25">
      <c r="A1100" s="169">
        <v>44113</v>
      </c>
      <c r="B1100" s="116">
        <v>371.9</v>
      </c>
      <c r="C1100" s="116">
        <v>356.41666666666703</v>
      </c>
      <c r="D1100" s="116">
        <v>326.66666666666703</v>
      </c>
      <c r="E1100" s="116">
        <v>335</v>
      </c>
      <c r="F1100" s="116">
        <v>1069.25</v>
      </c>
      <c r="G1100">
        <v>117210</v>
      </c>
      <c r="H1100" s="116"/>
      <c r="I1100" s="116"/>
      <c r="L1100" s="169">
        <v>44113</v>
      </c>
      <c r="M1100" s="116">
        <v>356.28333333333302</v>
      </c>
      <c r="N1100" s="116">
        <v>372.23333333333301</v>
      </c>
      <c r="O1100" s="116">
        <v>327.8</v>
      </c>
      <c r="P1100" s="116">
        <v>331.183333333333</v>
      </c>
      <c r="Q1100" s="116">
        <v>1068.8499999999999</v>
      </c>
      <c r="R1100">
        <v>1474628</v>
      </c>
    </row>
    <row r="1101" spans="1:18" x14ac:dyDescent="0.25">
      <c r="A1101" s="169">
        <v>44116</v>
      </c>
      <c r="B1101" s="116">
        <v>383.3</v>
      </c>
      <c r="C1101" s="116">
        <v>367.61666666666702</v>
      </c>
      <c r="D1101" s="116">
        <v>345.96666666666698</v>
      </c>
      <c r="E1101" s="116">
        <v>356.41666666666703</v>
      </c>
      <c r="F1101" s="116">
        <v>1102.8499999999999</v>
      </c>
      <c r="G1101">
        <v>104079</v>
      </c>
      <c r="H1101" s="116"/>
      <c r="I1101" s="116"/>
      <c r="L1101" s="169">
        <v>44116</v>
      </c>
      <c r="M1101" s="116">
        <v>367.23333333333301</v>
      </c>
      <c r="N1101" s="116">
        <v>383.33333333333297</v>
      </c>
      <c r="O1101" s="116">
        <v>346.33333333333297</v>
      </c>
      <c r="P1101" s="116">
        <v>357.3</v>
      </c>
      <c r="Q1101" s="116">
        <v>1101.7</v>
      </c>
      <c r="R1101">
        <v>1075520</v>
      </c>
    </row>
    <row r="1102" spans="1:18" x14ac:dyDescent="0.25">
      <c r="A1102" s="169">
        <v>44117</v>
      </c>
      <c r="B1102" s="116">
        <v>378.35</v>
      </c>
      <c r="C1102" s="116">
        <v>366.26666666666699</v>
      </c>
      <c r="D1102" s="116">
        <v>360.21666666666698</v>
      </c>
      <c r="E1102" s="116">
        <v>366.66666666666703</v>
      </c>
      <c r="F1102" s="116">
        <v>1098.8</v>
      </c>
      <c r="G1102">
        <v>33912</v>
      </c>
      <c r="H1102" s="116"/>
      <c r="I1102" s="116"/>
      <c r="L1102" s="169">
        <v>44117</v>
      </c>
      <c r="M1102" s="116">
        <v>366.58333333333297</v>
      </c>
      <c r="N1102" s="116">
        <v>377.63333333333298</v>
      </c>
      <c r="O1102" s="116">
        <v>360.83333333333297</v>
      </c>
      <c r="P1102" s="116">
        <v>363.75</v>
      </c>
      <c r="Q1102" s="116">
        <v>1099.75</v>
      </c>
      <c r="R1102">
        <v>266106</v>
      </c>
    </row>
    <row r="1103" spans="1:18" x14ac:dyDescent="0.25">
      <c r="A1103" s="169">
        <v>44118</v>
      </c>
      <c r="B1103" s="116">
        <v>366.05</v>
      </c>
      <c r="C1103" s="116">
        <v>351.01666666666699</v>
      </c>
      <c r="D1103" s="116">
        <v>344.83333333333297</v>
      </c>
      <c r="E1103" s="116">
        <v>356.683333333333</v>
      </c>
      <c r="F1103" s="116">
        <v>1053.05</v>
      </c>
      <c r="G1103">
        <v>11057</v>
      </c>
      <c r="H1103" s="116"/>
      <c r="I1103" s="116"/>
      <c r="L1103" s="169">
        <v>44118</v>
      </c>
      <c r="M1103" s="116">
        <v>350.21666666666698</v>
      </c>
      <c r="N1103" s="116">
        <v>363.33333333333297</v>
      </c>
      <c r="O1103" s="116">
        <v>344.2</v>
      </c>
      <c r="P1103" s="116">
        <v>363.33333333333297</v>
      </c>
      <c r="Q1103" s="116">
        <v>1050.6500000000001</v>
      </c>
      <c r="R1103">
        <v>162210</v>
      </c>
    </row>
    <row r="1104" spans="1:18" x14ac:dyDescent="0.25">
      <c r="A1104" s="169">
        <v>44119</v>
      </c>
      <c r="B1104" s="116">
        <v>350.9</v>
      </c>
      <c r="C1104" s="116">
        <v>336.38333333333298</v>
      </c>
      <c r="D1104" s="116">
        <v>333.33333333333297</v>
      </c>
      <c r="E1104" s="116">
        <v>346</v>
      </c>
      <c r="F1104" s="116">
        <v>1009.15</v>
      </c>
      <c r="G1104">
        <v>18912</v>
      </c>
      <c r="H1104" s="116"/>
      <c r="I1104" s="116"/>
      <c r="L1104" s="169">
        <v>44119</v>
      </c>
      <c r="M1104" s="116">
        <v>336.183333333333</v>
      </c>
      <c r="N1104" s="116">
        <v>350.316666666667</v>
      </c>
      <c r="O1104" s="116">
        <v>333.33333333333297</v>
      </c>
      <c r="P1104" s="116">
        <v>347.66666666666703</v>
      </c>
      <c r="Q1104" s="116">
        <v>1008.55</v>
      </c>
      <c r="R1104">
        <v>131188</v>
      </c>
    </row>
    <row r="1105" spans="1:18" x14ac:dyDescent="0.25">
      <c r="A1105" s="169">
        <v>44120</v>
      </c>
      <c r="B1105" s="116">
        <v>346.66666666666703</v>
      </c>
      <c r="C1105" s="116">
        <v>337.933333333333</v>
      </c>
      <c r="D1105" s="116">
        <v>330.066666666667</v>
      </c>
      <c r="E1105" s="116">
        <v>335.01666666666699</v>
      </c>
      <c r="F1105" s="116">
        <v>1013.8</v>
      </c>
      <c r="G1105">
        <v>21528</v>
      </c>
      <c r="H1105" s="116"/>
      <c r="I1105" s="116"/>
      <c r="L1105" s="169">
        <v>44120</v>
      </c>
      <c r="M1105" s="116">
        <v>337.71666666666698</v>
      </c>
      <c r="N1105" s="116">
        <v>345.933333333333</v>
      </c>
      <c r="O1105" s="116">
        <v>330</v>
      </c>
      <c r="P1105" s="116">
        <v>339</v>
      </c>
      <c r="Q1105" s="116">
        <v>1013.15</v>
      </c>
      <c r="R1105">
        <v>110083</v>
      </c>
    </row>
    <row r="1106" spans="1:18" x14ac:dyDescent="0.25">
      <c r="A1106" s="169">
        <v>44123</v>
      </c>
      <c r="B1106" s="116">
        <v>360</v>
      </c>
      <c r="C1106" s="116">
        <v>345.61666666666702</v>
      </c>
      <c r="D1106" s="116">
        <v>338.33333333333297</v>
      </c>
      <c r="E1106" s="116">
        <v>338.33333333333297</v>
      </c>
      <c r="F1106" s="116">
        <v>1036.8499999999999</v>
      </c>
      <c r="G1106">
        <v>28215</v>
      </c>
      <c r="H1106" s="116"/>
      <c r="I1106" s="116"/>
      <c r="L1106" s="169">
        <v>44123</v>
      </c>
      <c r="M1106" s="116">
        <v>345.7</v>
      </c>
      <c r="N1106" s="116">
        <v>358.23333333333301</v>
      </c>
      <c r="O1106" s="116">
        <v>340.66666666666703</v>
      </c>
      <c r="P1106" s="116">
        <v>344.816666666667</v>
      </c>
      <c r="Q1106" s="116">
        <v>1037.0999999999999</v>
      </c>
      <c r="R1106">
        <v>381063</v>
      </c>
    </row>
    <row r="1107" spans="1:18" x14ac:dyDescent="0.25">
      <c r="A1107" s="169">
        <v>44124</v>
      </c>
      <c r="B1107" s="116">
        <v>370</v>
      </c>
      <c r="C1107" s="116">
        <v>360.41666666666703</v>
      </c>
      <c r="D1107" s="116">
        <v>342.03333333333302</v>
      </c>
      <c r="E1107" s="116">
        <v>342.03333333333302</v>
      </c>
      <c r="F1107" s="116">
        <v>1081.25</v>
      </c>
      <c r="G1107">
        <v>36013</v>
      </c>
      <c r="H1107" s="116"/>
      <c r="I1107" s="116"/>
      <c r="L1107" s="169">
        <v>44124</v>
      </c>
      <c r="M1107" s="116">
        <v>359.45</v>
      </c>
      <c r="N1107" s="116">
        <v>370</v>
      </c>
      <c r="O1107" s="116">
        <v>341.96666666666698</v>
      </c>
      <c r="P1107" s="116">
        <v>344.33333333333297</v>
      </c>
      <c r="Q1107" s="116">
        <v>1078.3499999999999</v>
      </c>
      <c r="R1107">
        <v>435246</v>
      </c>
    </row>
    <row r="1108" spans="1:18" x14ac:dyDescent="0.25">
      <c r="A1108" s="169">
        <v>44125</v>
      </c>
      <c r="B1108" s="116">
        <v>369.66666666666703</v>
      </c>
      <c r="C1108" s="116">
        <v>365.65</v>
      </c>
      <c r="D1108" s="116">
        <v>355.933333333333</v>
      </c>
      <c r="E1108" s="116">
        <v>360.65</v>
      </c>
      <c r="F1108" s="116">
        <v>1096.95</v>
      </c>
      <c r="G1108">
        <v>25936</v>
      </c>
      <c r="H1108" s="116"/>
      <c r="I1108" s="116"/>
      <c r="L1108" s="169">
        <v>44125</v>
      </c>
      <c r="M1108" s="116">
        <v>365.8</v>
      </c>
      <c r="N1108" s="116">
        <v>370</v>
      </c>
      <c r="O1108" s="116">
        <v>355.78333333333302</v>
      </c>
      <c r="P1108" s="116">
        <v>360.33333333333297</v>
      </c>
      <c r="Q1108" s="116">
        <v>1097.4000000000001</v>
      </c>
      <c r="R1108">
        <v>231888</v>
      </c>
    </row>
    <row r="1109" spans="1:18" x14ac:dyDescent="0.25">
      <c r="A1109" s="169">
        <v>44126</v>
      </c>
      <c r="B1109" s="116">
        <v>369.7</v>
      </c>
      <c r="C1109" s="116">
        <v>349.16666666666703</v>
      </c>
      <c r="D1109" s="116">
        <v>344.7</v>
      </c>
      <c r="E1109" s="116">
        <v>355.35</v>
      </c>
      <c r="F1109" s="116">
        <v>1047.5</v>
      </c>
      <c r="G1109">
        <v>11489</v>
      </c>
      <c r="H1109" s="116"/>
      <c r="I1109" s="116"/>
      <c r="L1109" s="169">
        <v>44126</v>
      </c>
      <c r="M1109" s="116">
        <v>349.433333333333</v>
      </c>
      <c r="N1109" s="116">
        <v>368.2</v>
      </c>
      <c r="O1109" s="116">
        <v>337.9</v>
      </c>
      <c r="P1109" s="116">
        <v>362.3</v>
      </c>
      <c r="Q1109" s="116">
        <v>1048.3</v>
      </c>
      <c r="R1109">
        <v>286479</v>
      </c>
    </row>
    <row r="1110" spans="1:18" x14ac:dyDescent="0.25">
      <c r="A1110" s="169">
        <v>44127</v>
      </c>
      <c r="B1110" s="116">
        <v>363</v>
      </c>
      <c r="C1110" s="116">
        <v>352.51666666666699</v>
      </c>
      <c r="D1110" s="116">
        <v>350</v>
      </c>
      <c r="E1110" s="116">
        <v>351.6</v>
      </c>
      <c r="F1110" s="116">
        <v>1057.55</v>
      </c>
      <c r="G1110">
        <v>3965</v>
      </c>
      <c r="H1110" s="116"/>
      <c r="I1110" s="116"/>
      <c r="L1110" s="169">
        <v>44127</v>
      </c>
      <c r="M1110" s="116">
        <v>353</v>
      </c>
      <c r="N1110" s="116">
        <v>362.88333333333298</v>
      </c>
      <c r="O1110" s="116">
        <v>350.41666666666703</v>
      </c>
      <c r="P1110" s="116">
        <v>351.33333333333297</v>
      </c>
      <c r="Q1110" s="116">
        <v>1059</v>
      </c>
      <c r="R1110">
        <v>234630</v>
      </c>
    </row>
    <row r="1111" spans="1:18" x14ac:dyDescent="0.25">
      <c r="A1111" s="169">
        <v>44130</v>
      </c>
      <c r="B1111" s="116">
        <v>387.76666666666699</v>
      </c>
      <c r="C1111" s="116">
        <v>378.6</v>
      </c>
      <c r="D1111" s="116">
        <v>355.33333333333297</v>
      </c>
      <c r="E1111" s="116">
        <v>358.28333333333302</v>
      </c>
      <c r="F1111" s="116">
        <v>1135.8</v>
      </c>
      <c r="G1111">
        <v>85578</v>
      </c>
      <c r="H1111" s="116"/>
      <c r="I1111" s="116"/>
      <c r="L1111" s="169">
        <v>44130</v>
      </c>
      <c r="M1111" s="116">
        <v>378.8</v>
      </c>
      <c r="N1111" s="116">
        <v>388.3</v>
      </c>
      <c r="O1111" s="116">
        <v>354.66666666666703</v>
      </c>
      <c r="P1111" s="116">
        <v>355.05</v>
      </c>
      <c r="Q1111" s="116">
        <v>1136.4000000000001</v>
      </c>
      <c r="R1111">
        <v>1320243</v>
      </c>
    </row>
    <row r="1112" spans="1:18" x14ac:dyDescent="0.25">
      <c r="A1112" s="169">
        <v>44131</v>
      </c>
      <c r="B1112" s="116">
        <v>404</v>
      </c>
      <c r="C1112" s="116">
        <v>401.15</v>
      </c>
      <c r="D1112" s="116">
        <v>370</v>
      </c>
      <c r="E1112" s="116">
        <v>378.33333333333297</v>
      </c>
      <c r="F1112" s="116">
        <v>1203.45</v>
      </c>
      <c r="G1112">
        <v>36802</v>
      </c>
      <c r="H1112" s="116"/>
      <c r="I1112" s="116"/>
      <c r="L1112" s="169">
        <v>44131</v>
      </c>
      <c r="M1112" s="116">
        <v>400.816666666667</v>
      </c>
      <c r="N1112" s="116">
        <v>404</v>
      </c>
      <c r="O1112" s="116">
        <v>370.01666666666699</v>
      </c>
      <c r="P1112" s="116">
        <v>376.33333333333297</v>
      </c>
      <c r="Q1112" s="116">
        <v>1202.45</v>
      </c>
      <c r="R1112">
        <v>665707</v>
      </c>
    </row>
    <row r="1113" spans="1:18" x14ac:dyDescent="0.25">
      <c r="A1113" s="169">
        <v>44132</v>
      </c>
      <c r="B1113" s="116">
        <v>402.4</v>
      </c>
      <c r="C1113" s="116">
        <v>375.7</v>
      </c>
      <c r="D1113" s="116">
        <v>373.33333333333297</v>
      </c>
      <c r="E1113" s="116">
        <v>401.66666666666703</v>
      </c>
      <c r="F1113" s="116">
        <v>1127.0999999999999</v>
      </c>
      <c r="G1113">
        <v>36719</v>
      </c>
      <c r="H1113" s="116"/>
      <c r="I1113" s="116"/>
      <c r="L1113" s="169">
        <v>44132</v>
      </c>
      <c r="M1113" s="116">
        <v>375.78333333333302</v>
      </c>
      <c r="N1113" s="116">
        <v>401</v>
      </c>
      <c r="O1113" s="116">
        <v>373.33333333333297</v>
      </c>
      <c r="P1113" s="116">
        <v>401</v>
      </c>
      <c r="Q1113" s="116">
        <v>1127.3499999999999</v>
      </c>
      <c r="R1113">
        <v>350028</v>
      </c>
    </row>
    <row r="1114" spans="1:18" x14ac:dyDescent="0.25">
      <c r="A1114" s="169">
        <v>44133</v>
      </c>
      <c r="B1114" s="116">
        <v>391.5</v>
      </c>
      <c r="C1114" s="116">
        <v>379.38333333333298</v>
      </c>
      <c r="D1114" s="116">
        <v>357.066666666667</v>
      </c>
      <c r="E1114" s="116">
        <v>366.73333333333301</v>
      </c>
      <c r="F1114" s="116">
        <v>1138.1500000000001</v>
      </c>
      <c r="G1114">
        <v>25757</v>
      </c>
      <c r="H1114" s="116"/>
      <c r="I1114" s="116"/>
      <c r="L1114" s="169">
        <v>44133</v>
      </c>
      <c r="M1114" s="116">
        <v>379.21666666666698</v>
      </c>
      <c r="N1114" s="116">
        <v>391.33333333333297</v>
      </c>
      <c r="O1114" s="116">
        <v>356.66666666666703</v>
      </c>
      <c r="P1114" s="116">
        <v>366.66666666666703</v>
      </c>
      <c r="Q1114" s="116">
        <v>1137.6500000000001</v>
      </c>
      <c r="R1114">
        <v>609530</v>
      </c>
    </row>
    <row r="1115" spans="1:18" x14ac:dyDescent="0.25">
      <c r="A1115" s="169">
        <v>44134</v>
      </c>
      <c r="B1115" s="116">
        <v>395.01666666666699</v>
      </c>
      <c r="C1115" s="116">
        <v>382.7</v>
      </c>
      <c r="D1115" s="116">
        <v>379.95</v>
      </c>
      <c r="E1115" s="116">
        <v>384.38333333333298</v>
      </c>
      <c r="F1115" s="116">
        <v>1148.0999999999999</v>
      </c>
      <c r="G1115">
        <v>23305</v>
      </c>
      <c r="H1115" s="116"/>
      <c r="I1115" s="116"/>
      <c r="L1115" s="169">
        <v>44134</v>
      </c>
      <c r="M1115" s="116">
        <v>382.9</v>
      </c>
      <c r="N1115" s="116">
        <v>395.05</v>
      </c>
      <c r="O1115" s="116">
        <v>379.66666666666703</v>
      </c>
      <c r="P1115" s="116">
        <v>382</v>
      </c>
      <c r="Q1115" s="116">
        <v>1148.7</v>
      </c>
      <c r="R1115">
        <v>279867</v>
      </c>
    </row>
    <row r="1116" spans="1:18" x14ac:dyDescent="0.25">
      <c r="A1116" s="169">
        <v>44137</v>
      </c>
      <c r="B1116" s="116">
        <v>393.28333333333302</v>
      </c>
      <c r="C1116" s="116">
        <v>383.4</v>
      </c>
      <c r="D1116" s="116">
        <v>377.01666666666699</v>
      </c>
      <c r="E1116" s="116">
        <v>386.33333333333297</v>
      </c>
      <c r="F1116" s="116">
        <v>1150.2</v>
      </c>
      <c r="G1116">
        <v>10584</v>
      </c>
      <c r="H1116" s="116"/>
      <c r="I1116" s="116"/>
      <c r="L1116" s="169">
        <v>44137</v>
      </c>
      <c r="M1116" s="116">
        <v>383.48333333333301</v>
      </c>
      <c r="N1116" s="116">
        <v>393.33333333333297</v>
      </c>
      <c r="O1116" s="116">
        <v>380.58333333333297</v>
      </c>
      <c r="P1116" s="116">
        <v>387</v>
      </c>
      <c r="Q1116" s="116">
        <v>1150.45</v>
      </c>
      <c r="R1116">
        <v>221981</v>
      </c>
    </row>
    <row r="1117" spans="1:18" x14ac:dyDescent="0.25">
      <c r="A1117" s="169">
        <v>44138</v>
      </c>
      <c r="B1117" s="116">
        <v>392.9</v>
      </c>
      <c r="C1117" s="116">
        <v>380.85</v>
      </c>
      <c r="D1117" s="116">
        <v>379.5</v>
      </c>
      <c r="E1117" s="116">
        <v>388.63333333333298</v>
      </c>
      <c r="F1117" s="116">
        <v>1142.55</v>
      </c>
      <c r="G1117">
        <v>11329</v>
      </c>
      <c r="H1117" s="116"/>
      <c r="I1117" s="116"/>
      <c r="L1117" s="169">
        <v>44138</v>
      </c>
      <c r="M1117" s="116">
        <v>380.36666666666702</v>
      </c>
      <c r="N1117" s="116">
        <v>393.16666666666703</v>
      </c>
      <c r="O1117" s="116">
        <v>379.33333333333297</v>
      </c>
      <c r="P1117" s="116">
        <v>386.66666666666703</v>
      </c>
      <c r="Q1117" s="116">
        <v>1141.0999999999999</v>
      </c>
      <c r="R1117">
        <v>220174</v>
      </c>
    </row>
    <row r="1118" spans="1:18" x14ac:dyDescent="0.25">
      <c r="A1118" s="169">
        <v>44139</v>
      </c>
      <c r="B1118" s="116">
        <v>383.33333333333297</v>
      </c>
      <c r="C1118" s="116">
        <v>379.95</v>
      </c>
      <c r="D1118" s="116">
        <v>367</v>
      </c>
      <c r="E1118" s="116">
        <v>367</v>
      </c>
      <c r="F1118" s="116">
        <v>1139.8499999999999</v>
      </c>
      <c r="G1118">
        <v>22221</v>
      </c>
      <c r="H1118" s="116"/>
      <c r="I1118" s="116"/>
      <c r="L1118" s="169">
        <v>44139</v>
      </c>
      <c r="M1118" s="116">
        <v>379.41666666666703</v>
      </c>
      <c r="N1118" s="116">
        <v>383.51666666666699</v>
      </c>
      <c r="O1118" s="116">
        <v>375.36666666666702</v>
      </c>
      <c r="P1118" s="116">
        <v>379.66666666666703</v>
      </c>
      <c r="Q1118" s="116">
        <v>1138.25</v>
      </c>
      <c r="R1118">
        <v>114436</v>
      </c>
    </row>
    <row r="1119" spans="1:18" x14ac:dyDescent="0.25">
      <c r="A1119" s="169">
        <v>44140</v>
      </c>
      <c r="B1119" s="116">
        <v>391.45</v>
      </c>
      <c r="C1119" s="116">
        <v>378.3</v>
      </c>
      <c r="D1119" s="116">
        <v>377.33333333333297</v>
      </c>
      <c r="E1119" s="116">
        <v>381.66666666666703</v>
      </c>
      <c r="F1119" s="116">
        <v>1134.9000000000001</v>
      </c>
      <c r="G1119">
        <v>24000</v>
      </c>
      <c r="H1119" s="116"/>
      <c r="I1119" s="116"/>
      <c r="L1119" s="169">
        <v>44140</v>
      </c>
      <c r="M1119" s="116">
        <v>378.28333333333302</v>
      </c>
      <c r="N1119" s="116">
        <v>391.65</v>
      </c>
      <c r="O1119" s="116">
        <v>377</v>
      </c>
      <c r="P1119" s="116">
        <v>382.66666666666703</v>
      </c>
      <c r="Q1119" s="116">
        <v>1134.8499999999999</v>
      </c>
      <c r="R1119">
        <v>253305</v>
      </c>
    </row>
    <row r="1120" spans="1:18" x14ac:dyDescent="0.25">
      <c r="A1120" s="169">
        <v>44141</v>
      </c>
      <c r="B1120" s="116">
        <v>389</v>
      </c>
      <c r="C1120" s="116">
        <v>375.03333333333302</v>
      </c>
      <c r="D1120" s="116">
        <v>374.03333333333302</v>
      </c>
      <c r="E1120" s="116">
        <v>381.51666666666699</v>
      </c>
      <c r="F1120" s="116">
        <v>1125.0999999999999</v>
      </c>
      <c r="G1120">
        <v>8759</v>
      </c>
      <c r="H1120" s="116"/>
      <c r="I1120" s="116"/>
      <c r="L1120" s="169">
        <v>44141</v>
      </c>
      <c r="M1120" s="116">
        <v>375.03333333333302</v>
      </c>
      <c r="N1120" s="116">
        <v>389.65</v>
      </c>
      <c r="O1120" s="116">
        <v>373.36666666666702</v>
      </c>
      <c r="P1120" s="116">
        <v>380.41666666666703</v>
      </c>
      <c r="Q1120" s="116">
        <v>1125.0999999999999</v>
      </c>
      <c r="R1120">
        <v>157404</v>
      </c>
    </row>
    <row r="1121" spans="1:18" x14ac:dyDescent="0.25">
      <c r="A1121" s="169">
        <v>44144</v>
      </c>
      <c r="B1121" s="116">
        <v>381.61666666666702</v>
      </c>
      <c r="C1121" s="116">
        <v>377.683333333333</v>
      </c>
      <c r="D1121" s="116">
        <v>371.33333333333297</v>
      </c>
      <c r="E1121" s="116">
        <v>378</v>
      </c>
      <c r="F1121" s="116">
        <v>1133.05</v>
      </c>
      <c r="G1121">
        <v>6534</v>
      </c>
      <c r="H1121" s="116"/>
      <c r="I1121" s="116"/>
      <c r="L1121" s="169">
        <v>44144</v>
      </c>
      <c r="M1121" s="116">
        <v>377.98333333333301</v>
      </c>
      <c r="N1121" s="116">
        <v>382.61666666666702</v>
      </c>
      <c r="O1121" s="116">
        <v>371.41666666666703</v>
      </c>
      <c r="P1121" s="116">
        <v>379.23333333333301</v>
      </c>
      <c r="Q1121" s="116">
        <v>1133.95</v>
      </c>
      <c r="R1121">
        <v>115481</v>
      </c>
    </row>
    <row r="1122" spans="1:18" x14ac:dyDescent="0.25">
      <c r="A1122" s="169">
        <v>44145</v>
      </c>
      <c r="B1122" s="116">
        <v>379.33333333333297</v>
      </c>
      <c r="C1122" s="116">
        <v>347.41666666666703</v>
      </c>
      <c r="D1122" s="116">
        <v>342.71666666666698</v>
      </c>
      <c r="E1122" s="116">
        <v>379.3</v>
      </c>
      <c r="F1122" s="116">
        <v>1042.25</v>
      </c>
      <c r="G1122">
        <v>14297</v>
      </c>
      <c r="H1122" s="116"/>
      <c r="I1122" s="116"/>
      <c r="L1122" s="169">
        <v>44145</v>
      </c>
      <c r="M1122" s="116">
        <v>346.683333333333</v>
      </c>
      <c r="N1122" s="116">
        <v>380.33333333333297</v>
      </c>
      <c r="O1122" s="116">
        <v>342.433333333333</v>
      </c>
      <c r="P1122" s="116">
        <v>380</v>
      </c>
      <c r="Q1122" s="116">
        <v>1040.05</v>
      </c>
      <c r="R1122">
        <v>199620</v>
      </c>
    </row>
    <row r="1123" spans="1:18" x14ac:dyDescent="0.25">
      <c r="A1123" s="169">
        <v>44146</v>
      </c>
      <c r="B1123" s="116">
        <v>362.33333333333297</v>
      </c>
      <c r="C1123" s="116">
        <v>351.41666666666703</v>
      </c>
      <c r="D1123" s="116">
        <v>347.36666666666702</v>
      </c>
      <c r="E1123" s="116">
        <v>350</v>
      </c>
      <c r="F1123" s="116">
        <v>1054.25</v>
      </c>
      <c r="G1123">
        <v>19122</v>
      </c>
      <c r="H1123" s="116"/>
      <c r="I1123" s="116"/>
      <c r="L1123" s="169">
        <v>44146</v>
      </c>
      <c r="M1123" s="116">
        <v>351.11666666666702</v>
      </c>
      <c r="N1123" s="116">
        <v>362.63333333333298</v>
      </c>
      <c r="O1123" s="116">
        <v>346.23333333333301</v>
      </c>
      <c r="P1123" s="116">
        <v>347.86666666666702</v>
      </c>
      <c r="Q1123" s="116">
        <v>1053.3499999999999</v>
      </c>
      <c r="R1123">
        <v>132370</v>
      </c>
    </row>
    <row r="1124" spans="1:18" x14ac:dyDescent="0.25">
      <c r="A1124" s="169">
        <v>44147</v>
      </c>
      <c r="B1124" s="116">
        <v>355.58333333333297</v>
      </c>
      <c r="C1124" s="116">
        <v>349.35</v>
      </c>
      <c r="D1124" s="116">
        <v>333.683333333333</v>
      </c>
      <c r="E1124" s="116">
        <v>333.683333333333</v>
      </c>
      <c r="F1124" s="116">
        <v>1048.05</v>
      </c>
      <c r="G1124">
        <v>8535</v>
      </c>
      <c r="H1124" s="116"/>
      <c r="I1124" s="116"/>
      <c r="L1124" s="169">
        <v>44147</v>
      </c>
      <c r="M1124" s="116">
        <v>349.5</v>
      </c>
      <c r="N1124" s="116">
        <v>355.66666666666703</v>
      </c>
      <c r="O1124" s="116">
        <v>313.33333333333297</v>
      </c>
      <c r="P1124" s="116">
        <v>349.66666666666703</v>
      </c>
      <c r="Q1124" s="116">
        <v>1048.5</v>
      </c>
      <c r="R1124">
        <v>94902</v>
      </c>
    </row>
    <row r="1125" spans="1:18" x14ac:dyDescent="0.25">
      <c r="A1125" s="169">
        <v>44148</v>
      </c>
      <c r="B1125" s="116">
        <v>354.88333333333298</v>
      </c>
      <c r="C1125" s="116">
        <v>351.75</v>
      </c>
      <c r="D1125" s="116">
        <v>347.35</v>
      </c>
      <c r="E1125" s="116">
        <v>349.71666666666698</v>
      </c>
      <c r="F1125" s="116">
        <v>1055.25</v>
      </c>
      <c r="G1125">
        <v>2416</v>
      </c>
      <c r="H1125" s="116"/>
      <c r="I1125" s="116"/>
      <c r="L1125" s="169">
        <v>44148</v>
      </c>
      <c r="M1125" s="116">
        <v>350.85</v>
      </c>
      <c r="N1125" s="116">
        <v>354.66666666666703</v>
      </c>
      <c r="O1125" s="116">
        <v>346.66666666666703</v>
      </c>
      <c r="P1125" s="116">
        <v>349.33333333333297</v>
      </c>
      <c r="Q1125" s="116">
        <v>1052.55</v>
      </c>
      <c r="R1125">
        <v>61696</v>
      </c>
    </row>
    <row r="1126" spans="1:18" x14ac:dyDescent="0.25">
      <c r="A1126" s="169">
        <v>44149</v>
      </c>
      <c r="B1126" s="116">
        <v>363.33333333333297</v>
      </c>
      <c r="C1126" s="116">
        <v>354.01666666666699</v>
      </c>
      <c r="D1126" s="116">
        <v>348.9</v>
      </c>
      <c r="E1126" s="116">
        <v>353.53333333333302</v>
      </c>
      <c r="F1126" s="116">
        <v>1062.05</v>
      </c>
      <c r="G1126">
        <v>4366</v>
      </c>
      <c r="H1126" s="116"/>
      <c r="I1126" s="116"/>
      <c r="L1126" s="169">
        <v>44149</v>
      </c>
      <c r="M1126" s="116">
        <v>355.21666666666698</v>
      </c>
      <c r="N1126" s="116">
        <v>363.33333333333297</v>
      </c>
      <c r="O1126" s="116">
        <v>351.66666666666703</v>
      </c>
      <c r="P1126" s="116">
        <v>352.61666666666702</v>
      </c>
      <c r="Q1126" s="116">
        <v>1065.6500000000001</v>
      </c>
      <c r="R1126">
        <v>26140</v>
      </c>
    </row>
    <row r="1127" spans="1:18" x14ac:dyDescent="0.25">
      <c r="A1127" s="169">
        <v>44152</v>
      </c>
      <c r="B1127" s="116">
        <v>355.33333333333297</v>
      </c>
      <c r="C1127" s="116">
        <v>345.08333333333297</v>
      </c>
      <c r="D1127" s="116">
        <v>342.21666666666698</v>
      </c>
      <c r="E1127" s="116">
        <v>355.33333333333297</v>
      </c>
      <c r="F1127" s="116">
        <v>1035.25</v>
      </c>
      <c r="G1127">
        <v>9093</v>
      </c>
      <c r="H1127" s="116"/>
      <c r="I1127" s="116"/>
      <c r="L1127" s="169">
        <v>44152</v>
      </c>
      <c r="M1127" s="116">
        <v>344.95</v>
      </c>
      <c r="N1127" s="116">
        <v>358.33333333333297</v>
      </c>
      <c r="O1127" s="116">
        <v>342.01666666666699</v>
      </c>
      <c r="P1127" s="116">
        <v>355.33333333333297</v>
      </c>
      <c r="Q1127" s="116">
        <v>1034.8499999999999</v>
      </c>
      <c r="R1127">
        <v>88414</v>
      </c>
    </row>
    <row r="1128" spans="1:18" x14ac:dyDescent="0.25">
      <c r="A1128" s="169">
        <v>44153</v>
      </c>
      <c r="B1128" s="116">
        <v>352</v>
      </c>
      <c r="C1128" s="116">
        <v>333.46666666666698</v>
      </c>
      <c r="D1128" s="116">
        <v>332.4</v>
      </c>
      <c r="E1128" s="116">
        <v>345.33333333333297</v>
      </c>
      <c r="F1128" s="116">
        <v>1000.4</v>
      </c>
      <c r="G1128">
        <v>14967</v>
      </c>
      <c r="H1128" s="116"/>
      <c r="I1128" s="116"/>
      <c r="L1128" s="169">
        <v>44153</v>
      </c>
      <c r="M1128" s="116">
        <v>333.38333333333298</v>
      </c>
      <c r="N1128" s="116">
        <v>353.33333333333297</v>
      </c>
      <c r="O1128" s="116">
        <v>332.2</v>
      </c>
      <c r="P1128" s="116">
        <v>348</v>
      </c>
      <c r="Q1128" s="116">
        <v>1000.15</v>
      </c>
      <c r="R1128">
        <v>140612</v>
      </c>
    </row>
    <row r="1129" spans="1:18" x14ac:dyDescent="0.25">
      <c r="A1129" s="169">
        <v>44154</v>
      </c>
      <c r="B1129" s="116">
        <v>339.91666666666703</v>
      </c>
      <c r="C1129" s="116">
        <v>329.08333333333297</v>
      </c>
      <c r="D1129" s="116">
        <v>325</v>
      </c>
      <c r="E1129" s="116">
        <v>333</v>
      </c>
      <c r="F1129" s="116">
        <v>987.25</v>
      </c>
      <c r="G1129">
        <v>20528</v>
      </c>
      <c r="H1129" s="116"/>
      <c r="I1129" s="116"/>
      <c r="L1129" s="169">
        <v>44154</v>
      </c>
      <c r="M1129" s="116">
        <v>329.1</v>
      </c>
      <c r="N1129" s="116">
        <v>340</v>
      </c>
      <c r="O1129" s="116">
        <v>320.05</v>
      </c>
      <c r="P1129" s="116">
        <v>336.63333333333298</v>
      </c>
      <c r="Q1129" s="116">
        <v>987.3</v>
      </c>
      <c r="R1129">
        <v>116795</v>
      </c>
    </row>
    <row r="1130" spans="1:18" x14ac:dyDescent="0.25">
      <c r="A1130" s="169">
        <v>44155</v>
      </c>
      <c r="B1130" s="116">
        <v>355.26666666666699</v>
      </c>
      <c r="C1130" s="116">
        <v>347.46666666666698</v>
      </c>
      <c r="D1130" s="116">
        <v>332.66666666666703</v>
      </c>
      <c r="E1130" s="116">
        <v>339</v>
      </c>
      <c r="F1130" s="116">
        <v>1042.4000000000001</v>
      </c>
      <c r="G1130">
        <v>26185</v>
      </c>
      <c r="H1130" s="116"/>
      <c r="I1130" s="116"/>
      <c r="L1130" s="169">
        <v>44155</v>
      </c>
      <c r="M1130" s="116">
        <v>347.48333333333301</v>
      </c>
      <c r="N1130" s="116">
        <v>356.33333333333297</v>
      </c>
      <c r="O1130" s="116">
        <v>332.38333333333298</v>
      </c>
      <c r="P1130" s="116">
        <v>334.66666666666703</v>
      </c>
      <c r="Q1130" s="116">
        <v>1042.45</v>
      </c>
      <c r="R1130">
        <v>237174</v>
      </c>
    </row>
    <row r="1131" spans="1:18" x14ac:dyDescent="0.25">
      <c r="A1131" s="169">
        <v>44158</v>
      </c>
      <c r="B1131" s="116">
        <v>371.33333333333297</v>
      </c>
      <c r="C1131" s="116">
        <v>362.61666666666702</v>
      </c>
      <c r="D1131" s="116">
        <v>342.4</v>
      </c>
      <c r="E1131" s="116">
        <v>347.5</v>
      </c>
      <c r="F1131" s="116">
        <v>1087.8499999999999</v>
      </c>
      <c r="G1131">
        <v>14614</v>
      </c>
      <c r="H1131" s="116"/>
      <c r="I1131" s="116"/>
      <c r="L1131" s="169">
        <v>44158</v>
      </c>
      <c r="M1131" s="116">
        <v>362.3</v>
      </c>
      <c r="N1131" s="116">
        <v>376.66666666666703</v>
      </c>
      <c r="O1131" s="116">
        <v>341.71666666666698</v>
      </c>
      <c r="P1131" s="116">
        <v>344.33333333333297</v>
      </c>
      <c r="Q1131" s="116">
        <v>1086.9000000000001</v>
      </c>
      <c r="R1131">
        <v>309185</v>
      </c>
    </row>
    <row r="1132" spans="1:18" x14ac:dyDescent="0.25">
      <c r="A1132" s="169">
        <v>44159</v>
      </c>
      <c r="B1132" s="116">
        <v>385.51666666666699</v>
      </c>
      <c r="C1132" s="116">
        <v>367.15</v>
      </c>
      <c r="D1132" s="116">
        <v>362.1</v>
      </c>
      <c r="E1132" s="116">
        <v>374</v>
      </c>
      <c r="F1132" s="116">
        <v>1101.45</v>
      </c>
      <c r="G1132">
        <v>26016</v>
      </c>
      <c r="H1132" s="116"/>
      <c r="I1132" s="116"/>
      <c r="L1132" s="169">
        <v>44159</v>
      </c>
      <c r="M1132" s="116">
        <v>367.066666666667</v>
      </c>
      <c r="N1132" s="116">
        <v>386.316666666667</v>
      </c>
      <c r="O1132" s="116">
        <v>362.66666666666703</v>
      </c>
      <c r="P1132" s="116">
        <v>378.66666666666703</v>
      </c>
      <c r="Q1132" s="116">
        <v>1101.2</v>
      </c>
      <c r="R1132">
        <v>364439</v>
      </c>
    </row>
    <row r="1133" spans="1:18" x14ac:dyDescent="0.25">
      <c r="A1133" s="169">
        <v>44160</v>
      </c>
      <c r="B1133" s="116">
        <v>372.48333333333301</v>
      </c>
      <c r="C1133" s="116">
        <v>356.78333333333302</v>
      </c>
      <c r="D1133" s="116">
        <v>351.66666666666703</v>
      </c>
      <c r="E1133" s="116">
        <v>370.48333333333301</v>
      </c>
      <c r="F1133" s="116">
        <v>1070.3499999999999</v>
      </c>
      <c r="G1133">
        <v>17580</v>
      </c>
      <c r="H1133" s="116"/>
      <c r="I1133" s="116"/>
      <c r="L1133" s="169">
        <v>44160</v>
      </c>
      <c r="M1133" s="116">
        <v>356.88333333333298</v>
      </c>
      <c r="N1133" s="116">
        <v>372.58333333333297</v>
      </c>
      <c r="O1133" s="116">
        <v>351.46666666666698</v>
      </c>
      <c r="P1133" s="116">
        <v>370.33333333333297</v>
      </c>
      <c r="Q1133" s="116">
        <v>1070.6500000000001</v>
      </c>
      <c r="R1133">
        <v>133845</v>
      </c>
    </row>
    <row r="1134" spans="1:18" x14ac:dyDescent="0.25">
      <c r="A1134" s="169">
        <v>44161</v>
      </c>
      <c r="B1134" s="116">
        <v>357.88333333333298</v>
      </c>
      <c r="C1134" s="116">
        <v>350.41666666666703</v>
      </c>
      <c r="D1134" s="116">
        <v>336.66666666666703</v>
      </c>
      <c r="E1134" s="116">
        <v>357.85</v>
      </c>
      <c r="F1134" s="116">
        <v>1051.25</v>
      </c>
      <c r="G1134">
        <v>23471</v>
      </c>
      <c r="H1134" s="116"/>
      <c r="I1134" s="116"/>
      <c r="L1134" s="169">
        <v>44161</v>
      </c>
      <c r="M1134" s="116">
        <v>349.21666666666698</v>
      </c>
      <c r="N1134" s="116">
        <v>358.683333333333</v>
      </c>
      <c r="O1134" s="116">
        <v>333.33333333333297</v>
      </c>
      <c r="P1134" s="116">
        <v>358.683333333333</v>
      </c>
      <c r="Q1134" s="116">
        <v>1047.6500000000001</v>
      </c>
      <c r="R1134">
        <v>153818</v>
      </c>
    </row>
    <row r="1135" spans="1:18" x14ac:dyDescent="0.25">
      <c r="A1135" s="169">
        <v>44162</v>
      </c>
      <c r="B1135" s="116">
        <v>369.33333333333297</v>
      </c>
      <c r="C1135" s="116">
        <v>366.36666666666702</v>
      </c>
      <c r="D1135" s="116">
        <v>343.35</v>
      </c>
      <c r="E1135" s="116">
        <v>343.35</v>
      </c>
      <c r="F1135" s="116">
        <v>1099.0999999999999</v>
      </c>
      <c r="G1135">
        <v>27915</v>
      </c>
      <c r="H1135" s="116"/>
      <c r="I1135" s="116"/>
      <c r="L1135" s="169">
        <v>44162</v>
      </c>
      <c r="M1135" s="116">
        <v>366.08333333333297</v>
      </c>
      <c r="N1135" s="116">
        <v>369.4</v>
      </c>
      <c r="O1135" s="116">
        <v>340.66666666666703</v>
      </c>
      <c r="P1135" s="116">
        <v>349.33333333333297</v>
      </c>
      <c r="Q1135" s="116">
        <v>1098.25</v>
      </c>
      <c r="R1135">
        <v>453363</v>
      </c>
    </row>
    <row r="1136" spans="1:18" x14ac:dyDescent="0.25">
      <c r="A1136" s="169">
        <v>44166</v>
      </c>
      <c r="B1136" s="116">
        <v>367.66666666666703</v>
      </c>
      <c r="C1136" s="116">
        <v>357.45</v>
      </c>
      <c r="D1136" s="116">
        <v>356.35</v>
      </c>
      <c r="E1136" s="116">
        <v>363.33333333333297</v>
      </c>
      <c r="F1136" s="116">
        <v>1072.3499999999999</v>
      </c>
      <c r="G1136">
        <v>7469</v>
      </c>
      <c r="H1136" s="116"/>
      <c r="I1136" s="116"/>
      <c r="L1136" s="169">
        <v>44166</v>
      </c>
      <c r="M1136" s="116">
        <v>357.26666666666699</v>
      </c>
      <c r="N1136" s="116">
        <v>367.9</v>
      </c>
      <c r="O1136" s="116">
        <v>356.66666666666703</v>
      </c>
      <c r="P1136" s="116">
        <v>366.25</v>
      </c>
      <c r="Q1136" s="116">
        <v>1071.8</v>
      </c>
      <c r="R1136">
        <v>70349</v>
      </c>
    </row>
    <row r="1137" spans="1:18" x14ac:dyDescent="0.25">
      <c r="A1137" s="169">
        <v>44167</v>
      </c>
      <c r="B1137" s="116">
        <v>359.66666666666703</v>
      </c>
      <c r="C1137" s="116">
        <v>351.13333333333298</v>
      </c>
      <c r="D1137" s="116">
        <v>349.46666666666698</v>
      </c>
      <c r="E1137" s="116">
        <v>355.33333333333297</v>
      </c>
      <c r="F1137" s="116">
        <v>1053.4000000000001</v>
      </c>
      <c r="G1137">
        <v>10529</v>
      </c>
      <c r="H1137" s="116"/>
      <c r="I1137" s="116"/>
      <c r="L1137" s="169">
        <v>44167</v>
      </c>
      <c r="M1137" s="116">
        <v>350.816666666667</v>
      </c>
      <c r="N1137" s="116">
        <v>360.08333333333297</v>
      </c>
      <c r="O1137" s="116">
        <v>348.33333333333297</v>
      </c>
      <c r="P1137" s="116">
        <v>359.45</v>
      </c>
      <c r="Q1137" s="116">
        <v>1052.45</v>
      </c>
      <c r="R1137">
        <v>62354</v>
      </c>
    </row>
    <row r="1138" spans="1:18" x14ac:dyDescent="0.25">
      <c r="A1138" s="169">
        <v>44168</v>
      </c>
      <c r="B1138" s="116">
        <v>356.7</v>
      </c>
      <c r="C1138" s="116">
        <v>349.13333333333298</v>
      </c>
      <c r="D1138" s="116">
        <v>348.4</v>
      </c>
      <c r="E1138" s="116">
        <v>348.4</v>
      </c>
      <c r="F1138" s="116">
        <v>1047.4000000000001</v>
      </c>
      <c r="G1138">
        <v>5748</v>
      </c>
      <c r="H1138" s="116"/>
      <c r="I1138" s="116"/>
      <c r="L1138" s="169">
        <v>44168</v>
      </c>
      <c r="M1138" s="116">
        <v>349.01666666666699</v>
      </c>
      <c r="N1138" s="116">
        <v>356.65</v>
      </c>
      <c r="O1138" s="116">
        <v>348.33333333333297</v>
      </c>
      <c r="P1138" s="116">
        <v>355</v>
      </c>
      <c r="Q1138" s="116">
        <v>1047.05</v>
      </c>
      <c r="R1138">
        <v>57263</v>
      </c>
    </row>
    <row r="1139" spans="1:18" x14ac:dyDescent="0.25">
      <c r="A1139" s="169">
        <v>44169</v>
      </c>
      <c r="B1139" s="116">
        <v>352.65</v>
      </c>
      <c r="C1139" s="116">
        <v>349.73333333333301</v>
      </c>
      <c r="D1139" s="116">
        <v>346.66666666666703</v>
      </c>
      <c r="E1139" s="116">
        <v>348.33333333333297</v>
      </c>
      <c r="F1139" s="116">
        <v>1049.2</v>
      </c>
      <c r="G1139">
        <v>6880</v>
      </c>
      <c r="H1139" s="116"/>
      <c r="I1139" s="116"/>
      <c r="L1139" s="169">
        <v>44169</v>
      </c>
      <c r="M1139" s="116">
        <v>349.86666666666702</v>
      </c>
      <c r="N1139" s="116">
        <v>353.01666666666699</v>
      </c>
      <c r="O1139" s="116">
        <v>346.71666666666698</v>
      </c>
      <c r="P1139" s="116">
        <v>349.01666666666699</v>
      </c>
      <c r="Q1139" s="116">
        <v>1049.5999999999999</v>
      </c>
      <c r="R1139">
        <v>56965</v>
      </c>
    </row>
    <row r="1140" spans="1:18" x14ac:dyDescent="0.25">
      <c r="A1140" s="169">
        <v>44172</v>
      </c>
      <c r="B1140" s="116">
        <v>358.33333333333297</v>
      </c>
      <c r="C1140" s="116">
        <v>348.3</v>
      </c>
      <c r="D1140" s="116">
        <v>341.66666666666703</v>
      </c>
      <c r="E1140" s="116">
        <v>358.33333333333297</v>
      </c>
      <c r="F1140" s="116">
        <v>1044.9000000000001</v>
      </c>
      <c r="G1140">
        <v>6167</v>
      </c>
      <c r="H1140" s="116"/>
      <c r="I1140" s="116"/>
      <c r="L1140" s="169">
        <v>44172</v>
      </c>
      <c r="M1140" s="116">
        <v>348.5</v>
      </c>
      <c r="N1140" s="116">
        <v>353.75</v>
      </c>
      <c r="O1140" s="116">
        <v>347.66666666666703</v>
      </c>
      <c r="P1140" s="116">
        <v>353.75</v>
      </c>
      <c r="Q1140" s="116">
        <v>1045.5</v>
      </c>
      <c r="R1140">
        <v>52408</v>
      </c>
    </row>
    <row r="1141" spans="1:18" x14ac:dyDescent="0.25">
      <c r="A1141" s="169">
        <v>44173</v>
      </c>
      <c r="B1141" s="116">
        <v>354.66666666666703</v>
      </c>
      <c r="C1141" s="116">
        <v>343.96666666666698</v>
      </c>
      <c r="D1141" s="116">
        <v>342</v>
      </c>
      <c r="E1141" s="116">
        <v>354.66666666666703</v>
      </c>
      <c r="F1141" s="116">
        <v>1031.9000000000001</v>
      </c>
      <c r="G1141">
        <v>3987</v>
      </c>
      <c r="H1141" s="116"/>
      <c r="I1141" s="116"/>
      <c r="L1141" s="169">
        <v>44173</v>
      </c>
      <c r="M1141" s="116">
        <v>342.88333333333298</v>
      </c>
      <c r="N1141" s="116">
        <v>351</v>
      </c>
      <c r="O1141" s="116">
        <v>341.85</v>
      </c>
      <c r="P1141" s="116">
        <v>350</v>
      </c>
      <c r="Q1141" s="116">
        <v>1028.6500000000001</v>
      </c>
      <c r="R1141">
        <v>67378</v>
      </c>
    </row>
    <row r="1142" spans="1:18" x14ac:dyDescent="0.25">
      <c r="A1142" s="169">
        <v>44174</v>
      </c>
      <c r="B1142" s="116">
        <v>345.66666666666703</v>
      </c>
      <c r="C1142" s="116">
        <v>342.11666666666702</v>
      </c>
      <c r="D1142" s="116">
        <v>341</v>
      </c>
      <c r="E1142" s="116">
        <v>345.65</v>
      </c>
      <c r="F1142" s="116">
        <v>1026.3499999999999</v>
      </c>
      <c r="G1142">
        <v>7514</v>
      </c>
      <c r="H1142" s="116"/>
      <c r="I1142" s="116"/>
      <c r="L1142" s="169">
        <v>44174</v>
      </c>
      <c r="M1142" s="116">
        <v>341.8</v>
      </c>
      <c r="N1142" s="116">
        <v>345.933333333333</v>
      </c>
      <c r="O1142" s="116">
        <v>340.66666666666703</v>
      </c>
      <c r="P1142" s="116">
        <v>345.566666666667</v>
      </c>
      <c r="Q1142" s="116">
        <v>1025.4000000000001</v>
      </c>
      <c r="R1142">
        <v>60917</v>
      </c>
    </row>
    <row r="1143" spans="1:18" x14ac:dyDescent="0.25">
      <c r="A1143" s="169">
        <v>44175</v>
      </c>
      <c r="B1143" s="116">
        <v>342.23333333333301</v>
      </c>
      <c r="C1143" s="116">
        <v>338.683333333333</v>
      </c>
      <c r="D1143" s="116">
        <v>335.566666666667</v>
      </c>
      <c r="E1143" s="116">
        <v>342.23333333333301</v>
      </c>
      <c r="F1143" s="116">
        <v>1016.05</v>
      </c>
      <c r="G1143">
        <v>5553</v>
      </c>
      <c r="H1143" s="116"/>
      <c r="I1143" s="116"/>
      <c r="L1143" s="169">
        <v>44175</v>
      </c>
      <c r="M1143" s="116">
        <v>338.85</v>
      </c>
      <c r="N1143" s="116">
        <v>341.51666666666699</v>
      </c>
      <c r="O1143" s="116">
        <v>335.183333333333</v>
      </c>
      <c r="P1143" s="116">
        <v>340</v>
      </c>
      <c r="Q1143" s="116">
        <v>1016.55</v>
      </c>
      <c r="R1143">
        <v>53483</v>
      </c>
    </row>
    <row r="1144" spans="1:18" x14ac:dyDescent="0.25">
      <c r="A1144" s="169">
        <v>44176</v>
      </c>
      <c r="B1144" s="116">
        <v>349.316666666667</v>
      </c>
      <c r="C1144" s="116">
        <v>342.73333333333301</v>
      </c>
      <c r="D1144" s="116">
        <v>339.3</v>
      </c>
      <c r="E1144" s="116">
        <v>345.8</v>
      </c>
      <c r="F1144" s="116">
        <v>1028.2</v>
      </c>
      <c r="G1144">
        <v>2657</v>
      </c>
      <c r="H1144" s="116"/>
      <c r="I1144" s="116"/>
      <c r="L1144" s="169">
        <v>44176</v>
      </c>
      <c r="M1144" s="116">
        <v>342.9</v>
      </c>
      <c r="N1144" s="116">
        <v>350</v>
      </c>
      <c r="O1144" s="116">
        <v>338.66666666666703</v>
      </c>
      <c r="P1144" s="116">
        <v>339</v>
      </c>
      <c r="Q1144" s="116">
        <v>1028.7</v>
      </c>
      <c r="R1144">
        <v>59847</v>
      </c>
    </row>
    <row r="1145" spans="1:18" x14ac:dyDescent="0.25">
      <c r="A1145" s="169">
        <v>44179</v>
      </c>
      <c r="B1145" s="116">
        <v>346.4</v>
      </c>
      <c r="C1145" s="116">
        <v>338.13333333333298</v>
      </c>
      <c r="D1145" s="116">
        <v>336.33333333333297</v>
      </c>
      <c r="E1145" s="116">
        <v>342.83333333333297</v>
      </c>
      <c r="F1145" s="116">
        <v>1014.4</v>
      </c>
      <c r="G1145">
        <v>2769</v>
      </c>
      <c r="H1145" s="116"/>
      <c r="I1145" s="116"/>
      <c r="L1145" s="169">
        <v>44179</v>
      </c>
      <c r="M1145" s="116">
        <v>338.05</v>
      </c>
      <c r="N1145" s="116">
        <v>346.33333333333297</v>
      </c>
      <c r="O1145" s="116">
        <v>335.51666666666699</v>
      </c>
      <c r="P1145" s="116">
        <v>346.33333333333297</v>
      </c>
      <c r="Q1145" s="116">
        <v>1014.15</v>
      </c>
      <c r="R1145">
        <v>52740</v>
      </c>
    </row>
    <row r="1146" spans="1:18" x14ac:dyDescent="0.25">
      <c r="A1146" s="169">
        <v>44180</v>
      </c>
      <c r="B1146" s="116">
        <v>343.683333333333</v>
      </c>
      <c r="C1146" s="116">
        <v>337.73333333333301</v>
      </c>
      <c r="D1146" s="116">
        <v>333.38333333333298</v>
      </c>
      <c r="E1146" s="116">
        <v>338.65</v>
      </c>
      <c r="F1146" s="116">
        <v>1013.2</v>
      </c>
      <c r="G1146">
        <v>8102</v>
      </c>
      <c r="H1146" s="116"/>
      <c r="I1146" s="116"/>
      <c r="L1146" s="169">
        <v>44180</v>
      </c>
      <c r="M1146" s="116">
        <v>337.53333333333302</v>
      </c>
      <c r="N1146" s="116">
        <v>344</v>
      </c>
      <c r="O1146" s="116">
        <v>334.15</v>
      </c>
      <c r="P1146" s="116">
        <v>338.33333333333297</v>
      </c>
      <c r="Q1146" s="116">
        <v>1012.6</v>
      </c>
      <c r="R1146">
        <v>83275</v>
      </c>
    </row>
    <row r="1147" spans="1:18" x14ac:dyDescent="0.25">
      <c r="A1147" s="169">
        <v>44181</v>
      </c>
      <c r="B1147" s="116">
        <v>341</v>
      </c>
      <c r="C1147" s="116">
        <v>329.86666666666702</v>
      </c>
      <c r="D1147" s="116">
        <v>327.66666666666703</v>
      </c>
      <c r="E1147" s="116">
        <v>338.33333333333297</v>
      </c>
      <c r="F1147" s="116">
        <v>989.6</v>
      </c>
      <c r="G1147">
        <v>16503</v>
      </c>
      <c r="H1147" s="116"/>
      <c r="I1147" s="116"/>
      <c r="L1147" s="169">
        <v>44181</v>
      </c>
      <c r="M1147" s="116">
        <v>329.55</v>
      </c>
      <c r="N1147" s="116">
        <v>341.3</v>
      </c>
      <c r="O1147" s="116">
        <v>327.7</v>
      </c>
      <c r="P1147" s="116">
        <v>339.933333333333</v>
      </c>
      <c r="Q1147" s="116">
        <v>988.65</v>
      </c>
      <c r="R1147">
        <v>137094</v>
      </c>
    </row>
    <row r="1148" spans="1:18" x14ac:dyDescent="0.25">
      <c r="A1148" s="169">
        <v>44182</v>
      </c>
      <c r="B1148" s="116">
        <v>343.8</v>
      </c>
      <c r="C1148" s="116">
        <v>321.3</v>
      </c>
      <c r="D1148" s="116">
        <v>318.03333333333302</v>
      </c>
      <c r="E1148" s="116">
        <v>329.86666666666702</v>
      </c>
      <c r="F1148" s="116">
        <v>963.9</v>
      </c>
      <c r="G1148">
        <v>39319</v>
      </c>
      <c r="H1148" s="116"/>
      <c r="I1148" s="116"/>
      <c r="L1148" s="169">
        <v>44182</v>
      </c>
      <c r="M1148" s="116">
        <v>321.25</v>
      </c>
      <c r="N1148" s="116">
        <v>344</v>
      </c>
      <c r="O1148" s="116">
        <v>317.566666666667</v>
      </c>
      <c r="P1148" s="116">
        <v>329.98333333333301</v>
      </c>
      <c r="Q1148" s="116">
        <v>963.75</v>
      </c>
      <c r="R1148">
        <v>345436</v>
      </c>
    </row>
    <row r="1149" spans="1:18" x14ac:dyDescent="0.25">
      <c r="A1149" s="169">
        <v>44183</v>
      </c>
      <c r="B1149" s="116">
        <v>327.76666666666699</v>
      </c>
      <c r="C1149" s="116">
        <v>319.61666666666702</v>
      </c>
      <c r="D1149" s="116">
        <v>318.33333333333297</v>
      </c>
      <c r="E1149" s="116">
        <v>326.66666666666703</v>
      </c>
      <c r="F1149" s="116">
        <v>958.85</v>
      </c>
      <c r="G1149">
        <v>18331</v>
      </c>
      <c r="H1149" s="116"/>
      <c r="I1149" s="116"/>
      <c r="L1149" s="169">
        <v>44183</v>
      </c>
      <c r="M1149" s="116">
        <v>319.86666666666702</v>
      </c>
      <c r="N1149" s="116">
        <v>329.566666666667</v>
      </c>
      <c r="O1149" s="116">
        <v>318.33333333333297</v>
      </c>
      <c r="P1149" s="116">
        <v>329.566666666667</v>
      </c>
      <c r="Q1149" s="116">
        <v>959.6</v>
      </c>
      <c r="R1149">
        <v>165134</v>
      </c>
    </row>
    <row r="1150" spans="1:18" x14ac:dyDescent="0.25">
      <c r="A1150" s="169">
        <v>44186</v>
      </c>
      <c r="B1150" s="116">
        <v>320.83333333333297</v>
      </c>
      <c r="C1150" s="116">
        <v>301.5</v>
      </c>
      <c r="D1150" s="116">
        <v>293.64999999999998</v>
      </c>
      <c r="E1150" s="116">
        <v>320.83333333333297</v>
      </c>
      <c r="F1150" s="116">
        <v>904.5</v>
      </c>
      <c r="G1150">
        <v>7473</v>
      </c>
      <c r="H1150" s="116"/>
      <c r="I1150" s="116"/>
      <c r="L1150" s="169">
        <v>44186</v>
      </c>
      <c r="M1150" s="116">
        <v>301.46666666666698</v>
      </c>
      <c r="N1150" s="116">
        <v>322</v>
      </c>
      <c r="O1150" s="116">
        <v>293.01666666666699</v>
      </c>
      <c r="P1150" s="116">
        <v>320</v>
      </c>
      <c r="Q1150" s="116">
        <v>904.4</v>
      </c>
      <c r="R1150">
        <v>194201</v>
      </c>
    </row>
    <row r="1151" spans="1:18" x14ac:dyDescent="0.25">
      <c r="A1151" s="169">
        <v>44187</v>
      </c>
      <c r="B1151" s="116">
        <v>308.36666666666702</v>
      </c>
      <c r="C1151" s="116">
        <v>302.91666666666703</v>
      </c>
      <c r="D1151" s="116">
        <v>276.683333333333</v>
      </c>
      <c r="E1151" s="116">
        <v>276.683333333333</v>
      </c>
      <c r="F1151" s="116">
        <v>908.75</v>
      </c>
      <c r="G1151">
        <v>19916</v>
      </c>
      <c r="H1151" s="116"/>
      <c r="I1151" s="116"/>
      <c r="L1151" s="169">
        <v>44187</v>
      </c>
      <c r="M1151" s="116">
        <v>302.60000000000002</v>
      </c>
      <c r="N1151" s="116">
        <v>308.16666666666703</v>
      </c>
      <c r="O1151" s="116">
        <v>291.71666666666698</v>
      </c>
      <c r="P1151" s="116">
        <v>301.63333333333298</v>
      </c>
      <c r="Q1151" s="116">
        <v>907.8</v>
      </c>
      <c r="R1151">
        <v>171115</v>
      </c>
    </row>
    <row r="1152" spans="1:18" x14ac:dyDescent="0.25">
      <c r="A1152" s="169">
        <v>44188</v>
      </c>
      <c r="B1152" s="116">
        <v>313.33333333333297</v>
      </c>
      <c r="C1152" s="116">
        <v>308.28333333333302</v>
      </c>
      <c r="D1152" s="116">
        <v>303.78333333333302</v>
      </c>
      <c r="E1152" s="116">
        <v>307.86666666666702</v>
      </c>
      <c r="F1152" s="116">
        <v>924.85</v>
      </c>
      <c r="G1152">
        <v>11078</v>
      </c>
      <c r="H1152" s="116"/>
      <c r="I1152" s="116"/>
      <c r="L1152" s="169">
        <v>44188</v>
      </c>
      <c r="M1152" s="116">
        <v>308.36666666666702</v>
      </c>
      <c r="N1152" s="116">
        <v>312.66666666666703</v>
      </c>
      <c r="O1152" s="116">
        <v>305</v>
      </c>
      <c r="P1152" s="116">
        <v>305.33333333333297</v>
      </c>
      <c r="Q1152" s="116">
        <v>925.1</v>
      </c>
      <c r="R1152">
        <v>155441</v>
      </c>
    </row>
    <row r="1153" spans="1:18" x14ac:dyDescent="0.25">
      <c r="A1153" s="169">
        <v>44189</v>
      </c>
      <c r="B1153" s="116">
        <v>314.66666666666703</v>
      </c>
      <c r="C1153" s="116">
        <v>310.816666666667</v>
      </c>
      <c r="D1153" s="116">
        <v>306.933333333333</v>
      </c>
      <c r="E1153" s="116">
        <v>314.66666666666703</v>
      </c>
      <c r="F1153" s="116">
        <v>932.45</v>
      </c>
      <c r="G1153">
        <v>3576</v>
      </c>
      <c r="H1153" s="116"/>
      <c r="I1153" s="116"/>
      <c r="L1153" s="169">
        <v>44189</v>
      </c>
      <c r="M1153" s="116">
        <v>310.61666666666702</v>
      </c>
      <c r="N1153" s="116">
        <v>313.23333333333301</v>
      </c>
      <c r="O1153" s="116">
        <v>306.66666666666703</v>
      </c>
      <c r="P1153" s="116">
        <v>309.5</v>
      </c>
      <c r="Q1153" s="116">
        <v>931.85</v>
      </c>
      <c r="R1153">
        <v>101393</v>
      </c>
    </row>
    <row r="1154" spans="1:18" x14ac:dyDescent="0.25">
      <c r="A1154" s="169">
        <v>44193</v>
      </c>
      <c r="B1154" s="116">
        <v>315</v>
      </c>
      <c r="C1154" s="116">
        <v>310.85000000000002</v>
      </c>
      <c r="D1154" s="116">
        <v>308.33333333333297</v>
      </c>
      <c r="E1154" s="116">
        <v>315</v>
      </c>
      <c r="F1154" s="116">
        <v>932.55</v>
      </c>
      <c r="G1154">
        <v>10579</v>
      </c>
      <c r="H1154" s="116"/>
      <c r="I1154" s="116"/>
      <c r="L1154" s="169">
        <v>44193</v>
      </c>
      <c r="M1154" s="116">
        <v>311.33333333333297</v>
      </c>
      <c r="N1154" s="116">
        <v>315</v>
      </c>
      <c r="O1154" s="116">
        <v>308.33333333333297</v>
      </c>
      <c r="P1154" s="116">
        <v>313.14999999999998</v>
      </c>
      <c r="Q1154" s="116">
        <v>934</v>
      </c>
      <c r="R1154">
        <v>111430</v>
      </c>
    </row>
    <row r="1155" spans="1:18" x14ac:dyDescent="0.25">
      <c r="A1155" s="169">
        <v>44194</v>
      </c>
      <c r="B1155" s="116">
        <v>312.7</v>
      </c>
      <c r="C1155" s="116">
        <v>305.71666666666698</v>
      </c>
      <c r="D1155" s="116">
        <v>305</v>
      </c>
      <c r="E1155" s="116">
        <v>308.33333333333297</v>
      </c>
      <c r="F1155" s="116">
        <v>917.15</v>
      </c>
      <c r="G1155">
        <v>4474</v>
      </c>
      <c r="H1155" s="116"/>
      <c r="I1155" s="116"/>
      <c r="L1155" s="169">
        <v>44194</v>
      </c>
      <c r="M1155" s="116">
        <v>305.83333333333297</v>
      </c>
      <c r="N1155" s="116">
        <v>313.433333333333</v>
      </c>
      <c r="O1155" s="116">
        <v>305</v>
      </c>
      <c r="P1155" s="116">
        <v>311.66666666666703</v>
      </c>
      <c r="Q1155" s="116">
        <v>917.5</v>
      </c>
      <c r="R1155">
        <v>118469</v>
      </c>
    </row>
    <row r="1156" spans="1:18" x14ac:dyDescent="0.25">
      <c r="A1156" s="169">
        <v>44195</v>
      </c>
      <c r="B1156" s="116">
        <v>306</v>
      </c>
      <c r="C1156" s="116">
        <v>302.63333333333298</v>
      </c>
      <c r="D1156" s="116">
        <v>302</v>
      </c>
      <c r="E1156" s="116">
        <v>306</v>
      </c>
      <c r="F1156" s="116">
        <v>907.9</v>
      </c>
      <c r="G1156">
        <v>3007</v>
      </c>
      <c r="H1156" s="116"/>
      <c r="I1156" s="116"/>
      <c r="L1156" s="169">
        <v>44195</v>
      </c>
      <c r="M1156" s="116">
        <v>302.8</v>
      </c>
      <c r="N1156" s="116">
        <v>309.316666666667</v>
      </c>
      <c r="O1156" s="116">
        <v>302</v>
      </c>
      <c r="P1156" s="116">
        <v>307.89999999999998</v>
      </c>
      <c r="Q1156" s="116">
        <v>908.4</v>
      </c>
      <c r="R1156">
        <v>84861</v>
      </c>
    </row>
    <row r="1157" spans="1:18" x14ac:dyDescent="0.25">
      <c r="A1157" s="169">
        <v>44196</v>
      </c>
      <c r="B1157" s="116">
        <v>308.33333333333297</v>
      </c>
      <c r="C1157" s="116">
        <v>304.46666666666698</v>
      </c>
      <c r="D1157" s="116">
        <v>302.73333333333301</v>
      </c>
      <c r="E1157" s="116">
        <v>308</v>
      </c>
      <c r="F1157" s="116">
        <v>913.4</v>
      </c>
      <c r="G1157">
        <v>2250</v>
      </c>
      <c r="H1157" s="116"/>
      <c r="I1157" s="116"/>
      <c r="L1157" s="169">
        <v>44196</v>
      </c>
      <c r="M1157" s="116">
        <v>304.33333333333297</v>
      </c>
      <c r="N1157" s="116">
        <v>308.35000000000002</v>
      </c>
      <c r="O1157" s="116">
        <v>303.05</v>
      </c>
      <c r="P1157" s="116">
        <v>303.66666666666703</v>
      </c>
      <c r="Q1157" s="116">
        <v>913</v>
      </c>
      <c r="R1157">
        <v>83985</v>
      </c>
    </row>
    <row r="1158" spans="1:18" x14ac:dyDescent="0.25">
      <c r="A1158" s="169">
        <v>44197</v>
      </c>
      <c r="B1158" s="116">
        <v>316.38333333333298</v>
      </c>
      <c r="C1158" s="116">
        <v>312.46666666666698</v>
      </c>
      <c r="D1158" s="116">
        <v>303.36666666666702</v>
      </c>
      <c r="E1158" s="116">
        <v>303.36666666666702</v>
      </c>
      <c r="F1158" s="116">
        <v>937.4</v>
      </c>
      <c r="G1158">
        <v>25110</v>
      </c>
      <c r="H1158" s="116"/>
      <c r="I1158" s="116"/>
      <c r="L1158" s="169">
        <v>44197</v>
      </c>
      <c r="M1158" s="116">
        <v>312.64999999999998</v>
      </c>
      <c r="N1158" s="116">
        <v>316.28333333333302</v>
      </c>
      <c r="O1158" s="116">
        <v>304.03333333333302</v>
      </c>
      <c r="P1158" s="116">
        <v>305.85000000000002</v>
      </c>
      <c r="Q1158" s="116">
        <v>937.95</v>
      </c>
      <c r="R1158">
        <v>230457</v>
      </c>
    </row>
    <row r="1159" spans="1:18" x14ac:dyDescent="0.25">
      <c r="A1159" s="169">
        <v>44200</v>
      </c>
      <c r="B1159" s="116">
        <v>317.08333333333297</v>
      </c>
      <c r="C1159" s="116">
        <v>311.85000000000002</v>
      </c>
      <c r="D1159" s="116">
        <v>309.7</v>
      </c>
      <c r="E1159" s="116">
        <v>314.66666666666703</v>
      </c>
      <c r="F1159" s="116">
        <v>935.55</v>
      </c>
      <c r="G1159">
        <v>5980</v>
      </c>
      <c r="H1159" s="116"/>
      <c r="I1159" s="116"/>
      <c r="L1159" s="169">
        <v>44200</v>
      </c>
      <c r="M1159" s="116">
        <v>311.46666666666698</v>
      </c>
      <c r="N1159" s="116">
        <v>317</v>
      </c>
      <c r="O1159" s="116">
        <v>310</v>
      </c>
      <c r="P1159" s="116">
        <v>316.26666666666699</v>
      </c>
      <c r="Q1159" s="116">
        <v>934.4</v>
      </c>
      <c r="R1159">
        <v>132550</v>
      </c>
    </row>
    <row r="1160" spans="1:18" x14ac:dyDescent="0.25">
      <c r="A1160" s="169">
        <v>44201</v>
      </c>
      <c r="B1160" s="116">
        <v>329</v>
      </c>
      <c r="C1160" s="116">
        <v>326.76666666666699</v>
      </c>
      <c r="D1160" s="116">
        <v>310</v>
      </c>
      <c r="E1160" s="116">
        <v>311</v>
      </c>
      <c r="F1160" s="116">
        <v>980.3</v>
      </c>
      <c r="G1160">
        <v>39790</v>
      </c>
      <c r="H1160" s="116"/>
      <c r="I1160" s="116"/>
      <c r="L1160" s="169">
        <v>44201</v>
      </c>
      <c r="M1160" s="116">
        <v>326.41666666666703</v>
      </c>
      <c r="N1160" s="116">
        <v>329.33333333333297</v>
      </c>
      <c r="O1160" s="116">
        <v>310.55</v>
      </c>
      <c r="P1160" s="116">
        <v>311.66666666666703</v>
      </c>
      <c r="Q1160" s="116">
        <v>979.25</v>
      </c>
      <c r="R1160">
        <v>365816</v>
      </c>
    </row>
    <row r="1161" spans="1:18" x14ac:dyDescent="0.25">
      <c r="A1161" s="169">
        <v>44202</v>
      </c>
      <c r="B1161" s="116">
        <v>335.36666666666702</v>
      </c>
      <c r="C1161" s="116">
        <v>319.36666666666702</v>
      </c>
      <c r="D1161" s="116">
        <v>315.38333333333298</v>
      </c>
      <c r="E1161" s="116">
        <v>329.66666666666703</v>
      </c>
      <c r="F1161" s="116">
        <v>958.1</v>
      </c>
      <c r="G1161">
        <v>31323</v>
      </c>
      <c r="H1161" s="116"/>
      <c r="I1161" s="116"/>
      <c r="L1161" s="169">
        <v>44202</v>
      </c>
      <c r="M1161" s="116">
        <v>319.45</v>
      </c>
      <c r="N1161" s="116">
        <v>335.3</v>
      </c>
      <c r="O1161" s="116">
        <v>315</v>
      </c>
      <c r="P1161" s="116">
        <v>329.96666666666698</v>
      </c>
      <c r="Q1161" s="116">
        <v>958.35</v>
      </c>
      <c r="R1161">
        <v>221773</v>
      </c>
    </row>
    <row r="1162" spans="1:18" x14ac:dyDescent="0.25">
      <c r="A1162" s="169">
        <v>44203</v>
      </c>
      <c r="B1162" s="116">
        <v>327.83333333333297</v>
      </c>
      <c r="C1162" s="116">
        <v>320.53333333333302</v>
      </c>
      <c r="D1162" s="116">
        <v>318.566666666667</v>
      </c>
      <c r="E1162" s="116">
        <v>321.316666666667</v>
      </c>
      <c r="F1162" s="116">
        <v>961.6</v>
      </c>
      <c r="G1162">
        <v>7863</v>
      </c>
      <c r="H1162" s="116"/>
      <c r="I1162" s="116"/>
      <c r="L1162" s="169">
        <v>44203</v>
      </c>
      <c r="M1162" s="116">
        <v>320.08333333333297</v>
      </c>
      <c r="N1162" s="116">
        <v>328.183333333333</v>
      </c>
      <c r="O1162" s="116">
        <v>318.33333333333297</v>
      </c>
      <c r="P1162" s="116">
        <v>321</v>
      </c>
      <c r="Q1162" s="116">
        <v>960.25</v>
      </c>
      <c r="R1162">
        <v>148195</v>
      </c>
    </row>
    <row r="1163" spans="1:18" x14ac:dyDescent="0.25">
      <c r="A1163" s="169">
        <v>44204</v>
      </c>
      <c r="B1163" s="116">
        <v>327.71666666666698</v>
      </c>
      <c r="C1163" s="116">
        <v>323.183333333333</v>
      </c>
      <c r="D1163" s="116">
        <v>320</v>
      </c>
      <c r="E1163" s="116">
        <v>320.86666666666702</v>
      </c>
      <c r="F1163" s="116">
        <v>969.55</v>
      </c>
      <c r="G1163">
        <v>14544</v>
      </c>
      <c r="H1163" s="116"/>
      <c r="I1163" s="116"/>
      <c r="L1163" s="169">
        <v>44204</v>
      </c>
      <c r="M1163" s="116">
        <v>323.21666666666698</v>
      </c>
      <c r="N1163" s="116">
        <v>327.66666666666703</v>
      </c>
      <c r="O1163" s="116">
        <v>319.5</v>
      </c>
      <c r="P1163" s="116">
        <v>322.16666666666703</v>
      </c>
      <c r="Q1163" s="116">
        <v>969.65</v>
      </c>
      <c r="R1163">
        <v>114343</v>
      </c>
    </row>
    <row r="1164" spans="1:18" x14ac:dyDescent="0.25">
      <c r="A1164" s="169">
        <v>44207</v>
      </c>
      <c r="B1164" s="116">
        <v>324</v>
      </c>
      <c r="C1164" s="116">
        <v>319.95</v>
      </c>
      <c r="D1164" s="116">
        <v>317.36666666666702</v>
      </c>
      <c r="E1164" s="116">
        <v>324</v>
      </c>
      <c r="F1164" s="116">
        <v>959.85</v>
      </c>
      <c r="G1164">
        <v>3903</v>
      </c>
      <c r="H1164" s="116"/>
      <c r="I1164" s="116"/>
      <c r="L1164" s="169">
        <v>44207</v>
      </c>
      <c r="M1164" s="116">
        <v>319.8</v>
      </c>
      <c r="N1164" s="116">
        <v>325.76666666666699</v>
      </c>
      <c r="O1164" s="116">
        <v>317.3</v>
      </c>
      <c r="P1164" s="116">
        <v>325.76666666666699</v>
      </c>
      <c r="Q1164" s="116">
        <v>959.4</v>
      </c>
      <c r="R1164">
        <v>67882</v>
      </c>
    </row>
    <row r="1165" spans="1:18" x14ac:dyDescent="0.25">
      <c r="A1165" s="169">
        <v>44208</v>
      </c>
      <c r="B1165" s="116">
        <v>332.58333333333297</v>
      </c>
      <c r="C1165" s="116">
        <v>323.33333333333297</v>
      </c>
      <c r="D1165" s="116">
        <v>321.14999999999998</v>
      </c>
      <c r="E1165" s="116">
        <v>327.66666666666703</v>
      </c>
      <c r="F1165" s="116">
        <v>970</v>
      </c>
      <c r="G1165">
        <v>26696</v>
      </c>
      <c r="H1165" s="116"/>
      <c r="I1165" s="116"/>
      <c r="L1165" s="169">
        <v>44208</v>
      </c>
      <c r="M1165" s="116">
        <v>323.58333333333297</v>
      </c>
      <c r="N1165" s="116">
        <v>332.933333333333</v>
      </c>
      <c r="O1165" s="116">
        <v>321.316666666667</v>
      </c>
      <c r="P1165" s="116">
        <v>329.66666666666703</v>
      </c>
      <c r="Q1165" s="116">
        <v>970.75</v>
      </c>
      <c r="R1165">
        <v>342724</v>
      </c>
    </row>
    <row r="1166" spans="1:18" x14ac:dyDescent="0.25">
      <c r="A1166" s="169">
        <v>44209</v>
      </c>
      <c r="B1166" s="116">
        <v>326.66666666666703</v>
      </c>
      <c r="C1166" s="116">
        <v>323.433333333333</v>
      </c>
      <c r="D1166" s="116">
        <v>320.55</v>
      </c>
      <c r="E1166" s="116">
        <v>323.66666666666703</v>
      </c>
      <c r="F1166" s="116">
        <v>970.3</v>
      </c>
      <c r="G1166">
        <v>6367</v>
      </c>
      <c r="H1166" s="116"/>
      <c r="I1166" s="116"/>
      <c r="L1166" s="169">
        <v>44209</v>
      </c>
      <c r="M1166" s="116">
        <v>324.83333333333297</v>
      </c>
      <c r="N1166" s="116">
        <v>326.33333333333297</v>
      </c>
      <c r="O1166" s="116">
        <v>320.33333333333297</v>
      </c>
      <c r="P1166" s="116">
        <v>324.816666666667</v>
      </c>
      <c r="Q1166" s="116">
        <v>974.5</v>
      </c>
      <c r="R1166">
        <v>98926</v>
      </c>
    </row>
    <row r="1167" spans="1:18" x14ac:dyDescent="0.25">
      <c r="A1167" s="169">
        <v>44210</v>
      </c>
      <c r="B1167" s="116">
        <v>325.433333333333</v>
      </c>
      <c r="C1167" s="116">
        <v>322.85000000000002</v>
      </c>
      <c r="D1167" s="116">
        <v>321.61666666666702</v>
      </c>
      <c r="E1167" s="116">
        <v>325.14999999999998</v>
      </c>
      <c r="F1167" s="116">
        <v>968.55</v>
      </c>
      <c r="G1167">
        <v>1612</v>
      </c>
      <c r="H1167" s="116"/>
      <c r="I1167" s="116"/>
      <c r="L1167" s="169">
        <v>44210</v>
      </c>
      <c r="M1167" s="116">
        <v>322.86666666666702</v>
      </c>
      <c r="N1167" s="116">
        <v>326.66666666666703</v>
      </c>
      <c r="O1167" s="116">
        <v>321.66666666666703</v>
      </c>
      <c r="P1167" s="116">
        <v>324.83333333333297</v>
      </c>
      <c r="Q1167" s="116">
        <v>968.6</v>
      </c>
      <c r="R1167">
        <v>26058</v>
      </c>
    </row>
    <row r="1168" spans="1:18" x14ac:dyDescent="0.25">
      <c r="A1168" s="169">
        <v>44211</v>
      </c>
      <c r="B1168" s="116">
        <v>328.55</v>
      </c>
      <c r="C1168" s="116">
        <v>318.10000000000002</v>
      </c>
      <c r="D1168" s="116">
        <v>314.183333333333</v>
      </c>
      <c r="E1168" s="116">
        <v>326.66666666666703</v>
      </c>
      <c r="F1168" s="116">
        <v>954.3</v>
      </c>
      <c r="G1168">
        <v>5900</v>
      </c>
      <c r="H1168" s="116"/>
      <c r="I1168" s="116"/>
      <c r="L1168" s="169">
        <v>44211</v>
      </c>
      <c r="M1168" s="116">
        <v>315.91666666666703</v>
      </c>
      <c r="N1168" s="116">
        <v>329.66666666666703</v>
      </c>
      <c r="O1168" s="116">
        <v>314.11666666666702</v>
      </c>
      <c r="P1168" s="116">
        <v>329.53333333333302</v>
      </c>
      <c r="Q1168" s="116">
        <v>947.75</v>
      </c>
      <c r="R1168">
        <v>108826</v>
      </c>
    </row>
    <row r="1169" spans="1:18" x14ac:dyDescent="0.25">
      <c r="A1169" s="169">
        <v>44214</v>
      </c>
      <c r="B1169" s="116">
        <v>324.88333333333298</v>
      </c>
      <c r="C1169" s="116">
        <v>314.83333333333297</v>
      </c>
      <c r="D1169" s="116">
        <v>309.16666666666703</v>
      </c>
      <c r="E1169" s="116">
        <v>310</v>
      </c>
      <c r="F1169" s="116">
        <v>944.5</v>
      </c>
      <c r="G1169">
        <v>10960</v>
      </c>
      <c r="H1169" s="116"/>
      <c r="I1169" s="116"/>
      <c r="L1169" s="169">
        <v>44214</v>
      </c>
      <c r="M1169" s="116">
        <v>314.5</v>
      </c>
      <c r="N1169" s="116">
        <v>325</v>
      </c>
      <c r="O1169" s="116">
        <v>305.91666666666703</v>
      </c>
      <c r="P1169" s="116">
        <v>315.7</v>
      </c>
      <c r="Q1169" s="116">
        <v>943.5</v>
      </c>
      <c r="R1169">
        <v>74790</v>
      </c>
    </row>
    <row r="1170" spans="1:18" x14ac:dyDescent="0.25">
      <c r="A1170" s="169">
        <v>44215</v>
      </c>
      <c r="B1170" s="116">
        <v>318.28333333333302</v>
      </c>
      <c r="C1170" s="116">
        <v>315.11666666666702</v>
      </c>
      <c r="D1170" s="116">
        <v>313.33333333333297</v>
      </c>
      <c r="E1170" s="116">
        <v>313.33333333333297</v>
      </c>
      <c r="F1170" s="116">
        <v>945.35</v>
      </c>
      <c r="G1170">
        <v>5024</v>
      </c>
      <c r="H1170" s="116"/>
      <c r="I1170" s="116"/>
      <c r="L1170" s="169">
        <v>44215</v>
      </c>
      <c r="M1170" s="116">
        <v>315.3</v>
      </c>
      <c r="N1170" s="116">
        <v>318.35000000000002</v>
      </c>
      <c r="O1170" s="116">
        <v>313.33333333333297</v>
      </c>
      <c r="P1170" s="116">
        <v>313.33333333333297</v>
      </c>
      <c r="Q1170" s="116">
        <v>945.9</v>
      </c>
      <c r="R1170">
        <v>28831</v>
      </c>
    </row>
    <row r="1171" spans="1:18" x14ac:dyDescent="0.25">
      <c r="A1171" s="169">
        <v>44216</v>
      </c>
      <c r="B1171" s="116">
        <v>318.86666666666702</v>
      </c>
      <c r="C1171" s="116">
        <v>315.08333333333297</v>
      </c>
      <c r="D1171" s="116">
        <v>313.816666666667</v>
      </c>
      <c r="E1171" s="116">
        <v>317.48333333333301</v>
      </c>
      <c r="F1171" s="116">
        <v>945.25</v>
      </c>
      <c r="G1171">
        <v>3612</v>
      </c>
      <c r="H1171" s="116"/>
      <c r="I1171" s="116"/>
      <c r="L1171" s="169">
        <v>44216</v>
      </c>
      <c r="M1171" s="116">
        <v>315.23333333333301</v>
      </c>
      <c r="N1171" s="116">
        <v>318.89999999999998</v>
      </c>
      <c r="O1171" s="116">
        <v>313.66666666666703</v>
      </c>
      <c r="P1171" s="116">
        <v>315.41666666666703</v>
      </c>
      <c r="Q1171" s="116">
        <v>945.7</v>
      </c>
      <c r="R1171">
        <v>38116</v>
      </c>
    </row>
    <row r="1172" spans="1:18" x14ac:dyDescent="0.25">
      <c r="A1172" s="169">
        <v>44217</v>
      </c>
      <c r="B1172" s="116">
        <v>317.96666666666698</v>
      </c>
      <c r="C1172" s="116">
        <v>310</v>
      </c>
      <c r="D1172" s="116">
        <v>308.933333333333</v>
      </c>
      <c r="E1172" s="116">
        <v>316.63333333333298</v>
      </c>
      <c r="F1172" s="116">
        <v>930</v>
      </c>
      <c r="G1172">
        <v>1797</v>
      </c>
      <c r="H1172" s="116"/>
      <c r="I1172" s="116"/>
      <c r="L1172" s="169">
        <v>44217</v>
      </c>
      <c r="M1172" s="116">
        <v>309.91666666666703</v>
      </c>
      <c r="N1172" s="116">
        <v>317.66666666666703</v>
      </c>
      <c r="O1172" s="116">
        <v>308.66666666666703</v>
      </c>
      <c r="P1172" s="116">
        <v>317.63333333333298</v>
      </c>
      <c r="Q1172" s="116">
        <v>929.75</v>
      </c>
      <c r="R1172">
        <v>45964</v>
      </c>
    </row>
    <row r="1173" spans="1:18" x14ac:dyDescent="0.25">
      <c r="A1173" s="169">
        <v>44218</v>
      </c>
      <c r="B1173" s="116">
        <v>310.23333333333301</v>
      </c>
      <c r="C1173" s="116">
        <v>305.60000000000002</v>
      </c>
      <c r="D1173" s="116">
        <v>300</v>
      </c>
      <c r="E1173" s="116">
        <v>309.38333333333298</v>
      </c>
      <c r="F1173" s="116">
        <v>916.8</v>
      </c>
      <c r="G1173">
        <v>9434</v>
      </c>
      <c r="H1173" s="116"/>
      <c r="I1173" s="116"/>
      <c r="L1173" s="169">
        <v>44218</v>
      </c>
      <c r="M1173" s="116">
        <v>306</v>
      </c>
      <c r="N1173" s="116">
        <v>311.45</v>
      </c>
      <c r="O1173" s="116">
        <v>305</v>
      </c>
      <c r="P1173" s="116">
        <v>311.45</v>
      </c>
      <c r="Q1173" s="116">
        <v>918</v>
      </c>
      <c r="R1173">
        <v>44155</v>
      </c>
    </row>
    <row r="1174" spans="1:18" x14ac:dyDescent="0.25">
      <c r="A1174" s="169">
        <v>44221</v>
      </c>
      <c r="B1174" s="116">
        <v>308.53333333333302</v>
      </c>
      <c r="C1174" s="116">
        <v>303.83333333333297</v>
      </c>
      <c r="D1174" s="116">
        <v>302.03333333333302</v>
      </c>
      <c r="E1174" s="116">
        <v>306.183333333333</v>
      </c>
      <c r="F1174" s="116">
        <v>911.5</v>
      </c>
      <c r="G1174">
        <v>3599</v>
      </c>
      <c r="H1174" s="116"/>
      <c r="I1174" s="116"/>
      <c r="L1174" s="169">
        <v>44221</v>
      </c>
      <c r="M1174" s="116">
        <v>303.23333333333301</v>
      </c>
      <c r="N1174" s="116">
        <v>309</v>
      </c>
      <c r="O1174" s="116">
        <v>301.76666666666699</v>
      </c>
      <c r="P1174" s="116">
        <v>307</v>
      </c>
      <c r="Q1174" s="116">
        <v>909.7</v>
      </c>
      <c r="R1174">
        <v>77191</v>
      </c>
    </row>
    <row r="1175" spans="1:18" x14ac:dyDescent="0.25">
      <c r="A1175" s="169">
        <v>44223</v>
      </c>
      <c r="B1175" s="116">
        <v>305.8</v>
      </c>
      <c r="C1175" s="116">
        <v>302.8</v>
      </c>
      <c r="D1175" s="116">
        <v>295.816666666667</v>
      </c>
      <c r="E1175" s="116">
        <v>303.33333333333297</v>
      </c>
      <c r="F1175" s="116">
        <v>908.4</v>
      </c>
      <c r="G1175">
        <v>6241</v>
      </c>
      <c r="H1175" s="116"/>
      <c r="I1175" s="116"/>
      <c r="L1175" s="169">
        <v>44223</v>
      </c>
      <c r="M1175" s="116">
        <v>303.433333333333</v>
      </c>
      <c r="N1175" s="116">
        <v>306.66666666666703</v>
      </c>
      <c r="O1175" s="116">
        <v>296.05</v>
      </c>
      <c r="P1175" s="116">
        <v>305</v>
      </c>
      <c r="Q1175" s="116">
        <v>910.3</v>
      </c>
      <c r="R1175">
        <v>53575</v>
      </c>
    </row>
    <row r="1176" spans="1:18" x14ac:dyDescent="0.25">
      <c r="A1176" s="169">
        <v>44224</v>
      </c>
      <c r="B1176" s="116">
        <v>313.066666666667</v>
      </c>
      <c r="C1176" s="116">
        <v>310.38333333333298</v>
      </c>
      <c r="D1176" s="116">
        <v>299.23333333333301</v>
      </c>
      <c r="E1176" s="116">
        <v>300.89999999999998</v>
      </c>
      <c r="F1176" s="116">
        <v>931.15</v>
      </c>
      <c r="G1176">
        <v>2741</v>
      </c>
      <c r="H1176" s="116"/>
      <c r="I1176" s="116"/>
      <c r="L1176" s="169">
        <v>44224</v>
      </c>
      <c r="M1176" s="116">
        <v>310.05</v>
      </c>
      <c r="N1176" s="116">
        <v>312.85000000000002</v>
      </c>
      <c r="O1176" s="116">
        <v>298.5</v>
      </c>
      <c r="P1176" s="116">
        <v>302.66666666666703</v>
      </c>
      <c r="Q1176" s="116">
        <v>930.15</v>
      </c>
      <c r="R1176">
        <v>59244</v>
      </c>
    </row>
    <row r="1177" spans="1:18" x14ac:dyDescent="0.25">
      <c r="A1177" s="169">
        <v>44225</v>
      </c>
      <c r="B1177" s="116">
        <v>312.41666666666703</v>
      </c>
      <c r="C1177" s="116">
        <v>300.96666666666698</v>
      </c>
      <c r="D1177" s="116">
        <v>300.13333333333298</v>
      </c>
      <c r="E1177" s="116">
        <v>311.066666666667</v>
      </c>
      <c r="F1177" s="116">
        <v>902.9</v>
      </c>
      <c r="G1177">
        <v>5177</v>
      </c>
      <c r="H1177" s="116"/>
      <c r="I1177" s="116"/>
      <c r="L1177" s="169">
        <v>44225</v>
      </c>
      <c r="M1177" s="116">
        <v>301.16666666666703</v>
      </c>
      <c r="N1177" s="116">
        <v>312.33333333333297</v>
      </c>
      <c r="O1177" s="116">
        <v>300.03333333333302</v>
      </c>
      <c r="P1177" s="116">
        <v>311.58333333333297</v>
      </c>
      <c r="Q1177" s="116">
        <v>903.5</v>
      </c>
      <c r="R1177">
        <v>41124</v>
      </c>
    </row>
    <row r="1178" spans="1:18" x14ac:dyDescent="0.25">
      <c r="A1178" s="169">
        <v>44228</v>
      </c>
      <c r="B1178" s="116">
        <v>302</v>
      </c>
      <c r="C1178" s="116">
        <v>292.60000000000002</v>
      </c>
      <c r="D1178" s="116">
        <v>290.41666666666703</v>
      </c>
      <c r="E1178" s="116">
        <v>302</v>
      </c>
      <c r="F1178" s="116">
        <v>877.8</v>
      </c>
      <c r="G1178">
        <v>9152</v>
      </c>
      <c r="H1178" s="116"/>
      <c r="I1178" s="116"/>
      <c r="L1178" s="169">
        <v>44228</v>
      </c>
      <c r="M1178" s="116">
        <v>292.95</v>
      </c>
      <c r="N1178" s="116">
        <v>300.33333333333297</v>
      </c>
      <c r="O1178" s="116">
        <v>290.33333333333297</v>
      </c>
      <c r="P1178" s="116">
        <v>300</v>
      </c>
      <c r="Q1178" s="116">
        <v>878.85</v>
      </c>
      <c r="R1178">
        <v>114133</v>
      </c>
    </row>
    <row r="1179" spans="1:18" x14ac:dyDescent="0.25">
      <c r="A1179" s="169">
        <v>44229</v>
      </c>
      <c r="B1179" s="116">
        <v>299.5</v>
      </c>
      <c r="C1179" s="116">
        <v>295.39999999999998</v>
      </c>
      <c r="D1179" s="116">
        <v>293.83333333333297</v>
      </c>
      <c r="E1179" s="116">
        <v>293.83333333333297</v>
      </c>
      <c r="F1179" s="116">
        <v>886.2</v>
      </c>
      <c r="G1179">
        <v>3085</v>
      </c>
      <c r="H1179" s="116"/>
      <c r="I1179" s="116"/>
      <c r="L1179" s="169">
        <v>44229</v>
      </c>
      <c r="M1179" s="116">
        <v>295.45</v>
      </c>
      <c r="N1179" s="116">
        <v>300</v>
      </c>
      <c r="O1179" s="116">
        <v>294</v>
      </c>
      <c r="P1179" s="116">
        <v>296</v>
      </c>
      <c r="Q1179" s="116">
        <v>886.35</v>
      </c>
      <c r="R1179">
        <v>311793</v>
      </c>
    </row>
    <row r="1180" spans="1:18" x14ac:dyDescent="0.25">
      <c r="A1180" s="169">
        <v>44230</v>
      </c>
      <c r="B1180" s="116">
        <v>303.28333333333302</v>
      </c>
      <c r="C1180" s="116">
        <v>300.21666666666698</v>
      </c>
      <c r="D1180" s="116">
        <v>294.61666666666702</v>
      </c>
      <c r="E1180" s="116">
        <v>295.14999999999998</v>
      </c>
      <c r="F1180" s="116">
        <v>900.65</v>
      </c>
      <c r="G1180">
        <v>4832</v>
      </c>
      <c r="H1180" s="116"/>
      <c r="I1180" s="116"/>
      <c r="L1180" s="169">
        <v>44230</v>
      </c>
      <c r="M1180" s="116">
        <v>300.05</v>
      </c>
      <c r="N1180" s="116">
        <v>303</v>
      </c>
      <c r="O1180" s="116">
        <v>294.683333333333</v>
      </c>
      <c r="P1180" s="116">
        <v>298.316666666667</v>
      </c>
      <c r="Q1180" s="116">
        <v>900.15</v>
      </c>
      <c r="R1180">
        <v>322487</v>
      </c>
    </row>
    <row r="1181" spans="1:18" x14ac:dyDescent="0.25">
      <c r="A1181" s="169">
        <v>44231</v>
      </c>
      <c r="B1181" s="116">
        <v>311.11666666666702</v>
      </c>
      <c r="C1181" s="116">
        <v>306.55</v>
      </c>
      <c r="D1181" s="116">
        <v>299.23333333333301</v>
      </c>
      <c r="E1181" s="116">
        <v>299.23333333333301</v>
      </c>
      <c r="F1181" s="116">
        <v>919.65</v>
      </c>
      <c r="G1181">
        <v>9575</v>
      </c>
      <c r="H1181" s="116"/>
      <c r="I1181" s="116"/>
      <c r="L1181" s="169">
        <v>44231</v>
      </c>
      <c r="M1181" s="116">
        <v>306.85000000000002</v>
      </c>
      <c r="N1181" s="116">
        <v>311.66666666666703</v>
      </c>
      <c r="O1181" s="116">
        <v>299.03333333333302</v>
      </c>
      <c r="P1181" s="116">
        <v>303.16666666666703</v>
      </c>
      <c r="Q1181" s="116">
        <v>920.55</v>
      </c>
      <c r="R1181">
        <v>104369</v>
      </c>
    </row>
    <row r="1182" spans="1:18" x14ac:dyDescent="0.25">
      <c r="A1182" s="169">
        <v>44232</v>
      </c>
      <c r="B1182" s="116">
        <v>310.933333333333</v>
      </c>
      <c r="C1182" s="116">
        <v>308.16666666666703</v>
      </c>
      <c r="D1182" s="116">
        <v>305.61666666666702</v>
      </c>
      <c r="E1182" s="116">
        <v>310.11666666666702</v>
      </c>
      <c r="F1182" s="116">
        <v>924.5</v>
      </c>
      <c r="G1182">
        <v>1187</v>
      </c>
      <c r="H1182" s="116"/>
      <c r="I1182" s="116"/>
      <c r="L1182" s="169">
        <v>44232</v>
      </c>
      <c r="M1182" s="116">
        <v>308.83333333333297</v>
      </c>
      <c r="N1182" s="116">
        <v>311</v>
      </c>
      <c r="O1182" s="116">
        <v>305.33333333333297</v>
      </c>
      <c r="P1182" s="116">
        <v>311</v>
      </c>
      <c r="Q1182" s="116">
        <v>926.5</v>
      </c>
      <c r="R1182">
        <v>53864</v>
      </c>
    </row>
    <row r="1183" spans="1:18" x14ac:dyDescent="0.25">
      <c r="A1183" s="169">
        <v>44235</v>
      </c>
      <c r="B1183" s="116">
        <v>314.66666666666703</v>
      </c>
      <c r="C1183" s="116">
        <v>313.13333333333298</v>
      </c>
      <c r="D1183" s="116">
        <v>308.95</v>
      </c>
      <c r="E1183" s="116">
        <v>310.66666666666703</v>
      </c>
      <c r="F1183" s="116">
        <v>939.4</v>
      </c>
      <c r="G1183">
        <v>2247</v>
      </c>
      <c r="H1183" s="116"/>
      <c r="I1183" s="116"/>
      <c r="L1183" s="169">
        <v>44235</v>
      </c>
      <c r="M1183" s="116">
        <v>313.23333333333301</v>
      </c>
      <c r="N1183" s="116">
        <v>314.98333333333301</v>
      </c>
      <c r="O1183" s="116">
        <v>308.83333333333297</v>
      </c>
      <c r="P1183" s="116">
        <v>312</v>
      </c>
      <c r="Q1183" s="116">
        <v>939.7</v>
      </c>
      <c r="R1183">
        <v>117109</v>
      </c>
    </row>
    <row r="1184" spans="1:18" x14ac:dyDescent="0.25">
      <c r="A1184" s="169">
        <v>44236</v>
      </c>
      <c r="B1184" s="116">
        <v>315.26666666666699</v>
      </c>
      <c r="C1184" s="116">
        <v>308.96666666666698</v>
      </c>
      <c r="D1184" s="116">
        <v>307</v>
      </c>
      <c r="E1184" s="116">
        <v>313</v>
      </c>
      <c r="F1184" s="116">
        <v>926.9</v>
      </c>
      <c r="G1184">
        <v>1858</v>
      </c>
      <c r="H1184" s="116"/>
      <c r="I1184" s="116"/>
      <c r="L1184" s="169">
        <v>44236</v>
      </c>
      <c r="M1184" s="116">
        <v>308.433333333333</v>
      </c>
      <c r="N1184" s="116">
        <v>314.66666666666703</v>
      </c>
      <c r="O1184" s="116">
        <v>306.66666666666703</v>
      </c>
      <c r="P1184" s="116">
        <v>314</v>
      </c>
      <c r="Q1184" s="116">
        <v>925.3</v>
      </c>
      <c r="R1184">
        <v>55505</v>
      </c>
    </row>
    <row r="1185" spans="1:18" x14ac:dyDescent="0.25">
      <c r="A1185" s="169">
        <v>44237</v>
      </c>
      <c r="B1185" s="116">
        <v>310.91666666666703</v>
      </c>
      <c r="C1185" s="116">
        <v>308.66666666666703</v>
      </c>
      <c r="D1185" s="116">
        <v>306.66666666666703</v>
      </c>
      <c r="E1185" s="116">
        <v>310</v>
      </c>
      <c r="F1185" s="116">
        <v>926</v>
      </c>
      <c r="G1185">
        <v>4416</v>
      </c>
      <c r="H1185" s="116"/>
      <c r="I1185" s="116"/>
      <c r="L1185" s="169">
        <v>44237</v>
      </c>
      <c r="M1185" s="116">
        <v>308.48333333333301</v>
      </c>
      <c r="N1185" s="116">
        <v>310.98333333333301</v>
      </c>
      <c r="O1185" s="116">
        <v>306.16666666666703</v>
      </c>
      <c r="P1185" s="116">
        <v>309.98333333333301</v>
      </c>
      <c r="Q1185" s="116">
        <v>925.45</v>
      </c>
      <c r="R1185">
        <v>43744</v>
      </c>
    </row>
    <row r="1186" spans="1:18" x14ac:dyDescent="0.25">
      <c r="A1186" s="169">
        <v>44238</v>
      </c>
      <c r="B1186" s="116">
        <v>310</v>
      </c>
      <c r="C1186" s="116">
        <v>303.16666666666703</v>
      </c>
      <c r="D1186" s="116">
        <v>300.46666666666698</v>
      </c>
      <c r="E1186" s="116">
        <v>308.66666666666703</v>
      </c>
      <c r="F1186" s="116">
        <v>909.5</v>
      </c>
      <c r="G1186">
        <v>4976</v>
      </c>
      <c r="H1186" s="116"/>
      <c r="I1186" s="116"/>
      <c r="L1186" s="169">
        <v>44238</v>
      </c>
      <c r="M1186" s="116">
        <v>303.066666666667</v>
      </c>
      <c r="N1186" s="116">
        <v>310</v>
      </c>
      <c r="O1186" s="116">
        <v>300</v>
      </c>
      <c r="P1186" s="116">
        <v>306.66666666666703</v>
      </c>
      <c r="Q1186" s="116">
        <v>909.2</v>
      </c>
      <c r="R1186">
        <v>54701</v>
      </c>
    </row>
    <row r="1187" spans="1:18" x14ac:dyDescent="0.25">
      <c r="A1187" s="169">
        <v>44239</v>
      </c>
      <c r="B1187" s="116">
        <v>305.89999999999998</v>
      </c>
      <c r="C1187" s="116">
        <v>299.433333333333</v>
      </c>
      <c r="D1187" s="116">
        <v>298.16666666666703</v>
      </c>
      <c r="E1187" s="116">
        <v>300.03333333333302</v>
      </c>
      <c r="F1187" s="116">
        <v>898.3</v>
      </c>
      <c r="G1187">
        <v>8359</v>
      </c>
      <c r="H1187" s="116"/>
      <c r="I1187" s="116"/>
      <c r="L1187" s="169">
        <v>44239</v>
      </c>
      <c r="M1187" s="116">
        <v>300.01666666666699</v>
      </c>
      <c r="N1187" s="116">
        <v>306</v>
      </c>
      <c r="O1187" s="116">
        <v>298.33333333333297</v>
      </c>
      <c r="P1187" s="116">
        <v>302.66666666666703</v>
      </c>
      <c r="Q1187" s="116">
        <v>900.05</v>
      </c>
      <c r="R1187">
        <v>45831</v>
      </c>
    </row>
    <row r="1188" spans="1:18" x14ac:dyDescent="0.25">
      <c r="A1188" s="169">
        <v>44242</v>
      </c>
      <c r="B1188" s="116">
        <v>300.33333333333297</v>
      </c>
      <c r="C1188" s="116">
        <v>299.683333333333</v>
      </c>
      <c r="D1188" s="116">
        <v>298.433333333333</v>
      </c>
      <c r="E1188" s="116">
        <v>299.33333333333297</v>
      </c>
      <c r="F1188" s="116">
        <v>899.05</v>
      </c>
      <c r="G1188">
        <v>1753</v>
      </c>
      <c r="H1188" s="116"/>
      <c r="I1188" s="116"/>
      <c r="L1188" s="169">
        <v>44242</v>
      </c>
      <c r="M1188" s="116">
        <v>299.83333333333297</v>
      </c>
      <c r="N1188" s="116">
        <v>301.63333333333298</v>
      </c>
      <c r="O1188" s="116">
        <v>298.33333333333297</v>
      </c>
      <c r="P1188" s="116">
        <v>301.63333333333298</v>
      </c>
      <c r="Q1188" s="116">
        <v>899.5</v>
      </c>
      <c r="R1188">
        <v>43197</v>
      </c>
    </row>
    <row r="1189" spans="1:18" x14ac:dyDescent="0.25">
      <c r="A1189" s="169">
        <v>44243</v>
      </c>
      <c r="B1189" s="116">
        <v>313.01666666666699</v>
      </c>
      <c r="C1189" s="116">
        <v>308.5</v>
      </c>
      <c r="D1189" s="116">
        <v>300.33333333333297</v>
      </c>
      <c r="E1189" s="116">
        <v>300.33333333333297</v>
      </c>
      <c r="F1189" s="116">
        <v>925.5</v>
      </c>
      <c r="G1189">
        <v>3940</v>
      </c>
      <c r="H1189" s="116"/>
      <c r="I1189" s="116"/>
      <c r="L1189" s="169">
        <v>44243</v>
      </c>
      <c r="M1189" s="116">
        <v>308.83333333333297</v>
      </c>
      <c r="N1189" s="116">
        <v>314.46666666666698</v>
      </c>
      <c r="O1189" s="116">
        <v>300.01666666666699</v>
      </c>
      <c r="P1189" s="116">
        <v>300.01666666666699</v>
      </c>
      <c r="Q1189" s="116">
        <v>926.5</v>
      </c>
      <c r="R1189">
        <v>243903</v>
      </c>
    </row>
    <row r="1190" spans="1:18" x14ac:dyDescent="0.25">
      <c r="A1190" s="169">
        <v>44244</v>
      </c>
      <c r="B1190" s="116">
        <v>314.33333333333297</v>
      </c>
      <c r="C1190" s="116">
        <v>307.25</v>
      </c>
      <c r="D1190" s="116">
        <v>304.66666666666703</v>
      </c>
      <c r="E1190" s="116">
        <v>310.51666666666699</v>
      </c>
      <c r="F1190" s="116">
        <v>921.75</v>
      </c>
      <c r="G1190">
        <v>5998</v>
      </c>
      <c r="H1190" s="116"/>
      <c r="I1190" s="116"/>
      <c r="L1190" s="169">
        <v>44244</v>
      </c>
      <c r="M1190" s="116">
        <v>306.98333333333301</v>
      </c>
      <c r="N1190" s="116">
        <v>314.39999999999998</v>
      </c>
      <c r="O1190" s="116">
        <v>304.51666666666699</v>
      </c>
      <c r="P1190" s="116">
        <v>310.46666666666698</v>
      </c>
      <c r="Q1190" s="116">
        <v>920.95</v>
      </c>
      <c r="R1190">
        <v>235914</v>
      </c>
    </row>
    <row r="1191" spans="1:18" x14ac:dyDescent="0.25">
      <c r="A1191" s="169">
        <v>44245</v>
      </c>
      <c r="B1191" s="116">
        <v>319</v>
      </c>
      <c r="C1191" s="116">
        <v>312.683333333333</v>
      </c>
      <c r="D1191" s="116">
        <v>308.16666666666703</v>
      </c>
      <c r="E1191" s="116">
        <v>310</v>
      </c>
      <c r="F1191" s="116">
        <v>938.05</v>
      </c>
      <c r="G1191">
        <v>24953</v>
      </c>
      <c r="H1191" s="116"/>
      <c r="I1191" s="116"/>
      <c r="L1191" s="169">
        <v>44245</v>
      </c>
      <c r="M1191" s="116">
        <v>312.64999999999998</v>
      </c>
      <c r="N1191" s="116">
        <v>316.64999999999998</v>
      </c>
      <c r="O1191" s="116">
        <v>307.08333333333297</v>
      </c>
      <c r="P1191" s="116">
        <v>309.33333333333297</v>
      </c>
      <c r="Q1191" s="116">
        <v>937.95</v>
      </c>
      <c r="R1191">
        <v>535263</v>
      </c>
    </row>
    <row r="1192" spans="1:18" x14ac:dyDescent="0.25">
      <c r="A1192" s="169">
        <v>44246</v>
      </c>
      <c r="B1192" s="116">
        <v>319.63333333333298</v>
      </c>
      <c r="C1192" s="116">
        <v>310.433333333333</v>
      </c>
      <c r="D1192" s="116">
        <v>308</v>
      </c>
      <c r="E1192" s="116">
        <v>316</v>
      </c>
      <c r="F1192" s="116">
        <v>931.3</v>
      </c>
      <c r="G1192">
        <v>17727</v>
      </c>
      <c r="H1192" s="116"/>
      <c r="I1192" s="116"/>
      <c r="L1192" s="169">
        <v>44246</v>
      </c>
      <c r="M1192" s="116">
        <v>310.16666666666703</v>
      </c>
      <c r="N1192" s="116">
        <v>320</v>
      </c>
      <c r="O1192" s="116">
        <v>308.33333333333297</v>
      </c>
      <c r="P1192" s="116">
        <v>314.66666666666703</v>
      </c>
      <c r="Q1192" s="116">
        <v>930.5</v>
      </c>
      <c r="R1192">
        <v>144243</v>
      </c>
    </row>
    <row r="1193" spans="1:18" x14ac:dyDescent="0.25">
      <c r="A1193" s="169">
        <v>44249</v>
      </c>
      <c r="B1193" s="116">
        <v>317.58333333333297</v>
      </c>
      <c r="C1193" s="116">
        <v>308.64999999999998</v>
      </c>
      <c r="D1193" s="116">
        <v>306.433333333333</v>
      </c>
      <c r="E1193" s="116">
        <v>310.7</v>
      </c>
      <c r="F1193" s="116">
        <v>925.95</v>
      </c>
      <c r="G1193">
        <v>17999</v>
      </c>
      <c r="H1193" s="116"/>
      <c r="I1193" s="116"/>
      <c r="L1193" s="169">
        <v>44249</v>
      </c>
      <c r="M1193" s="116">
        <v>309.28333333333302</v>
      </c>
      <c r="N1193" s="116">
        <v>317.933333333333</v>
      </c>
      <c r="O1193" s="116">
        <v>307</v>
      </c>
      <c r="P1193" s="116">
        <v>313.39999999999998</v>
      </c>
      <c r="Q1193" s="116">
        <v>927.85</v>
      </c>
      <c r="R1193">
        <v>292351</v>
      </c>
    </row>
    <row r="1194" spans="1:18" x14ac:dyDescent="0.25">
      <c r="A1194" s="169">
        <v>44250</v>
      </c>
      <c r="B1194" s="116">
        <v>313.45</v>
      </c>
      <c r="C1194" s="116">
        <v>307.85000000000002</v>
      </c>
      <c r="D1194" s="116">
        <v>306.46666666666698</v>
      </c>
      <c r="E1194" s="116">
        <v>311</v>
      </c>
      <c r="F1194" s="116">
        <v>923.55</v>
      </c>
      <c r="G1194">
        <v>2297</v>
      </c>
      <c r="H1194" s="116"/>
      <c r="I1194" s="116"/>
      <c r="L1194" s="169">
        <v>44250</v>
      </c>
      <c r="M1194" s="116">
        <v>308.28333333333302</v>
      </c>
      <c r="N1194" s="116">
        <v>313.60000000000002</v>
      </c>
      <c r="O1194" s="116">
        <v>306.05</v>
      </c>
      <c r="P1194" s="116">
        <v>312.433333333333</v>
      </c>
      <c r="Q1194" s="116">
        <v>924.85</v>
      </c>
      <c r="R1194">
        <v>139072</v>
      </c>
    </row>
    <row r="1195" spans="1:18" x14ac:dyDescent="0.25">
      <c r="A1195" s="169">
        <v>44251</v>
      </c>
      <c r="B1195" s="116">
        <v>306.78333333333302</v>
      </c>
      <c r="C1195" s="116">
        <v>304.63333333333298</v>
      </c>
      <c r="D1195" s="116">
        <v>300</v>
      </c>
      <c r="E1195" s="116">
        <v>306.78333333333302</v>
      </c>
      <c r="F1195" s="116">
        <v>913.9</v>
      </c>
      <c r="G1195">
        <v>11031</v>
      </c>
      <c r="H1195" s="116"/>
      <c r="I1195" s="116"/>
      <c r="L1195" s="169">
        <v>44251</v>
      </c>
      <c r="M1195" s="116">
        <v>304.89999999999998</v>
      </c>
      <c r="N1195" s="116">
        <v>307.66666666666703</v>
      </c>
      <c r="O1195" s="116">
        <v>296.73333333333301</v>
      </c>
      <c r="P1195" s="116">
        <v>307.66666666666703</v>
      </c>
      <c r="Q1195" s="116">
        <v>914.7</v>
      </c>
      <c r="R1195">
        <v>45533</v>
      </c>
    </row>
    <row r="1196" spans="1:18" x14ac:dyDescent="0.25">
      <c r="A1196" s="169">
        <v>44252</v>
      </c>
      <c r="B1196" s="116">
        <v>307.95</v>
      </c>
      <c r="C1196" s="116">
        <v>306.46666666666698</v>
      </c>
      <c r="D1196" s="116">
        <v>302.66666666666703</v>
      </c>
      <c r="E1196" s="116">
        <v>307.08333333333297</v>
      </c>
      <c r="F1196" s="116">
        <v>919.4</v>
      </c>
      <c r="G1196">
        <v>2735</v>
      </c>
      <c r="H1196" s="116"/>
      <c r="I1196" s="116"/>
      <c r="L1196" s="169">
        <v>44252</v>
      </c>
      <c r="M1196" s="116">
        <v>306.63333333333298</v>
      </c>
      <c r="N1196" s="116">
        <v>310.66666666666703</v>
      </c>
      <c r="O1196" s="116">
        <v>302.21666666666698</v>
      </c>
      <c r="P1196" s="116">
        <v>305.33333333333297</v>
      </c>
      <c r="Q1196" s="116">
        <v>919.9</v>
      </c>
      <c r="R1196">
        <v>118536</v>
      </c>
    </row>
    <row r="1197" spans="1:18" x14ac:dyDescent="0.25">
      <c r="A1197" s="169">
        <v>44253</v>
      </c>
      <c r="B1197" s="116">
        <v>304.58333333333297</v>
      </c>
      <c r="C1197" s="116">
        <v>302.53333333333302</v>
      </c>
      <c r="D1197" s="116">
        <v>300.91666666666703</v>
      </c>
      <c r="E1197" s="116">
        <v>301.66666666666703</v>
      </c>
      <c r="F1197" s="116">
        <v>907.6</v>
      </c>
      <c r="G1197">
        <v>1727</v>
      </c>
      <c r="H1197" s="116"/>
      <c r="I1197" s="116"/>
      <c r="L1197" s="169">
        <v>44253</v>
      </c>
      <c r="M1197" s="116">
        <v>302.7</v>
      </c>
      <c r="N1197" s="116">
        <v>305.10000000000002</v>
      </c>
      <c r="O1197" s="116">
        <v>300.55</v>
      </c>
      <c r="P1197" s="116">
        <v>303.66666666666703</v>
      </c>
      <c r="Q1197" s="116">
        <v>908.1</v>
      </c>
      <c r="R1197">
        <v>71659</v>
      </c>
    </row>
    <row r="1198" spans="1:18" x14ac:dyDescent="0.25">
      <c r="A1198" s="169">
        <v>44256</v>
      </c>
      <c r="B1198" s="116">
        <v>308.5</v>
      </c>
      <c r="C1198" s="116">
        <v>306.95</v>
      </c>
      <c r="D1198" s="116">
        <v>303.08333333333297</v>
      </c>
      <c r="E1198" s="116">
        <v>303.36666666666702</v>
      </c>
      <c r="F1198" s="116">
        <v>920.85</v>
      </c>
      <c r="G1198">
        <v>2915</v>
      </c>
      <c r="H1198" s="116"/>
      <c r="I1198" s="116"/>
      <c r="L1198" s="169">
        <v>44256</v>
      </c>
      <c r="M1198" s="116">
        <v>306.89999999999998</v>
      </c>
      <c r="N1198" s="116">
        <v>308.33333333333297</v>
      </c>
      <c r="O1198" s="116">
        <v>302.08333333333297</v>
      </c>
      <c r="P1198" s="116">
        <v>303.33333333333297</v>
      </c>
      <c r="Q1198" s="116">
        <v>920.7</v>
      </c>
      <c r="R1198">
        <v>113329</v>
      </c>
    </row>
    <row r="1199" spans="1:18" x14ac:dyDescent="0.25">
      <c r="A1199" s="169">
        <v>44257</v>
      </c>
      <c r="B1199" s="116">
        <v>307.48333333333301</v>
      </c>
      <c r="C1199" s="116">
        <v>303.5</v>
      </c>
      <c r="D1199" s="116">
        <v>301</v>
      </c>
      <c r="E1199" s="116">
        <v>304.78333333333302</v>
      </c>
      <c r="F1199" s="116">
        <v>910.5</v>
      </c>
      <c r="G1199">
        <v>7052</v>
      </c>
      <c r="H1199" s="116"/>
      <c r="I1199" s="116"/>
      <c r="L1199" s="169">
        <v>44257</v>
      </c>
      <c r="M1199" s="116">
        <v>303.86666666666702</v>
      </c>
      <c r="N1199" s="116">
        <v>309.66666666666703</v>
      </c>
      <c r="O1199" s="116">
        <v>300.88333333333298</v>
      </c>
      <c r="P1199" s="116">
        <v>309.66666666666703</v>
      </c>
      <c r="Q1199" s="116">
        <v>911.6</v>
      </c>
      <c r="R1199">
        <v>336365</v>
      </c>
    </row>
    <row r="1200" spans="1:18" x14ac:dyDescent="0.25">
      <c r="A1200" s="169">
        <v>44258</v>
      </c>
      <c r="B1200" s="116">
        <v>308.33333333333297</v>
      </c>
      <c r="C1200" s="116">
        <v>304.78333333333302</v>
      </c>
      <c r="D1200" s="116">
        <v>302.86666666666702</v>
      </c>
      <c r="E1200" s="116">
        <v>308.33333333333297</v>
      </c>
      <c r="F1200" s="116">
        <v>914.35</v>
      </c>
      <c r="G1200">
        <v>2086</v>
      </c>
      <c r="H1200" s="116"/>
      <c r="I1200" s="116"/>
      <c r="L1200" s="169">
        <v>44258</v>
      </c>
      <c r="M1200" s="116">
        <v>304.933333333333</v>
      </c>
      <c r="N1200" s="116">
        <v>306.63333333333298</v>
      </c>
      <c r="O1200" s="116">
        <v>302.683333333333</v>
      </c>
      <c r="P1200" s="116">
        <v>304.21666666666698</v>
      </c>
      <c r="Q1200" s="116">
        <v>914.8</v>
      </c>
      <c r="R1200">
        <v>101049</v>
      </c>
    </row>
    <row r="1201" spans="1:18" x14ac:dyDescent="0.25">
      <c r="A1201" s="169">
        <v>44259</v>
      </c>
      <c r="B1201" s="116">
        <v>307.58333333333297</v>
      </c>
      <c r="C1201" s="116">
        <v>304.96666666666698</v>
      </c>
      <c r="D1201" s="116">
        <v>302.73333333333301</v>
      </c>
      <c r="E1201" s="116">
        <v>305.86666666666702</v>
      </c>
      <c r="F1201" s="116">
        <v>914.9</v>
      </c>
      <c r="G1201">
        <v>2744</v>
      </c>
      <c r="H1201" s="116"/>
      <c r="I1201" s="116"/>
      <c r="L1201" s="169">
        <v>44259</v>
      </c>
      <c r="M1201" s="116">
        <v>306.33333333333297</v>
      </c>
      <c r="N1201" s="116">
        <v>308</v>
      </c>
      <c r="O1201" s="116">
        <v>302.73333333333301</v>
      </c>
      <c r="P1201" s="116">
        <v>304.566666666667</v>
      </c>
      <c r="Q1201" s="116">
        <v>919</v>
      </c>
      <c r="R1201">
        <v>257246</v>
      </c>
    </row>
    <row r="1202" spans="1:18" x14ac:dyDescent="0.25">
      <c r="A1202" s="169">
        <v>44260</v>
      </c>
      <c r="B1202" s="116">
        <v>304.96666666666698</v>
      </c>
      <c r="C1202" s="116">
        <v>301.64999999999998</v>
      </c>
      <c r="D1202" s="116">
        <v>300.316666666667</v>
      </c>
      <c r="E1202" s="116">
        <v>304.96666666666698</v>
      </c>
      <c r="F1202" s="116">
        <v>904.95</v>
      </c>
      <c r="G1202">
        <v>2662</v>
      </c>
      <c r="H1202" s="116"/>
      <c r="I1202" s="116"/>
      <c r="L1202" s="169">
        <v>44260</v>
      </c>
      <c r="M1202" s="116">
        <v>301.64999999999998</v>
      </c>
      <c r="N1202" s="116">
        <v>305.933333333333</v>
      </c>
      <c r="O1202" s="116">
        <v>300</v>
      </c>
      <c r="P1202" s="116">
        <v>305.933333333333</v>
      </c>
      <c r="Q1202" s="116">
        <v>904.95</v>
      </c>
      <c r="R1202">
        <v>66480</v>
      </c>
    </row>
    <row r="1203" spans="1:18" x14ac:dyDescent="0.25">
      <c r="A1203" s="169">
        <v>44263</v>
      </c>
      <c r="B1203" s="116">
        <v>305</v>
      </c>
      <c r="C1203" s="116">
        <v>300.66666666666703</v>
      </c>
      <c r="D1203" s="116">
        <v>299.7</v>
      </c>
      <c r="E1203" s="116">
        <v>305</v>
      </c>
      <c r="F1203" s="116">
        <v>902</v>
      </c>
      <c r="G1203">
        <v>5182</v>
      </c>
      <c r="H1203" s="116"/>
      <c r="I1203" s="116"/>
      <c r="L1203" s="169">
        <v>44263</v>
      </c>
      <c r="M1203" s="116">
        <v>300.91666666666703</v>
      </c>
      <c r="N1203" s="116">
        <v>303.78333333333302</v>
      </c>
      <c r="O1203" s="116">
        <v>300.33333333333297</v>
      </c>
      <c r="P1203" s="116">
        <v>303.23333333333301</v>
      </c>
      <c r="Q1203" s="116">
        <v>902.75</v>
      </c>
      <c r="R1203">
        <v>66454</v>
      </c>
    </row>
    <row r="1204" spans="1:18" x14ac:dyDescent="0.25">
      <c r="A1204" s="169">
        <v>44264</v>
      </c>
      <c r="B1204" s="116">
        <v>302.683333333333</v>
      </c>
      <c r="C1204" s="116">
        <v>299.95</v>
      </c>
      <c r="D1204" s="116">
        <v>297.96666666666698</v>
      </c>
      <c r="E1204" s="116">
        <v>302.566666666667</v>
      </c>
      <c r="F1204" s="116">
        <v>899.85</v>
      </c>
      <c r="G1204">
        <v>802</v>
      </c>
      <c r="H1204" s="116"/>
      <c r="I1204" s="116"/>
      <c r="L1204" s="169">
        <v>44264</v>
      </c>
      <c r="M1204" s="116">
        <v>300.5</v>
      </c>
      <c r="N1204" s="116">
        <v>303.88333333333298</v>
      </c>
      <c r="O1204" s="116">
        <v>297.66666666666703</v>
      </c>
      <c r="P1204" s="116">
        <v>303.88333333333298</v>
      </c>
      <c r="Q1204" s="116">
        <v>901.5</v>
      </c>
      <c r="R1204">
        <v>35123</v>
      </c>
    </row>
    <row r="1205" spans="1:18" x14ac:dyDescent="0.25">
      <c r="A1205" s="169">
        <v>44265</v>
      </c>
      <c r="B1205" s="116">
        <v>300.88333333333298</v>
      </c>
      <c r="C1205" s="116">
        <v>297.96666666666698</v>
      </c>
      <c r="D1205" s="116">
        <v>297.08333333333297</v>
      </c>
      <c r="E1205" s="116">
        <v>300.85000000000002</v>
      </c>
      <c r="F1205" s="116">
        <v>893.9</v>
      </c>
      <c r="G1205">
        <v>1550</v>
      </c>
      <c r="H1205" s="116"/>
      <c r="I1205" s="116"/>
      <c r="L1205" s="169">
        <v>44265</v>
      </c>
      <c r="M1205" s="116">
        <v>298.60000000000002</v>
      </c>
      <c r="N1205" s="116">
        <v>302.46666666666698</v>
      </c>
      <c r="O1205" s="116">
        <v>298.33333333333297</v>
      </c>
      <c r="P1205" s="116">
        <v>302.46666666666698</v>
      </c>
      <c r="Q1205" s="116">
        <v>895.8</v>
      </c>
      <c r="R1205">
        <v>33652</v>
      </c>
    </row>
    <row r="1206" spans="1:18" x14ac:dyDescent="0.25">
      <c r="A1206" s="169">
        <v>44267</v>
      </c>
      <c r="B1206" s="116">
        <v>300.73333333333301</v>
      </c>
      <c r="C1206" s="116">
        <v>297.7</v>
      </c>
      <c r="D1206" s="116">
        <v>297.01666666666699</v>
      </c>
      <c r="E1206" s="116">
        <v>299.28333333333302</v>
      </c>
      <c r="F1206" s="116">
        <v>893.1</v>
      </c>
      <c r="G1206">
        <v>1070</v>
      </c>
      <c r="H1206" s="116"/>
      <c r="I1206" s="116"/>
      <c r="L1206" s="169">
        <v>44267</v>
      </c>
      <c r="M1206" s="116">
        <v>297.83333333333297</v>
      </c>
      <c r="N1206" s="116">
        <v>300.566666666667</v>
      </c>
      <c r="O1206" s="116">
        <v>296.683333333333</v>
      </c>
      <c r="P1206" s="116">
        <v>300.16666666666703</v>
      </c>
      <c r="Q1206" s="116">
        <v>893.5</v>
      </c>
      <c r="R1206">
        <v>26204</v>
      </c>
    </row>
    <row r="1207" spans="1:18" x14ac:dyDescent="0.25">
      <c r="A1207" s="169">
        <v>44270</v>
      </c>
      <c r="B1207" s="116">
        <v>300</v>
      </c>
      <c r="C1207" s="116">
        <v>289.23333333333301</v>
      </c>
      <c r="D1207" s="116">
        <v>287.89999999999998</v>
      </c>
      <c r="E1207" s="116">
        <v>300</v>
      </c>
      <c r="F1207" s="116">
        <v>867.7</v>
      </c>
      <c r="G1207">
        <v>2461</v>
      </c>
      <c r="H1207" s="116"/>
      <c r="I1207" s="116"/>
      <c r="L1207" s="169">
        <v>44270</v>
      </c>
      <c r="M1207" s="116">
        <v>289.23333333333301</v>
      </c>
      <c r="N1207" s="116">
        <v>299.316666666667</v>
      </c>
      <c r="O1207" s="116">
        <v>287.73333333333301</v>
      </c>
      <c r="P1207" s="116">
        <v>298.33333333333297</v>
      </c>
      <c r="Q1207" s="116">
        <v>867.7</v>
      </c>
      <c r="R1207">
        <v>89441</v>
      </c>
    </row>
    <row r="1208" spans="1:18" x14ac:dyDescent="0.25">
      <c r="A1208" s="169">
        <v>44271</v>
      </c>
      <c r="B1208" s="116">
        <v>298.16666666666703</v>
      </c>
      <c r="C1208" s="116">
        <v>292.13333333333298</v>
      </c>
      <c r="D1208" s="116">
        <v>291.16666666666703</v>
      </c>
      <c r="E1208" s="116">
        <v>293.33333333333297</v>
      </c>
      <c r="F1208" s="116">
        <v>876.4</v>
      </c>
      <c r="G1208">
        <v>5429</v>
      </c>
      <c r="H1208" s="116"/>
      <c r="I1208" s="116"/>
      <c r="L1208" s="169">
        <v>44271</v>
      </c>
      <c r="M1208" s="116">
        <v>291.85000000000002</v>
      </c>
      <c r="N1208" s="116">
        <v>298.48333333333301</v>
      </c>
      <c r="O1208" s="116">
        <v>290.66666666666703</v>
      </c>
      <c r="P1208" s="116">
        <v>291.60000000000002</v>
      </c>
      <c r="Q1208" s="116">
        <v>875.55</v>
      </c>
      <c r="R1208">
        <v>98114</v>
      </c>
    </row>
    <row r="1209" spans="1:18" x14ac:dyDescent="0.25">
      <c r="A1209" s="169">
        <v>44272</v>
      </c>
      <c r="B1209" s="116">
        <v>293.89999999999998</v>
      </c>
      <c r="C1209" s="116">
        <v>288.63333333333298</v>
      </c>
      <c r="D1209" s="116">
        <v>288</v>
      </c>
      <c r="E1209" s="116">
        <v>292.39999999999998</v>
      </c>
      <c r="F1209" s="116">
        <v>865.9</v>
      </c>
      <c r="G1209">
        <v>6794</v>
      </c>
      <c r="H1209" s="116"/>
      <c r="I1209" s="116"/>
      <c r="L1209" s="169">
        <v>44272</v>
      </c>
      <c r="M1209" s="116">
        <v>288.71666666666698</v>
      </c>
      <c r="N1209" s="116">
        <v>294.64999999999998</v>
      </c>
      <c r="O1209" s="116">
        <v>287.71666666666698</v>
      </c>
      <c r="P1209" s="116">
        <v>292.63333333333298</v>
      </c>
      <c r="Q1209" s="116">
        <v>866.15</v>
      </c>
      <c r="R1209">
        <v>69724</v>
      </c>
    </row>
    <row r="1210" spans="1:18" x14ac:dyDescent="0.25">
      <c r="A1210" s="169">
        <v>44273</v>
      </c>
      <c r="B1210" s="116">
        <v>292.25</v>
      </c>
      <c r="C1210" s="116">
        <v>287.183333333333</v>
      </c>
      <c r="D1210" s="116">
        <v>285.28333333333302</v>
      </c>
      <c r="E1210" s="116">
        <v>290.36666666666702</v>
      </c>
      <c r="F1210" s="116">
        <v>861.55</v>
      </c>
      <c r="G1210">
        <v>2220</v>
      </c>
      <c r="H1210" s="116"/>
      <c r="I1210" s="116"/>
      <c r="L1210" s="169">
        <v>44273</v>
      </c>
      <c r="M1210" s="116">
        <v>287.8</v>
      </c>
      <c r="N1210" s="116">
        <v>292.45</v>
      </c>
      <c r="O1210" s="116">
        <v>285.41666666666703</v>
      </c>
      <c r="P1210" s="116">
        <v>289</v>
      </c>
      <c r="Q1210" s="116">
        <v>863.4</v>
      </c>
      <c r="R1210">
        <v>41206</v>
      </c>
    </row>
    <row r="1211" spans="1:18" x14ac:dyDescent="0.25">
      <c r="A1211" s="169">
        <v>44274</v>
      </c>
      <c r="B1211" s="116">
        <v>296</v>
      </c>
      <c r="C1211" s="116">
        <v>283.433333333333</v>
      </c>
      <c r="D1211" s="116">
        <v>277.33333333333297</v>
      </c>
      <c r="E1211" s="116">
        <v>296</v>
      </c>
      <c r="F1211" s="116">
        <v>850.3</v>
      </c>
      <c r="G1211">
        <v>4510</v>
      </c>
      <c r="H1211" s="116"/>
      <c r="I1211" s="116"/>
      <c r="L1211" s="169">
        <v>44274</v>
      </c>
      <c r="M1211" s="116">
        <v>283.316666666667</v>
      </c>
      <c r="N1211" s="116">
        <v>289.83333333333297</v>
      </c>
      <c r="O1211" s="116">
        <v>277</v>
      </c>
      <c r="P1211" s="116">
        <v>286.66666666666703</v>
      </c>
      <c r="Q1211" s="116">
        <v>849.95</v>
      </c>
      <c r="R1211">
        <v>114011</v>
      </c>
    </row>
    <row r="1212" spans="1:18" x14ac:dyDescent="0.25">
      <c r="A1212" s="169">
        <v>44277</v>
      </c>
      <c r="B1212" s="116">
        <v>296.66666666666703</v>
      </c>
      <c r="C1212" s="116">
        <v>279.96666666666698</v>
      </c>
      <c r="D1212" s="116">
        <v>278.66666666666703</v>
      </c>
      <c r="E1212" s="116">
        <v>290.76666666666699</v>
      </c>
      <c r="F1212" s="116">
        <v>839.9</v>
      </c>
      <c r="G1212">
        <v>15396</v>
      </c>
      <c r="H1212" s="116"/>
      <c r="I1212" s="116"/>
      <c r="L1212" s="169">
        <v>44277</v>
      </c>
      <c r="M1212" s="116">
        <v>280.2</v>
      </c>
      <c r="N1212" s="116">
        <v>300</v>
      </c>
      <c r="O1212" s="116">
        <v>277.433333333333</v>
      </c>
      <c r="P1212" s="116">
        <v>300</v>
      </c>
      <c r="Q1212" s="116">
        <v>840.6</v>
      </c>
      <c r="R1212">
        <v>291323</v>
      </c>
    </row>
    <row r="1213" spans="1:18" x14ac:dyDescent="0.25">
      <c r="A1213" s="169">
        <v>44278</v>
      </c>
      <c r="B1213" s="116">
        <v>290.66666666666703</v>
      </c>
      <c r="C1213" s="116">
        <v>288.35000000000002</v>
      </c>
      <c r="D1213" s="116">
        <v>280.05</v>
      </c>
      <c r="E1213" s="116">
        <v>280.05</v>
      </c>
      <c r="F1213" s="116">
        <v>865.05</v>
      </c>
      <c r="G1213">
        <v>5628</v>
      </c>
      <c r="H1213" s="116"/>
      <c r="I1213" s="116"/>
      <c r="L1213" s="169">
        <v>44278</v>
      </c>
      <c r="M1213" s="116">
        <v>288.76666666666699</v>
      </c>
      <c r="N1213" s="116">
        <v>290.66666666666703</v>
      </c>
      <c r="O1213" s="116">
        <v>280.5</v>
      </c>
      <c r="P1213" s="116">
        <v>281.95</v>
      </c>
      <c r="Q1213" s="116">
        <v>866.3</v>
      </c>
      <c r="R1213">
        <v>161644</v>
      </c>
    </row>
    <row r="1214" spans="1:18" x14ac:dyDescent="0.25">
      <c r="A1214" s="169">
        <v>44279</v>
      </c>
      <c r="B1214" s="116">
        <v>302.10000000000002</v>
      </c>
      <c r="C1214" s="116">
        <v>289.14999999999998</v>
      </c>
      <c r="D1214" s="116">
        <v>286.2</v>
      </c>
      <c r="E1214" s="116">
        <v>292.66666666666703</v>
      </c>
      <c r="F1214" s="116">
        <v>867.45</v>
      </c>
      <c r="G1214">
        <v>12538</v>
      </c>
      <c r="H1214" s="116"/>
      <c r="I1214" s="116"/>
      <c r="L1214" s="169">
        <v>44279</v>
      </c>
      <c r="M1214" s="116">
        <v>289.7</v>
      </c>
      <c r="N1214" s="116">
        <v>302.33333333333297</v>
      </c>
      <c r="O1214" s="116">
        <v>287</v>
      </c>
      <c r="P1214" s="116">
        <v>289.03333333333302</v>
      </c>
      <c r="Q1214" s="116">
        <v>869.1</v>
      </c>
      <c r="R1214">
        <v>404222</v>
      </c>
    </row>
    <row r="1215" spans="1:18" x14ac:dyDescent="0.25">
      <c r="A1215" s="169">
        <v>44280</v>
      </c>
      <c r="B1215" s="116">
        <v>299.816666666667</v>
      </c>
      <c r="C1215" s="116">
        <v>288.98333333333301</v>
      </c>
      <c r="D1215" s="116">
        <v>283.433333333333</v>
      </c>
      <c r="E1215" s="116">
        <v>299.816666666667</v>
      </c>
      <c r="F1215" s="116">
        <v>866.95</v>
      </c>
      <c r="G1215">
        <v>4019</v>
      </c>
      <c r="H1215" s="116"/>
      <c r="I1215" s="116"/>
      <c r="L1215" s="169">
        <v>44280</v>
      </c>
      <c r="M1215" s="116">
        <v>288.33333333333297</v>
      </c>
      <c r="N1215" s="116">
        <v>292.066666666667</v>
      </c>
      <c r="O1215" s="116">
        <v>283.566666666667</v>
      </c>
      <c r="P1215" s="116">
        <v>290.316666666667</v>
      </c>
      <c r="Q1215" s="116">
        <v>865</v>
      </c>
      <c r="R1215">
        <v>126728</v>
      </c>
    </row>
    <row r="1216" spans="1:18" x14ac:dyDescent="0.25">
      <c r="A1216" s="169">
        <v>44281</v>
      </c>
      <c r="B1216" s="116">
        <v>300</v>
      </c>
      <c r="C1216" s="116">
        <v>289.10000000000002</v>
      </c>
      <c r="D1216" s="116">
        <v>287.41666666666703</v>
      </c>
      <c r="E1216" s="116">
        <v>290.33333333333297</v>
      </c>
      <c r="F1216" s="116">
        <v>867.3</v>
      </c>
      <c r="G1216">
        <v>12450</v>
      </c>
      <c r="H1216" s="116"/>
      <c r="I1216" s="116"/>
      <c r="L1216" s="169">
        <v>44281</v>
      </c>
      <c r="M1216" s="116">
        <v>288.88333333333298</v>
      </c>
      <c r="N1216" s="116">
        <v>294</v>
      </c>
      <c r="O1216" s="116">
        <v>286.66666666666703</v>
      </c>
      <c r="P1216" s="116">
        <v>291.89999999999998</v>
      </c>
      <c r="Q1216" s="116">
        <v>866.65</v>
      </c>
      <c r="R1216">
        <v>191367</v>
      </c>
    </row>
    <row r="1217" spans="1:18" x14ac:dyDescent="0.25">
      <c r="A1217" s="169">
        <v>44285</v>
      </c>
      <c r="B1217" s="116">
        <v>295.66666666666703</v>
      </c>
      <c r="C1217" s="116">
        <v>291.26666666666699</v>
      </c>
      <c r="D1217" s="116">
        <v>289</v>
      </c>
      <c r="E1217" s="116">
        <v>293.33333333333297</v>
      </c>
      <c r="F1217" s="116">
        <v>873.8</v>
      </c>
      <c r="G1217">
        <v>14388</v>
      </c>
      <c r="H1217" s="116"/>
      <c r="I1217" s="116"/>
      <c r="L1217" s="169">
        <v>44285</v>
      </c>
      <c r="M1217" s="116">
        <v>291.39999999999998</v>
      </c>
      <c r="N1217" s="116">
        <v>296.33333333333297</v>
      </c>
      <c r="O1217" s="116">
        <v>289.33333333333297</v>
      </c>
      <c r="P1217" s="116">
        <v>291.36666666666702</v>
      </c>
      <c r="Q1217" s="116">
        <v>874.2</v>
      </c>
      <c r="R1217">
        <v>170667</v>
      </c>
    </row>
    <row r="1218" spans="1:18" x14ac:dyDescent="0.25">
      <c r="A1218" s="169">
        <v>44286</v>
      </c>
      <c r="B1218" s="116">
        <v>308.33333333333297</v>
      </c>
      <c r="C1218" s="116">
        <v>300.98333333333301</v>
      </c>
      <c r="D1218" s="116">
        <v>289.11666666666702</v>
      </c>
      <c r="E1218" s="116">
        <v>295</v>
      </c>
      <c r="F1218" s="116">
        <v>902.95</v>
      </c>
      <c r="G1218">
        <v>243413</v>
      </c>
      <c r="H1218" s="116"/>
      <c r="I1218" s="116"/>
      <c r="L1218" s="169">
        <v>44286</v>
      </c>
      <c r="M1218" s="116">
        <v>300.86666666666702</v>
      </c>
      <c r="N1218" s="116">
        <v>308.3</v>
      </c>
      <c r="O1218" s="116">
        <v>288.8</v>
      </c>
      <c r="P1218" s="116">
        <v>292.10000000000002</v>
      </c>
      <c r="Q1218" s="116">
        <v>902.6</v>
      </c>
      <c r="R1218">
        <v>1086790</v>
      </c>
    </row>
    <row r="1219" spans="1:18" x14ac:dyDescent="0.25">
      <c r="A1219" s="169">
        <v>44287</v>
      </c>
      <c r="B1219" s="116">
        <v>316.33333333333297</v>
      </c>
      <c r="C1219" s="116">
        <v>315.03333333333302</v>
      </c>
      <c r="D1219" s="116">
        <v>300.91666666666703</v>
      </c>
      <c r="E1219" s="116">
        <v>300.91666666666703</v>
      </c>
      <c r="F1219" s="116">
        <v>945.1</v>
      </c>
      <c r="G1219">
        <v>42996</v>
      </c>
      <c r="H1219" s="116"/>
      <c r="I1219" s="116"/>
      <c r="L1219" s="169">
        <v>44287</v>
      </c>
      <c r="M1219" s="116">
        <v>315.13333333333298</v>
      </c>
      <c r="N1219" s="116">
        <v>316.66666666666703</v>
      </c>
      <c r="O1219" s="116">
        <v>301</v>
      </c>
      <c r="P1219" s="116">
        <v>303.25</v>
      </c>
      <c r="Q1219" s="116">
        <v>945.4</v>
      </c>
      <c r="R1219">
        <v>480734</v>
      </c>
    </row>
    <row r="1220" spans="1:18" x14ac:dyDescent="0.25">
      <c r="A1220" s="169">
        <v>44291</v>
      </c>
      <c r="B1220" s="116">
        <v>345.28333333333302</v>
      </c>
      <c r="C1220" s="116">
        <v>338.2</v>
      </c>
      <c r="D1220" s="116">
        <v>315.78333333333302</v>
      </c>
      <c r="E1220" s="116">
        <v>316.66666666666703</v>
      </c>
      <c r="F1220" s="116">
        <v>1014.6</v>
      </c>
      <c r="G1220">
        <v>63292</v>
      </c>
      <c r="H1220" s="116"/>
      <c r="I1220" s="116"/>
      <c r="L1220" s="169">
        <v>44291</v>
      </c>
      <c r="M1220" s="116">
        <v>338.51666666666699</v>
      </c>
      <c r="N1220" s="116">
        <v>345.33333333333297</v>
      </c>
      <c r="O1220" s="116">
        <v>315.33333333333297</v>
      </c>
      <c r="P1220" s="116">
        <v>315.33333333333297</v>
      </c>
      <c r="Q1220" s="116">
        <v>1015.55</v>
      </c>
      <c r="R1220">
        <v>1678040</v>
      </c>
    </row>
    <row r="1221" spans="1:18" x14ac:dyDescent="0.25">
      <c r="A1221" s="169">
        <v>44292</v>
      </c>
      <c r="B1221" s="116">
        <v>354.71666666666698</v>
      </c>
      <c r="C1221" s="116">
        <v>336.03333333333302</v>
      </c>
      <c r="D1221" s="116">
        <v>333.33333333333297</v>
      </c>
      <c r="E1221" s="116">
        <v>344.66666666666703</v>
      </c>
      <c r="F1221" s="116">
        <v>1008.1</v>
      </c>
      <c r="G1221">
        <v>49097</v>
      </c>
      <c r="H1221" s="116"/>
      <c r="I1221" s="116"/>
      <c r="L1221" s="169">
        <v>44292</v>
      </c>
      <c r="M1221" s="116">
        <v>337.066666666667</v>
      </c>
      <c r="N1221" s="116">
        <v>354.86666666666702</v>
      </c>
      <c r="O1221" s="116">
        <v>334.08333333333297</v>
      </c>
      <c r="P1221" s="116">
        <v>342.33333333333297</v>
      </c>
      <c r="Q1221" s="116">
        <v>1011.2</v>
      </c>
      <c r="R1221">
        <v>986304</v>
      </c>
    </row>
    <row r="1222" spans="1:18" x14ac:dyDescent="0.25">
      <c r="A1222" s="169">
        <v>44293</v>
      </c>
      <c r="B1222" s="116">
        <v>349.5</v>
      </c>
      <c r="C1222" s="116">
        <v>330.83333333333297</v>
      </c>
      <c r="D1222" s="116">
        <v>326.39999999999998</v>
      </c>
      <c r="E1222" s="116">
        <v>340</v>
      </c>
      <c r="F1222" s="116">
        <v>992.5</v>
      </c>
      <c r="G1222">
        <v>32925</v>
      </c>
      <c r="H1222" s="116"/>
      <c r="I1222" s="116"/>
      <c r="L1222" s="169">
        <v>44293</v>
      </c>
      <c r="M1222" s="116">
        <v>330.5</v>
      </c>
      <c r="N1222" s="116">
        <v>348</v>
      </c>
      <c r="O1222" s="116">
        <v>326.71666666666698</v>
      </c>
      <c r="P1222" s="116">
        <v>341.96666666666698</v>
      </c>
      <c r="Q1222" s="116">
        <v>991.5</v>
      </c>
      <c r="R1222">
        <v>794115</v>
      </c>
    </row>
    <row r="1223" spans="1:18" x14ac:dyDescent="0.25">
      <c r="A1223" s="169">
        <v>44294</v>
      </c>
      <c r="B1223" s="116">
        <v>343.16666666666703</v>
      </c>
      <c r="C1223" s="116">
        <v>336.3</v>
      </c>
      <c r="D1223" s="116">
        <v>327.35000000000002</v>
      </c>
      <c r="E1223" s="116">
        <v>333.33333333333297</v>
      </c>
      <c r="F1223" s="116">
        <v>1008.9</v>
      </c>
      <c r="G1223">
        <v>55816</v>
      </c>
      <c r="H1223" s="116"/>
      <c r="I1223" s="116"/>
      <c r="L1223" s="169">
        <v>44294</v>
      </c>
      <c r="M1223" s="116">
        <v>336.16666666666703</v>
      </c>
      <c r="N1223" s="116">
        <v>343.33333333333297</v>
      </c>
      <c r="O1223" s="116">
        <v>327.13333333333298</v>
      </c>
      <c r="P1223" s="116">
        <v>333.13333333333298</v>
      </c>
      <c r="Q1223" s="116">
        <v>1008.5</v>
      </c>
      <c r="R1223">
        <v>610192</v>
      </c>
    </row>
    <row r="1224" spans="1:18" x14ac:dyDescent="0.25">
      <c r="A1224" s="169">
        <v>44295</v>
      </c>
      <c r="B1224" s="116">
        <v>356.6</v>
      </c>
      <c r="C1224" s="116">
        <v>346.73333333333301</v>
      </c>
      <c r="D1224" s="116">
        <v>342.66666666666703</v>
      </c>
      <c r="E1224" s="116">
        <v>342.88333333333298</v>
      </c>
      <c r="F1224" s="116">
        <v>1040.2</v>
      </c>
      <c r="G1224">
        <v>97403</v>
      </c>
      <c r="H1224" s="116"/>
      <c r="I1224" s="116"/>
      <c r="L1224" s="169">
        <v>44295</v>
      </c>
      <c r="M1224" s="116">
        <v>347.65</v>
      </c>
      <c r="N1224" s="116">
        <v>356.66666666666703</v>
      </c>
      <c r="O1224" s="116">
        <v>341.63333333333298</v>
      </c>
      <c r="P1224" s="116">
        <v>342.566666666667</v>
      </c>
      <c r="Q1224" s="116">
        <v>1042.95</v>
      </c>
      <c r="R1224">
        <v>1310329</v>
      </c>
    </row>
    <row r="1225" spans="1:18" x14ac:dyDescent="0.25">
      <c r="A1225" s="169">
        <v>44298</v>
      </c>
      <c r="B1225" s="116">
        <v>366.65</v>
      </c>
      <c r="C1225" s="116">
        <v>351.28333333333302</v>
      </c>
      <c r="D1225" s="116">
        <v>335.35</v>
      </c>
      <c r="E1225" s="116">
        <v>353.33333333333297</v>
      </c>
      <c r="F1225" s="116">
        <v>1053.8499999999999</v>
      </c>
      <c r="G1225">
        <v>71597</v>
      </c>
      <c r="H1225" s="116"/>
      <c r="I1225" s="116"/>
      <c r="L1225" s="169">
        <v>44298</v>
      </c>
      <c r="M1225" s="116">
        <v>351.76666666666699</v>
      </c>
      <c r="N1225" s="116">
        <v>366.66666666666703</v>
      </c>
      <c r="O1225" s="116">
        <v>334.316666666667</v>
      </c>
      <c r="P1225" s="116">
        <v>349.066666666667</v>
      </c>
      <c r="Q1225" s="116">
        <v>1055.3</v>
      </c>
      <c r="R1225">
        <v>1598997</v>
      </c>
    </row>
    <row r="1226" spans="1:18" x14ac:dyDescent="0.25">
      <c r="A1226" s="169">
        <v>44299</v>
      </c>
      <c r="B1226" s="116">
        <v>366.66666666666703</v>
      </c>
      <c r="C1226" s="116">
        <v>338.91666666666703</v>
      </c>
      <c r="D1226" s="116">
        <v>333.66666666666703</v>
      </c>
      <c r="E1226" s="116">
        <v>366.66666666666703</v>
      </c>
      <c r="F1226" s="116">
        <v>1016.75</v>
      </c>
      <c r="G1226">
        <v>41696</v>
      </c>
      <c r="H1226" s="116"/>
      <c r="I1226" s="116"/>
      <c r="L1226" s="169">
        <v>44299</v>
      </c>
      <c r="M1226" s="116">
        <v>340.51666666666699</v>
      </c>
      <c r="N1226" s="116">
        <v>366.66666666666703</v>
      </c>
      <c r="O1226" s="116">
        <v>334.66666666666703</v>
      </c>
      <c r="P1226" s="116">
        <v>360</v>
      </c>
      <c r="Q1226" s="116">
        <v>1021.55</v>
      </c>
      <c r="R1226">
        <v>776642</v>
      </c>
    </row>
    <row r="1227" spans="1:18" x14ac:dyDescent="0.25">
      <c r="A1227" s="169">
        <v>44301</v>
      </c>
      <c r="B1227" s="116">
        <v>348.33333333333297</v>
      </c>
      <c r="C1227" s="116">
        <v>345.35</v>
      </c>
      <c r="D1227" s="116">
        <v>339.53333333333302</v>
      </c>
      <c r="E1227" s="116">
        <v>348.33333333333297</v>
      </c>
      <c r="F1227" s="116">
        <v>1036.05</v>
      </c>
      <c r="G1227">
        <v>12659</v>
      </c>
      <c r="H1227" s="116"/>
      <c r="I1227" s="116"/>
      <c r="L1227" s="169">
        <v>44301</v>
      </c>
      <c r="M1227" s="116">
        <v>345.61666666666702</v>
      </c>
      <c r="N1227" s="116">
        <v>349.75</v>
      </c>
      <c r="O1227" s="116">
        <v>338.816666666667</v>
      </c>
      <c r="P1227" s="116">
        <v>341.6</v>
      </c>
      <c r="Q1227" s="116">
        <v>1036.8499999999999</v>
      </c>
      <c r="R1227">
        <v>300919</v>
      </c>
    </row>
    <row r="1228" spans="1:18" x14ac:dyDescent="0.25">
      <c r="A1228" s="169">
        <v>44302</v>
      </c>
      <c r="B1228" s="116">
        <v>356.66666666666703</v>
      </c>
      <c r="C1228" s="116">
        <v>336.78333333333302</v>
      </c>
      <c r="D1228" s="116">
        <v>335.6</v>
      </c>
      <c r="E1228" s="116">
        <v>346.98333333333301</v>
      </c>
      <c r="F1228" s="116">
        <v>1010.35</v>
      </c>
      <c r="G1228">
        <v>15603</v>
      </c>
      <c r="H1228" s="116"/>
      <c r="I1228" s="116"/>
      <c r="L1228" s="169">
        <v>44302</v>
      </c>
      <c r="M1228" s="116">
        <v>336.85</v>
      </c>
      <c r="N1228" s="116">
        <v>348.66666666666703</v>
      </c>
      <c r="O1228" s="116">
        <v>335.1</v>
      </c>
      <c r="P1228" s="116">
        <v>346.33333333333297</v>
      </c>
      <c r="Q1228" s="116">
        <v>1010.55</v>
      </c>
      <c r="R1228">
        <v>365277</v>
      </c>
    </row>
    <row r="1229" spans="1:18" x14ac:dyDescent="0.25">
      <c r="A1229" s="169">
        <v>44305</v>
      </c>
      <c r="B1229" s="116">
        <v>356.53333333333302</v>
      </c>
      <c r="C1229" s="116">
        <v>350.03333333333302</v>
      </c>
      <c r="D1229" s="116">
        <v>333.7</v>
      </c>
      <c r="E1229" s="116">
        <v>338.316666666667</v>
      </c>
      <c r="F1229" s="116">
        <v>1050.0999999999999</v>
      </c>
      <c r="G1229">
        <v>56452</v>
      </c>
      <c r="H1229" s="116"/>
      <c r="I1229" s="116"/>
      <c r="L1229" s="169">
        <v>44305</v>
      </c>
      <c r="M1229" s="116">
        <v>349.91666666666703</v>
      </c>
      <c r="N1229" s="116">
        <v>356.66666666666703</v>
      </c>
      <c r="O1229" s="116">
        <v>334</v>
      </c>
      <c r="P1229" s="116">
        <v>336.83333333333297</v>
      </c>
      <c r="Q1229" s="116">
        <v>1049.75</v>
      </c>
      <c r="R1229">
        <v>1057339</v>
      </c>
    </row>
    <row r="1230" spans="1:18" x14ac:dyDescent="0.25">
      <c r="A1230" s="169">
        <v>44306</v>
      </c>
      <c r="B1230" s="116">
        <v>354.73333333333301</v>
      </c>
      <c r="C1230" s="116">
        <v>340.38333333333298</v>
      </c>
      <c r="D1230" s="116">
        <v>337.66666666666703</v>
      </c>
      <c r="E1230" s="116">
        <v>350</v>
      </c>
      <c r="F1230" s="116">
        <v>1021.15</v>
      </c>
      <c r="G1230">
        <v>40575</v>
      </c>
      <c r="H1230" s="116"/>
      <c r="I1230" s="116"/>
      <c r="L1230" s="169">
        <v>44306</v>
      </c>
      <c r="M1230" s="116">
        <v>340.7</v>
      </c>
      <c r="N1230" s="116">
        <v>355.08333333333297</v>
      </c>
      <c r="O1230" s="116">
        <v>337.36666666666702</v>
      </c>
      <c r="P1230" s="116">
        <v>353</v>
      </c>
      <c r="Q1230" s="116">
        <v>1022.1</v>
      </c>
      <c r="R1230">
        <v>389424</v>
      </c>
    </row>
    <row r="1231" spans="1:18" x14ac:dyDescent="0.25">
      <c r="A1231" s="169">
        <v>44308</v>
      </c>
      <c r="B1231" s="116">
        <v>351.05</v>
      </c>
      <c r="C1231" s="116">
        <v>344.21666666666698</v>
      </c>
      <c r="D1231" s="116">
        <v>341</v>
      </c>
      <c r="E1231" s="116">
        <v>344.66666666666703</v>
      </c>
      <c r="F1231" s="116">
        <v>1032.6500000000001</v>
      </c>
      <c r="G1231">
        <v>18240</v>
      </c>
      <c r="H1231" s="116"/>
      <c r="I1231" s="116"/>
      <c r="L1231" s="169">
        <v>44308</v>
      </c>
      <c r="M1231" s="116">
        <v>344.183333333333</v>
      </c>
      <c r="N1231" s="116">
        <v>351</v>
      </c>
      <c r="O1231" s="116">
        <v>340</v>
      </c>
      <c r="P1231" s="116">
        <v>340</v>
      </c>
      <c r="Q1231" s="116">
        <v>1032.55</v>
      </c>
      <c r="R1231">
        <v>332382</v>
      </c>
    </row>
    <row r="1232" spans="1:18" x14ac:dyDescent="0.25">
      <c r="A1232" s="169">
        <v>44309</v>
      </c>
      <c r="B1232" s="116">
        <v>349</v>
      </c>
      <c r="C1232" s="116">
        <v>339.08333333333297</v>
      </c>
      <c r="D1232" s="116">
        <v>337.21666666666698</v>
      </c>
      <c r="E1232" s="116">
        <v>344.8</v>
      </c>
      <c r="F1232" s="116">
        <v>1017.25</v>
      </c>
      <c r="G1232">
        <v>28865</v>
      </c>
      <c r="H1232" s="116"/>
      <c r="I1232" s="116"/>
      <c r="L1232" s="169">
        <v>44309</v>
      </c>
      <c r="M1232" s="116">
        <v>339.21666666666698</v>
      </c>
      <c r="N1232" s="116">
        <v>350</v>
      </c>
      <c r="O1232" s="116">
        <v>337.66666666666703</v>
      </c>
      <c r="P1232" s="116">
        <v>344</v>
      </c>
      <c r="Q1232" s="116">
        <v>1017.65</v>
      </c>
      <c r="R1232">
        <v>207365</v>
      </c>
    </row>
    <row r="1233" spans="1:18" x14ac:dyDescent="0.25">
      <c r="A1233" s="169">
        <v>44312</v>
      </c>
      <c r="B1233" s="116">
        <v>344.45</v>
      </c>
      <c r="C1233" s="116">
        <v>335.1</v>
      </c>
      <c r="D1233" s="116">
        <v>334.16666666666703</v>
      </c>
      <c r="E1233" s="116">
        <v>343.33333333333297</v>
      </c>
      <c r="F1233" s="116">
        <v>1005.3</v>
      </c>
      <c r="G1233">
        <v>10157</v>
      </c>
      <c r="H1233" s="116"/>
      <c r="I1233" s="116"/>
      <c r="L1233" s="169">
        <v>44312</v>
      </c>
      <c r="M1233" s="116">
        <v>335.13333333333298</v>
      </c>
      <c r="N1233" s="116">
        <v>344.15</v>
      </c>
      <c r="O1233" s="116">
        <v>334.1</v>
      </c>
      <c r="P1233" s="116">
        <v>342.86666666666702</v>
      </c>
      <c r="Q1233" s="116">
        <v>1005.4</v>
      </c>
      <c r="R1233">
        <v>175537</v>
      </c>
    </row>
    <row r="1234" spans="1:18" x14ac:dyDescent="0.25">
      <c r="A1234" s="169">
        <v>44313</v>
      </c>
      <c r="B1234" s="116">
        <v>337.48333333333301</v>
      </c>
      <c r="C1234" s="116">
        <v>330.03333333333302</v>
      </c>
      <c r="D1234" s="116">
        <v>328.7</v>
      </c>
      <c r="E1234" s="116">
        <v>336</v>
      </c>
      <c r="F1234" s="116">
        <v>990.1</v>
      </c>
      <c r="G1234">
        <v>10310</v>
      </c>
      <c r="H1234" s="116"/>
      <c r="I1234" s="116"/>
      <c r="L1234" s="169">
        <v>44313</v>
      </c>
      <c r="M1234" s="116">
        <v>329.933333333333</v>
      </c>
      <c r="N1234" s="116">
        <v>338.08333333333297</v>
      </c>
      <c r="O1234" s="116">
        <v>328.53333333333302</v>
      </c>
      <c r="P1234" s="116">
        <v>335.66666666666703</v>
      </c>
      <c r="Q1234" s="116">
        <v>989.8</v>
      </c>
      <c r="R1234">
        <v>275439</v>
      </c>
    </row>
    <row r="1235" spans="1:18" x14ac:dyDescent="0.25">
      <c r="A1235" s="169">
        <v>44314</v>
      </c>
      <c r="B1235" s="116">
        <v>337.55</v>
      </c>
      <c r="C1235" s="116">
        <v>331.66666666666703</v>
      </c>
      <c r="D1235" s="116">
        <v>330.6</v>
      </c>
      <c r="E1235" s="116">
        <v>331</v>
      </c>
      <c r="F1235" s="116">
        <v>995</v>
      </c>
      <c r="G1235">
        <v>20164</v>
      </c>
      <c r="H1235" s="116"/>
      <c r="I1235" s="116"/>
      <c r="L1235" s="169">
        <v>44314</v>
      </c>
      <c r="M1235" s="116">
        <v>331.78333333333302</v>
      </c>
      <c r="N1235" s="116">
        <v>337.78333333333302</v>
      </c>
      <c r="O1235" s="116">
        <v>330</v>
      </c>
      <c r="P1235" s="116">
        <v>332.66666666666703</v>
      </c>
      <c r="Q1235" s="116">
        <v>995.35</v>
      </c>
      <c r="R1235">
        <v>149031</v>
      </c>
    </row>
    <row r="1236" spans="1:18" x14ac:dyDescent="0.25">
      <c r="A1236" s="169">
        <v>44315</v>
      </c>
      <c r="B1236" s="116">
        <v>352.91666666666703</v>
      </c>
      <c r="C1236" s="116">
        <v>349</v>
      </c>
      <c r="D1236" s="116">
        <v>332.76666666666699</v>
      </c>
      <c r="E1236" s="116">
        <v>334.933333333333</v>
      </c>
      <c r="F1236" s="116">
        <v>1047</v>
      </c>
      <c r="G1236">
        <v>23593</v>
      </c>
      <c r="H1236" s="116"/>
      <c r="I1236" s="116"/>
      <c r="L1236" s="169">
        <v>44315</v>
      </c>
      <c r="M1236" s="116">
        <v>349.46666666666698</v>
      </c>
      <c r="N1236" s="116">
        <v>353.03333333333302</v>
      </c>
      <c r="O1236" s="116">
        <v>332</v>
      </c>
      <c r="P1236" s="116">
        <v>333</v>
      </c>
      <c r="Q1236" s="116">
        <v>1048.4000000000001</v>
      </c>
      <c r="R1236">
        <v>605162</v>
      </c>
    </row>
    <row r="1237" spans="1:18" x14ac:dyDescent="0.25">
      <c r="A1237" s="169">
        <v>44316</v>
      </c>
      <c r="B1237" s="116">
        <v>361.183333333333</v>
      </c>
      <c r="C1237" s="116">
        <v>341.63333333333298</v>
      </c>
      <c r="D1237" s="116">
        <v>340.41666666666703</v>
      </c>
      <c r="E1237" s="116">
        <v>353.2</v>
      </c>
      <c r="F1237" s="116">
        <v>1024.9000000000001</v>
      </c>
      <c r="G1237">
        <v>35288</v>
      </c>
      <c r="H1237" s="116"/>
      <c r="I1237" s="116"/>
      <c r="L1237" s="169">
        <v>44316</v>
      </c>
      <c r="M1237" s="116">
        <v>341.7</v>
      </c>
      <c r="N1237" s="116">
        <v>361.26666666666699</v>
      </c>
      <c r="O1237" s="116">
        <v>340</v>
      </c>
      <c r="P1237" s="116">
        <v>350.65</v>
      </c>
      <c r="Q1237" s="116">
        <v>1025.0999999999999</v>
      </c>
      <c r="R1237">
        <v>892618</v>
      </c>
    </row>
    <row r="1238" spans="1:18" x14ac:dyDescent="0.25">
      <c r="A1238" s="169">
        <v>44319</v>
      </c>
      <c r="B1238" s="116">
        <v>355.01666666666699</v>
      </c>
      <c r="C1238" s="116">
        <v>353.91666666666703</v>
      </c>
      <c r="D1238" s="116">
        <v>340.6</v>
      </c>
      <c r="E1238" s="116">
        <v>341.35</v>
      </c>
      <c r="F1238" s="116">
        <v>1061.75</v>
      </c>
      <c r="G1238">
        <v>13241</v>
      </c>
      <c r="H1238" s="116"/>
      <c r="I1238" s="116"/>
      <c r="L1238" s="169">
        <v>44319</v>
      </c>
      <c r="M1238" s="116">
        <v>353.6</v>
      </c>
      <c r="N1238" s="116">
        <v>355.3</v>
      </c>
      <c r="O1238" s="116">
        <v>340</v>
      </c>
      <c r="P1238" s="116">
        <v>341</v>
      </c>
      <c r="Q1238" s="116">
        <v>1060.8</v>
      </c>
      <c r="R1238">
        <v>301887</v>
      </c>
    </row>
    <row r="1239" spans="1:18" x14ac:dyDescent="0.25">
      <c r="A1239" s="169">
        <v>44320</v>
      </c>
      <c r="B1239" s="116">
        <v>356.66666666666703</v>
      </c>
      <c r="C1239" s="116">
        <v>347.8</v>
      </c>
      <c r="D1239" s="116">
        <v>345.36666666666702</v>
      </c>
      <c r="E1239" s="116">
        <v>356.66666666666703</v>
      </c>
      <c r="F1239" s="116">
        <v>1043.4000000000001</v>
      </c>
      <c r="G1239">
        <v>20766</v>
      </c>
      <c r="H1239" s="116"/>
      <c r="I1239" s="116"/>
      <c r="L1239" s="169">
        <v>44320</v>
      </c>
      <c r="M1239" s="116">
        <v>348.36666666666702</v>
      </c>
      <c r="N1239" s="116">
        <v>356.23333333333301</v>
      </c>
      <c r="O1239" s="116">
        <v>345.45</v>
      </c>
      <c r="P1239" s="116">
        <v>356.23333333333301</v>
      </c>
      <c r="Q1239" s="116">
        <v>1045.0999999999999</v>
      </c>
      <c r="R1239">
        <v>171455</v>
      </c>
    </row>
    <row r="1240" spans="1:18" x14ac:dyDescent="0.25">
      <c r="A1240" s="169">
        <v>44321</v>
      </c>
      <c r="B1240" s="116">
        <v>354.48333333333301</v>
      </c>
      <c r="C1240" s="116">
        <v>350.45</v>
      </c>
      <c r="D1240" s="116">
        <v>344</v>
      </c>
      <c r="E1240" s="116">
        <v>349.98333333333301</v>
      </c>
      <c r="F1240" s="116">
        <v>1051.3499999999999</v>
      </c>
      <c r="G1240">
        <v>9042</v>
      </c>
      <c r="H1240" s="116"/>
      <c r="I1240" s="116"/>
      <c r="L1240" s="169">
        <v>44321</v>
      </c>
      <c r="M1240" s="116">
        <v>350.58333333333297</v>
      </c>
      <c r="N1240" s="116">
        <v>354.66666666666703</v>
      </c>
      <c r="O1240" s="116">
        <v>343.78333333333302</v>
      </c>
      <c r="P1240" s="116">
        <v>348.75</v>
      </c>
      <c r="Q1240" s="116">
        <v>1051.75</v>
      </c>
      <c r="R1240">
        <v>189522</v>
      </c>
    </row>
    <row r="1241" spans="1:18" x14ac:dyDescent="0.25">
      <c r="A1241" s="169">
        <v>44322</v>
      </c>
      <c r="B1241" s="116">
        <v>371.48333333333301</v>
      </c>
      <c r="C1241" s="116">
        <v>361.28333333333302</v>
      </c>
      <c r="D1241" s="116">
        <v>345.65</v>
      </c>
      <c r="E1241" s="116">
        <v>350.45</v>
      </c>
      <c r="F1241" s="116">
        <v>1083.8499999999999</v>
      </c>
      <c r="G1241">
        <v>37974</v>
      </c>
      <c r="H1241" s="116"/>
      <c r="I1241" s="116"/>
      <c r="L1241" s="169">
        <v>44322</v>
      </c>
      <c r="M1241" s="116">
        <v>360.78333333333302</v>
      </c>
      <c r="N1241" s="116">
        <v>371.66666666666703</v>
      </c>
      <c r="O1241" s="116">
        <v>347.86666666666702</v>
      </c>
      <c r="P1241" s="116">
        <v>352.55</v>
      </c>
      <c r="Q1241" s="116">
        <v>1082.3499999999999</v>
      </c>
      <c r="R1241">
        <v>1032312</v>
      </c>
    </row>
    <row r="1242" spans="1:18" x14ac:dyDescent="0.25">
      <c r="A1242" s="169">
        <v>44323</v>
      </c>
      <c r="B1242" s="116">
        <v>365.33333333333297</v>
      </c>
      <c r="C1242" s="116">
        <v>353</v>
      </c>
      <c r="D1242" s="116">
        <v>348.71666666666698</v>
      </c>
      <c r="E1242" s="116">
        <v>363.316666666667</v>
      </c>
      <c r="F1242" s="116">
        <v>1059</v>
      </c>
      <c r="G1242">
        <v>28506</v>
      </c>
      <c r="H1242" s="116"/>
      <c r="I1242" s="116"/>
      <c r="L1242" s="169">
        <v>44323</v>
      </c>
      <c r="M1242" s="116">
        <v>353.15</v>
      </c>
      <c r="N1242" s="116">
        <v>365.48333333333301</v>
      </c>
      <c r="O1242" s="116">
        <v>345.7</v>
      </c>
      <c r="P1242" s="116">
        <v>362.91666666666703</v>
      </c>
      <c r="Q1242" s="116">
        <v>1059.45</v>
      </c>
      <c r="R1242">
        <v>264640</v>
      </c>
    </row>
    <row r="1243" spans="1:18" x14ac:dyDescent="0.25">
      <c r="A1243" s="169">
        <v>44326</v>
      </c>
      <c r="B1243" s="116">
        <v>363.48333333333301</v>
      </c>
      <c r="C1243" s="116">
        <v>354.65</v>
      </c>
      <c r="D1243" s="116">
        <v>353.65</v>
      </c>
      <c r="E1243" s="116">
        <v>361</v>
      </c>
      <c r="F1243" s="116">
        <v>1063.95</v>
      </c>
      <c r="G1243">
        <v>12081</v>
      </c>
      <c r="H1243" s="116"/>
      <c r="I1243" s="116"/>
      <c r="L1243" s="169">
        <v>44326</v>
      </c>
      <c r="M1243" s="116">
        <v>354.53333333333302</v>
      </c>
      <c r="N1243" s="116">
        <v>364.35</v>
      </c>
      <c r="O1243" s="116">
        <v>353.36666666666702</v>
      </c>
      <c r="P1243" s="116">
        <v>363.76666666666699</v>
      </c>
      <c r="Q1243" s="116">
        <v>1063.5999999999999</v>
      </c>
      <c r="R1243">
        <v>350903</v>
      </c>
    </row>
    <row r="1244" spans="1:18" x14ac:dyDescent="0.25">
      <c r="A1244" s="169">
        <v>44327</v>
      </c>
      <c r="B1244" s="116">
        <v>362</v>
      </c>
      <c r="C1244" s="116">
        <v>354.73333333333301</v>
      </c>
      <c r="D1244" s="116">
        <v>353.66666666666703</v>
      </c>
      <c r="E1244" s="116">
        <v>359.83333333333297</v>
      </c>
      <c r="F1244" s="116">
        <v>1064.2</v>
      </c>
      <c r="G1244">
        <v>20640</v>
      </c>
      <c r="H1244" s="116"/>
      <c r="I1244" s="116"/>
      <c r="L1244" s="169">
        <v>44327</v>
      </c>
      <c r="M1244" s="116">
        <v>354.8</v>
      </c>
      <c r="N1244" s="116">
        <v>362.66666666666703</v>
      </c>
      <c r="O1244" s="116">
        <v>353.58333333333297</v>
      </c>
      <c r="P1244" s="116">
        <v>356.6</v>
      </c>
      <c r="Q1244" s="116">
        <v>1064.4000000000001</v>
      </c>
      <c r="R1244">
        <v>239089</v>
      </c>
    </row>
    <row r="1245" spans="1:18" x14ac:dyDescent="0.25">
      <c r="A1245" s="169">
        <v>44328</v>
      </c>
      <c r="B1245" s="116">
        <v>356.71666666666698</v>
      </c>
      <c r="C1245" s="116">
        <v>343.86666666666702</v>
      </c>
      <c r="D1245" s="116">
        <v>341.86666666666702</v>
      </c>
      <c r="E1245" s="116">
        <v>356.66666666666703</v>
      </c>
      <c r="F1245" s="116">
        <v>1031.5999999999999</v>
      </c>
      <c r="G1245">
        <v>16465</v>
      </c>
      <c r="H1245" s="116"/>
      <c r="I1245" s="116"/>
      <c r="L1245" s="169">
        <v>44328</v>
      </c>
      <c r="M1245" s="116">
        <v>344</v>
      </c>
      <c r="N1245" s="116">
        <v>358.33333333333297</v>
      </c>
      <c r="O1245" s="116">
        <v>341.85</v>
      </c>
      <c r="P1245" s="116">
        <v>358.33333333333297</v>
      </c>
      <c r="Q1245" s="116">
        <v>1032</v>
      </c>
      <c r="R1245">
        <v>168854</v>
      </c>
    </row>
    <row r="1246" spans="1:18" x14ac:dyDescent="0.25">
      <c r="A1246" s="169">
        <v>44330</v>
      </c>
      <c r="B1246" s="116">
        <v>356.38333333333298</v>
      </c>
      <c r="C1246" s="116">
        <v>346.46666666666698</v>
      </c>
      <c r="D1246" s="116">
        <v>342</v>
      </c>
      <c r="E1246" s="116">
        <v>346.91666666666703</v>
      </c>
      <c r="F1246" s="116">
        <v>1039.4000000000001</v>
      </c>
      <c r="G1246">
        <v>9021</v>
      </c>
      <c r="H1246" s="116"/>
      <c r="I1246" s="116"/>
      <c r="L1246" s="169">
        <v>44330</v>
      </c>
      <c r="M1246" s="116">
        <v>346.51666666666699</v>
      </c>
      <c r="N1246" s="116">
        <v>356.33333333333297</v>
      </c>
      <c r="O1246" s="116">
        <v>341.85</v>
      </c>
      <c r="P1246" s="116">
        <v>344.83333333333297</v>
      </c>
      <c r="Q1246" s="116">
        <v>1039.55</v>
      </c>
      <c r="R1246">
        <v>172470</v>
      </c>
    </row>
    <row r="1247" spans="1:18" x14ac:dyDescent="0.25">
      <c r="A1247" s="169">
        <v>44333</v>
      </c>
      <c r="B1247" s="116">
        <v>349.95</v>
      </c>
      <c r="C1247" s="116">
        <v>346.45</v>
      </c>
      <c r="D1247" s="116">
        <v>341</v>
      </c>
      <c r="E1247" s="116">
        <v>348</v>
      </c>
      <c r="F1247" s="116">
        <v>1039.3499999999999</v>
      </c>
      <c r="G1247">
        <v>5247</v>
      </c>
      <c r="H1247" s="116"/>
      <c r="I1247" s="116"/>
      <c r="L1247" s="169">
        <v>44333</v>
      </c>
      <c r="M1247" s="116">
        <v>346.683333333333</v>
      </c>
      <c r="N1247" s="116">
        <v>349.33333333333297</v>
      </c>
      <c r="O1247" s="116">
        <v>340.71666666666698</v>
      </c>
      <c r="P1247" s="116">
        <v>348</v>
      </c>
      <c r="Q1247" s="116">
        <v>1040.05</v>
      </c>
      <c r="R1247">
        <v>138174</v>
      </c>
    </row>
    <row r="1248" spans="1:18" x14ac:dyDescent="0.25">
      <c r="A1248" s="169">
        <v>44334</v>
      </c>
      <c r="B1248" s="116">
        <v>350.65</v>
      </c>
      <c r="C1248" s="116">
        <v>342.66666666666703</v>
      </c>
      <c r="D1248" s="116">
        <v>341.96666666666698</v>
      </c>
      <c r="E1248" s="116">
        <v>348.28333333333302</v>
      </c>
      <c r="F1248" s="116">
        <v>1028</v>
      </c>
      <c r="G1248">
        <v>6218</v>
      </c>
      <c r="H1248" s="116"/>
      <c r="I1248" s="116"/>
      <c r="L1248" s="169">
        <v>44334</v>
      </c>
      <c r="M1248" s="116">
        <v>342.66666666666703</v>
      </c>
      <c r="N1248" s="116">
        <v>350.83333333333297</v>
      </c>
      <c r="O1248" s="116">
        <v>342</v>
      </c>
      <c r="P1248" s="116">
        <v>347.88333333333298</v>
      </c>
      <c r="Q1248" s="116">
        <v>1028</v>
      </c>
      <c r="R1248">
        <v>145012</v>
      </c>
    </row>
    <row r="1249" spans="1:18" x14ac:dyDescent="0.25">
      <c r="A1249" s="169">
        <v>44335</v>
      </c>
      <c r="B1249" s="116">
        <v>346.65</v>
      </c>
      <c r="C1249" s="116">
        <v>342.316666666667</v>
      </c>
      <c r="D1249" s="116">
        <v>341.15</v>
      </c>
      <c r="E1249" s="116">
        <v>343.66666666666703</v>
      </c>
      <c r="F1249" s="116">
        <v>1026.95</v>
      </c>
      <c r="G1249">
        <v>3694</v>
      </c>
      <c r="H1249" s="116"/>
      <c r="I1249" s="116"/>
      <c r="L1249" s="169">
        <v>44335</v>
      </c>
      <c r="M1249" s="116">
        <v>342.55</v>
      </c>
      <c r="N1249" s="116">
        <v>346.95</v>
      </c>
      <c r="O1249" s="116">
        <v>341.21666666666698</v>
      </c>
      <c r="P1249" s="116">
        <v>342.33333333333297</v>
      </c>
      <c r="Q1249" s="116">
        <v>1027.6500000000001</v>
      </c>
      <c r="R1249">
        <v>91992</v>
      </c>
    </row>
    <row r="1250" spans="1:18" x14ac:dyDescent="0.25">
      <c r="A1250" s="169">
        <v>44336</v>
      </c>
      <c r="B1250" s="116">
        <v>359</v>
      </c>
      <c r="C1250" s="116">
        <v>342.933333333333</v>
      </c>
      <c r="D1250" s="116">
        <v>339.48333333333301</v>
      </c>
      <c r="E1250" s="116">
        <v>359</v>
      </c>
      <c r="F1250" s="116">
        <v>1028.8</v>
      </c>
      <c r="G1250">
        <v>7299</v>
      </c>
      <c r="H1250" s="116"/>
      <c r="I1250" s="116"/>
      <c r="L1250" s="169">
        <v>44336</v>
      </c>
      <c r="M1250" s="116">
        <v>343.26666666666699</v>
      </c>
      <c r="N1250" s="116">
        <v>347</v>
      </c>
      <c r="O1250" s="116">
        <v>341.03333333333302</v>
      </c>
      <c r="P1250" s="116">
        <v>343.33333333333297</v>
      </c>
      <c r="Q1250" s="116">
        <v>1029.8</v>
      </c>
      <c r="R1250">
        <v>147184</v>
      </c>
    </row>
    <row r="1251" spans="1:18" x14ac:dyDescent="0.25">
      <c r="A1251" s="169">
        <v>44337</v>
      </c>
      <c r="B1251" s="116">
        <v>351.5</v>
      </c>
      <c r="C1251" s="116">
        <v>344.66666666666703</v>
      </c>
      <c r="D1251" s="116">
        <v>342</v>
      </c>
      <c r="E1251" s="116">
        <v>351.5</v>
      </c>
      <c r="F1251" s="116">
        <v>1034</v>
      </c>
      <c r="G1251">
        <v>7133</v>
      </c>
      <c r="H1251" s="116"/>
      <c r="I1251" s="116"/>
      <c r="L1251" s="169">
        <v>44337</v>
      </c>
      <c r="M1251" s="116">
        <v>344.38333333333298</v>
      </c>
      <c r="N1251" s="116">
        <v>349.66666666666703</v>
      </c>
      <c r="O1251" s="116">
        <v>341.66666666666703</v>
      </c>
      <c r="P1251" s="116">
        <v>342.66666666666703</v>
      </c>
      <c r="Q1251" s="116">
        <v>1033.1500000000001</v>
      </c>
      <c r="R1251">
        <v>183513</v>
      </c>
    </row>
    <row r="1252" spans="1:18" x14ac:dyDescent="0.25">
      <c r="A1252" s="169">
        <v>44340</v>
      </c>
      <c r="B1252" s="116">
        <v>345.38333333333298</v>
      </c>
      <c r="C1252" s="116">
        <v>341.7</v>
      </c>
      <c r="D1252" s="116">
        <v>338.85</v>
      </c>
      <c r="E1252" s="116">
        <v>342.33333333333297</v>
      </c>
      <c r="F1252" s="116">
        <v>1025.0999999999999</v>
      </c>
      <c r="G1252">
        <v>23477</v>
      </c>
      <c r="H1252" s="116"/>
      <c r="I1252" s="116"/>
      <c r="L1252" s="169">
        <v>44340</v>
      </c>
      <c r="M1252" s="116">
        <v>342.1</v>
      </c>
      <c r="N1252" s="116">
        <v>345.55</v>
      </c>
      <c r="O1252" s="116">
        <v>339</v>
      </c>
      <c r="P1252" s="116">
        <v>343.4</v>
      </c>
      <c r="Q1252" s="116">
        <v>1026.3</v>
      </c>
      <c r="R1252">
        <v>92826</v>
      </c>
    </row>
    <row r="1253" spans="1:18" x14ac:dyDescent="0.25">
      <c r="A1253" s="169">
        <v>44341</v>
      </c>
      <c r="B1253" s="116">
        <v>343.2</v>
      </c>
      <c r="C1253" s="116">
        <v>333.816666666667</v>
      </c>
      <c r="D1253" s="116">
        <v>332.91666666666703</v>
      </c>
      <c r="E1253" s="116">
        <v>343.2</v>
      </c>
      <c r="F1253" s="116">
        <v>1001.45</v>
      </c>
      <c r="G1253">
        <v>8566</v>
      </c>
      <c r="H1253" s="116"/>
      <c r="I1253" s="116"/>
      <c r="L1253" s="169">
        <v>44341</v>
      </c>
      <c r="M1253" s="116">
        <v>334.3</v>
      </c>
      <c r="N1253" s="116">
        <v>342.66666666666703</v>
      </c>
      <c r="O1253" s="116">
        <v>333.58333333333297</v>
      </c>
      <c r="P1253" s="116">
        <v>341</v>
      </c>
      <c r="Q1253" s="116">
        <v>1002.9</v>
      </c>
      <c r="R1253">
        <v>151487</v>
      </c>
    </row>
    <row r="1254" spans="1:18" x14ac:dyDescent="0.25">
      <c r="A1254" s="169">
        <v>44342</v>
      </c>
      <c r="B1254" s="116">
        <v>339.73333333333301</v>
      </c>
      <c r="C1254" s="116">
        <v>336.65</v>
      </c>
      <c r="D1254" s="116">
        <v>331.316666666667</v>
      </c>
      <c r="E1254" s="116">
        <v>338.33333333333297</v>
      </c>
      <c r="F1254" s="116">
        <v>1009.95</v>
      </c>
      <c r="G1254">
        <v>9922</v>
      </c>
      <c r="H1254" s="116"/>
      <c r="I1254" s="116"/>
      <c r="L1254" s="169">
        <v>44342</v>
      </c>
      <c r="M1254" s="116">
        <v>336.11666666666702</v>
      </c>
      <c r="N1254" s="116">
        <v>340</v>
      </c>
      <c r="O1254" s="116">
        <v>331.08333333333297</v>
      </c>
      <c r="P1254" s="116">
        <v>334.33333333333297</v>
      </c>
      <c r="Q1254" s="116">
        <v>1008.35</v>
      </c>
      <c r="R1254">
        <v>164722</v>
      </c>
    </row>
    <row r="1255" spans="1:18" x14ac:dyDescent="0.25">
      <c r="A1255" s="169">
        <v>44343</v>
      </c>
      <c r="B1255" s="116">
        <v>339.91666666666703</v>
      </c>
      <c r="C1255" s="116">
        <v>335.61666666666702</v>
      </c>
      <c r="D1255" s="116">
        <v>334.01666666666699</v>
      </c>
      <c r="E1255" s="116">
        <v>339.91666666666703</v>
      </c>
      <c r="F1255" s="116">
        <v>1006.85</v>
      </c>
      <c r="G1255">
        <v>12499</v>
      </c>
      <c r="H1255" s="116"/>
      <c r="I1255" s="116"/>
      <c r="L1255" s="169">
        <v>44343</v>
      </c>
      <c r="M1255" s="116">
        <v>335.566666666667</v>
      </c>
      <c r="N1255" s="116">
        <v>339.95</v>
      </c>
      <c r="O1255" s="116">
        <v>333.33333333333297</v>
      </c>
      <c r="P1255" s="116">
        <v>339.66666666666703</v>
      </c>
      <c r="Q1255" s="116">
        <v>1006.7</v>
      </c>
      <c r="R1255">
        <v>148090</v>
      </c>
    </row>
    <row r="1256" spans="1:18" x14ac:dyDescent="0.25">
      <c r="A1256" s="169">
        <v>44344</v>
      </c>
      <c r="B1256" s="116">
        <v>356.13333333333298</v>
      </c>
      <c r="C1256" s="116">
        <v>345.83333333333297</v>
      </c>
      <c r="D1256" s="116">
        <v>333.35</v>
      </c>
      <c r="E1256" s="116">
        <v>333.35</v>
      </c>
      <c r="F1256" s="116">
        <v>1037.5</v>
      </c>
      <c r="G1256">
        <v>49289</v>
      </c>
      <c r="H1256" s="116"/>
      <c r="I1256" s="116"/>
      <c r="L1256" s="169">
        <v>44344</v>
      </c>
      <c r="M1256" s="116">
        <v>346.35</v>
      </c>
      <c r="N1256" s="116">
        <v>356</v>
      </c>
      <c r="O1256" s="116">
        <v>335.73333333333301</v>
      </c>
      <c r="P1256" s="116">
        <v>336.33333333333297</v>
      </c>
      <c r="Q1256" s="116">
        <v>1039.05</v>
      </c>
      <c r="R1256">
        <v>797975</v>
      </c>
    </row>
    <row r="1257" spans="1:18" x14ac:dyDescent="0.25">
      <c r="A1257" s="169">
        <v>44347</v>
      </c>
      <c r="B1257" s="116">
        <v>357.66666666666703</v>
      </c>
      <c r="C1257" s="116">
        <v>355.13333333333298</v>
      </c>
      <c r="D1257" s="116">
        <v>345.36666666666702</v>
      </c>
      <c r="E1257" s="116">
        <v>349.33333333333297</v>
      </c>
      <c r="F1257" s="116">
        <v>1065.4000000000001</v>
      </c>
      <c r="G1257">
        <v>15329</v>
      </c>
      <c r="H1257" s="116"/>
      <c r="I1257" s="116"/>
      <c r="L1257" s="169">
        <v>44347</v>
      </c>
      <c r="M1257" s="116">
        <v>354.71666666666698</v>
      </c>
      <c r="N1257" s="116">
        <v>358</v>
      </c>
      <c r="O1257" s="116">
        <v>345.683333333333</v>
      </c>
      <c r="P1257" s="116">
        <v>348.66666666666703</v>
      </c>
      <c r="Q1257" s="116">
        <v>1064.1500000000001</v>
      </c>
      <c r="R1257">
        <v>448712</v>
      </c>
    </row>
    <row r="1258" spans="1:18" x14ac:dyDescent="0.25">
      <c r="A1258" s="169">
        <v>44348</v>
      </c>
      <c r="B1258" s="116">
        <v>358.66666666666703</v>
      </c>
      <c r="C1258" s="116">
        <v>347.183333333333</v>
      </c>
      <c r="D1258" s="116">
        <v>344.566666666667</v>
      </c>
      <c r="E1258" s="116">
        <v>358.66666666666703</v>
      </c>
      <c r="F1258" s="116">
        <v>1041.55</v>
      </c>
      <c r="G1258">
        <v>12865</v>
      </c>
      <c r="H1258" s="116"/>
      <c r="I1258" s="116"/>
      <c r="L1258" s="169">
        <v>44348</v>
      </c>
      <c r="M1258" s="116">
        <v>347.38333333333298</v>
      </c>
      <c r="N1258" s="116">
        <v>357.76666666666699</v>
      </c>
      <c r="O1258" s="116">
        <v>344.66666666666703</v>
      </c>
      <c r="P1258" s="116">
        <v>354.71666666666698</v>
      </c>
      <c r="Q1258" s="116">
        <v>1042.1500000000001</v>
      </c>
      <c r="R1258">
        <v>118882</v>
      </c>
    </row>
    <row r="1259" spans="1:18" x14ac:dyDescent="0.25">
      <c r="A1259" s="169">
        <v>44349</v>
      </c>
      <c r="B1259" s="116">
        <v>354.65</v>
      </c>
      <c r="C1259" s="116">
        <v>351.75</v>
      </c>
      <c r="D1259" s="116">
        <v>344.683333333333</v>
      </c>
      <c r="E1259" s="116">
        <v>347.66666666666703</v>
      </c>
      <c r="F1259" s="116">
        <v>1055.25</v>
      </c>
      <c r="G1259">
        <v>6183</v>
      </c>
      <c r="H1259" s="116"/>
      <c r="I1259" s="116"/>
      <c r="L1259" s="169">
        <v>44349</v>
      </c>
      <c r="M1259" s="116">
        <v>352.1</v>
      </c>
      <c r="N1259" s="116">
        <v>354.8</v>
      </c>
      <c r="O1259" s="116">
        <v>343.33333333333297</v>
      </c>
      <c r="P1259" s="116">
        <v>347.65</v>
      </c>
      <c r="Q1259" s="116">
        <v>1056.3</v>
      </c>
      <c r="R1259">
        <v>189381</v>
      </c>
    </row>
    <row r="1260" spans="1:18" x14ac:dyDescent="0.25">
      <c r="A1260" s="169">
        <v>44350</v>
      </c>
      <c r="B1260" s="116">
        <v>356.71666666666698</v>
      </c>
      <c r="C1260" s="116">
        <v>348.45</v>
      </c>
      <c r="D1260" s="116">
        <v>345.26666666666699</v>
      </c>
      <c r="E1260" s="116">
        <v>354</v>
      </c>
      <c r="F1260" s="116">
        <v>1045.3499999999999</v>
      </c>
      <c r="G1260">
        <v>6297</v>
      </c>
      <c r="H1260" s="116"/>
      <c r="I1260" s="116"/>
      <c r="L1260" s="169">
        <v>44350</v>
      </c>
      <c r="M1260" s="116">
        <v>348.33333333333297</v>
      </c>
      <c r="N1260" s="116">
        <v>357</v>
      </c>
      <c r="O1260" s="116">
        <v>345</v>
      </c>
      <c r="P1260" s="116">
        <v>355</v>
      </c>
      <c r="Q1260" s="116">
        <v>1045</v>
      </c>
      <c r="R1260">
        <v>127925</v>
      </c>
    </row>
    <row r="1261" spans="1:18" x14ac:dyDescent="0.25">
      <c r="A1261" s="169">
        <v>44351</v>
      </c>
      <c r="B1261" s="116">
        <v>357.16666666666703</v>
      </c>
      <c r="C1261" s="116">
        <v>350.61666666666702</v>
      </c>
      <c r="D1261" s="116">
        <v>344.83333333333297</v>
      </c>
      <c r="E1261" s="116">
        <v>348.66666666666703</v>
      </c>
      <c r="F1261" s="116">
        <v>1051.8499999999999</v>
      </c>
      <c r="G1261">
        <v>25543</v>
      </c>
      <c r="H1261" s="116"/>
      <c r="I1261" s="116"/>
      <c r="L1261" s="169">
        <v>44351</v>
      </c>
      <c r="M1261" s="116">
        <v>350.26666666666699</v>
      </c>
      <c r="N1261" s="116">
        <v>357</v>
      </c>
      <c r="O1261" s="116">
        <v>345.45</v>
      </c>
      <c r="P1261" s="116">
        <v>345.45</v>
      </c>
      <c r="Q1261" s="116">
        <v>1050.8</v>
      </c>
      <c r="R1261">
        <v>283537</v>
      </c>
    </row>
    <row r="1262" spans="1:18" x14ac:dyDescent="0.25">
      <c r="A1262" s="169">
        <v>44354</v>
      </c>
      <c r="B1262" s="116">
        <v>383</v>
      </c>
      <c r="C1262" s="116">
        <v>376.91666666666703</v>
      </c>
      <c r="D1262" s="116">
        <v>353.46666666666698</v>
      </c>
      <c r="E1262" s="116">
        <v>354</v>
      </c>
      <c r="F1262" s="116">
        <v>1130.75</v>
      </c>
      <c r="G1262">
        <v>100186</v>
      </c>
      <c r="H1262" s="116"/>
      <c r="I1262" s="116"/>
      <c r="L1262" s="169">
        <v>44354</v>
      </c>
      <c r="M1262" s="116">
        <v>377.15</v>
      </c>
      <c r="N1262" s="116">
        <v>383.33333333333297</v>
      </c>
      <c r="O1262" s="116">
        <v>351.66666666666703</v>
      </c>
      <c r="P1262" s="116">
        <v>351.66666666666703</v>
      </c>
      <c r="Q1262" s="116">
        <v>1131.45</v>
      </c>
      <c r="R1262">
        <v>1263776</v>
      </c>
    </row>
    <row r="1263" spans="1:18" x14ac:dyDescent="0.25">
      <c r="A1263" s="169">
        <v>44355</v>
      </c>
      <c r="B1263" s="116">
        <v>381.66666666666703</v>
      </c>
      <c r="C1263" s="116">
        <v>368.433333333333</v>
      </c>
      <c r="D1263" s="116">
        <v>363.78333333333302</v>
      </c>
      <c r="E1263" s="116">
        <v>378.33333333333297</v>
      </c>
      <c r="F1263" s="116">
        <v>1105.3</v>
      </c>
      <c r="G1263">
        <v>21008</v>
      </c>
      <c r="H1263" s="116"/>
      <c r="I1263" s="116"/>
      <c r="L1263" s="169">
        <v>44355</v>
      </c>
      <c r="M1263" s="116">
        <v>368.05</v>
      </c>
      <c r="N1263" s="116">
        <v>382.13333333333298</v>
      </c>
      <c r="O1263" s="116">
        <v>363.66666666666703</v>
      </c>
      <c r="P1263" s="116">
        <v>382.13333333333298</v>
      </c>
      <c r="Q1263" s="116">
        <v>1104.1500000000001</v>
      </c>
      <c r="R1263">
        <v>372733</v>
      </c>
    </row>
    <row r="1264" spans="1:18" x14ac:dyDescent="0.25">
      <c r="A1264" s="169">
        <v>44356</v>
      </c>
      <c r="B1264" s="116">
        <v>378.71666666666698</v>
      </c>
      <c r="C1264" s="116">
        <v>356.85</v>
      </c>
      <c r="D1264" s="116">
        <v>351.21666666666698</v>
      </c>
      <c r="E1264" s="116">
        <v>371.83333333333297</v>
      </c>
      <c r="F1264" s="116">
        <v>1070.55</v>
      </c>
      <c r="G1264">
        <v>48417</v>
      </c>
      <c r="H1264" s="116"/>
      <c r="I1264" s="116"/>
      <c r="L1264" s="169">
        <v>44356</v>
      </c>
      <c r="M1264" s="116">
        <v>357.08333333333297</v>
      </c>
      <c r="N1264" s="116">
        <v>378.88333333333298</v>
      </c>
      <c r="O1264" s="116">
        <v>350.25</v>
      </c>
      <c r="P1264" s="116">
        <v>371.66666666666703</v>
      </c>
      <c r="Q1264" s="116">
        <v>1071.25</v>
      </c>
      <c r="R1264">
        <v>390395</v>
      </c>
    </row>
    <row r="1265" spans="1:18" x14ac:dyDescent="0.25">
      <c r="A1265" s="169">
        <v>44357</v>
      </c>
      <c r="B1265" s="116">
        <v>387.88333333333298</v>
      </c>
      <c r="C1265" s="116">
        <v>371.73333333333301</v>
      </c>
      <c r="D1265" s="116">
        <v>351.16666666666703</v>
      </c>
      <c r="E1265" s="116">
        <v>351.16666666666703</v>
      </c>
      <c r="F1265" s="116">
        <v>1115.2</v>
      </c>
      <c r="G1265">
        <v>50999</v>
      </c>
      <c r="H1265" s="116"/>
      <c r="I1265" s="116"/>
      <c r="L1265" s="169">
        <v>44357</v>
      </c>
      <c r="M1265" s="116">
        <v>371.433333333333</v>
      </c>
      <c r="N1265" s="116">
        <v>388.13333333333298</v>
      </c>
      <c r="O1265" s="116">
        <v>357.33333333333297</v>
      </c>
      <c r="P1265" s="116">
        <v>358.33333333333297</v>
      </c>
      <c r="Q1265" s="116">
        <v>1114.3</v>
      </c>
      <c r="R1265">
        <v>745176</v>
      </c>
    </row>
    <row r="1266" spans="1:18" x14ac:dyDescent="0.25">
      <c r="A1266" s="169">
        <v>44358</v>
      </c>
      <c r="B1266" s="116">
        <v>414.66666666666703</v>
      </c>
      <c r="C1266" s="116">
        <v>409.61666666666702</v>
      </c>
      <c r="D1266" s="116">
        <v>366.66666666666703</v>
      </c>
      <c r="E1266" s="116">
        <v>366.66666666666703</v>
      </c>
      <c r="F1266" s="116">
        <v>1228.8499999999999</v>
      </c>
      <c r="G1266">
        <v>129209</v>
      </c>
      <c r="H1266" s="116"/>
      <c r="I1266" s="116"/>
      <c r="L1266" s="169">
        <v>44358</v>
      </c>
      <c r="M1266" s="116">
        <v>409.63333333333298</v>
      </c>
      <c r="N1266" s="116">
        <v>414.98333333333301</v>
      </c>
      <c r="O1266" s="116">
        <v>374.23333333333301</v>
      </c>
      <c r="P1266" s="116">
        <v>375.03333333333302</v>
      </c>
      <c r="Q1266" s="116">
        <v>1228.9000000000001</v>
      </c>
      <c r="R1266">
        <v>2474632</v>
      </c>
    </row>
    <row r="1267" spans="1:18" x14ac:dyDescent="0.25">
      <c r="A1267" s="169">
        <v>44361</v>
      </c>
      <c r="B1267" s="116">
        <v>441.33333333333297</v>
      </c>
      <c r="C1267" s="116">
        <v>408.71666666666698</v>
      </c>
      <c r="D1267" s="116">
        <v>389.16666666666703</v>
      </c>
      <c r="E1267" s="116">
        <v>415.53333333333302</v>
      </c>
      <c r="F1267" s="116">
        <v>1226.1500000000001</v>
      </c>
      <c r="G1267">
        <v>96406</v>
      </c>
      <c r="H1267" s="116"/>
      <c r="I1267" s="116"/>
      <c r="L1267" s="169">
        <v>44361</v>
      </c>
      <c r="M1267" s="116">
        <v>408.83333333333297</v>
      </c>
      <c r="N1267" s="116">
        <v>441.33333333333297</v>
      </c>
      <c r="O1267" s="116">
        <v>388.45</v>
      </c>
      <c r="P1267" s="116">
        <v>412.66666666666703</v>
      </c>
      <c r="Q1267" s="116">
        <v>1226.5</v>
      </c>
      <c r="R1267">
        <v>2499990</v>
      </c>
    </row>
    <row r="1268" spans="1:18" x14ac:dyDescent="0.25">
      <c r="A1268" s="169">
        <v>44362</v>
      </c>
      <c r="B1268" s="116">
        <v>424.38333333333298</v>
      </c>
      <c r="C1268" s="116">
        <v>416.65</v>
      </c>
      <c r="D1268" s="116">
        <v>406.21666666666698</v>
      </c>
      <c r="E1268" s="116">
        <v>413.33333333333297</v>
      </c>
      <c r="F1268" s="116">
        <v>1249.95</v>
      </c>
      <c r="G1268">
        <v>56667</v>
      </c>
      <c r="H1268" s="116"/>
      <c r="I1268" s="116"/>
      <c r="L1268" s="169">
        <v>44362</v>
      </c>
      <c r="M1268" s="116">
        <v>416.96666666666698</v>
      </c>
      <c r="N1268" s="116">
        <v>424.33333333333297</v>
      </c>
      <c r="O1268" s="116">
        <v>406.33333333333297</v>
      </c>
      <c r="P1268" s="116">
        <v>412.51666666666699</v>
      </c>
      <c r="Q1268" s="116">
        <v>1250.9000000000001</v>
      </c>
      <c r="R1268">
        <v>750557</v>
      </c>
    </row>
    <row r="1269" spans="1:18" x14ac:dyDescent="0.25">
      <c r="A1269" s="169">
        <v>44363</v>
      </c>
      <c r="B1269" s="116">
        <v>442.66666666666703</v>
      </c>
      <c r="C1269" s="116">
        <v>432.38333333333298</v>
      </c>
      <c r="D1269" s="116">
        <v>410.33333333333297</v>
      </c>
      <c r="E1269" s="116">
        <v>420</v>
      </c>
      <c r="F1269" s="116">
        <v>1297.1500000000001</v>
      </c>
      <c r="G1269">
        <v>69226</v>
      </c>
      <c r="H1269" s="116"/>
      <c r="I1269" s="116"/>
      <c r="L1269" s="169">
        <v>44363</v>
      </c>
      <c r="M1269" s="116">
        <v>432.58333333333297</v>
      </c>
      <c r="N1269" s="116">
        <v>442.66666666666703</v>
      </c>
      <c r="O1269" s="116">
        <v>410.33333333333297</v>
      </c>
      <c r="P1269" s="116">
        <v>415.66666666666703</v>
      </c>
      <c r="Q1269" s="116">
        <v>1297.75</v>
      </c>
      <c r="R1269">
        <v>1621210</v>
      </c>
    </row>
    <row r="1270" spans="1:18" x14ac:dyDescent="0.25">
      <c r="A1270" s="169">
        <v>44364</v>
      </c>
      <c r="B1270" s="116">
        <v>456.38333333333298</v>
      </c>
      <c r="C1270" s="116">
        <v>436.05</v>
      </c>
      <c r="D1270" s="116">
        <v>422.26666666666699</v>
      </c>
      <c r="E1270" s="116">
        <v>426.66666666666703</v>
      </c>
      <c r="F1270" s="116">
        <v>1308.1500000000001</v>
      </c>
      <c r="G1270">
        <v>138157</v>
      </c>
      <c r="H1270" s="116"/>
      <c r="I1270" s="116"/>
      <c r="L1270" s="169">
        <v>44364</v>
      </c>
      <c r="M1270" s="116">
        <v>435.98333333333301</v>
      </c>
      <c r="N1270" s="116">
        <v>456.16666666666703</v>
      </c>
      <c r="O1270" s="116">
        <v>422.11666666666702</v>
      </c>
      <c r="P1270" s="116">
        <v>426.683333333333</v>
      </c>
      <c r="Q1270" s="116">
        <v>1307.95</v>
      </c>
      <c r="R1270">
        <v>2784241</v>
      </c>
    </row>
    <row r="1271" spans="1:18" x14ac:dyDescent="0.25">
      <c r="A1271" s="169">
        <v>44365</v>
      </c>
      <c r="B1271" s="116">
        <v>444.73333333333301</v>
      </c>
      <c r="C1271" s="116">
        <v>429.21666666666698</v>
      </c>
      <c r="D1271" s="116">
        <v>423.33333333333297</v>
      </c>
      <c r="E1271" s="116">
        <v>440</v>
      </c>
      <c r="F1271" s="116">
        <v>1287.6500000000001</v>
      </c>
      <c r="G1271">
        <v>63737</v>
      </c>
      <c r="H1271" s="116"/>
      <c r="I1271" s="116"/>
      <c r="L1271" s="169">
        <v>44365</v>
      </c>
      <c r="M1271" s="116">
        <v>429.26666666666699</v>
      </c>
      <c r="N1271" s="116">
        <v>444.66666666666703</v>
      </c>
      <c r="O1271" s="116">
        <v>423.66666666666703</v>
      </c>
      <c r="P1271" s="116">
        <v>440</v>
      </c>
      <c r="Q1271" s="116">
        <v>1287.8</v>
      </c>
      <c r="R1271">
        <v>877992</v>
      </c>
    </row>
    <row r="1272" spans="1:18" x14ac:dyDescent="0.25">
      <c r="A1272" s="169">
        <v>44368</v>
      </c>
      <c r="B1272" s="116">
        <v>442.13333333333298</v>
      </c>
      <c r="C1272" s="116">
        <v>438.8</v>
      </c>
      <c r="D1272" s="116">
        <v>423.61666666666702</v>
      </c>
      <c r="E1272" s="116">
        <v>425</v>
      </c>
      <c r="F1272" s="116">
        <v>1316.4</v>
      </c>
      <c r="G1272">
        <v>37288</v>
      </c>
      <c r="H1272" s="116"/>
      <c r="I1272" s="116"/>
      <c r="L1272" s="169">
        <v>44368</v>
      </c>
      <c r="M1272" s="116">
        <v>439.61666666666702</v>
      </c>
      <c r="N1272" s="116">
        <v>442.66666666666703</v>
      </c>
      <c r="O1272" s="116">
        <v>423.16666666666703</v>
      </c>
      <c r="P1272" s="116">
        <v>423.33333333333297</v>
      </c>
      <c r="Q1272" s="116">
        <v>1318.85</v>
      </c>
      <c r="R1272">
        <v>514432</v>
      </c>
    </row>
    <row r="1273" spans="1:18" x14ac:dyDescent="0.25">
      <c r="A1273" s="169">
        <v>44369</v>
      </c>
      <c r="B1273" s="116">
        <v>448.96666666666698</v>
      </c>
      <c r="C1273" s="116">
        <v>444.96666666666698</v>
      </c>
      <c r="D1273" s="116">
        <v>436.38333333333298</v>
      </c>
      <c r="E1273" s="116">
        <v>444.96666666666698</v>
      </c>
      <c r="F1273" s="116">
        <v>1334.9</v>
      </c>
      <c r="G1273">
        <v>24361</v>
      </c>
      <c r="H1273" s="116"/>
      <c r="I1273" s="116"/>
      <c r="L1273" s="169">
        <v>44369</v>
      </c>
      <c r="M1273" s="116">
        <v>445.41666666666703</v>
      </c>
      <c r="N1273" s="116">
        <v>448.91666666666703</v>
      </c>
      <c r="O1273" s="116">
        <v>436.33333333333297</v>
      </c>
      <c r="P1273" s="116">
        <v>441.6</v>
      </c>
      <c r="Q1273" s="116">
        <v>1336.25</v>
      </c>
      <c r="R1273">
        <v>545354</v>
      </c>
    </row>
    <row r="1274" spans="1:18" x14ac:dyDescent="0.25">
      <c r="A1274" s="169">
        <v>44370</v>
      </c>
      <c r="B1274" s="116">
        <v>464.98333333333301</v>
      </c>
      <c r="C1274" s="116">
        <v>462.08333333333297</v>
      </c>
      <c r="D1274" s="116">
        <v>449.03333333333302</v>
      </c>
      <c r="E1274" s="116">
        <v>450</v>
      </c>
      <c r="F1274" s="116">
        <v>1386.25</v>
      </c>
      <c r="G1274">
        <v>40747</v>
      </c>
      <c r="H1274" s="116"/>
      <c r="I1274" s="116"/>
      <c r="L1274" s="169">
        <v>44370</v>
      </c>
      <c r="M1274" s="116">
        <v>461.86666666666702</v>
      </c>
      <c r="N1274" s="116">
        <v>465</v>
      </c>
      <c r="O1274" s="116">
        <v>448</v>
      </c>
      <c r="P1274" s="116">
        <v>448</v>
      </c>
      <c r="Q1274" s="116">
        <v>1385.6</v>
      </c>
      <c r="R1274">
        <v>887901</v>
      </c>
    </row>
    <row r="1275" spans="1:18" x14ac:dyDescent="0.25">
      <c r="A1275" s="169">
        <v>44371</v>
      </c>
      <c r="B1275" s="116">
        <v>466.66666666666703</v>
      </c>
      <c r="C1275" s="116">
        <v>454.36666666666702</v>
      </c>
      <c r="D1275" s="116">
        <v>447.066666666667</v>
      </c>
      <c r="E1275" s="116">
        <v>466.66666666666703</v>
      </c>
      <c r="F1275" s="116">
        <v>1363.1</v>
      </c>
      <c r="G1275">
        <v>55677</v>
      </c>
      <c r="H1275" s="116"/>
      <c r="I1275" s="116"/>
      <c r="L1275" s="169">
        <v>44371</v>
      </c>
      <c r="M1275" s="116">
        <v>454.7</v>
      </c>
      <c r="N1275" s="116">
        <v>464.96666666666698</v>
      </c>
      <c r="O1275" s="116">
        <v>447.08333333333297</v>
      </c>
      <c r="P1275" s="116">
        <v>461.66666666666703</v>
      </c>
      <c r="Q1275" s="116">
        <v>1364.1</v>
      </c>
      <c r="R1275">
        <v>397053</v>
      </c>
    </row>
    <row r="1276" spans="1:18" x14ac:dyDescent="0.25">
      <c r="A1276" s="169">
        <v>44372</v>
      </c>
      <c r="B1276" s="116">
        <v>488.63333333333298</v>
      </c>
      <c r="C1276" s="116">
        <v>482.683333333333</v>
      </c>
      <c r="D1276" s="116">
        <v>453.45</v>
      </c>
      <c r="E1276" s="116">
        <v>455</v>
      </c>
      <c r="F1276" s="116">
        <v>1448.05</v>
      </c>
      <c r="G1276">
        <v>100319</v>
      </c>
      <c r="H1276" s="116"/>
      <c r="I1276" s="116"/>
      <c r="L1276" s="169">
        <v>44372</v>
      </c>
      <c r="M1276" s="116">
        <v>482.7</v>
      </c>
      <c r="N1276" s="116">
        <v>488.33333333333297</v>
      </c>
      <c r="O1276" s="116">
        <v>453.35</v>
      </c>
      <c r="P1276" s="116">
        <v>458.33333333333297</v>
      </c>
      <c r="Q1276" s="116">
        <v>1448.1</v>
      </c>
      <c r="R1276">
        <v>2091368</v>
      </c>
    </row>
    <row r="1277" spans="1:18" x14ac:dyDescent="0.25">
      <c r="A1277" s="169">
        <v>44375</v>
      </c>
      <c r="B1277" s="116">
        <v>481.7</v>
      </c>
      <c r="C1277" s="116">
        <v>435.71666666666698</v>
      </c>
      <c r="D1277" s="116">
        <v>426.98333333333301</v>
      </c>
      <c r="E1277" s="116">
        <v>481.7</v>
      </c>
      <c r="F1277" s="116">
        <v>1307.1500000000001</v>
      </c>
      <c r="G1277">
        <v>388532</v>
      </c>
      <c r="H1277" s="116"/>
      <c r="I1277" s="116"/>
      <c r="L1277" s="169">
        <v>44375</v>
      </c>
      <c r="M1277" s="116">
        <v>436.2</v>
      </c>
      <c r="N1277" s="116">
        <v>479.95</v>
      </c>
      <c r="O1277" s="116">
        <v>426.66666666666703</v>
      </c>
      <c r="P1277" s="116">
        <v>479.95</v>
      </c>
      <c r="Q1277" s="116">
        <v>1308.5999999999999</v>
      </c>
      <c r="R1277">
        <v>9125599</v>
      </c>
    </row>
    <row r="1278" spans="1:18" x14ac:dyDescent="0.25">
      <c r="A1278" s="169">
        <v>44376</v>
      </c>
      <c r="B1278" s="116">
        <v>448.13333333333298</v>
      </c>
      <c r="C1278" s="116">
        <v>440.65</v>
      </c>
      <c r="D1278" s="116">
        <v>435.75</v>
      </c>
      <c r="E1278" s="116">
        <v>443</v>
      </c>
      <c r="F1278" s="116">
        <v>1321.95</v>
      </c>
      <c r="G1278">
        <v>75649</v>
      </c>
      <c r="H1278" s="116"/>
      <c r="I1278" s="116"/>
      <c r="L1278" s="169">
        <v>44376</v>
      </c>
      <c r="M1278" s="116">
        <v>440.95</v>
      </c>
      <c r="N1278" s="116">
        <v>448</v>
      </c>
      <c r="O1278" s="116">
        <v>435.78333333333302</v>
      </c>
      <c r="P1278" s="116">
        <v>440</v>
      </c>
      <c r="Q1278" s="116">
        <v>1322.85</v>
      </c>
      <c r="R1278">
        <v>2204410</v>
      </c>
    </row>
    <row r="1279" spans="1:18" x14ac:dyDescent="0.25">
      <c r="A1279" s="169">
        <v>44377</v>
      </c>
      <c r="B1279" s="116">
        <v>447.316666666667</v>
      </c>
      <c r="C1279" s="116">
        <v>437.85</v>
      </c>
      <c r="D1279" s="116">
        <v>434.36666666666702</v>
      </c>
      <c r="E1279" s="116">
        <v>447.316666666667</v>
      </c>
      <c r="F1279" s="116">
        <v>1313.55</v>
      </c>
      <c r="G1279">
        <v>80493</v>
      </c>
      <c r="H1279" s="116"/>
      <c r="I1279" s="116"/>
      <c r="L1279" s="169">
        <v>44377</v>
      </c>
      <c r="M1279" s="116">
        <v>437.566666666667</v>
      </c>
      <c r="N1279" s="116">
        <v>445.15</v>
      </c>
      <c r="O1279" s="116">
        <v>434.38333333333298</v>
      </c>
      <c r="P1279" s="116">
        <v>444.816666666667</v>
      </c>
      <c r="Q1279" s="116">
        <v>1312.7</v>
      </c>
      <c r="R1279">
        <v>1206567</v>
      </c>
    </row>
    <row r="1280" spans="1:18" x14ac:dyDescent="0.25">
      <c r="A1280" s="169">
        <v>44378</v>
      </c>
      <c r="B1280" s="116">
        <v>442</v>
      </c>
      <c r="C1280" s="116">
        <v>439</v>
      </c>
      <c r="D1280" s="116">
        <v>435.36666666666702</v>
      </c>
      <c r="E1280" s="116">
        <v>439.66666666666703</v>
      </c>
      <c r="F1280" s="116">
        <v>1317</v>
      </c>
      <c r="G1280">
        <v>37185</v>
      </c>
      <c r="H1280" s="116"/>
      <c r="I1280" s="116"/>
      <c r="L1280" s="169">
        <v>44378</v>
      </c>
      <c r="M1280" s="116">
        <v>439.03333333333302</v>
      </c>
      <c r="N1280" s="116">
        <v>442.316666666667</v>
      </c>
      <c r="O1280" s="116">
        <v>435.33333333333297</v>
      </c>
      <c r="P1280" s="116">
        <v>439.48333333333301</v>
      </c>
      <c r="Q1280" s="116">
        <v>1317.1</v>
      </c>
      <c r="R1280">
        <v>584691</v>
      </c>
    </row>
    <row r="1281" spans="1:18" x14ac:dyDescent="0.25">
      <c r="A1281" s="169">
        <v>44379</v>
      </c>
      <c r="B1281" s="116">
        <v>443.33333333333297</v>
      </c>
      <c r="C1281" s="116">
        <v>439.48333333333301</v>
      </c>
      <c r="D1281" s="116">
        <v>437.6</v>
      </c>
      <c r="E1281" s="116">
        <v>443.33333333333297</v>
      </c>
      <c r="F1281" s="116">
        <v>1318.45</v>
      </c>
      <c r="G1281">
        <v>11723</v>
      </c>
      <c r="H1281" s="116"/>
      <c r="I1281" s="116"/>
      <c r="L1281" s="169">
        <v>44379</v>
      </c>
      <c r="M1281" s="116">
        <v>439.35</v>
      </c>
      <c r="N1281" s="116">
        <v>443.3</v>
      </c>
      <c r="O1281" s="116">
        <v>437.1</v>
      </c>
      <c r="P1281" s="116">
        <v>440</v>
      </c>
      <c r="Q1281" s="116">
        <v>1318.05</v>
      </c>
      <c r="R1281">
        <v>320098</v>
      </c>
    </row>
    <row r="1282" spans="1:18" x14ac:dyDescent="0.25">
      <c r="A1282" s="169">
        <v>44382</v>
      </c>
      <c r="B1282" s="116">
        <v>446.61666666666702</v>
      </c>
      <c r="C1282" s="116">
        <v>443.58333333333297</v>
      </c>
      <c r="D1282" s="116">
        <v>438.96666666666698</v>
      </c>
      <c r="E1282" s="116">
        <v>443</v>
      </c>
      <c r="F1282" s="116">
        <v>1330.75</v>
      </c>
      <c r="G1282">
        <v>43397</v>
      </c>
      <c r="H1282" s="116"/>
      <c r="I1282" s="116"/>
      <c r="L1282" s="169">
        <v>44382</v>
      </c>
      <c r="M1282" s="116">
        <v>444.23333333333301</v>
      </c>
      <c r="N1282" s="116">
        <v>446.48333333333301</v>
      </c>
      <c r="O1282" s="116">
        <v>439.36666666666702</v>
      </c>
      <c r="P1282" s="116">
        <v>442</v>
      </c>
      <c r="Q1282" s="116">
        <v>1332.7</v>
      </c>
      <c r="R1282">
        <v>481250</v>
      </c>
    </row>
    <row r="1283" spans="1:18" x14ac:dyDescent="0.25">
      <c r="A1283" s="169">
        <v>44383</v>
      </c>
      <c r="B1283" s="116">
        <v>449.8</v>
      </c>
      <c r="C1283" s="116">
        <v>448.08333333333297</v>
      </c>
      <c r="D1283" s="116">
        <v>443.66666666666703</v>
      </c>
      <c r="E1283" s="116">
        <v>446.66666666666703</v>
      </c>
      <c r="F1283" s="116">
        <v>1344.25</v>
      </c>
      <c r="G1283">
        <v>21760</v>
      </c>
      <c r="H1283" s="116"/>
      <c r="I1283" s="116"/>
      <c r="L1283" s="169">
        <v>44383</v>
      </c>
      <c r="M1283" s="116">
        <v>447.66666666666703</v>
      </c>
      <c r="N1283" s="116">
        <v>449.66666666666703</v>
      </c>
      <c r="O1283" s="116">
        <v>443.6</v>
      </c>
      <c r="P1283" s="116">
        <v>445.05</v>
      </c>
      <c r="Q1283" s="116">
        <v>1343</v>
      </c>
      <c r="R1283">
        <v>528440</v>
      </c>
    </row>
    <row r="1284" spans="1:18" x14ac:dyDescent="0.25">
      <c r="A1284" s="169">
        <v>44384</v>
      </c>
      <c r="B1284" s="116">
        <v>449.6</v>
      </c>
      <c r="C1284" s="116">
        <v>443.36666666666702</v>
      </c>
      <c r="D1284" s="116">
        <v>440.933333333333</v>
      </c>
      <c r="E1284" s="116">
        <v>448.08333333333297</v>
      </c>
      <c r="F1284" s="116">
        <v>1330.1</v>
      </c>
      <c r="G1284">
        <v>24509</v>
      </c>
      <c r="H1284" s="116"/>
      <c r="I1284" s="116"/>
      <c r="L1284" s="169">
        <v>44384</v>
      </c>
      <c r="M1284" s="116">
        <v>443.6</v>
      </c>
      <c r="N1284" s="116">
        <v>449.63333333333298</v>
      </c>
      <c r="O1284" s="116">
        <v>440.66666666666703</v>
      </c>
      <c r="P1284" s="116">
        <v>448.33333333333297</v>
      </c>
      <c r="Q1284" s="116">
        <v>1330.8</v>
      </c>
      <c r="R1284">
        <v>471284</v>
      </c>
    </row>
    <row r="1285" spans="1:18" x14ac:dyDescent="0.25">
      <c r="A1285" s="169">
        <v>44385</v>
      </c>
      <c r="B1285" s="116">
        <v>447.316666666667</v>
      </c>
      <c r="C1285" s="116">
        <v>440.16666666666703</v>
      </c>
      <c r="D1285" s="116">
        <v>437.58333333333297</v>
      </c>
      <c r="E1285" s="116">
        <v>443.36666666666702</v>
      </c>
      <c r="F1285" s="116">
        <v>1320.5</v>
      </c>
      <c r="G1285">
        <v>16686</v>
      </c>
      <c r="H1285" s="116"/>
      <c r="I1285" s="116"/>
      <c r="L1285" s="169">
        <v>44385</v>
      </c>
      <c r="M1285" s="116">
        <v>440.05</v>
      </c>
      <c r="N1285" s="116">
        <v>447.316666666667</v>
      </c>
      <c r="O1285" s="116">
        <v>437.33333333333297</v>
      </c>
      <c r="P1285" s="116">
        <v>442.66666666666703</v>
      </c>
      <c r="Q1285" s="116">
        <v>1320.15</v>
      </c>
      <c r="R1285">
        <v>557738</v>
      </c>
    </row>
    <row r="1286" spans="1:18" x14ac:dyDescent="0.25">
      <c r="A1286" s="169">
        <v>44386</v>
      </c>
      <c r="B1286" s="116">
        <v>446.66666666666703</v>
      </c>
      <c r="C1286" s="116">
        <v>443.6</v>
      </c>
      <c r="D1286" s="116">
        <v>436.683333333333</v>
      </c>
      <c r="E1286" s="116">
        <v>436.683333333333</v>
      </c>
      <c r="F1286" s="116">
        <v>1330.8</v>
      </c>
      <c r="G1286">
        <v>44656</v>
      </c>
      <c r="H1286" s="116"/>
      <c r="I1286" s="116"/>
      <c r="L1286" s="169">
        <v>44386</v>
      </c>
      <c r="M1286" s="116">
        <v>443.35</v>
      </c>
      <c r="N1286" s="116">
        <v>446.65</v>
      </c>
      <c r="O1286" s="116">
        <v>438.36666666666702</v>
      </c>
      <c r="P1286" s="116">
        <v>440.05</v>
      </c>
      <c r="Q1286" s="116">
        <v>1330.05</v>
      </c>
      <c r="R1286">
        <v>470509</v>
      </c>
    </row>
    <row r="1287" spans="1:18" x14ac:dyDescent="0.25">
      <c r="A1287" s="169">
        <v>44389</v>
      </c>
      <c r="B1287" s="116">
        <v>453.48333333333301</v>
      </c>
      <c r="C1287" s="116">
        <v>452.316666666667</v>
      </c>
      <c r="D1287" s="116">
        <v>445.1</v>
      </c>
      <c r="E1287" s="116">
        <v>446.66666666666703</v>
      </c>
      <c r="F1287" s="116">
        <v>1356.95</v>
      </c>
      <c r="G1287">
        <v>42908</v>
      </c>
      <c r="H1287" s="116"/>
      <c r="I1287" s="116"/>
      <c r="L1287" s="169">
        <v>44389</v>
      </c>
      <c r="M1287" s="116">
        <v>452.41666666666703</v>
      </c>
      <c r="N1287" s="116">
        <v>453.33333333333297</v>
      </c>
      <c r="O1287" s="116">
        <v>444.8</v>
      </c>
      <c r="P1287" s="116">
        <v>448.88333333333298</v>
      </c>
      <c r="Q1287" s="116">
        <v>1357.25</v>
      </c>
      <c r="R1287">
        <v>531222</v>
      </c>
    </row>
    <row r="1288" spans="1:18" x14ac:dyDescent="0.25">
      <c r="A1288" s="169">
        <v>44390</v>
      </c>
      <c r="B1288" s="116">
        <v>455.3</v>
      </c>
      <c r="C1288" s="116">
        <v>452.46666666666698</v>
      </c>
      <c r="D1288" s="116">
        <v>447.33333333333297</v>
      </c>
      <c r="E1288" s="116">
        <v>453</v>
      </c>
      <c r="F1288" s="116">
        <v>1357.4</v>
      </c>
      <c r="G1288">
        <v>15329</v>
      </c>
      <c r="H1288" s="116"/>
      <c r="I1288" s="116"/>
      <c r="L1288" s="169">
        <v>44390</v>
      </c>
      <c r="M1288" s="116">
        <v>452.1</v>
      </c>
      <c r="N1288" s="116">
        <v>456.566666666667</v>
      </c>
      <c r="O1288" s="116">
        <v>447.46666666666698</v>
      </c>
      <c r="P1288" s="116">
        <v>453.33333333333297</v>
      </c>
      <c r="Q1288" s="116">
        <v>1356.3</v>
      </c>
      <c r="R1288">
        <v>478506</v>
      </c>
    </row>
    <row r="1289" spans="1:18" x14ac:dyDescent="0.25">
      <c r="A1289" s="169">
        <v>44391</v>
      </c>
      <c r="B1289" s="116">
        <v>456</v>
      </c>
      <c r="C1289" s="116">
        <v>447.38333333333298</v>
      </c>
      <c r="D1289" s="116">
        <v>445.46666666666698</v>
      </c>
      <c r="E1289" s="116">
        <v>456</v>
      </c>
      <c r="F1289" s="116">
        <v>1342.15</v>
      </c>
      <c r="G1289">
        <v>25917</v>
      </c>
      <c r="H1289" s="116"/>
      <c r="I1289" s="116"/>
      <c r="L1289" s="169">
        <v>44391</v>
      </c>
      <c r="M1289" s="116">
        <v>447.41666666666703</v>
      </c>
      <c r="N1289" s="116">
        <v>455.95</v>
      </c>
      <c r="O1289" s="116">
        <v>445.66666666666703</v>
      </c>
      <c r="P1289" s="116">
        <v>454</v>
      </c>
      <c r="Q1289" s="116">
        <v>1342.25</v>
      </c>
      <c r="R1289">
        <v>261700</v>
      </c>
    </row>
    <row r="1290" spans="1:18" x14ac:dyDescent="0.25">
      <c r="A1290" s="169">
        <v>44392</v>
      </c>
      <c r="B1290" s="116">
        <v>450</v>
      </c>
      <c r="C1290" s="116">
        <v>446.86666666666702</v>
      </c>
      <c r="D1290" s="116">
        <v>445.46666666666698</v>
      </c>
      <c r="E1290" s="116">
        <v>447.66666666666703</v>
      </c>
      <c r="F1290" s="116">
        <v>1340.6</v>
      </c>
      <c r="G1290">
        <v>18079</v>
      </c>
      <c r="H1290" s="116"/>
      <c r="I1290" s="116"/>
      <c r="L1290" s="169">
        <v>44392</v>
      </c>
      <c r="M1290" s="116">
        <v>447.05</v>
      </c>
      <c r="N1290" s="116">
        <v>450.6</v>
      </c>
      <c r="O1290" s="116">
        <v>445.066666666667</v>
      </c>
      <c r="P1290" s="116">
        <v>447.41666666666703</v>
      </c>
      <c r="Q1290" s="116">
        <v>1341.15</v>
      </c>
      <c r="R1290">
        <v>144347</v>
      </c>
    </row>
    <row r="1291" spans="1:18" x14ac:dyDescent="0.25">
      <c r="A1291" s="169">
        <v>44393</v>
      </c>
      <c r="B1291" s="116">
        <v>453</v>
      </c>
      <c r="C1291" s="116">
        <v>440.316666666667</v>
      </c>
      <c r="D1291" s="116">
        <v>439.36666666666702</v>
      </c>
      <c r="E1291" s="116">
        <v>453</v>
      </c>
      <c r="F1291" s="116">
        <v>1320.95</v>
      </c>
      <c r="G1291">
        <v>19077</v>
      </c>
      <c r="H1291" s="116"/>
      <c r="I1291" s="116"/>
      <c r="L1291" s="169">
        <v>44393</v>
      </c>
      <c r="M1291" s="116">
        <v>440.1</v>
      </c>
      <c r="N1291" s="116">
        <v>451.16666666666703</v>
      </c>
      <c r="O1291" s="116">
        <v>439.33333333333297</v>
      </c>
      <c r="P1291" s="116">
        <v>451.16666666666703</v>
      </c>
      <c r="Q1291" s="116">
        <v>1320.3</v>
      </c>
      <c r="R1291">
        <v>296701</v>
      </c>
    </row>
    <row r="1292" spans="1:18" x14ac:dyDescent="0.25">
      <c r="A1292" s="169">
        <v>44396</v>
      </c>
      <c r="B1292" s="116">
        <v>442.66666666666703</v>
      </c>
      <c r="C1292" s="116">
        <v>438.933333333333</v>
      </c>
      <c r="D1292" s="116">
        <v>437.01666666666699</v>
      </c>
      <c r="E1292" s="116">
        <v>440</v>
      </c>
      <c r="F1292" s="116">
        <v>1316.8</v>
      </c>
      <c r="G1292">
        <v>16298</v>
      </c>
      <c r="H1292" s="116"/>
      <c r="I1292" s="116"/>
      <c r="L1292" s="169">
        <v>44396</v>
      </c>
      <c r="M1292" s="116">
        <v>438.98333333333301</v>
      </c>
      <c r="N1292" s="116">
        <v>442.7</v>
      </c>
      <c r="O1292" s="116">
        <v>437.066666666667</v>
      </c>
      <c r="P1292" s="116">
        <v>439.66666666666703</v>
      </c>
      <c r="Q1292" s="116">
        <v>1316.95</v>
      </c>
      <c r="R1292">
        <v>158646</v>
      </c>
    </row>
    <row r="1293" spans="1:18" x14ac:dyDescent="0.25">
      <c r="A1293" s="169">
        <v>44397</v>
      </c>
      <c r="B1293" s="116">
        <v>442.5</v>
      </c>
      <c r="C1293" s="116">
        <v>438.78333333333302</v>
      </c>
      <c r="D1293" s="116">
        <v>436.66666666666703</v>
      </c>
      <c r="E1293" s="116">
        <v>439</v>
      </c>
      <c r="F1293" s="116">
        <v>1316.35</v>
      </c>
      <c r="G1293">
        <v>9411</v>
      </c>
      <c r="H1293" s="116"/>
      <c r="I1293" s="116"/>
      <c r="L1293" s="169">
        <v>44397</v>
      </c>
      <c r="M1293" s="116">
        <v>438.36666666666702</v>
      </c>
      <c r="N1293" s="116">
        <v>443.33333333333297</v>
      </c>
      <c r="O1293" s="116">
        <v>436.66666666666703</v>
      </c>
      <c r="P1293" s="116">
        <v>439</v>
      </c>
      <c r="Q1293" s="116">
        <v>1315.1</v>
      </c>
      <c r="R1293">
        <v>206890</v>
      </c>
    </row>
    <row r="1294" spans="1:18" x14ac:dyDescent="0.25">
      <c r="A1294" s="169">
        <v>44399</v>
      </c>
      <c r="B1294" s="116">
        <v>441.2</v>
      </c>
      <c r="C1294" s="116">
        <v>437.61666666666702</v>
      </c>
      <c r="D1294" s="116">
        <v>436.066666666667</v>
      </c>
      <c r="E1294" s="116">
        <v>436.66666666666703</v>
      </c>
      <c r="F1294" s="116">
        <v>1312.85</v>
      </c>
      <c r="G1294">
        <v>13873</v>
      </c>
      <c r="H1294" s="116"/>
      <c r="I1294" s="116"/>
      <c r="L1294" s="169">
        <v>44399</v>
      </c>
      <c r="M1294" s="116">
        <v>437.9</v>
      </c>
      <c r="N1294" s="116">
        <v>442.66666666666703</v>
      </c>
      <c r="O1294" s="116">
        <v>436</v>
      </c>
      <c r="P1294" s="116">
        <v>439</v>
      </c>
      <c r="Q1294" s="116">
        <v>1313.7</v>
      </c>
      <c r="R1294">
        <v>121747</v>
      </c>
    </row>
    <row r="1295" spans="1:18" x14ac:dyDescent="0.25">
      <c r="A1295" s="169">
        <v>44400</v>
      </c>
      <c r="B1295" s="116">
        <v>441.41666666666703</v>
      </c>
      <c r="C1295" s="116">
        <v>437.13333333333298</v>
      </c>
      <c r="D1295" s="116">
        <v>435.61666666666702</v>
      </c>
      <c r="E1295" s="116">
        <v>441.41666666666703</v>
      </c>
      <c r="F1295" s="116">
        <v>1311.4</v>
      </c>
      <c r="G1295">
        <v>4504</v>
      </c>
      <c r="H1295" s="116"/>
      <c r="I1295" s="116"/>
      <c r="L1295" s="169">
        <v>44400</v>
      </c>
      <c r="M1295" s="116">
        <v>437.3</v>
      </c>
      <c r="N1295" s="116">
        <v>440.98333333333301</v>
      </c>
      <c r="O1295" s="116">
        <v>436</v>
      </c>
      <c r="P1295" s="116">
        <v>439.66666666666703</v>
      </c>
      <c r="Q1295" s="116">
        <v>1311.9</v>
      </c>
      <c r="R1295">
        <v>113726</v>
      </c>
    </row>
    <row r="1296" spans="1:18" x14ac:dyDescent="0.25">
      <c r="A1296" s="169">
        <v>44403</v>
      </c>
      <c r="B1296" s="116">
        <v>440.433333333333</v>
      </c>
      <c r="C1296" s="116">
        <v>436.35</v>
      </c>
      <c r="D1296" s="116">
        <v>435.33333333333297</v>
      </c>
      <c r="E1296" s="116">
        <v>437.066666666667</v>
      </c>
      <c r="F1296" s="116">
        <v>1309.05</v>
      </c>
      <c r="G1296">
        <v>4747</v>
      </c>
      <c r="H1296" s="116"/>
      <c r="I1296" s="116"/>
      <c r="L1296" s="169">
        <v>44403</v>
      </c>
      <c r="M1296" s="116">
        <v>436.1</v>
      </c>
      <c r="N1296" s="116">
        <v>440.58333333333297</v>
      </c>
      <c r="O1296" s="116">
        <v>435.08333333333297</v>
      </c>
      <c r="P1296" s="116">
        <v>437.3</v>
      </c>
      <c r="Q1296" s="116">
        <v>1308.3</v>
      </c>
      <c r="R1296">
        <v>140645</v>
      </c>
    </row>
    <row r="1297" spans="1:18" x14ac:dyDescent="0.25">
      <c r="A1297" s="169">
        <v>44404</v>
      </c>
      <c r="B1297" s="116">
        <v>440</v>
      </c>
      <c r="C1297" s="116">
        <v>435.61666666666702</v>
      </c>
      <c r="D1297" s="116">
        <v>434.86666666666702</v>
      </c>
      <c r="E1297" s="116">
        <v>440</v>
      </c>
      <c r="F1297" s="116">
        <v>1306.8499999999999</v>
      </c>
      <c r="G1297">
        <v>29504</v>
      </c>
      <c r="H1297" s="116"/>
      <c r="I1297" s="116"/>
      <c r="L1297" s="169">
        <v>44404</v>
      </c>
      <c r="M1297" s="116">
        <v>435.7</v>
      </c>
      <c r="N1297" s="116">
        <v>440</v>
      </c>
      <c r="O1297" s="116">
        <v>435</v>
      </c>
      <c r="P1297" s="116">
        <v>436.433333333333</v>
      </c>
      <c r="Q1297" s="116">
        <v>1307.0999999999999</v>
      </c>
      <c r="R1297">
        <v>119605</v>
      </c>
    </row>
    <row r="1298" spans="1:18" x14ac:dyDescent="0.25">
      <c r="A1298" s="169">
        <v>44405</v>
      </c>
      <c r="B1298" s="116">
        <v>438.25</v>
      </c>
      <c r="C1298" s="116">
        <v>435.183333333333</v>
      </c>
      <c r="D1298" s="116">
        <v>433.066666666667</v>
      </c>
      <c r="E1298" s="116">
        <v>435</v>
      </c>
      <c r="F1298" s="116">
        <v>1305.55</v>
      </c>
      <c r="G1298">
        <v>3962</v>
      </c>
      <c r="H1298" s="116"/>
      <c r="I1298" s="116"/>
      <c r="L1298" s="169">
        <v>44405</v>
      </c>
      <c r="M1298" s="116">
        <v>435.61666666666702</v>
      </c>
      <c r="N1298" s="116">
        <v>439</v>
      </c>
      <c r="O1298" s="116">
        <v>433.4</v>
      </c>
      <c r="P1298" s="116">
        <v>436.3</v>
      </c>
      <c r="Q1298" s="116">
        <v>1306.8499999999999</v>
      </c>
      <c r="R1298">
        <v>223818</v>
      </c>
    </row>
    <row r="1299" spans="1:18" x14ac:dyDescent="0.25">
      <c r="A1299" s="169">
        <v>44406</v>
      </c>
      <c r="B1299" s="116">
        <v>437.01666666666699</v>
      </c>
      <c r="C1299" s="116">
        <v>435.96666666666698</v>
      </c>
      <c r="D1299" s="116">
        <v>433.85</v>
      </c>
      <c r="E1299" s="116">
        <v>435.36666666666702</v>
      </c>
      <c r="F1299" s="116">
        <v>1307.9000000000001</v>
      </c>
      <c r="G1299">
        <v>1948</v>
      </c>
      <c r="H1299" s="116"/>
      <c r="I1299" s="116"/>
      <c r="L1299" s="169">
        <v>44406</v>
      </c>
      <c r="M1299" s="116">
        <v>436.433333333333</v>
      </c>
      <c r="N1299" s="116">
        <v>436.66666666666703</v>
      </c>
      <c r="O1299" s="116">
        <v>433.33333333333297</v>
      </c>
      <c r="P1299" s="116">
        <v>435.7</v>
      </c>
      <c r="Q1299" s="116">
        <v>1309.3</v>
      </c>
      <c r="R1299">
        <v>176706</v>
      </c>
    </row>
    <row r="1300" spans="1:18" x14ac:dyDescent="0.25">
      <c r="A1300" s="169">
        <v>44407</v>
      </c>
      <c r="B1300" s="116">
        <v>440.066666666667</v>
      </c>
      <c r="C1300" s="116">
        <v>436.11666666666702</v>
      </c>
      <c r="D1300" s="116">
        <v>434.66666666666703</v>
      </c>
      <c r="E1300" s="116">
        <v>437.71666666666698</v>
      </c>
      <c r="F1300" s="116">
        <v>1308.3499999999999</v>
      </c>
      <c r="G1300">
        <v>1955</v>
      </c>
      <c r="H1300" s="116"/>
      <c r="I1300" s="116"/>
      <c r="L1300" s="169">
        <v>44407</v>
      </c>
      <c r="M1300" s="116">
        <v>436.15</v>
      </c>
      <c r="N1300" s="116">
        <v>440.23333333333301</v>
      </c>
      <c r="O1300" s="116">
        <v>433.85</v>
      </c>
      <c r="P1300" s="116">
        <v>438.33333333333297</v>
      </c>
      <c r="Q1300" s="116">
        <v>1308.45</v>
      </c>
      <c r="R1300">
        <v>265215</v>
      </c>
    </row>
    <row r="1301" spans="1:18" x14ac:dyDescent="0.25">
      <c r="A1301" s="169">
        <v>44410</v>
      </c>
      <c r="B1301" s="116">
        <v>444.15</v>
      </c>
      <c r="C1301" s="116">
        <v>441.816666666667</v>
      </c>
      <c r="D1301" s="116">
        <v>436.66666666666703</v>
      </c>
      <c r="E1301" s="116">
        <v>439.98333333333301</v>
      </c>
      <c r="F1301" s="116">
        <v>1325.45</v>
      </c>
      <c r="G1301">
        <v>5573</v>
      </c>
      <c r="H1301" s="116"/>
      <c r="I1301" s="116"/>
      <c r="L1301" s="169">
        <v>44410</v>
      </c>
      <c r="M1301" s="116">
        <v>441.75</v>
      </c>
      <c r="N1301" s="116">
        <v>444.683333333333</v>
      </c>
      <c r="O1301" s="116">
        <v>436.15</v>
      </c>
      <c r="P1301" s="116">
        <v>436.15</v>
      </c>
      <c r="Q1301" s="116">
        <v>1325.25</v>
      </c>
      <c r="R1301">
        <v>254463</v>
      </c>
    </row>
    <row r="1302" spans="1:18" x14ac:dyDescent="0.25">
      <c r="A1302" s="169">
        <v>44411</v>
      </c>
      <c r="B1302" s="116">
        <v>449</v>
      </c>
      <c r="C1302" s="116">
        <v>444.816666666667</v>
      </c>
      <c r="D1302" s="116">
        <v>439.433333333333</v>
      </c>
      <c r="E1302" s="116">
        <v>439.433333333333</v>
      </c>
      <c r="F1302" s="116">
        <v>1334.45</v>
      </c>
      <c r="G1302">
        <v>17433</v>
      </c>
      <c r="H1302" s="116"/>
      <c r="I1302" s="116"/>
      <c r="L1302" s="169">
        <v>44411</v>
      </c>
      <c r="M1302" s="116">
        <v>444.73333333333301</v>
      </c>
      <c r="N1302" s="116">
        <v>449.03333333333302</v>
      </c>
      <c r="O1302" s="116">
        <v>439.48333333333301</v>
      </c>
      <c r="P1302" s="116">
        <v>440</v>
      </c>
      <c r="Q1302" s="116">
        <v>1334.2</v>
      </c>
      <c r="R1302">
        <v>369817</v>
      </c>
    </row>
    <row r="1303" spans="1:18" x14ac:dyDescent="0.25">
      <c r="A1303" s="169">
        <v>44412</v>
      </c>
      <c r="B1303" s="116">
        <v>453.33333333333297</v>
      </c>
      <c r="C1303" s="116">
        <v>448.61666666666702</v>
      </c>
      <c r="D1303" s="116">
        <v>443.33333333333297</v>
      </c>
      <c r="E1303" s="116">
        <v>448.4</v>
      </c>
      <c r="F1303" s="116">
        <v>1345.85</v>
      </c>
      <c r="G1303">
        <v>161829</v>
      </c>
      <c r="H1303" s="116"/>
      <c r="I1303" s="116"/>
      <c r="L1303" s="169">
        <v>44412</v>
      </c>
      <c r="M1303" s="116">
        <v>448.73333333333301</v>
      </c>
      <c r="N1303" s="116">
        <v>453.33333333333297</v>
      </c>
      <c r="O1303" s="116">
        <v>443.433333333333</v>
      </c>
      <c r="P1303" s="116">
        <v>448.33333333333297</v>
      </c>
      <c r="Q1303" s="116">
        <v>1346.2</v>
      </c>
      <c r="R1303">
        <v>403010</v>
      </c>
    </row>
    <row r="1304" spans="1:18" x14ac:dyDescent="0.25">
      <c r="A1304" s="169">
        <v>44413</v>
      </c>
      <c r="B1304" s="116">
        <v>455.13333333333298</v>
      </c>
      <c r="C1304" s="116">
        <v>450.316666666667</v>
      </c>
      <c r="D1304" s="116">
        <v>447.35</v>
      </c>
      <c r="E1304" s="116">
        <v>447.35</v>
      </c>
      <c r="F1304" s="116">
        <v>1350.95</v>
      </c>
      <c r="G1304">
        <v>9853</v>
      </c>
      <c r="H1304" s="116"/>
      <c r="I1304" s="116"/>
      <c r="L1304" s="169">
        <v>44413</v>
      </c>
      <c r="M1304" s="116">
        <v>450.15</v>
      </c>
      <c r="N1304" s="116">
        <v>454.96666666666698</v>
      </c>
      <c r="O1304" s="116">
        <v>448.05</v>
      </c>
      <c r="P1304" s="116">
        <v>450</v>
      </c>
      <c r="Q1304" s="116">
        <v>1350.45</v>
      </c>
      <c r="R1304">
        <v>325726</v>
      </c>
    </row>
    <row r="1305" spans="1:18" x14ac:dyDescent="0.25">
      <c r="A1305" s="169">
        <v>44414</v>
      </c>
      <c r="B1305" s="116">
        <v>452.61666666666702</v>
      </c>
      <c r="C1305" s="116">
        <v>450.13333333333298</v>
      </c>
      <c r="D1305" s="116">
        <v>448.33333333333297</v>
      </c>
      <c r="E1305" s="116">
        <v>450.33333333333297</v>
      </c>
      <c r="F1305" s="116">
        <v>1350.4</v>
      </c>
      <c r="G1305">
        <v>12289</v>
      </c>
      <c r="H1305" s="116"/>
      <c r="I1305" s="116"/>
      <c r="L1305" s="169">
        <v>44414</v>
      </c>
      <c r="M1305" s="116">
        <v>450.4</v>
      </c>
      <c r="N1305" s="116">
        <v>452.566666666667</v>
      </c>
      <c r="O1305" s="116">
        <v>448.33333333333297</v>
      </c>
      <c r="P1305" s="116">
        <v>451.66666666666703</v>
      </c>
      <c r="Q1305" s="116">
        <v>1351.2</v>
      </c>
      <c r="R1305">
        <v>132897</v>
      </c>
    </row>
    <row r="1306" spans="1:18" x14ac:dyDescent="0.25">
      <c r="A1306" s="169">
        <v>44417</v>
      </c>
      <c r="B1306" s="116">
        <v>453.83333333333297</v>
      </c>
      <c r="C1306" s="116">
        <v>448</v>
      </c>
      <c r="D1306" s="116">
        <v>445.91666666666703</v>
      </c>
      <c r="E1306" s="116">
        <v>451</v>
      </c>
      <c r="F1306" s="116">
        <v>1344</v>
      </c>
      <c r="G1306">
        <v>13373</v>
      </c>
      <c r="H1306" s="116"/>
      <c r="I1306" s="116"/>
      <c r="L1306" s="169">
        <v>44417</v>
      </c>
      <c r="M1306" s="116">
        <v>448.183333333333</v>
      </c>
      <c r="N1306" s="116">
        <v>453.316666666667</v>
      </c>
      <c r="O1306" s="116">
        <v>446</v>
      </c>
      <c r="P1306" s="116">
        <v>451.66666666666703</v>
      </c>
      <c r="Q1306" s="116">
        <v>1344.55</v>
      </c>
      <c r="R1306">
        <v>253266</v>
      </c>
    </row>
    <row r="1307" spans="1:18" x14ac:dyDescent="0.25">
      <c r="A1307" s="169">
        <v>44418</v>
      </c>
      <c r="B1307" s="116">
        <v>448.63333333333298</v>
      </c>
      <c r="C1307" s="116">
        <v>442.83333333333297</v>
      </c>
      <c r="D1307" s="116">
        <v>437.63333333333298</v>
      </c>
      <c r="E1307" s="116">
        <v>448.61666666666702</v>
      </c>
      <c r="F1307" s="116">
        <v>1328.5</v>
      </c>
      <c r="G1307">
        <v>6067</v>
      </c>
      <c r="H1307" s="116"/>
      <c r="I1307" s="116"/>
      <c r="L1307" s="169">
        <v>44418</v>
      </c>
      <c r="M1307" s="116">
        <v>443.1</v>
      </c>
      <c r="N1307" s="116">
        <v>448.2</v>
      </c>
      <c r="O1307" s="116">
        <v>437.33333333333297</v>
      </c>
      <c r="P1307" s="116">
        <v>448.183333333333</v>
      </c>
      <c r="Q1307" s="116">
        <v>1329.3</v>
      </c>
      <c r="R1307">
        <v>166343</v>
      </c>
    </row>
    <row r="1308" spans="1:18" x14ac:dyDescent="0.25">
      <c r="A1308" s="169">
        <v>44419</v>
      </c>
      <c r="B1308" s="116">
        <v>446.66666666666703</v>
      </c>
      <c r="C1308" s="116">
        <v>438.13333333333298</v>
      </c>
      <c r="D1308" s="116">
        <v>434.51666666666699</v>
      </c>
      <c r="E1308" s="116">
        <v>446.66666666666703</v>
      </c>
      <c r="F1308" s="116">
        <v>1314.4</v>
      </c>
      <c r="G1308">
        <v>3628</v>
      </c>
      <c r="H1308" s="116"/>
      <c r="I1308" s="116"/>
      <c r="L1308" s="169">
        <v>44419</v>
      </c>
      <c r="M1308" s="116">
        <v>437.55</v>
      </c>
      <c r="N1308" s="116">
        <v>443.33333333333297</v>
      </c>
      <c r="O1308" s="116">
        <v>434.4</v>
      </c>
      <c r="P1308" s="116">
        <v>442.55</v>
      </c>
      <c r="Q1308" s="116">
        <v>1312.65</v>
      </c>
      <c r="R1308">
        <v>187599</v>
      </c>
    </row>
    <row r="1309" spans="1:18" x14ac:dyDescent="0.25">
      <c r="A1309" s="169">
        <v>44420</v>
      </c>
      <c r="B1309" s="116">
        <v>450.35</v>
      </c>
      <c r="C1309" s="116">
        <v>448.73333333333301</v>
      </c>
      <c r="D1309" s="116">
        <v>436.9</v>
      </c>
      <c r="E1309" s="116">
        <v>440.33333333333297</v>
      </c>
      <c r="F1309" s="116">
        <v>1346.2</v>
      </c>
      <c r="G1309">
        <v>15728</v>
      </c>
      <c r="H1309" s="116"/>
      <c r="I1309" s="116"/>
      <c r="L1309" s="169">
        <v>44420</v>
      </c>
      <c r="M1309" s="116">
        <v>449.28333333333302</v>
      </c>
      <c r="N1309" s="116">
        <v>450.65</v>
      </c>
      <c r="O1309" s="116">
        <v>437.5</v>
      </c>
      <c r="P1309" s="116">
        <v>437.55</v>
      </c>
      <c r="Q1309" s="116">
        <v>1347.85</v>
      </c>
      <c r="R1309">
        <v>179973</v>
      </c>
    </row>
    <row r="1310" spans="1:18" x14ac:dyDescent="0.25">
      <c r="A1310" s="169">
        <v>44421</v>
      </c>
      <c r="B1310" s="116">
        <v>461.53333333333302</v>
      </c>
      <c r="C1310" s="116">
        <v>445.35</v>
      </c>
      <c r="D1310" s="116">
        <v>441.66666666666703</v>
      </c>
      <c r="E1310" s="116">
        <v>461.53333333333302</v>
      </c>
      <c r="F1310" s="116">
        <v>1336.05</v>
      </c>
      <c r="G1310">
        <v>13850</v>
      </c>
      <c r="H1310" s="116"/>
      <c r="I1310" s="116"/>
      <c r="L1310" s="169">
        <v>44421</v>
      </c>
      <c r="M1310" s="116">
        <v>445.683333333333</v>
      </c>
      <c r="N1310" s="116">
        <v>458.3</v>
      </c>
      <c r="O1310" s="116">
        <v>441.7</v>
      </c>
      <c r="P1310" s="116">
        <v>456</v>
      </c>
      <c r="Q1310" s="116">
        <v>1337.05</v>
      </c>
      <c r="R1310">
        <v>236409</v>
      </c>
    </row>
    <row r="1311" spans="1:18" x14ac:dyDescent="0.25">
      <c r="A1311" s="169">
        <v>44424</v>
      </c>
      <c r="B1311" s="116">
        <v>448.35</v>
      </c>
      <c r="C1311" s="116">
        <v>440.1</v>
      </c>
      <c r="D1311" s="116">
        <v>437.61666666666702</v>
      </c>
      <c r="E1311" s="116">
        <v>447.38333333333298</v>
      </c>
      <c r="F1311" s="116">
        <v>1320.3</v>
      </c>
      <c r="G1311">
        <v>4293</v>
      </c>
      <c r="H1311" s="116"/>
      <c r="I1311" s="116"/>
      <c r="L1311" s="169">
        <v>44424</v>
      </c>
      <c r="M1311" s="116">
        <v>438.9</v>
      </c>
      <c r="N1311" s="116">
        <v>449.33333333333297</v>
      </c>
      <c r="O1311" s="116">
        <v>437.3</v>
      </c>
      <c r="P1311" s="116">
        <v>446</v>
      </c>
      <c r="Q1311" s="116">
        <v>1316.7</v>
      </c>
      <c r="R1311">
        <v>267274</v>
      </c>
    </row>
    <row r="1312" spans="1:18" x14ac:dyDescent="0.25">
      <c r="A1312" s="169">
        <v>44425</v>
      </c>
      <c r="B1312" s="116">
        <v>446.6</v>
      </c>
      <c r="C1312" s="116">
        <v>436.41666666666703</v>
      </c>
      <c r="D1312" s="116">
        <v>435.6</v>
      </c>
      <c r="E1312" s="116">
        <v>446.6</v>
      </c>
      <c r="F1312" s="116">
        <v>1309.25</v>
      </c>
      <c r="G1312">
        <v>8718</v>
      </c>
      <c r="H1312" s="116"/>
      <c r="I1312" s="116"/>
      <c r="L1312" s="169">
        <v>44425</v>
      </c>
      <c r="M1312" s="116">
        <v>436.566666666667</v>
      </c>
      <c r="N1312" s="116">
        <v>440.86666666666702</v>
      </c>
      <c r="O1312" s="116">
        <v>435.33333333333297</v>
      </c>
      <c r="P1312" s="116">
        <v>440.33333333333297</v>
      </c>
      <c r="Q1312" s="116">
        <v>1309.7</v>
      </c>
      <c r="R1312">
        <v>173471</v>
      </c>
    </row>
    <row r="1313" spans="1:18" x14ac:dyDescent="0.25">
      <c r="A1313" s="169">
        <v>44426</v>
      </c>
      <c r="B1313" s="116">
        <v>446.21666666666698</v>
      </c>
      <c r="C1313" s="116">
        <v>436.38333333333298</v>
      </c>
      <c r="D1313" s="116">
        <v>434.46666666666698</v>
      </c>
      <c r="E1313" s="116">
        <v>440</v>
      </c>
      <c r="F1313" s="116">
        <v>1309.1500000000001</v>
      </c>
      <c r="G1313">
        <v>7272</v>
      </c>
      <c r="H1313" s="116"/>
      <c r="I1313" s="116"/>
      <c r="L1313" s="169">
        <v>44426</v>
      </c>
      <c r="M1313" s="116">
        <v>436.75</v>
      </c>
      <c r="N1313" s="116">
        <v>446.13333333333298</v>
      </c>
      <c r="O1313" s="116">
        <v>434.41666666666703</v>
      </c>
      <c r="P1313" s="116">
        <v>436.566666666667</v>
      </c>
      <c r="Q1313" s="116">
        <v>1310.25</v>
      </c>
      <c r="R1313">
        <v>194500</v>
      </c>
    </row>
    <row r="1314" spans="1:18" x14ac:dyDescent="0.25">
      <c r="A1314" s="169">
        <v>44428</v>
      </c>
      <c r="B1314" s="116">
        <v>448.16666666666703</v>
      </c>
      <c r="C1314" s="116">
        <v>428.36666666666702</v>
      </c>
      <c r="D1314" s="116">
        <v>426.7</v>
      </c>
      <c r="E1314" s="116">
        <v>448.16666666666703</v>
      </c>
      <c r="F1314" s="116">
        <v>1285.0999999999999</v>
      </c>
      <c r="G1314">
        <v>7570</v>
      </c>
      <c r="H1314" s="116"/>
      <c r="I1314" s="116"/>
      <c r="L1314" s="169">
        <v>44428</v>
      </c>
      <c r="M1314" s="116">
        <v>429.41666666666703</v>
      </c>
      <c r="N1314" s="116">
        <v>438.183333333333</v>
      </c>
      <c r="O1314" s="116">
        <v>428.73333333333301</v>
      </c>
      <c r="P1314" s="116">
        <v>435</v>
      </c>
      <c r="Q1314" s="116">
        <v>1288.25</v>
      </c>
      <c r="R1314">
        <v>580105</v>
      </c>
    </row>
    <row r="1315" spans="1:18" x14ac:dyDescent="0.25">
      <c r="A1315" s="169">
        <v>44431</v>
      </c>
      <c r="B1315" s="116">
        <v>431.66666666666703</v>
      </c>
      <c r="C1315" s="116">
        <v>417</v>
      </c>
      <c r="D1315" s="116">
        <v>407</v>
      </c>
      <c r="E1315" s="116">
        <v>431.66666666666703</v>
      </c>
      <c r="F1315" s="116">
        <v>1251</v>
      </c>
      <c r="G1315">
        <v>5373</v>
      </c>
      <c r="H1315" s="116"/>
      <c r="I1315" s="116"/>
      <c r="L1315" s="169">
        <v>44431</v>
      </c>
      <c r="M1315" s="116">
        <v>417.55</v>
      </c>
      <c r="N1315" s="116">
        <v>433.33333333333297</v>
      </c>
      <c r="O1315" s="116">
        <v>407.1</v>
      </c>
      <c r="P1315" s="116">
        <v>430.35</v>
      </c>
      <c r="Q1315" s="116">
        <v>1252.6500000000001</v>
      </c>
      <c r="R1315">
        <v>204215</v>
      </c>
    </row>
    <row r="1316" spans="1:18" x14ac:dyDescent="0.25">
      <c r="A1316" s="169">
        <v>44432</v>
      </c>
      <c r="B1316" s="116">
        <v>429.76666666666699</v>
      </c>
      <c r="C1316" s="116">
        <v>427.1</v>
      </c>
      <c r="D1316" s="116">
        <v>418.78333333333302</v>
      </c>
      <c r="E1316" s="116">
        <v>418.78333333333302</v>
      </c>
      <c r="F1316" s="116">
        <v>1281.3</v>
      </c>
      <c r="G1316">
        <v>3100</v>
      </c>
      <c r="H1316" s="116"/>
      <c r="I1316" s="116"/>
      <c r="L1316" s="169">
        <v>44432</v>
      </c>
      <c r="M1316" s="116">
        <v>426.8</v>
      </c>
      <c r="N1316" s="116">
        <v>429.98333333333301</v>
      </c>
      <c r="O1316" s="116">
        <v>417.55</v>
      </c>
      <c r="P1316" s="116">
        <v>419.5</v>
      </c>
      <c r="Q1316" s="116">
        <v>1280.4000000000001</v>
      </c>
      <c r="R1316">
        <v>269927</v>
      </c>
    </row>
    <row r="1317" spans="1:18" x14ac:dyDescent="0.25">
      <c r="A1317" s="169">
        <v>44433</v>
      </c>
      <c r="B1317" s="116">
        <v>431.7</v>
      </c>
      <c r="C1317" s="116">
        <v>423.75</v>
      </c>
      <c r="D1317" s="116">
        <v>420</v>
      </c>
      <c r="E1317" s="116">
        <v>426.066666666667</v>
      </c>
      <c r="F1317" s="116">
        <v>1271.25</v>
      </c>
      <c r="G1317">
        <v>4484</v>
      </c>
      <c r="H1317" s="116"/>
      <c r="I1317" s="116"/>
      <c r="L1317" s="169">
        <v>44433</v>
      </c>
      <c r="M1317" s="116">
        <v>423.16666666666703</v>
      </c>
      <c r="N1317" s="116">
        <v>431.55</v>
      </c>
      <c r="O1317" s="116">
        <v>420</v>
      </c>
      <c r="P1317" s="116">
        <v>426.8</v>
      </c>
      <c r="Q1317" s="116">
        <v>1269.5</v>
      </c>
      <c r="R1317">
        <v>63696</v>
      </c>
    </row>
    <row r="1318" spans="1:18" x14ac:dyDescent="0.25">
      <c r="A1318" s="169">
        <v>44434</v>
      </c>
      <c r="B1318" s="116">
        <v>426.433333333333</v>
      </c>
      <c r="C1318" s="116">
        <v>414.53333333333302</v>
      </c>
      <c r="D1318" s="116">
        <v>413.35</v>
      </c>
      <c r="E1318" s="116">
        <v>420.1</v>
      </c>
      <c r="F1318" s="116">
        <v>1243.5999999999999</v>
      </c>
      <c r="G1318">
        <v>4897</v>
      </c>
      <c r="H1318" s="116"/>
      <c r="I1318" s="116"/>
      <c r="L1318" s="169">
        <v>44434</v>
      </c>
      <c r="M1318" s="116">
        <v>414.76666666666699</v>
      </c>
      <c r="N1318" s="116">
        <v>427.35</v>
      </c>
      <c r="O1318" s="116">
        <v>413.33333333333297</v>
      </c>
      <c r="P1318" s="116">
        <v>423.16666666666703</v>
      </c>
      <c r="Q1318" s="116">
        <v>1244.3</v>
      </c>
      <c r="R1318">
        <v>171348</v>
      </c>
    </row>
    <row r="1319" spans="1:18" x14ac:dyDescent="0.25">
      <c r="A1319" s="169">
        <v>44435</v>
      </c>
      <c r="B1319" s="116">
        <v>418.38333333333298</v>
      </c>
      <c r="C1319" s="116">
        <v>415.83333333333297</v>
      </c>
      <c r="D1319" s="116">
        <v>413.61666666666702</v>
      </c>
      <c r="E1319" s="116">
        <v>415.45</v>
      </c>
      <c r="F1319" s="116">
        <v>1247.5</v>
      </c>
      <c r="G1319">
        <v>3204</v>
      </c>
      <c r="H1319" s="116"/>
      <c r="I1319" s="116"/>
      <c r="L1319" s="169">
        <v>44435</v>
      </c>
      <c r="M1319" s="116">
        <v>416.33333333333297</v>
      </c>
      <c r="N1319" s="116">
        <v>418</v>
      </c>
      <c r="O1319" s="116">
        <v>413.35</v>
      </c>
      <c r="P1319" s="116">
        <v>416.66666666666703</v>
      </c>
      <c r="Q1319" s="116">
        <v>1249</v>
      </c>
      <c r="R1319">
        <v>51647</v>
      </c>
    </row>
    <row r="1320" spans="1:18" x14ac:dyDescent="0.25">
      <c r="A1320" s="169">
        <v>44438</v>
      </c>
      <c r="B1320" s="116">
        <v>419.16666666666703</v>
      </c>
      <c r="C1320" s="116">
        <v>408.75</v>
      </c>
      <c r="D1320" s="116">
        <v>405.66666666666703</v>
      </c>
      <c r="E1320" s="116">
        <v>413.33333333333297</v>
      </c>
      <c r="F1320" s="116">
        <v>1226.25</v>
      </c>
      <c r="G1320">
        <v>5221</v>
      </c>
      <c r="H1320" s="116"/>
      <c r="I1320" s="116"/>
      <c r="L1320" s="169">
        <v>44438</v>
      </c>
      <c r="M1320" s="116">
        <v>407.566666666667</v>
      </c>
      <c r="N1320" s="116">
        <v>420.58333333333297</v>
      </c>
      <c r="O1320" s="116">
        <v>405.85</v>
      </c>
      <c r="P1320" s="116">
        <v>416.66666666666703</v>
      </c>
      <c r="Q1320" s="116">
        <v>1222.7</v>
      </c>
      <c r="R1320">
        <v>143936</v>
      </c>
    </row>
    <row r="1321" spans="1:18" x14ac:dyDescent="0.25">
      <c r="A1321" s="169">
        <v>44439</v>
      </c>
      <c r="B1321" s="116">
        <v>439.48333333333301</v>
      </c>
      <c r="C1321" s="116">
        <v>433.066666666667</v>
      </c>
      <c r="D1321" s="116">
        <v>407.33333333333297</v>
      </c>
      <c r="E1321" s="116">
        <v>408.76666666666699</v>
      </c>
      <c r="F1321" s="116">
        <v>1299.2</v>
      </c>
      <c r="G1321">
        <v>22248</v>
      </c>
      <c r="H1321" s="116"/>
      <c r="I1321" s="116"/>
      <c r="L1321" s="169">
        <v>44439</v>
      </c>
      <c r="M1321" s="116">
        <v>432.566666666667</v>
      </c>
      <c r="N1321" s="116">
        <v>439.66666666666703</v>
      </c>
      <c r="O1321" s="116">
        <v>407.08333333333297</v>
      </c>
      <c r="P1321" s="116">
        <v>410.66666666666703</v>
      </c>
      <c r="Q1321" s="116">
        <v>1297.7</v>
      </c>
      <c r="R1321">
        <v>364379</v>
      </c>
    </row>
    <row r="1322" spans="1:18" x14ac:dyDescent="0.25">
      <c r="A1322" s="169">
        <v>44440</v>
      </c>
      <c r="B1322" s="116">
        <v>436.86666666666702</v>
      </c>
      <c r="C1322" s="116">
        <v>432.13333333333298</v>
      </c>
      <c r="D1322" s="116">
        <v>428.4</v>
      </c>
      <c r="E1322" s="116">
        <v>432.26666666666699</v>
      </c>
      <c r="F1322" s="116">
        <v>1296.4000000000001</v>
      </c>
      <c r="G1322">
        <v>10707</v>
      </c>
      <c r="H1322" s="116"/>
      <c r="I1322" s="116"/>
      <c r="L1322" s="169">
        <v>44440</v>
      </c>
      <c r="M1322" s="116">
        <v>432.66666666666703</v>
      </c>
      <c r="N1322" s="116">
        <v>437</v>
      </c>
      <c r="O1322" s="116">
        <v>428.33333333333297</v>
      </c>
      <c r="P1322" s="116">
        <v>432.566666666667</v>
      </c>
      <c r="Q1322" s="116">
        <v>1298</v>
      </c>
      <c r="R1322">
        <v>124731</v>
      </c>
    </row>
    <row r="1323" spans="1:18" x14ac:dyDescent="0.25">
      <c r="A1323" s="169">
        <v>44441</v>
      </c>
      <c r="B1323" s="116">
        <v>433.98333333333301</v>
      </c>
      <c r="C1323" s="116">
        <v>425.25</v>
      </c>
      <c r="D1323" s="116">
        <v>424.316666666667</v>
      </c>
      <c r="E1323" s="116">
        <v>426.83333333333297</v>
      </c>
      <c r="F1323" s="116">
        <v>1275.75</v>
      </c>
      <c r="G1323">
        <v>5279</v>
      </c>
      <c r="H1323" s="116"/>
      <c r="I1323" s="116"/>
      <c r="L1323" s="169">
        <v>44441</v>
      </c>
      <c r="M1323" s="116">
        <v>425.933333333333</v>
      </c>
      <c r="N1323" s="116">
        <v>435.96666666666698</v>
      </c>
      <c r="O1323" s="116">
        <v>424.683333333333</v>
      </c>
      <c r="P1323" s="116">
        <v>435.96666666666698</v>
      </c>
      <c r="Q1323" s="116">
        <v>1277.8</v>
      </c>
      <c r="R1323">
        <v>62520</v>
      </c>
    </row>
    <row r="1324" spans="1:18" x14ac:dyDescent="0.25">
      <c r="A1324" s="169">
        <v>44442</v>
      </c>
      <c r="B1324" s="116">
        <v>434.25</v>
      </c>
      <c r="C1324" s="116">
        <v>419.16666666666703</v>
      </c>
      <c r="D1324" s="116">
        <v>417.9</v>
      </c>
      <c r="E1324" s="116">
        <v>433.13333333333298</v>
      </c>
      <c r="F1324" s="116">
        <v>1257.5</v>
      </c>
      <c r="G1324">
        <v>6127</v>
      </c>
      <c r="H1324" s="116"/>
      <c r="I1324" s="116"/>
      <c r="L1324" s="169">
        <v>44442</v>
      </c>
      <c r="M1324" s="116">
        <v>419.6</v>
      </c>
      <c r="N1324" s="116">
        <v>434.73333333333301</v>
      </c>
      <c r="O1324" s="116">
        <v>417.61666666666702</v>
      </c>
      <c r="P1324" s="116">
        <v>433.33333333333297</v>
      </c>
      <c r="Q1324" s="116">
        <v>1258.8</v>
      </c>
      <c r="R1324">
        <v>104928</v>
      </c>
    </row>
    <row r="1325" spans="1:18" x14ac:dyDescent="0.25">
      <c r="A1325" s="169">
        <v>44445</v>
      </c>
      <c r="B1325" s="116">
        <v>422.66666666666703</v>
      </c>
      <c r="C1325" s="116">
        <v>416.58333333333297</v>
      </c>
      <c r="D1325" s="116">
        <v>414.7</v>
      </c>
      <c r="E1325" s="116">
        <v>418.33333333333297</v>
      </c>
      <c r="F1325" s="116">
        <v>1249.75</v>
      </c>
      <c r="G1325">
        <v>5749</v>
      </c>
      <c r="H1325" s="116"/>
      <c r="I1325" s="116"/>
      <c r="L1325" s="169">
        <v>44445</v>
      </c>
      <c r="M1325" s="116">
        <v>416.38333333333298</v>
      </c>
      <c r="N1325" s="116">
        <v>422.3</v>
      </c>
      <c r="O1325" s="116">
        <v>414.6</v>
      </c>
      <c r="P1325" s="116">
        <v>418.2</v>
      </c>
      <c r="Q1325" s="116">
        <v>1249.1500000000001</v>
      </c>
      <c r="R1325">
        <v>97340</v>
      </c>
    </row>
    <row r="1326" spans="1:18" x14ac:dyDescent="0.25">
      <c r="A1326" s="169">
        <v>44446</v>
      </c>
      <c r="B1326" s="116">
        <v>416.95</v>
      </c>
      <c r="C1326" s="116">
        <v>416.3</v>
      </c>
      <c r="D1326" s="116">
        <v>412.61666666666702</v>
      </c>
      <c r="E1326" s="116">
        <v>416.48333333333301</v>
      </c>
      <c r="F1326" s="116">
        <v>1248.9000000000001</v>
      </c>
      <c r="G1326">
        <v>3823</v>
      </c>
      <c r="H1326" s="116"/>
      <c r="I1326" s="116"/>
      <c r="L1326" s="169">
        <v>44446</v>
      </c>
      <c r="M1326" s="116">
        <v>416.41666666666703</v>
      </c>
      <c r="N1326" s="116">
        <v>416.66666666666703</v>
      </c>
      <c r="O1326" s="116">
        <v>412</v>
      </c>
      <c r="P1326" s="116">
        <v>412</v>
      </c>
      <c r="Q1326" s="116">
        <v>1249.25</v>
      </c>
      <c r="R1326">
        <v>58003</v>
      </c>
    </row>
    <row r="1327" spans="1:18" x14ac:dyDescent="0.25">
      <c r="A1327" s="169">
        <v>44447</v>
      </c>
      <c r="B1327" s="116">
        <v>419.51666666666699</v>
      </c>
      <c r="C1327" s="116">
        <v>413.48333333333301</v>
      </c>
      <c r="D1327" s="116">
        <v>409.183333333333</v>
      </c>
      <c r="E1327" s="116">
        <v>416.9</v>
      </c>
      <c r="F1327" s="116">
        <v>1240.45</v>
      </c>
      <c r="G1327">
        <v>2563</v>
      </c>
      <c r="H1327" s="116"/>
      <c r="I1327" s="116"/>
      <c r="L1327" s="169">
        <v>44447</v>
      </c>
      <c r="M1327" s="116">
        <v>413.71666666666698</v>
      </c>
      <c r="N1327" s="116">
        <v>419.96666666666698</v>
      </c>
      <c r="O1327" s="116">
        <v>409.38333333333298</v>
      </c>
      <c r="P1327" s="116">
        <v>416.41666666666703</v>
      </c>
      <c r="Q1327" s="116">
        <v>1241.1500000000001</v>
      </c>
      <c r="R1327">
        <v>63167</v>
      </c>
    </row>
    <row r="1328" spans="1:18" x14ac:dyDescent="0.25">
      <c r="A1328" s="169">
        <v>44448</v>
      </c>
      <c r="B1328" s="116">
        <v>427.41666666666703</v>
      </c>
      <c r="C1328" s="116">
        <v>424.8</v>
      </c>
      <c r="D1328" s="116">
        <v>413.933333333333</v>
      </c>
      <c r="E1328" s="116">
        <v>414.61666666666702</v>
      </c>
      <c r="F1328" s="116">
        <v>1274.4000000000001</v>
      </c>
      <c r="G1328">
        <v>6332</v>
      </c>
      <c r="H1328" s="116"/>
      <c r="I1328" s="116"/>
      <c r="L1328" s="169">
        <v>44448</v>
      </c>
      <c r="M1328" s="116">
        <v>424.53333333333302</v>
      </c>
      <c r="N1328" s="116">
        <v>427.88333333333298</v>
      </c>
      <c r="O1328" s="116">
        <v>412.01666666666699</v>
      </c>
      <c r="P1328" s="116">
        <v>415.16666666666703</v>
      </c>
      <c r="Q1328" s="116">
        <v>1273.5999999999999</v>
      </c>
      <c r="R1328">
        <v>113407</v>
      </c>
    </row>
    <row r="1329" spans="1:18" x14ac:dyDescent="0.25">
      <c r="A1329" s="169">
        <v>44452</v>
      </c>
      <c r="B1329" s="116">
        <v>427.2</v>
      </c>
      <c r="C1329" s="116">
        <v>424.48333333333301</v>
      </c>
      <c r="D1329" s="116">
        <v>421.316666666667</v>
      </c>
      <c r="E1329" s="116">
        <v>425</v>
      </c>
      <c r="F1329" s="116">
        <v>1273.45</v>
      </c>
      <c r="G1329">
        <v>6179</v>
      </c>
      <c r="H1329" s="116"/>
      <c r="I1329" s="116"/>
      <c r="L1329" s="169">
        <v>44452</v>
      </c>
      <c r="M1329" s="116">
        <v>424.71666666666698</v>
      </c>
      <c r="N1329" s="116">
        <v>427</v>
      </c>
      <c r="O1329" s="116">
        <v>421.45</v>
      </c>
      <c r="P1329" s="116">
        <v>425</v>
      </c>
      <c r="Q1329" s="116">
        <v>1274.1500000000001</v>
      </c>
      <c r="R1329">
        <v>75961</v>
      </c>
    </row>
    <row r="1330" spans="1:18" x14ac:dyDescent="0.25">
      <c r="A1330" s="169">
        <v>44453</v>
      </c>
      <c r="B1330" s="116">
        <v>430.76666666666699</v>
      </c>
      <c r="C1330" s="116">
        <v>426.21666666666698</v>
      </c>
      <c r="D1330" s="116">
        <v>422.3</v>
      </c>
      <c r="E1330" s="116">
        <v>427.71666666666698</v>
      </c>
      <c r="F1330" s="116">
        <v>1278.6500000000001</v>
      </c>
      <c r="G1330">
        <v>6308</v>
      </c>
      <c r="H1330" s="116"/>
      <c r="I1330" s="116"/>
      <c r="L1330" s="169">
        <v>44453</v>
      </c>
      <c r="M1330" s="116">
        <v>426.35</v>
      </c>
      <c r="N1330" s="116">
        <v>431.566666666667</v>
      </c>
      <c r="O1330" s="116">
        <v>421.95</v>
      </c>
      <c r="P1330" s="116">
        <v>428.23333333333301</v>
      </c>
      <c r="Q1330" s="116">
        <v>1279.05</v>
      </c>
      <c r="R1330">
        <v>129232</v>
      </c>
    </row>
    <row r="1331" spans="1:18" x14ac:dyDescent="0.25">
      <c r="A1331" s="169">
        <v>44454</v>
      </c>
      <c r="B1331" s="116">
        <v>430</v>
      </c>
      <c r="C1331" s="116">
        <v>428.03333333333302</v>
      </c>
      <c r="D1331" s="116">
        <v>422.33333333333297</v>
      </c>
      <c r="E1331" s="116">
        <v>426.7</v>
      </c>
      <c r="F1331" s="116">
        <v>1284.0999999999999</v>
      </c>
      <c r="G1331">
        <v>5468</v>
      </c>
      <c r="H1331" s="116"/>
      <c r="I1331" s="116"/>
      <c r="L1331" s="169">
        <v>44454</v>
      </c>
      <c r="M1331" s="116">
        <v>428.2</v>
      </c>
      <c r="N1331" s="116">
        <v>430</v>
      </c>
      <c r="O1331" s="116">
        <v>422.33333333333297</v>
      </c>
      <c r="P1331" s="116">
        <v>428.23333333333301</v>
      </c>
      <c r="Q1331" s="116">
        <v>1284.5999999999999</v>
      </c>
      <c r="R1331">
        <v>80413</v>
      </c>
    </row>
    <row r="1332" spans="1:18" x14ac:dyDescent="0.25">
      <c r="A1332" s="169">
        <v>44455</v>
      </c>
      <c r="B1332" s="116">
        <v>428.03333333333302</v>
      </c>
      <c r="C1332" s="116">
        <v>424.51666666666699</v>
      </c>
      <c r="D1332" s="116">
        <v>420.566666666667</v>
      </c>
      <c r="E1332" s="116">
        <v>428.03333333333302</v>
      </c>
      <c r="F1332" s="116">
        <v>1273.55</v>
      </c>
      <c r="G1332">
        <v>3016</v>
      </c>
      <c r="H1332" s="116"/>
      <c r="I1332" s="116"/>
      <c r="L1332" s="169">
        <v>44455</v>
      </c>
      <c r="M1332" s="116">
        <v>424.98333333333301</v>
      </c>
      <c r="N1332" s="116">
        <v>428.58333333333297</v>
      </c>
      <c r="O1332" s="116">
        <v>420.03333333333302</v>
      </c>
      <c r="P1332" s="116">
        <v>428.33333333333297</v>
      </c>
      <c r="Q1332" s="116">
        <v>1274.95</v>
      </c>
      <c r="R1332">
        <v>68293</v>
      </c>
    </row>
    <row r="1333" spans="1:18" x14ac:dyDescent="0.25">
      <c r="A1333" s="169">
        <v>44456</v>
      </c>
      <c r="B1333" s="116">
        <v>433.33333333333297</v>
      </c>
      <c r="C1333" s="116">
        <v>423.066666666667</v>
      </c>
      <c r="D1333" s="116">
        <v>418.61666666666702</v>
      </c>
      <c r="E1333" s="116">
        <v>433.316666666667</v>
      </c>
      <c r="F1333" s="116">
        <v>1269.2</v>
      </c>
      <c r="G1333">
        <v>6417</v>
      </c>
      <c r="H1333" s="116"/>
      <c r="I1333" s="116"/>
      <c r="L1333" s="169">
        <v>44456</v>
      </c>
      <c r="M1333" s="116">
        <v>422.91666666666703</v>
      </c>
      <c r="N1333" s="116">
        <v>434.66666666666703</v>
      </c>
      <c r="O1333" s="116">
        <v>418.33333333333297</v>
      </c>
      <c r="P1333" s="116">
        <v>433.33333333333297</v>
      </c>
      <c r="Q1333" s="116">
        <v>1268.75</v>
      </c>
      <c r="R1333">
        <v>134004</v>
      </c>
    </row>
    <row r="1334" spans="1:18" x14ac:dyDescent="0.25">
      <c r="A1334" s="169">
        <v>44459</v>
      </c>
      <c r="B1334" s="116">
        <v>429.75</v>
      </c>
      <c r="C1334" s="116">
        <v>418.6</v>
      </c>
      <c r="D1334" s="116">
        <v>416.11666666666702</v>
      </c>
      <c r="E1334" s="116">
        <v>429.75</v>
      </c>
      <c r="F1334" s="116">
        <v>1255.8</v>
      </c>
      <c r="G1334">
        <v>5445</v>
      </c>
      <c r="H1334" s="116"/>
      <c r="I1334" s="116"/>
      <c r="L1334" s="169">
        <v>44459</v>
      </c>
      <c r="M1334" s="116">
        <v>419.566666666667</v>
      </c>
      <c r="N1334" s="116">
        <v>423.33333333333297</v>
      </c>
      <c r="O1334" s="116">
        <v>416.7</v>
      </c>
      <c r="P1334" s="116">
        <v>418.66666666666703</v>
      </c>
      <c r="Q1334" s="116">
        <v>1258.7</v>
      </c>
      <c r="R1334">
        <v>52453</v>
      </c>
    </row>
    <row r="1335" spans="1:18" x14ac:dyDescent="0.25">
      <c r="A1335" s="169">
        <v>44460</v>
      </c>
      <c r="B1335" s="116">
        <v>427.58333333333297</v>
      </c>
      <c r="C1335" s="116">
        <v>423</v>
      </c>
      <c r="D1335" s="116">
        <v>412.61666666666702</v>
      </c>
      <c r="E1335" s="116">
        <v>418.33333333333297</v>
      </c>
      <c r="F1335" s="116">
        <v>1269</v>
      </c>
      <c r="G1335">
        <v>4091</v>
      </c>
      <c r="H1335" s="116"/>
      <c r="I1335" s="116"/>
      <c r="L1335" s="169">
        <v>44460</v>
      </c>
      <c r="M1335" s="116">
        <v>423.13333333333298</v>
      </c>
      <c r="N1335" s="116">
        <v>427.8</v>
      </c>
      <c r="O1335" s="116">
        <v>412.61666666666702</v>
      </c>
      <c r="P1335" s="116">
        <v>418</v>
      </c>
      <c r="Q1335" s="116">
        <v>1269.4000000000001</v>
      </c>
      <c r="R1335">
        <v>83376</v>
      </c>
    </row>
    <row r="1336" spans="1:18" x14ac:dyDescent="0.25">
      <c r="A1336" s="169">
        <v>44461</v>
      </c>
      <c r="B1336" s="116">
        <v>424.91666666666703</v>
      </c>
      <c r="C1336" s="116">
        <v>423.53333333333302</v>
      </c>
      <c r="D1336" s="116">
        <v>419.7</v>
      </c>
      <c r="E1336" s="116">
        <v>423.05</v>
      </c>
      <c r="F1336" s="116">
        <v>1270.5999999999999</v>
      </c>
      <c r="G1336">
        <v>2220</v>
      </c>
      <c r="H1336" s="116"/>
      <c r="I1336" s="116"/>
      <c r="L1336" s="169">
        <v>44461</v>
      </c>
      <c r="M1336" s="116">
        <v>423.433333333333</v>
      </c>
      <c r="N1336" s="116">
        <v>425.26666666666699</v>
      </c>
      <c r="O1336" s="116">
        <v>419.66666666666703</v>
      </c>
      <c r="P1336" s="116">
        <v>425.25</v>
      </c>
      <c r="Q1336" s="116">
        <v>1270.3</v>
      </c>
      <c r="R1336">
        <v>40482</v>
      </c>
    </row>
    <row r="1337" spans="1:18" x14ac:dyDescent="0.25">
      <c r="A1337" s="169">
        <v>44462</v>
      </c>
      <c r="B1337" s="116">
        <v>425.86666666666702</v>
      </c>
      <c r="C1337" s="116">
        <v>421</v>
      </c>
      <c r="D1337" s="116">
        <v>418.3</v>
      </c>
      <c r="E1337" s="116">
        <v>425</v>
      </c>
      <c r="F1337" s="116">
        <v>1263</v>
      </c>
      <c r="G1337">
        <v>4331</v>
      </c>
      <c r="H1337" s="116"/>
      <c r="I1337" s="116"/>
      <c r="L1337" s="169">
        <v>44462</v>
      </c>
      <c r="M1337" s="116">
        <v>421.2</v>
      </c>
      <c r="N1337" s="116">
        <v>428.316666666667</v>
      </c>
      <c r="O1337" s="116">
        <v>416.66666666666703</v>
      </c>
      <c r="P1337" s="116">
        <v>428.316666666667</v>
      </c>
      <c r="Q1337" s="116">
        <v>1263.5999999999999</v>
      </c>
      <c r="R1337">
        <v>34001</v>
      </c>
    </row>
    <row r="1338" spans="1:18" x14ac:dyDescent="0.25">
      <c r="A1338" s="169">
        <v>44463</v>
      </c>
      <c r="B1338" s="116">
        <v>429.98333333333301</v>
      </c>
      <c r="C1338" s="116">
        <v>423.91666666666703</v>
      </c>
      <c r="D1338" s="116">
        <v>420.6</v>
      </c>
      <c r="E1338" s="116">
        <v>423.33333333333297</v>
      </c>
      <c r="F1338" s="116">
        <v>1271.75</v>
      </c>
      <c r="G1338">
        <v>3224</v>
      </c>
      <c r="H1338" s="116"/>
      <c r="I1338" s="116"/>
      <c r="L1338" s="169">
        <v>44463</v>
      </c>
      <c r="M1338" s="116">
        <v>423.3</v>
      </c>
      <c r="N1338" s="116">
        <v>429.88333333333298</v>
      </c>
      <c r="O1338" s="116">
        <v>420.183333333333</v>
      </c>
      <c r="P1338" s="116">
        <v>423</v>
      </c>
      <c r="Q1338" s="116">
        <v>1269.9000000000001</v>
      </c>
      <c r="R1338">
        <v>257499</v>
      </c>
    </row>
    <row r="1339" spans="1:18" x14ac:dyDescent="0.25">
      <c r="A1339" s="169">
        <v>44466</v>
      </c>
      <c r="B1339" s="116">
        <v>437.183333333333</v>
      </c>
      <c r="C1339" s="116">
        <v>415.41666666666703</v>
      </c>
      <c r="D1339" s="116">
        <v>414.33333333333297</v>
      </c>
      <c r="E1339" s="116">
        <v>428.33333333333297</v>
      </c>
      <c r="F1339" s="116">
        <v>1246.25</v>
      </c>
      <c r="G1339">
        <v>10756</v>
      </c>
      <c r="H1339" s="116"/>
      <c r="I1339" s="116"/>
      <c r="L1339" s="169">
        <v>44466</v>
      </c>
      <c r="M1339" s="116">
        <v>415.86666666666702</v>
      </c>
      <c r="N1339" s="116">
        <v>436.96666666666698</v>
      </c>
      <c r="O1339" s="116">
        <v>413.33333333333297</v>
      </c>
      <c r="P1339" s="116">
        <v>429.63333333333298</v>
      </c>
      <c r="Q1339" s="116">
        <v>1247.5999999999999</v>
      </c>
      <c r="R1339">
        <v>118070</v>
      </c>
    </row>
    <row r="1340" spans="1:18" x14ac:dyDescent="0.25">
      <c r="A1340" s="169">
        <v>44467</v>
      </c>
      <c r="B1340" s="116">
        <v>419.433333333333</v>
      </c>
      <c r="C1340" s="116">
        <v>410.51666666666699</v>
      </c>
      <c r="D1340" s="116">
        <v>408.33333333333297</v>
      </c>
      <c r="E1340" s="116">
        <v>415.41666666666703</v>
      </c>
      <c r="F1340" s="116">
        <v>1231.55</v>
      </c>
      <c r="G1340">
        <v>3276</v>
      </c>
      <c r="H1340" s="116"/>
      <c r="I1340" s="116"/>
      <c r="L1340" s="169">
        <v>44467</v>
      </c>
      <c r="M1340" s="116">
        <v>410.5</v>
      </c>
      <c r="N1340" s="116">
        <v>420.23333333333301</v>
      </c>
      <c r="O1340" s="116">
        <v>408.33333333333297</v>
      </c>
      <c r="P1340" s="116">
        <v>417.03333333333302</v>
      </c>
      <c r="Q1340" s="116">
        <v>1231.5</v>
      </c>
      <c r="R1340">
        <v>71150</v>
      </c>
    </row>
    <row r="1341" spans="1:18" x14ac:dyDescent="0.25">
      <c r="A1341" s="169">
        <v>44468</v>
      </c>
      <c r="B1341" s="116">
        <v>410.51666666666699</v>
      </c>
      <c r="C1341" s="116">
        <v>392.73333333333301</v>
      </c>
      <c r="D1341" s="116">
        <v>387.25</v>
      </c>
      <c r="E1341" s="116">
        <v>410.51666666666699</v>
      </c>
      <c r="F1341" s="116">
        <v>1178.2</v>
      </c>
      <c r="G1341">
        <v>29401</v>
      </c>
      <c r="H1341" s="116"/>
      <c r="I1341" s="116"/>
      <c r="L1341" s="169">
        <v>44468</v>
      </c>
      <c r="M1341" s="116">
        <v>392.83333333333297</v>
      </c>
      <c r="N1341" s="116">
        <v>409.33333333333297</v>
      </c>
      <c r="O1341" s="116">
        <v>387.13333333333298</v>
      </c>
      <c r="P1341" s="116">
        <v>409.33333333333297</v>
      </c>
      <c r="Q1341" s="116">
        <v>1178.5</v>
      </c>
      <c r="R1341">
        <v>308628</v>
      </c>
    </row>
    <row r="1342" spans="1:18" x14ac:dyDescent="0.25">
      <c r="A1342" s="169">
        <v>44469</v>
      </c>
      <c r="B1342" s="116">
        <v>395.91666666666703</v>
      </c>
      <c r="C1342" s="116">
        <v>388.65</v>
      </c>
      <c r="D1342" s="116">
        <v>386.33333333333297</v>
      </c>
      <c r="E1342" s="116">
        <v>391.66666666666703</v>
      </c>
      <c r="F1342" s="116">
        <v>1165.95</v>
      </c>
      <c r="G1342">
        <v>3368</v>
      </c>
      <c r="H1342" s="116"/>
      <c r="I1342" s="116"/>
      <c r="L1342" s="169">
        <v>44469</v>
      </c>
      <c r="M1342" s="116">
        <v>388.73333333333301</v>
      </c>
      <c r="N1342" s="116">
        <v>396.33333333333297</v>
      </c>
      <c r="O1342" s="116">
        <v>386.03333333333302</v>
      </c>
      <c r="P1342" s="116">
        <v>388.33333333333297</v>
      </c>
      <c r="Q1342" s="116">
        <v>1166.2</v>
      </c>
      <c r="R1342">
        <v>138728</v>
      </c>
    </row>
    <row r="1343" spans="1:18" x14ac:dyDescent="0.25">
      <c r="A1343" s="169">
        <v>44470</v>
      </c>
      <c r="B1343" s="116">
        <v>392.25</v>
      </c>
      <c r="C1343" s="116">
        <v>385.01666666666699</v>
      </c>
      <c r="D1343" s="116">
        <v>384.433333333333</v>
      </c>
      <c r="E1343" s="116">
        <v>392.066666666667</v>
      </c>
      <c r="F1343" s="116">
        <v>1155.05</v>
      </c>
      <c r="G1343">
        <v>4204</v>
      </c>
      <c r="H1343" s="116"/>
      <c r="I1343" s="116"/>
      <c r="L1343" s="169">
        <v>44470</v>
      </c>
      <c r="M1343" s="116">
        <v>385.21666666666698</v>
      </c>
      <c r="N1343" s="116">
        <v>391.8</v>
      </c>
      <c r="O1343" s="116">
        <v>384.33333333333297</v>
      </c>
      <c r="P1343" s="116">
        <v>388.73333333333301</v>
      </c>
      <c r="Q1343" s="116">
        <v>1155.6500000000001</v>
      </c>
      <c r="R1343">
        <v>53143</v>
      </c>
    </row>
    <row r="1344" spans="1:18" x14ac:dyDescent="0.25">
      <c r="A1344" s="169">
        <v>44473</v>
      </c>
      <c r="B1344" s="116">
        <v>399.316666666667</v>
      </c>
      <c r="C1344" s="116">
        <v>397.66666666666703</v>
      </c>
      <c r="D1344" s="116">
        <v>388.65</v>
      </c>
      <c r="E1344" s="116">
        <v>396</v>
      </c>
      <c r="F1344" s="116">
        <v>1193</v>
      </c>
      <c r="G1344">
        <v>4392</v>
      </c>
      <c r="H1344" s="116"/>
      <c r="I1344" s="116"/>
      <c r="L1344" s="169">
        <v>44473</v>
      </c>
      <c r="M1344" s="116">
        <v>398.08333333333297</v>
      </c>
      <c r="N1344" s="116">
        <v>399.55</v>
      </c>
      <c r="O1344" s="116">
        <v>387.816666666667</v>
      </c>
      <c r="P1344" s="116">
        <v>391.33333333333297</v>
      </c>
      <c r="Q1344" s="116">
        <v>1194.25</v>
      </c>
      <c r="R1344">
        <v>72641</v>
      </c>
    </row>
    <row r="1345" spans="1:18" x14ac:dyDescent="0.25">
      <c r="A1345" s="169">
        <v>44474</v>
      </c>
      <c r="B1345" s="116">
        <v>400.183333333333</v>
      </c>
      <c r="C1345" s="116">
        <v>391.433333333333</v>
      </c>
      <c r="D1345" s="116">
        <v>389</v>
      </c>
      <c r="E1345" s="116">
        <v>399.23333333333301</v>
      </c>
      <c r="F1345" s="116">
        <v>1174.3</v>
      </c>
      <c r="G1345">
        <v>4830</v>
      </c>
      <c r="H1345" s="116"/>
      <c r="I1345" s="116"/>
      <c r="L1345" s="169">
        <v>44474</v>
      </c>
      <c r="M1345" s="116">
        <v>391.23333333333301</v>
      </c>
      <c r="N1345" s="116">
        <v>399.91666666666703</v>
      </c>
      <c r="O1345" s="116">
        <v>388.66666666666703</v>
      </c>
      <c r="P1345" s="116">
        <v>399.66666666666703</v>
      </c>
      <c r="Q1345" s="116">
        <v>1173.7</v>
      </c>
      <c r="R1345">
        <v>41224</v>
      </c>
    </row>
    <row r="1346" spans="1:18" x14ac:dyDescent="0.25">
      <c r="A1346" s="169">
        <v>44475</v>
      </c>
      <c r="B1346" s="116">
        <v>392</v>
      </c>
      <c r="C1346" s="116">
        <v>390.1</v>
      </c>
      <c r="D1346" s="116">
        <v>386.13333333333298</v>
      </c>
      <c r="E1346" s="116">
        <v>389</v>
      </c>
      <c r="F1346" s="116">
        <v>1170.3</v>
      </c>
      <c r="G1346">
        <v>10987</v>
      </c>
      <c r="H1346" s="116"/>
      <c r="I1346" s="116"/>
      <c r="L1346" s="169">
        <v>44475</v>
      </c>
      <c r="M1346" s="116">
        <v>389.816666666667</v>
      </c>
      <c r="N1346" s="116">
        <v>392</v>
      </c>
      <c r="O1346" s="116">
        <v>386</v>
      </c>
      <c r="P1346" s="116">
        <v>389.433333333333</v>
      </c>
      <c r="Q1346" s="116">
        <v>1169.45</v>
      </c>
      <c r="R1346">
        <v>56077</v>
      </c>
    </row>
    <row r="1347" spans="1:18" x14ac:dyDescent="0.25">
      <c r="A1347" s="169">
        <v>44476</v>
      </c>
      <c r="B1347" s="116">
        <v>393</v>
      </c>
      <c r="C1347" s="116">
        <v>386.26666666666699</v>
      </c>
      <c r="D1347" s="116">
        <v>385.066666666667</v>
      </c>
      <c r="E1347" s="116">
        <v>393</v>
      </c>
      <c r="F1347" s="116">
        <v>1158.8</v>
      </c>
      <c r="G1347">
        <v>8391</v>
      </c>
      <c r="H1347" s="116"/>
      <c r="I1347" s="116"/>
      <c r="L1347" s="169">
        <v>44476</v>
      </c>
      <c r="M1347" s="116">
        <v>386.183333333333</v>
      </c>
      <c r="N1347" s="116">
        <v>393.66666666666703</v>
      </c>
      <c r="O1347" s="116">
        <v>383.75</v>
      </c>
      <c r="P1347" s="116">
        <v>393.66666666666703</v>
      </c>
      <c r="Q1347" s="116">
        <v>1158.55</v>
      </c>
      <c r="R1347">
        <v>53722</v>
      </c>
    </row>
    <row r="1348" spans="1:18" x14ac:dyDescent="0.25">
      <c r="A1348" s="169">
        <v>44477</v>
      </c>
      <c r="B1348" s="116">
        <v>391.33333333333297</v>
      </c>
      <c r="C1348" s="116">
        <v>388.7</v>
      </c>
      <c r="D1348" s="116">
        <v>386</v>
      </c>
      <c r="E1348" s="116">
        <v>389.65</v>
      </c>
      <c r="F1348" s="116">
        <v>1166.0999999999999</v>
      </c>
      <c r="G1348">
        <v>3880</v>
      </c>
      <c r="H1348" s="116"/>
      <c r="I1348" s="116"/>
      <c r="L1348" s="169">
        <v>44477</v>
      </c>
      <c r="M1348" s="116">
        <v>388.5</v>
      </c>
      <c r="N1348" s="116">
        <v>391.5</v>
      </c>
      <c r="O1348" s="116">
        <v>386</v>
      </c>
      <c r="P1348" s="116">
        <v>391.3</v>
      </c>
      <c r="Q1348" s="116">
        <v>1165.5</v>
      </c>
      <c r="R1348">
        <v>47045</v>
      </c>
    </row>
    <row r="1349" spans="1:18" x14ac:dyDescent="0.25">
      <c r="A1349" s="169">
        <v>44480</v>
      </c>
      <c r="B1349" s="116">
        <v>389.53333333333302</v>
      </c>
      <c r="C1349" s="116">
        <v>385.23333333333301</v>
      </c>
      <c r="D1349" s="116">
        <v>384.48333333333301</v>
      </c>
      <c r="E1349" s="116">
        <v>388.66666666666703</v>
      </c>
      <c r="F1349" s="116">
        <v>1155.7</v>
      </c>
      <c r="G1349">
        <v>9898</v>
      </c>
      <c r="H1349" s="116"/>
      <c r="I1349" s="116"/>
      <c r="L1349" s="169">
        <v>44480</v>
      </c>
      <c r="M1349" s="116">
        <v>385.13333333333298</v>
      </c>
      <c r="N1349" s="116">
        <v>390</v>
      </c>
      <c r="O1349" s="116">
        <v>383.7</v>
      </c>
      <c r="P1349" s="116">
        <v>388.5</v>
      </c>
      <c r="Q1349" s="116">
        <v>1155.4000000000001</v>
      </c>
      <c r="R1349">
        <v>79559</v>
      </c>
    </row>
    <row r="1350" spans="1:18" x14ac:dyDescent="0.25">
      <c r="A1350" s="169">
        <v>44481</v>
      </c>
      <c r="B1350" s="116">
        <v>387.11666666666702</v>
      </c>
      <c r="C1350" s="116">
        <v>374.88333333333298</v>
      </c>
      <c r="D1350" s="116">
        <v>373.33333333333297</v>
      </c>
      <c r="E1350" s="116">
        <v>383.66666666666703</v>
      </c>
      <c r="F1350" s="116">
        <v>1124.6500000000001</v>
      </c>
      <c r="G1350">
        <v>12293</v>
      </c>
      <c r="H1350" s="116"/>
      <c r="I1350" s="116"/>
      <c r="L1350" s="169">
        <v>44481</v>
      </c>
      <c r="M1350" s="116">
        <v>374.933333333333</v>
      </c>
      <c r="N1350" s="116">
        <v>387.65</v>
      </c>
      <c r="O1350" s="116">
        <v>373.33333333333297</v>
      </c>
      <c r="P1350" s="116">
        <v>387.65</v>
      </c>
      <c r="Q1350" s="116">
        <v>1124.8</v>
      </c>
      <c r="R1350">
        <v>123341</v>
      </c>
    </row>
    <row r="1351" spans="1:18" x14ac:dyDescent="0.25">
      <c r="A1351" s="169">
        <v>44482</v>
      </c>
      <c r="B1351" s="116">
        <v>396.35</v>
      </c>
      <c r="C1351" s="116">
        <v>389.7</v>
      </c>
      <c r="D1351" s="116">
        <v>372</v>
      </c>
      <c r="E1351" s="116">
        <v>372</v>
      </c>
      <c r="F1351" s="116">
        <v>1169.0999999999999</v>
      </c>
      <c r="G1351">
        <v>11688</v>
      </c>
      <c r="H1351" s="116"/>
      <c r="I1351" s="116"/>
      <c r="L1351" s="169">
        <v>44482</v>
      </c>
      <c r="M1351" s="116">
        <v>389.71666666666698</v>
      </c>
      <c r="N1351" s="116">
        <v>396.33333333333297</v>
      </c>
      <c r="O1351" s="116">
        <v>373.33333333333297</v>
      </c>
      <c r="P1351" s="116">
        <v>373.35</v>
      </c>
      <c r="Q1351" s="116">
        <v>1169.1500000000001</v>
      </c>
      <c r="R1351">
        <v>273235</v>
      </c>
    </row>
    <row r="1352" spans="1:18" x14ac:dyDescent="0.25">
      <c r="A1352" s="169">
        <v>44483</v>
      </c>
      <c r="B1352" s="116">
        <v>395.61666666666702</v>
      </c>
      <c r="C1352" s="116">
        <v>380.13333333333298</v>
      </c>
      <c r="D1352" s="116">
        <v>377.16666666666703</v>
      </c>
      <c r="E1352" s="116">
        <v>394.03333333333302</v>
      </c>
      <c r="F1352" s="116">
        <v>1140.4000000000001</v>
      </c>
      <c r="G1352">
        <v>4902</v>
      </c>
      <c r="H1352" s="116"/>
      <c r="I1352" s="116"/>
      <c r="L1352" s="169">
        <v>44483</v>
      </c>
      <c r="M1352" s="116">
        <v>380.316666666667</v>
      </c>
      <c r="N1352" s="116">
        <v>396.63333333333298</v>
      </c>
      <c r="O1352" s="116">
        <v>376.66666666666703</v>
      </c>
      <c r="P1352" s="116">
        <v>396.63333333333298</v>
      </c>
      <c r="Q1352" s="116">
        <v>1140.95</v>
      </c>
      <c r="R1352">
        <v>108226</v>
      </c>
    </row>
    <row r="1353" spans="1:18" x14ac:dyDescent="0.25">
      <c r="A1353" s="169">
        <v>44487</v>
      </c>
      <c r="B1353" s="116">
        <v>388.96666666666698</v>
      </c>
      <c r="C1353" s="116">
        <v>387.63333333333298</v>
      </c>
      <c r="D1353" s="116">
        <v>378.63333333333298</v>
      </c>
      <c r="E1353" s="116">
        <v>386.66666666666703</v>
      </c>
      <c r="F1353" s="116">
        <v>1162.9000000000001</v>
      </c>
      <c r="G1353">
        <v>8301</v>
      </c>
      <c r="H1353" s="116"/>
      <c r="I1353" s="116"/>
      <c r="L1353" s="169">
        <v>44487</v>
      </c>
      <c r="M1353" s="116">
        <v>387.58333333333297</v>
      </c>
      <c r="N1353" s="116">
        <v>389</v>
      </c>
      <c r="O1353" s="116">
        <v>378.66666666666703</v>
      </c>
      <c r="P1353" s="116">
        <v>385.98333333333301</v>
      </c>
      <c r="Q1353" s="116">
        <v>1162.75</v>
      </c>
      <c r="R1353">
        <v>85540</v>
      </c>
    </row>
    <row r="1354" spans="1:18" x14ac:dyDescent="0.25">
      <c r="A1354" s="169">
        <v>44488</v>
      </c>
      <c r="B1354" s="116">
        <v>393</v>
      </c>
      <c r="C1354" s="116">
        <v>383.58333333333297</v>
      </c>
      <c r="D1354" s="116">
        <v>383.33333333333297</v>
      </c>
      <c r="E1354" s="116">
        <v>390.25</v>
      </c>
      <c r="F1354" s="116">
        <v>1150.75</v>
      </c>
      <c r="G1354">
        <v>7387</v>
      </c>
      <c r="H1354" s="116"/>
      <c r="I1354" s="116"/>
      <c r="L1354" s="169">
        <v>44488</v>
      </c>
      <c r="M1354" s="116">
        <v>383.98333333333301</v>
      </c>
      <c r="N1354" s="116">
        <v>397.33333333333297</v>
      </c>
      <c r="O1354" s="116">
        <v>383.33333333333297</v>
      </c>
      <c r="P1354" s="116">
        <v>397.33333333333297</v>
      </c>
      <c r="Q1354" s="116">
        <v>1151.95</v>
      </c>
      <c r="R1354">
        <v>72762</v>
      </c>
    </row>
    <row r="1355" spans="1:18" x14ac:dyDescent="0.25">
      <c r="A1355" s="169">
        <v>44489</v>
      </c>
      <c r="B1355" s="116">
        <v>387.433333333333</v>
      </c>
      <c r="C1355" s="116">
        <v>377.13333333333298</v>
      </c>
      <c r="D1355" s="116">
        <v>375.33333333333297</v>
      </c>
      <c r="E1355" s="116">
        <v>385.01666666666699</v>
      </c>
      <c r="F1355" s="116">
        <v>1131.4000000000001</v>
      </c>
      <c r="G1355">
        <v>2327</v>
      </c>
      <c r="H1355" s="116"/>
      <c r="I1355" s="116"/>
      <c r="L1355" s="169">
        <v>44489</v>
      </c>
      <c r="M1355" s="116">
        <v>378</v>
      </c>
      <c r="N1355" s="116">
        <v>390</v>
      </c>
      <c r="O1355" s="116">
        <v>375</v>
      </c>
      <c r="P1355" s="116">
        <v>390</v>
      </c>
      <c r="Q1355" s="116">
        <v>1134</v>
      </c>
      <c r="R1355">
        <v>46657</v>
      </c>
    </row>
    <row r="1356" spans="1:18" x14ac:dyDescent="0.25">
      <c r="A1356" s="169">
        <v>44490</v>
      </c>
      <c r="B1356" s="116">
        <v>400.46666666666698</v>
      </c>
      <c r="C1356" s="116">
        <v>392.683333333333</v>
      </c>
      <c r="D1356" s="116">
        <v>373.85</v>
      </c>
      <c r="E1356" s="116">
        <v>379.23333333333301</v>
      </c>
      <c r="F1356" s="116">
        <v>1178.05</v>
      </c>
      <c r="G1356">
        <v>3403</v>
      </c>
      <c r="H1356" s="116"/>
      <c r="I1356" s="116"/>
      <c r="L1356" s="169">
        <v>44490</v>
      </c>
      <c r="M1356" s="116">
        <v>391.816666666667</v>
      </c>
      <c r="N1356" s="116">
        <v>400</v>
      </c>
      <c r="O1356" s="116">
        <v>373.66666666666703</v>
      </c>
      <c r="P1356" s="116">
        <v>382</v>
      </c>
      <c r="Q1356" s="116">
        <v>1175.45</v>
      </c>
      <c r="R1356">
        <v>199979</v>
      </c>
    </row>
    <row r="1357" spans="1:18" x14ac:dyDescent="0.25">
      <c r="A1357" s="169">
        <v>44491</v>
      </c>
      <c r="B1357" s="116">
        <v>395.933333333333</v>
      </c>
      <c r="C1357" s="116">
        <v>383.066666666667</v>
      </c>
      <c r="D1357" s="116">
        <v>380.066666666667</v>
      </c>
      <c r="E1357" s="116">
        <v>392.683333333333</v>
      </c>
      <c r="F1357" s="116">
        <v>1149.2</v>
      </c>
      <c r="G1357">
        <v>12855</v>
      </c>
      <c r="H1357" s="116"/>
      <c r="I1357" s="116"/>
      <c r="L1357" s="169">
        <v>44491</v>
      </c>
      <c r="M1357" s="116">
        <v>383.03333333333302</v>
      </c>
      <c r="N1357" s="116">
        <v>395.3</v>
      </c>
      <c r="O1357" s="116">
        <v>380.63333333333298</v>
      </c>
      <c r="P1357" s="116">
        <v>395.3</v>
      </c>
      <c r="Q1357" s="116">
        <v>1149.0999999999999</v>
      </c>
      <c r="R1357">
        <v>107373</v>
      </c>
    </row>
    <row r="1358" spans="1:18" x14ac:dyDescent="0.25">
      <c r="A1358" s="169">
        <v>44494</v>
      </c>
      <c r="B1358" s="116">
        <v>394</v>
      </c>
      <c r="C1358" s="116">
        <v>382.3</v>
      </c>
      <c r="D1358" s="116">
        <v>374</v>
      </c>
      <c r="E1358" s="116">
        <v>393</v>
      </c>
      <c r="F1358" s="116">
        <v>1146.9000000000001</v>
      </c>
      <c r="G1358">
        <v>7649</v>
      </c>
      <c r="H1358" s="116"/>
      <c r="I1358" s="116"/>
      <c r="L1358" s="169">
        <v>44494</v>
      </c>
      <c r="M1358" s="116">
        <v>382.88333333333298</v>
      </c>
      <c r="N1358" s="116">
        <v>396</v>
      </c>
      <c r="O1358" s="116">
        <v>373.33333333333297</v>
      </c>
      <c r="P1358" s="116">
        <v>396</v>
      </c>
      <c r="Q1358" s="116">
        <v>1148.6500000000001</v>
      </c>
      <c r="R1358">
        <v>42056</v>
      </c>
    </row>
    <row r="1359" spans="1:18" x14ac:dyDescent="0.25">
      <c r="A1359" s="169">
        <v>44495</v>
      </c>
      <c r="B1359" s="116">
        <v>386.66666666666703</v>
      </c>
      <c r="C1359" s="116">
        <v>383.61666666666702</v>
      </c>
      <c r="D1359" s="116">
        <v>379.21666666666698</v>
      </c>
      <c r="E1359" s="116">
        <v>382.7</v>
      </c>
      <c r="F1359" s="116">
        <v>1150.8499999999999</v>
      </c>
      <c r="G1359">
        <v>1146</v>
      </c>
      <c r="H1359" s="116"/>
      <c r="I1359" s="116"/>
      <c r="L1359" s="169">
        <v>44495</v>
      </c>
      <c r="M1359" s="116">
        <v>383.5</v>
      </c>
      <c r="N1359" s="116">
        <v>386.66666666666703</v>
      </c>
      <c r="O1359" s="116">
        <v>379</v>
      </c>
      <c r="P1359" s="116">
        <v>382.66666666666703</v>
      </c>
      <c r="Q1359" s="116">
        <v>1150.5</v>
      </c>
      <c r="R1359">
        <v>34277</v>
      </c>
    </row>
    <row r="1360" spans="1:18" x14ac:dyDescent="0.25">
      <c r="A1360" s="169">
        <v>44496</v>
      </c>
      <c r="B1360" s="116">
        <v>389.9</v>
      </c>
      <c r="C1360" s="116">
        <v>382.16666666666703</v>
      </c>
      <c r="D1360" s="116">
        <v>380.48333333333301</v>
      </c>
      <c r="E1360" s="116">
        <v>384.33333333333297</v>
      </c>
      <c r="F1360" s="116">
        <v>1146.5</v>
      </c>
      <c r="G1360">
        <v>2225</v>
      </c>
      <c r="H1360" s="116"/>
      <c r="I1360" s="116"/>
      <c r="L1360" s="169">
        <v>44496</v>
      </c>
      <c r="M1360" s="116">
        <v>382.316666666667</v>
      </c>
      <c r="N1360" s="116">
        <v>390.4</v>
      </c>
      <c r="O1360" s="116">
        <v>380.36666666666702</v>
      </c>
      <c r="P1360" s="116">
        <v>383.33333333333297</v>
      </c>
      <c r="Q1360" s="116">
        <v>1146.95</v>
      </c>
      <c r="R1360">
        <v>31469</v>
      </c>
    </row>
    <row r="1361" spans="1:18" x14ac:dyDescent="0.25">
      <c r="A1361" s="169">
        <v>44497</v>
      </c>
      <c r="B1361" s="116">
        <v>387.66666666666703</v>
      </c>
      <c r="C1361" s="116">
        <v>372.36666666666702</v>
      </c>
      <c r="D1361" s="116">
        <v>367.16666666666703</v>
      </c>
      <c r="E1361" s="116">
        <v>387.66666666666703</v>
      </c>
      <c r="F1361" s="116">
        <v>1117.0999999999999</v>
      </c>
      <c r="G1361">
        <v>2410</v>
      </c>
      <c r="H1361" s="116"/>
      <c r="I1361" s="116"/>
      <c r="L1361" s="169">
        <v>44497</v>
      </c>
      <c r="M1361" s="116">
        <v>372.16666666666703</v>
      </c>
      <c r="N1361" s="116">
        <v>388.33333333333297</v>
      </c>
      <c r="O1361" s="116">
        <v>366.66666666666703</v>
      </c>
      <c r="P1361" s="116">
        <v>382.33333333333297</v>
      </c>
      <c r="Q1361" s="116">
        <v>1116.5</v>
      </c>
      <c r="R1361">
        <v>69824</v>
      </c>
    </row>
    <row r="1362" spans="1:18" x14ac:dyDescent="0.25">
      <c r="A1362" s="169">
        <v>44498</v>
      </c>
      <c r="B1362" s="116">
        <v>390</v>
      </c>
      <c r="C1362" s="116">
        <v>382.13333333333298</v>
      </c>
      <c r="D1362" s="116">
        <v>365.15</v>
      </c>
      <c r="E1362" s="116">
        <v>371.66666666666703</v>
      </c>
      <c r="F1362" s="116">
        <v>1146.4000000000001</v>
      </c>
      <c r="G1362">
        <v>4454</v>
      </c>
      <c r="H1362" s="116"/>
      <c r="I1362" s="116"/>
      <c r="L1362" s="169">
        <v>44498</v>
      </c>
      <c r="M1362" s="116">
        <v>379.88333333333298</v>
      </c>
      <c r="N1362" s="116">
        <v>390.96666666666698</v>
      </c>
      <c r="O1362" s="116">
        <v>365.36666666666702</v>
      </c>
      <c r="P1362" s="116">
        <v>371.35</v>
      </c>
      <c r="Q1362" s="116">
        <v>1139.6500000000001</v>
      </c>
      <c r="R1362">
        <v>37460</v>
      </c>
    </row>
    <row r="1363" spans="1:18" x14ac:dyDescent="0.25">
      <c r="A1363" s="169">
        <v>44501</v>
      </c>
      <c r="B1363" s="116">
        <v>383.33333333333297</v>
      </c>
      <c r="C1363" s="116">
        <v>373.85</v>
      </c>
      <c r="D1363" s="116">
        <v>371.66666666666703</v>
      </c>
      <c r="E1363" s="116">
        <v>379.66666666666703</v>
      </c>
      <c r="F1363" s="116">
        <v>1121.55</v>
      </c>
      <c r="G1363">
        <v>4410</v>
      </c>
      <c r="H1363" s="116"/>
      <c r="I1363" s="116"/>
      <c r="L1363" s="169">
        <v>44501</v>
      </c>
      <c r="M1363" s="116">
        <v>373.8</v>
      </c>
      <c r="N1363" s="116">
        <v>384.5</v>
      </c>
      <c r="O1363" s="116">
        <v>371.683333333333</v>
      </c>
      <c r="P1363" s="116">
        <v>384.5</v>
      </c>
      <c r="Q1363" s="116">
        <v>1121.4000000000001</v>
      </c>
      <c r="R1363">
        <v>42388</v>
      </c>
    </row>
    <row r="1364" spans="1:18" x14ac:dyDescent="0.25">
      <c r="A1364" s="169">
        <v>44502</v>
      </c>
      <c r="B1364" s="116">
        <v>386.7</v>
      </c>
      <c r="C1364" s="116">
        <v>383.933333333333</v>
      </c>
      <c r="D1364" s="116">
        <v>373.96666666666698</v>
      </c>
      <c r="E1364" s="116">
        <v>377.7</v>
      </c>
      <c r="F1364" s="116">
        <v>1151.8</v>
      </c>
      <c r="G1364">
        <v>4888</v>
      </c>
      <c r="H1364" s="116"/>
      <c r="I1364" s="116"/>
      <c r="L1364" s="169">
        <v>44502</v>
      </c>
      <c r="M1364" s="116">
        <v>383.45</v>
      </c>
      <c r="N1364" s="116">
        <v>387</v>
      </c>
      <c r="O1364" s="116">
        <v>373.33333333333297</v>
      </c>
      <c r="P1364" s="116">
        <v>374.33333333333297</v>
      </c>
      <c r="Q1364" s="116">
        <v>1150.3499999999999</v>
      </c>
      <c r="R1364">
        <v>48120</v>
      </c>
    </row>
    <row r="1365" spans="1:18" x14ac:dyDescent="0.25">
      <c r="A1365" s="169">
        <v>44503</v>
      </c>
      <c r="B1365" s="116">
        <v>386.66666666666703</v>
      </c>
      <c r="C1365" s="116">
        <v>381.28333333333302</v>
      </c>
      <c r="D1365" s="116">
        <v>378.33333333333297</v>
      </c>
      <c r="E1365" s="116">
        <v>382.48333333333301</v>
      </c>
      <c r="F1365" s="116">
        <v>1143.8499999999999</v>
      </c>
      <c r="G1365">
        <v>3430</v>
      </c>
      <c r="H1365" s="116"/>
      <c r="I1365" s="116"/>
      <c r="L1365" s="169">
        <v>44503</v>
      </c>
      <c r="M1365" s="116">
        <v>381.13333333333298</v>
      </c>
      <c r="N1365" s="116">
        <v>386.33333333333297</v>
      </c>
      <c r="O1365" s="116">
        <v>378.58333333333297</v>
      </c>
      <c r="P1365" s="116">
        <v>383.16666666666703</v>
      </c>
      <c r="Q1365" s="116">
        <v>1143.4000000000001</v>
      </c>
      <c r="R1365">
        <v>25925</v>
      </c>
    </row>
    <row r="1366" spans="1:18" x14ac:dyDescent="0.25">
      <c r="A1366" s="169">
        <v>44504</v>
      </c>
      <c r="B1366" s="116">
        <v>386.46666666666698</v>
      </c>
      <c r="C1366" s="116">
        <v>383.95</v>
      </c>
      <c r="D1366" s="116">
        <v>374.33333333333297</v>
      </c>
      <c r="E1366" s="116">
        <v>386.33333333333297</v>
      </c>
      <c r="F1366" s="116">
        <v>1151.8499999999999</v>
      </c>
      <c r="G1366">
        <v>3043</v>
      </c>
      <c r="H1366" s="116"/>
      <c r="I1366" s="116"/>
      <c r="L1366" s="169">
        <v>44504</v>
      </c>
      <c r="M1366" s="116">
        <v>384.63333333333298</v>
      </c>
      <c r="N1366" s="116">
        <v>386.66666666666703</v>
      </c>
      <c r="O1366" s="116">
        <v>380.75</v>
      </c>
      <c r="P1366" s="116">
        <v>383.26666666666699</v>
      </c>
      <c r="Q1366" s="116">
        <v>1153.9000000000001</v>
      </c>
      <c r="R1366">
        <v>12685</v>
      </c>
    </row>
    <row r="1367" spans="1:18" x14ac:dyDescent="0.25">
      <c r="A1367" s="169">
        <v>44508</v>
      </c>
      <c r="B1367" s="116">
        <v>390</v>
      </c>
      <c r="C1367" s="116">
        <v>388.36666666666702</v>
      </c>
      <c r="D1367" s="116">
        <v>379.23333333333301</v>
      </c>
      <c r="E1367" s="116">
        <v>390</v>
      </c>
      <c r="F1367" s="116">
        <v>1165.0999999999999</v>
      </c>
      <c r="G1367">
        <v>3342</v>
      </c>
      <c r="H1367" s="116"/>
      <c r="I1367" s="116"/>
      <c r="L1367" s="169">
        <v>44508</v>
      </c>
      <c r="M1367" s="116">
        <v>388.45</v>
      </c>
      <c r="N1367" s="116">
        <v>389.46666666666698</v>
      </c>
      <c r="O1367" s="116">
        <v>379.1</v>
      </c>
      <c r="P1367" s="116">
        <v>387.66666666666703</v>
      </c>
      <c r="Q1367" s="116">
        <v>1165.3499999999999</v>
      </c>
      <c r="R1367">
        <v>55819</v>
      </c>
    </row>
    <row r="1368" spans="1:18" x14ac:dyDescent="0.25">
      <c r="A1368" s="169">
        <v>44509</v>
      </c>
      <c r="B1368" s="116">
        <v>390</v>
      </c>
      <c r="C1368" s="116">
        <v>380.433333333333</v>
      </c>
      <c r="D1368" s="116">
        <v>379.25</v>
      </c>
      <c r="E1368" s="116">
        <v>389.66666666666703</v>
      </c>
      <c r="F1368" s="116">
        <v>1141.3</v>
      </c>
      <c r="G1368">
        <v>1597</v>
      </c>
      <c r="H1368" s="116"/>
      <c r="I1368" s="116"/>
      <c r="L1368" s="169">
        <v>44509</v>
      </c>
      <c r="M1368" s="116">
        <v>380.15</v>
      </c>
      <c r="N1368" s="116">
        <v>388.98333333333301</v>
      </c>
      <c r="O1368" s="116">
        <v>379.05</v>
      </c>
      <c r="P1368" s="116">
        <v>388.33333333333297</v>
      </c>
      <c r="Q1368" s="116">
        <v>1140.45</v>
      </c>
      <c r="R1368">
        <v>33419</v>
      </c>
    </row>
    <row r="1369" spans="1:18" x14ac:dyDescent="0.25">
      <c r="A1369" s="169">
        <v>44510</v>
      </c>
      <c r="B1369" s="116">
        <v>385.816666666667</v>
      </c>
      <c r="C1369" s="116">
        <v>375.28333333333302</v>
      </c>
      <c r="D1369" s="116">
        <v>371.13333333333298</v>
      </c>
      <c r="E1369" s="116">
        <v>382.11666666666702</v>
      </c>
      <c r="F1369" s="116">
        <v>1125.8499999999999</v>
      </c>
      <c r="G1369">
        <v>3923</v>
      </c>
      <c r="H1369" s="116"/>
      <c r="I1369" s="116"/>
      <c r="L1369" s="169">
        <v>44510</v>
      </c>
      <c r="M1369" s="116">
        <v>375.23333333333301</v>
      </c>
      <c r="N1369" s="116">
        <v>383.8</v>
      </c>
      <c r="O1369" s="116">
        <v>373.66666666666703</v>
      </c>
      <c r="P1369" s="116">
        <v>382.33333333333297</v>
      </c>
      <c r="Q1369" s="116">
        <v>1125.7</v>
      </c>
      <c r="R1369">
        <v>30320</v>
      </c>
    </row>
    <row r="1370" spans="1:18" x14ac:dyDescent="0.25">
      <c r="A1370" s="169">
        <v>44511</v>
      </c>
      <c r="B1370" s="116">
        <v>376.36666666666702</v>
      </c>
      <c r="C1370" s="116">
        <v>372.38333333333298</v>
      </c>
      <c r="D1370" s="116">
        <v>370</v>
      </c>
      <c r="E1370" s="116">
        <v>373.66666666666703</v>
      </c>
      <c r="F1370" s="116">
        <v>1117.1500000000001</v>
      </c>
      <c r="G1370">
        <v>8175</v>
      </c>
      <c r="H1370" s="116"/>
      <c r="I1370" s="116"/>
      <c r="L1370" s="169">
        <v>44511</v>
      </c>
      <c r="M1370" s="116">
        <v>372.66666666666703</v>
      </c>
      <c r="N1370" s="116">
        <v>375.78333333333302</v>
      </c>
      <c r="O1370" s="116">
        <v>369.683333333333</v>
      </c>
      <c r="P1370" s="116">
        <v>372</v>
      </c>
      <c r="Q1370" s="116">
        <v>1118</v>
      </c>
      <c r="R1370">
        <v>73577</v>
      </c>
    </row>
    <row r="1371" spans="1:18" x14ac:dyDescent="0.25">
      <c r="A1371" s="169">
        <v>44512</v>
      </c>
      <c r="B1371" s="116">
        <v>377.683333333333</v>
      </c>
      <c r="C1371" s="116">
        <v>376.01666666666699</v>
      </c>
      <c r="D1371" s="116">
        <v>371.58333333333297</v>
      </c>
      <c r="E1371" s="116">
        <v>374.66666666666703</v>
      </c>
      <c r="F1371" s="116">
        <v>1128.05</v>
      </c>
      <c r="G1371">
        <v>1088</v>
      </c>
      <c r="H1371" s="116"/>
      <c r="I1371" s="116"/>
      <c r="L1371" s="169">
        <v>44512</v>
      </c>
      <c r="M1371" s="116">
        <v>376.5</v>
      </c>
      <c r="N1371" s="116">
        <v>378.33333333333297</v>
      </c>
      <c r="O1371" s="116">
        <v>370.33333333333297</v>
      </c>
      <c r="P1371" s="116">
        <v>375.33333333333297</v>
      </c>
      <c r="Q1371" s="116">
        <v>1129.5</v>
      </c>
      <c r="R1371">
        <v>33489</v>
      </c>
    </row>
    <row r="1372" spans="1:18" x14ac:dyDescent="0.25">
      <c r="A1372" s="169">
        <v>44515</v>
      </c>
      <c r="B1372" s="116">
        <v>432.33333333333297</v>
      </c>
      <c r="C1372" s="116">
        <v>394.33333333333297</v>
      </c>
      <c r="D1372" s="116">
        <v>390.316666666667</v>
      </c>
      <c r="E1372" s="116">
        <v>399.33333333333297</v>
      </c>
      <c r="F1372" s="116">
        <v>1183</v>
      </c>
      <c r="G1372">
        <v>76570</v>
      </c>
      <c r="H1372" s="116"/>
      <c r="I1372" s="116"/>
      <c r="L1372" s="169">
        <v>44515</v>
      </c>
      <c r="M1372" s="116">
        <v>394.13333333333298</v>
      </c>
      <c r="N1372" s="116">
        <v>432.66666666666703</v>
      </c>
      <c r="O1372" s="116">
        <v>390.03333333333302</v>
      </c>
      <c r="P1372" s="116">
        <v>400</v>
      </c>
      <c r="Q1372" s="116">
        <v>1182.4000000000001</v>
      </c>
      <c r="R1372">
        <v>1743165</v>
      </c>
    </row>
    <row r="1373" spans="1:18" x14ac:dyDescent="0.25">
      <c r="A1373" s="169">
        <v>44516</v>
      </c>
      <c r="B1373" s="116">
        <v>395.33333333333297</v>
      </c>
      <c r="C1373" s="116">
        <v>390.83333333333297</v>
      </c>
      <c r="D1373" s="116">
        <v>380.03333333333302</v>
      </c>
      <c r="E1373" s="116">
        <v>395.33333333333297</v>
      </c>
      <c r="F1373" s="116">
        <v>1172.5</v>
      </c>
      <c r="G1373">
        <v>25004</v>
      </c>
      <c r="H1373" s="116"/>
      <c r="I1373" s="116"/>
      <c r="L1373" s="169">
        <v>44516</v>
      </c>
      <c r="M1373" s="116">
        <v>390.65</v>
      </c>
      <c r="N1373" s="116">
        <v>395.66666666666703</v>
      </c>
      <c r="O1373" s="116">
        <v>379.46666666666698</v>
      </c>
      <c r="P1373" s="116">
        <v>395.66666666666703</v>
      </c>
      <c r="Q1373" s="116">
        <v>1171.95</v>
      </c>
      <c r="R1373">
        <v>227089</v>
      </c>
    </row>
    <row r="1374" spans="1:18" x14ac:dyDescent="0.25">
      <c r="A1374" s="169">
        <v>44517</v>
      </c>
      <c r="B1374" s="116">
        <v>415</v>
      </c>
      <c r="C1374" s="116">
        <v>407.98333333333301</v>
      </c>
      <c r="D1374" s="116">
        <v>388.33333333333297</v>
      </c>
      <c r="E1374" s="116">
        <v>388.33333333333297</v>
      </c>
      <c r="F1374" s="116">
        <v>1223.95</v>
      </c>
      <c r="G1374">
        <v>123034</v>
      </c>
      <c r="H1374" s="116"/>
      <c r="I1374" s="116"/>
      <c r="L1374" s="169">
        <v>44517</v>
      </c>
      <c r="M1374" s="116">
        <v>406.6</v>
      </c>
      <c r="N1374" s="116">
        <v>416.66666666666703</v>
      </c>
      <c r="O1374" s="116">
        <v>386</v>
      </c>
      <c r="P1374" s="116">
        <v>386.66666666666703</v>
      </c>
      <c r="Q1374" s="116">
        <v>1219.8</v>
      </c>
      <c r="R1374">
        <v>454664</v>
      </c>
    </row>
    <row r="1375" spans="1:18" x14ac:dyDescent="0.25">
      <c r="A1375" s="169">
        <v>44518</v>
      </c>
      <c r="B1375" s="116">
        <v>412.98333333333301</v>
      </c>
      <c r="C1375" s="116">
        <v>395.25</v>
      </c>
      <c r="D1375" s="116">
        <v>392.66666666666703</v>
      </c>
      <c r="E1375" s="116">
        <v>412.98333333333301</v>
      </c>
      <c r="F1375" s="116">
        <v>1185.75</v>
      </c>
      <c r="G1375">
        <v>25773</v>
      </c>
      <c r="H1375" s="116"/>
      <c r="I1375" s="116"/>
      <c r="L1375" s="169">
        <v>44518</v>
      </c>
      <c r="M1375" s="116">
        <v>395.816666666667</v>
      </c>
      <c r="N1375" s="116">
        <v>410</v>
      </c>
      <c r="O1375" s="116">
        <v>391.83333333333297</v>
      </c>
      <c r="P1375" s="116">
        <v>410</v>
      </c>
      <c r="Q1375" s="116">
        <v>1187.45</v>
      </c>
      <c r="R1375">
        <v>163459</v>
      </c>
    </row>
    <row r="1376" spans="1:18" x14ac:dyDescent="0.25">
      <c r="A1376" s="169">
        <v>44522</v>
      </c>
      <c r="B1376" s="116">
        <v>398.33333333333297</v>
      </c>
      <c r="C1376" s="116">
        <v>375.28333333333302</v>
      </c>
      <c r="D1376" s="116">
        <v>373.35</v>
      </c>
      <c r="E1376" s="116">
        <v>398.33333333333297</v>
      </c>
      <c r="F1376" s="116">
        <v>1125.8499999999999</v>
      </c>
      <c r="G1376">
        <v>8256</v>
      </c>
      <c r="H1376" s="116"/>
      <c r="I1376" s="116"/>
      <c r="L1376" s="169">
        <v>44522</v>
      </c>
      <c r="M1376" s="116">
        <v>375.63333333333298</v>
      </c>
      <c r="N1376" s="116">
        <v>398.33333333333297</v>
      </c>
      <c r="O1376" s="116">
        <v>372.33333333333297</v>
      </c>
      <c r="P1376" s="116">
        <v>398.33333333333297</v>
      </c>
      <c r="Q1376" s="116">
        <v>1126.9000000000001</v>
      </c>
      <c r="R1376">
        <v>128195</v>
      </c>
    </row>
    <row r="1377" spans="1:18" x14ac:dyDescent="0.25">
      <c r="A1377" s="169">
        <v>44523</v>
      </c>
      <c r="B1377" s="116">
        <v>384.2</v>
      </c>
      <c r="C1377" s="116">
        <v>368.85</v>
      </c>
      <c r="D1377" s="116">
        <v>367.183333333333</v>
      </c>
      <c r="E1377" s="116">
        <v>384.2</v>
      </c>
      <c r="F1377" s="116">
        <v>1106.55</v>
      </c>
      <c r="G1377">
        <v>8516</v>
      </c>
      <c r="H1377" s="116"/>
      <c r="I1377" s="116"/>
      <c r="L1377" s="169">
        <v>44523</v>
      </c>
      <c r="M1377" s="116">
        <v>368.35</v>
      </c>
      <c r="N1377" s="116">
        <v>376.3</v>
      </c>
      <c r="O1377" s="116">
        <v>366.83333333333297</v>
      </c>
      <c r="P1377" s="116">
        <v>374</v>
      </c>
      <c r="Q1377" s="116">
        <v>1105.05</v>
      </c>
      <c r="R1377">
        <v>101469</v>
      </c>
    </row>
    <row r="1378" spans="1:18" x14ac:dyDescent="0.25">
      <c r="A1378" s="169">
        <v>44524</v>
      </c>
      <c r="B1378" s="116">
        <v>380.33333333333297</v>
      </c>
      <c r="C1378" s="116">
        <v>371.88333333333298</v>
      </c>
      <c r="D1378" s="116">
        <v>369.98333333333301</v>
      </c>
      <c r="E1378" s="116">
        <v>372</v>
      </c>
      <c r="F1378" s="116">
        <v>1115.6500000000001</v>
      </c>
      <c r="G1378">
        <v>12651</v>
      </c>
      <c r="H1378" s="116"/>
      <c r="I1378" s="116"/>
      <c r="L1378" s="169">
        <v>44524</v>
      </c>
      <c r="M1378" s="116">
        <v>371.55</v>
      </c>
      <c r="N1378" s="116">
        <v>381.316666666667</v>
      </c>
      <c r="O1378" s="116">
        <v>369.96666666666698</v>
      </c>
      <c r="P1378" s="116">
        <v>370.2</v>
      </c>
      <c r="Q1378" s="116">
        <v>1114.6500000000001</v>
      </c>
      <c r="R1378">
        <v>62661</v>
      </c>
    </row>
    <row r="1379" spans="1:18" x14ac:dyDescent="0.25">
      <c r="A1379" s="169">
        <v>44525</v>
      </c>
      <c r="B1379" s="116">
        <v>378.33333333333297</v>
      </c>
      <c r="C1379" s="116">
        <v>373.05</v>
      </c>
      <c r="D1379" s="116">
        <v>370.83333333333297</v>
      </c>
      <c r="E1379" s="116">
        <v>371.66666666666703</v>
      </c>
      <c r="F1379" s="116">
        <v>1119.1500000000001</v>
      </c>
      <c r="G1379">
        <v>7328</v>
      </c>
      <c r="H1379" s="116"/>
      <c r="I1379" s="116"/>
      <c r="L1379" s="169">
        <v>44525</v>
      </c>
      <c r="M1379" s="116">
        <v>373.816666666667</v>
      </c>
      <c r="N1379" s="116">
        <v>378.683333333333</v>
      </c>
      <c r="O1379" s="116">
        <v>371.26666666666699</v>
      </c>
      <c r="P1379" s="116">
        <v>372.933333333333</v>
      </c>
      <c r="Q1379" s="116">
        <v>1121.45</v>
      </c>
      <c r="R1379">
        <v>37022</v>
      </c>
    </row>
    <row r="1380" spans="1:18" x14ac:dyDescent="0.25">
      <c r="A1380" s="169">
        <v>44526</v>
      </c>
      <c r="B1380" s="116">
        <v>395.33333333333297</v>
      </c>
      <c r="C1380" s="116">
        <v>366.33333333333297</v>
      </c>
      <c r="D1380" s="116">
        <v>360.53333333333302</v>
      </c>
      <c r="E1380" s="116">
        <v>375.33333333333297</v>
      </c>
      <c r="F1380" s="116">
        <v>1099</v>
      </c>
      <c r="G1380">
        <v>56037</v>
      </c>
      <c r="H1380" s="116"/>
      <c r="I1380" s="116"/>
      <c r="L1380" s="169">
        <v>44526</v>
      </c>
      <c r="M1380" s="116">
        <v>367.28333333333302</v>
      </c>
      <c r="N1380" s="116">
        <v>395.98333333333301</v>
      </c>
      <c r="O1380" s="116">
        <v>360.33333333333297</v>
      </c>
      <c r="P1380" s="116">
        <v>370.66666666666703</v>
      </c>
      <c r="Q1380" s="116">
        <v>1101.8499999999999</v>
      </c>
      <c r="R1380">
        <v>316733</v>
      </c>
    </row>
    <row r="1381" spans="1:18" x14ac:dyDescent="0.25">
      <c r="A1381" s="169">
        <v>44529</v>
      </c>
      <c r="B1381" s="116">
        <v>418.33333333333297</v>
      </c>
      <c r="C1381" s="116">
        <v>369.5</v>
      </c>
      <c r="D1381" s="116">
        <v>367.95</v>
      </c>
      <c r="E1381" s="116">
        <v>418.33333333333297</v>
      </c>
      <c r="F1381" s="116">
        <v>1108.5</v>
      </c>
      <c r="G1381">
        <v>35379</v>
      </c>
      <c r="H1381" s="116"/>
      <c r="I1381" s="116"/>
      <c r="L1381" s="169">
        <v>44529</v>
      </c>
      <c r="M1381" s="116">
        <v>370.46666666666698</v>
      </c>
      <c r="N1381" s="116">
        <v>388.33333333333297</v>
      </c>
      <c r="O1381" s="116">
        <v>368.33333333333297</v>
      </c>
      <c r="P1381" s="116">
        <v>370.683333333333</v>
      </c>
      <c r="Q1381" s="116">
        <v>1111.4000000000001</v>
      </c>
      <c r="R1381">
        <v>428920</v>
      </c>
    </row>
    <row r="1382" spans="1:18" x14ac:dyDescent="0.25">
      <c r="A1382" s="169">
        <v>44530</v>
      </c>
      <c r="B1382" s="116">
        <v>381.5</v>
      </c>
      <c r="C1382" s="116">
        <v>368.75</v>
      </c>
      <c r="D1382" s="116">
        <v>365.48333333333301</v>
      </c>
      <c r="E1382" s="116">
        <v>381.5</v>
      </c>
      <c r="F1382" s="116">
        <v>1106.25</v>
      </c>
      <c r="G1382">
        <v>7816</v>
      </c>
      <c r="H1382" s="116"/>
      <c r="I1382" s="116"/>
      <c r="L1382" s="169">
        <v>44530</v>
      </c>
      <c r="M1382" s="116">
        <v>368.5</v>
      </c>
      <c r="N1382" s="116">
        <v>379.63333333333298</v>
      </c>
      <c r="O1382" s="116">
        <v>365.63333333333298</v>
      </c>
      <c r="P1382" s="116">
        <v>374.16666666666703</v>
      </c>
      <c r="Q1382" s="116">
        <v>1105.5</v>
      </c>
      <c r="R1382">
        <v>128560</v>
      </c>
    </row>
    <row r="1383" spans="1:18" x14ac:dyDescent="0.25">
      <c r="A1383" s="169">
        <v>44531</v>
      </c>
      <c r="B1383" s="116">
        <v>374.15</v>
      </c>
      <c r="C1383" s="116">
        <v>361.83333333333297</v>
      </c>
      <c r="D1383" s="116">
        <v>360.33333333333297</v>
      </c>
      <c r="E1383" s="116">
        <v>373.75</v>
      </c>
      <c r="F1383" s="116">
        <v>1085.5</v>
      </c>
      <c r="G1383">
        <v>12139</v>
      </c>
      <c r="H1383" s="116"/>
      <c r="I1383" s="116"/>
      <c r="L1383" s="169">
        <v>44531</v>
      </c>
      <c r="M1383" s="116">
        <v>361.98333333333301</v>
      </c>
      <c r="N1383" s="116">
        <v>374.66666666666703</v>
      </c>
      <c r="O1383" s="116">
        <v>360</v>
      </c>
      <c r="P1383" s="116">
        <v>369.6</v>
      </c>
      <c r="Q1383" s="116">
        <v>1085.95</v>
      </c>
      <c r="R1383">
        <v>89356</v>
      </c>
    </row>
    <row r="1384" spans="1:18" x14ac:dyDescent="0.25">
      <c r="A1384" s="169">
        <v>44532</v>
      </c>
      <c r="B1384" s="116">
        <v>370.316666666667</v>
      </c>
      <c r="C1384" s="116">
        <v>363.03333333333302</v>
      </c>
      <c r="D1384" s="116">
        <v>359.933333333333</v>
      </c>
      <c r="E1384" s="116">
        <v>370.316666666667</v>
      </c>
      <c r="F1384" s="116">
        <v>1089.0999999999999</v>
      </c>
      <c r="G1384">
        <v>3144</v>
      </c>
      <c r="H1384" s="116"/>
      <c r="I1384" s="116"/>
      <c r="L1384" s="169">
        <v>44532</v>
      </c>
      <c r="M1384" s="116">
        <v>362.9</v>
      </c>
      <c r="N1384" s="116">
        <v>368.21666666666698</v>
      </c>
      <c r="O1384" s="116">
        <v>359.26666666666699</v>
      </c>
      <c r="P1384" s="116">
        <v>364.6</v>
      </c>
      <c r="Q1384" s="116">
        <v>1088.7</v>
      </c>
      <c r="R1384">
        <v>70927</v>
      </c>
    </row>
    <row r="1385" spans="1:18" x14ac:dyDescent="0.25">
      <c r="A1385" s="169">
        <v>44533</v>
      </c>
      <c r="B1385" s="116">
        <v>370</v>
      </c>
      <c r="C1385" s="116">
        <v>366.48333333333301</v>
      </c>
      <c r="D1385" s="116">
        <v>361.91666666666703</v>
      </c>
      <c r="E1385" s="116">
        <v>365</v>
      </c>
      <c r="F1385" s="116">
        <v>1099.45</v>
      </c>
      <c r="G1385">
        <v>7136</v>
      </c>
      <c r="H1385" s="116"/>
      <c r="I1385" s="116"/>
      <c r="L1385" s="169">
        <v>44533</v>
      </c>
      <c r="M1385" s="116">
        <v>367.7</v>
      </c>
      <c r="N1385" s="116">
        <v>370.01666666666699</v>
      </c>
      <c r="O1385" s="116">
        <v>362</v>
      </c>
      <c r="P1385" s="116">
        <v>369.98333333333301</v>
      </c>
      <c r="Q1385" s="116">
        <v>1103.0999999999999</v>
      </c>
      <c r="R1385">
        <v>60445</v>
      </c>
    </row>
    <row r="1386" spans="1:18" x14ac:dyDescent="0.25">
      <c r="A1386" s="169">
        <v>44536</v>
      </c>
      <c r="B1386" s="116">
        <v>374.98333333333301</v>
      </c>
      <c r="C1386" s="116">
        <v>367.95</v>
      </c>
      <c r="D1386" s="116">
        <v>365.48333333333301</v>
      </c>
      <c r="E1386" s="116">
        <v>373.15</v>
      </c>
      <c r="F1386" s="116">
        <v>1103.8499999999999</v>
      </c>
      <c r="G1386">
        <v>3398</v>
      </c>
      <c r="H1386" s="116"/>
      <c r="I1386" s="116"/>
      <c r="L1386" s="169">
        <v>44536</v>
      </c>
      <c r="M1386" s="116">
        <v>368.05</v>
      </c>
      <c r="N1386" s="116">
        <v>375</v>
      </c>
      <c r="O1386" s="116">
        <v>365.58333333333297</v>
      </c>
      <c r="P1386" s="116">
        <v>369.8</v>
      </c>
      <c r="Q1386" s="116">
        <v>1104.1500000000001</v>
      </c>
      <c r="R1386">
        <v>90585</v>
      </c>
    </row>
    <row r="1387" spans="1:18" x14ac:dyDescent="0.25">
      <c r="A1387" s="169">
        <v>44537</v>
      </c>
      <c r="B1387" s="116">
        <v>377.63333333333298</v>
      </c>
      <c r="C1387" s="116">
        <v>361.66666666666703</v>
      </c>
      <c r="D1387" s="116">
        <v>360.65</v>
      </c>
      <c r="E1387" s="116">
        <v>377.63333333333298</v>
      </c>
      <c r="F1387" s="116">
        <v>1085</v>
      </c>
      <c r="G1387">
        <v>3175</v>
      </c>
      <c r="H1387" s="116"/>
      <c r="I1387" s="116"/>
      <c r="L1387" s="169">
        <v>44537</v>
      </c>
      <c r="M1387" s="116">
        <v>361.8</v>
      </c>
      <c r="N1387" s="116">
        <v>369.683333333333</v>
      </c>
      <c r="O1387" s="116">
        <v>360.35</v>
      </c>
      <c r="P1387" s="116">
        <v>369.33333333333297</v>
      </c>
      <c r="Q1387" s="116">
        <v>1085.4000000000001</v>
      </c>
      <c r="R1387">
        <v>62083</v>
      </c>
    </row>
    <row r="1388" spans="1:18" x14ac:dyDescent="0.25">
      <c r="A1388" s="169">
        <v>44538</v>
      </c>
      <c r="B1388" s="116">
        <v>362.816666666667</v>
      </c>
      <c r="C1388" s="116">
        <v>351.63333333333298</v>
      </c>
      <c r="D1388" s="116">
        <v>345.53333333333302</v>
      </c>
      <c r="E1388" s="116">
        <v>361.8</v>
      </c>
      <c r="F1388" s="116">
        <v>1054.9000000000001</v>
      </c>
      <c r="G1388">
        <v>4869</v>
      </c>
      <c r="H1388" s="116"/>
      <c r="I1388" s="116"/>
      <c r="L1388" s="169">
        <v>44538</v>
      </c>
      <c r="M1388" s="116">
        <v>351.11666666666702</v>
      </c>
      <c r="N1388" s="116">
        <v>363.33333333333297</v>
      </c>
      <c r="O1388" s="116">
        <v>345.33333333333297</v>
      </c>
      <c r="P1388" s="116">
        <v>363.33333333333297</v>
      </c>
      <c r="Q1388" s="116">
        <v>1053.3499999999999</v>
      </c>
      <c r="R1388">
        <v>132279</v>
      </c>
    </row>
    <row r="1389" spans="1:18" x14ac:dyDescent="0.25">
      <c r="A1389" s="169">
        <v>44539</v>
      </c>
      <c r="B1389" s="116">
        <v>363.33333333333297</v>
      </c>
      <c r="C1389" s="116">
        <v>361.13333333333298</v>
      </c>
      <c r="D1389" s="116">
        <v>350.066666666667</v>
      </c>
      <c r="E1389" s="116">
        <v>351.183333333333</v>
      </c>
      <c r="F1389" s="116">
        <v>1083.4000000000001</v>
      </c>
      <c r="G1389">
        <v>15345</v>
      </c>
      <c r="H1389" s="116"/>
      <c r="I1389" s="116"/>
      <c r="L1389" s="169">
        <v>44539</v>
      </c>
      <c r="M1389" s="116">
        <v>360.95</v>
      </c>
      <c r="N1389" s="116">
        <v>363.65</v>
      </c>
      <c r="O1389" s="116">
        <v>350.75</v>
      </c>
      <c r="P1389" s="116">
        <v>351.11666666666702</v>
      </c>
      <c r="Q1389" s="116">
        <v>1082.8499999999999</v>
      </c>
      <c r="R1389">
        <v>166050</v>
      </c>
    </row>
    <row r="1390" spans="1:18" x14ac:dyDescent="0.25">
      <c r="A1390" s="169">
        <v>44540</v>
      </c>
      <c r="B1390" s="116">
        <v>368.183333333333</v>
      </c>
      <c r="C1390" s="116">
        <v>366.75</v>
      </c>
      <c r="D1390" s="116">
        <v>353.76666666666699</v>
      </c>
      <c r="E1390" s="116">
        <v>356.683333333333</v>
      </c>
      <c r="F1390" s="116">
        <v>1100.25</v>
      </c>
      <c r="G1390">
        <v>10738</v>
      </c>
      <c r="H1390" s="116"/>
      <c r="I1390" s="116"/>
      <c r="L1390" s="169">
        <v>44540</v>
      </c>
      <c r="M1390" s="116">
        <v>366.91666666666703</v>
      </c>
      <c r="N1390" s="116">
        <v>368.33333333333297</v>
      </c>
      <c r="O1390" s="116">
        <v>353.83333333333297</v>
      </c>
      <c r="P1390" s="116">
        <v>360</v>
      </c>
      <c r="Q1390" s="116">
        <v>1100.75</v>
      </c>
      <c r="R1390">
        <v>116488</v>
      </c>
    </row>
    <row r="1391" spans="1:18" x14ac:dyDescent="0.25">
      <c r="A1391" s="169">
        <v>44543</v>
      </c>
      <c r="B1391" s="116">
        <v>371.58333333333297</v>
      </c>
      <c r="C1391" s="116">
        <v>361.85</v>
      </c>
      <c r="D1391" s="116">
        <v>360.3</v>
      </c>
      <c r="E1391" s="116">
        <v>361.66666666666703</v>
      </c>
      <c r="F1391" s="116">
        <v>1085.55</v>
      </c>
      <c r="G1391">
        <v>7769</v>
      </c>
      <c r="H1391" s="116"/>
      <c r="I1391" s="116"/>
      <c r="L1391" s="169">
        <v>44543</v>
      </c>
      <c r="M1391" s="116">
        <v>361.75</v>
      </c>
      <c r="N1391" s="116">
        <v>372.183333333333</v>
      </c>
      <c r="O1391" s="116">
        <v>359.51666666666699</v>
      </c>
      <c r="P1391" s="116">
        <v>363.33333333333297</v>
      </c>
      <c r="Q1391" s="116">
        <v>1085.25</v>
      </c>
      <c r="R1391">
        <v>89532</v>
      </c>
    </row>
    <row r="1392" spans="1:18" x14ac:dyDescent="0.25">
      <c r="A1392" s="169">
        <v>44544</v>
      </c>
      <c r="B1392" s="116">
        <v>365.683333333333</v>
      </c>
      <c r="C1392" s="116">
        <v>357.26666666666699</v>
      </c>
      <c r="D1392" s="116">
        <v>356.05</v>
      </c>
      <c r="E1392" s="116">
        <v>357.53333333333302</v>
      </c>
      <c r="F1392" s="116">
        <v>1071.8</v>
      </c>
      <c r="G1392">
        <v>3216</v>
      </c>
      <c r="H1392" s="116"/>
      <c r="I1392" s="116"/>
      <c r="L1392" s="169">
        <v>44544</v>
      </c>
      <c r="M1392" s="116">
        <v>357.38333333333298</v>
      </c>
      <c r="N1392" s="116">
        <v>365.61666666666702</v>
      </c>
      <c r="O1392" s="116">
        <v>355.1</v>
      </c>
      <c r="P1392" s="116">
        <v>355.33333333333297</v>
      </c>
      <c r="Q1392" s="116">
        <v>1072.1500000000001</v>
      </c>
      <c r="R1392">
        <v>30052</v>
      </c>
    </row>
    <row r="1393" spans="1:18" x14ac:dyDescent="0.25">
      <c r="A1393" s="169">
        <v>44545</v>
      </c>
      <c r="B1393" s="116">
        <v>359.98333333333301</v>
      </c>
      <c r="C1393" s="116">
        <v>356.066666666667</v>
      </c>
      <c r="D1393" s="116">
        <v>353.33333333333297</v>
      </c>
      <c r="E1393" s="116">
        <v>358.51666666666699</v>
      </c>
      <c r="F1393" s="116">
        <v>1068.2</v>
      </c>
      <c r="G1393">
        <v>2910</v>
      </c>
      <c r="H1393" s="116"/>
      <c r="I1393" s="116"/>
      <c r="L1393" s="169">
        <v>44545</v>
      </c>
      <c r="M1393" s="116">
        <v>355.96666666666698</v>
      </c>
      <c r="N1393" s="116">
        <v>359.98333333333301</v>
      </c>
      <c r="O1393" s="116">
        <v>352.33333333333297</v>
      </c>
      <c r="P1393" s="116">
        <v>358.66666666666703</v>
      </c>
      <c r="Q1393" s="116">
        <v>1067.9000000000001</v>
      </c>
      <c r="R1393">
        <v>34301</v>
      </c>
    </row>
    <row r="1394" spans="1:18" x14ac:dyDescent="0.25">
      <c r="A1394" s="169">
        <v>44546</v>
      </c>
      <c r="B1394" s="116">
        <v>361.66666666666703</v>
      </c>
      <c r="C1394" s="116">
        <v>348.066666666667</v>
      </c>
      <c r="D1394" s="116">
        <v>346.75</v>
      </c>
      <c r="E1394" s="116">
        <v>357</v>
      </c>
      <c r="F1394" s="116">
        <v>1044.2</v>
      </c>
      <c r="G1394">
        <v>11602</v>
      </c>
      <c r="H1394" s="116"/>
      <c r="I1394" s="116"/>
      <c r="L1394" s="169">
        <v>44546</v>
      </c>
      <c r="M1394" s="116">
        <v>348.36666666666702</v>
      </c>
      <c r="N1394" s="116">
        <v>361.26666666666699</v>
      </c>
      <c r="O1394" s="116">
        <v>346.8</v>
      </c>
      <c r="P1394" s="116">
        <v>359.98333333333301</v>
      </c>
      <c r="Q1394" s="116">
        <v>1045.0999999999999</v>
      </c>
      <c r="R1394">
        <v>74620</v>
      </c>
    </row>
    <row r="1395" spans="1:18" x14ac:dyDescent="0.25">
      <c r="A1395" s="169">
        <v>44547</v>
      </c>
      <c r="B1395" s="116">
        <v>349.25</v>
      </c>
      <c r="C1395" s="116">
        <v>345.13333333333298</v>
      </c>
      <c r="D1395" s="116">
        <v>339.28333333333302</v>
      </c>
      <c r="E1395" s="116">
        <v>346.66666666666703</v>
      </c>
      <c r="F1395" s="116">
        <v>1035.4000000000001</v>
      </c>
      <c r="G1395">
        <v>9992</v>
      </c>
      <c r="H1395" s="116"/>
      <c r="I1395" s="116"/>
      <c r="L1395" s="169">
        <v>44547</v>
      </c>
      <c r="M1395" s="116">
        <v>343</v>
      </c>
      <c r="N1395" s="116">
        <v>351.5</v>
      </c>
      <c r="O1395" s="116">
        <v>338.91666666666703</v>
      </c>
      <c r="P1395" s="116">
        <v>346.66666666666703</v>
      </c>
      <c r="Q1395" s="116">
        <v>1029</v>
      </c>
      <c r="R1395">
        <v>101762</v>
      </c>
    </row>
    <row r="1396" spans="1:18" x14ac:dyDescent="0.25">
      <c r="A1396" s="169">
        <v>44550</v>
      </c>
      <c r="B1396" s="116">
        <v>343</v>
      </c>
      <c r="C1396" s="116">
        <v>326.03333333333302</v>
      </c>
      <c r="D1396" s="116">
        <v>322</v>
      </c>
      <c r="E1396" s="116">
        <v>343</v>
      </c>
      <c r="F1396" s="116">
        <v>978.1</v>
      </c>
      <c r="G1396">
        <v>15506</v>
      </c>
      <c r="H1396" s="116"/>
      <c r="I1396" s="116"/>
      <c r="L1396" s="169">
        <v>44550</v>
      </c>
      <c r="M1396" s="116">
        <v>327.11666666666702</v>
      </c>
      <c r="N1396" s="116">
        <v>341.66666666666703</v>
      </c>
      <c r="O1396" s="116">
        <v>323.33333333333297</v>
      </c>
      <c r="P1396" s="116">
        <v>340</v>
      </c>
      <c r="Q1396" s="116">
        <v>981.35</v>
      </c>
      <c r="R1396">
        <v>205986</v>
      </c>
    </row>
    <row r="1397" spans="1:18" x14ac:dyDescent="0.25">
      <c r="A1397" s="169">
        <v>44551</v>
      </c>
      <c r="B1397" s="116">
        <v>332.66666666666703</v>
      </c>
      <c r="C1397" s="116">
        <v>318.05</v>
      </c>
      <c r="D1397" s="116">
        <v>315.566666666667</v>
      </c>
      <c r="E1397" s="116">
        <v>332.33333333333297</v>
      </c>
      <c r="F1397" s="116">
        <v>954.15</v>
      </c>
      <c r="G1397">
        <v>6064</v>
      </c>
      <c r="H1397" s="116"/>
      <c r="I1397" s="116"/>
      <c r="L1397" s="169">
        <v>44551</v>
      </c>
      <c r="M1397" s="116">
        <v>320.16666666666703</v>
      </c>
      <c r="N1397" s="116">
        <v>332.53333333333302</v>
      </c>
      <c r="O1397" s="116">
        <v>315</v>
      </c>
      <c r="P1397" s="116">
        <v>326.66666666666703</v>
      </c>
      <c r="Q1397" s="116">
        <v>960.5</v>
      </c>
      <c r="R1397">
        <v>198015</v>
      </c>
    </row>
    <row r="1398" spans="1:18" x14ac:dyDescent="0.25">
      <c r="A1398" s="169">
        <v>44552</v>
      </c>
      <c r="B1398" s="116">
        <v>332.66666666666703</v>
      </c>
      <c r="C1398" s="116">
        <v>329.88333333333298</v>
      </c>
      <c r="D1398" s="116">
        <v>322.5</v>
      </c>
      <c r="E1398" s="116">
        <v>323.183333333333</v>
      </c>
      <c r="F1398" s="116">
        <v>989.65</v>
      </c>
      <c r="G1398">
        <v>7413</v>
      </c>
      <c r="H1398" s="116"/>
      <c r="I1398" s="116"/>
      <c r="L1398" s="169">
        <v>44552</v>
      </c>
      <c r="M1398" s="116">
        <v>330.3</v>
      </c>
      <c r="N1398" s="116">
        <v>333.33333333333297</v>
      </c>
      <c r="O1398" s="116">
        <v>320</v>
      </c>
      <c r="P1398" s="116">
        <v>320.66666666666703</v>
      </c>
      <c r="Q1398" s="116">
        <v>990.9</v>
      </c>
      <c r="R1398">
        <v>80465</v>
      </c>
    </row>
    <row r="1399" spans="1:18" x14ac:dyDescent="0.25">
      <c r="A1399" s="169">
        <v>44553</v>
      </c>
      <c r="B1399" s="116">
        <v>341.7</v>
      </c>
      <c r="C1399" s="116">
        <v>336.066666666667</v>
      </c>
      <c r="D1399" s="116">
        <v>331.66666666666703</v>
      </c>
      <c r="E1399" s="116">
        <v>338</v>
      </c>
      <c r="F1399" s="116">
        <v>1008.2</v>
      </c>
      <c r="G1399">
        <v>6256</v>
      </c>
      <c r="H1399" s="116"/>
      <c r="I1399" s="116"/>
      <c r="L1399" s="169">
        <v>44553</v>
      </c>
      <c r="M1399" s="116">
        <v>336.1</v>
      </c>
      <c r="N1399" s="116">
        <v>341.66666666666703</v>
      </c>
      <c r="O1399" s="116">
        <v>331.51666666666699</v>
      </c>
      <c r="P1399" s="116">
        <v>334.26666666666699</v>
      </c>
      <c r="Q1399" s="116">
        <v>1008.3</v>
      </c>
      <c r="R1399">
        <v>110195</v>
      </c>
    </row>
    <row r="1400" spans="1:18" x14ac:dyDescent="0.25">
      <c r="A1400" s="169">
        <v>44554</v>
      </c>
      <c r="B1400" s="116">
        <v>341</v>
      </c>
      <c r="C1400" s="116">
        <v>335.183333333333</v>
      </c>
      <c r="D1400" s="116">
        <v>331.01666666666699</v>
      </c>
      <c r="E1400" s="116">
        <v>333</v>
      </c>
      <c r="F1400" s="116">
        <v>1005.55</v>
      </c>
      <c r="G1400">
        <v>3604</v>
      </c>
      <c r="H1400" s="116"/>
      <c r="I1400" s="116"/>
      <c r="L1400" s="169">
        <v>44554</v>
      </c>
      <c r="M1400" s="116">
        <v>335.08333333333297</v>
      </c>
      <c r="N1400" s="116">
        <v>341.21666666666698</v>
      </c>
      <c r="O1400" s="116">
        <v>330.683333333333</v>
      </c>
      <c r="P1400" s="116">
        <v>338.26666666666699</v>
      </c>
      <c r="Q1400" s="116">
        <v>1005.25</v>
      </c>
      <c r="R1400">
        <v>92285</v>
      </c>
    </row>
    <row r="1401" spans="1:18" x14ac:dyDescent="0.25">
      <c r="A1401" s="169">
        <v>44557</v>
      </c>
      <c r="B1401" s="116">
        <v>340.5</v>
      </c>
      <c r="C1401" s="116">
        <v>337.48333333333301</v>
      </c>
      <c r="D1401" s="116">
        <v>333.53333333333302</v>
      </c>
      <c r="E1401" s="116">
        <v>338.66666666666703</v>
      </c>
      <c r="F1401" s="116">
        <v>1012.45</v>
      </c>
      <c r="G1401">
        <v>6857</v>
      </c>
      <c r="H1401" s="116"/>
      <c r="I1401" s="116"/>
      <c r="L1401" s="169">
        <v>44557</v>
      </c>
      <c r="M1401" s="116">
        <v>337.9</v>
      </c>
      <c r="N1401" s="116">
        <v>341.65</v>
      </c>
      <c r="O1401" s="116">
        <v>333.71666666666698</v>
      </c>
      <c r="P1401" s="116">
        <v>336.65</v>
      </c>
      <c r="Q1401" s="116">
        <v>1013.7</v>
      </c>
      <c r="R1401">
        <v>78877</v>
      </c>
    </row>
    <row r="1402" spans="1:18" x14ac:dyDescent="0.25">
      <c r="A1402" s="169">
        <v>44558</v>
      </c>
      <c r="B1402" s="116">
        <v>339.58333333333297</v>
      </c>
      <c r="C1402" s="116">
        <v>337.8</v>
      </c>
      <c r="D1402" s="116">
        <v>335.2</v>
      </c>
      <c r="E1402" s="116">
        <v>336.66666666666703</v>
      </c>
      <c r="F1402" s="116">
        <v>1013.4</v>
      </c>
      <c r="G1402">
        <v>7469</v>
      </c>
      <c r="H1402" s="116"/>
      <c r="I1402" s="116"/>
      <c r="L1402" s="169">
        <v>44558</v>
      </c>
      <c r="M1402" s="116">
        <v>338.26666666666699</v>
      </c>
      <c r="N1402" s="116">
        <v>341.316666666667</v>
      </c>
      <c r="O1402" s="116">
        <v>335.25</v>
      </c>
      <c r="P1402" s="116">
        <v>339.6</v>
      </c>
      <c r="Q1402" s="116">
        <v>1014.8</v>
      </c>
      <c r="R1402">
        <v>40682</v>
      </c>
    </row>
    <row r="1403" spans="1:18" x14ac:dyDescent="0.25">
      <c r="A1403" s="169">
        <v>44559</v>
      </c>
      <c r="B1403" s="116">
        <v>360.15</v>
      </c>
      <c r="C1403" s="116">
        <v>357.566666666667</v>
      </c>
      <c r="D1403" s="116">
        <v>336.66666666666703</v>
      </c>
      <c r="E1403" s="116">
        <v>336.66666666666703</v>
      </c>
      <c r="F1403" s="116">
        <v>1072.7</v>
      </c>
      <c r="G1403">
        <v>11163</v>
      </c>
      <c r="H1403" s="116"/>
      <c r="I1403" s="116"/>
      <c r="L1403" s="169">
        <v>44559</v>
      </c>
      <c r="M1403" s="116">
        <v>357.63333333333298</v>
      </c>
      <c r="N1403" s="116">
        <v>360.25</v>
      </c>
      <c r="O1403" s="116">
        <v>339</v>
      </c>
      <c r="P1403" s="116">
        <v>340.26666666666699</v>
      </c>
      <c r="Q1403" s="116">
        <v>1072.9000000000001</v>
      </c>
      <c r="R1403">
        <v>309729</v>
      </c>
    </row>
    <row r="1404" spans="1:18" x14ac:dyDescent="0.25">
      <c r="A1404" s="169">
        <v>44560</v>
      </c>
      <c r="B1404" s="116">
        <v>371.7</v>
      </c>
      <c r="C1404" s="116">
        <v>370.33333333333297</v>
      </c>
      <c r="D1404" s="116">
        <v>356.38333333333298</v>
      </c>
      <c r="E1404" s="116">
        <v>360.33333333333297</v>
      </c>
      <c r="F1404" s="116">
        <v>1111</v>
      </c>
      <c r="G1404">
        <v>8579</v>
      </c>
      <c r="H1404" s="116"/>
      <c r="I1404" s="116"/>
      <c r="L1404" s="169">
        <v>44560</v>
      </c>
      <c r="M1404" s="116">
        <v>369.91666666666703</v>
      </c>
      <c r="N1404" s="116">
        <v>371.66666666666703</v>
      </c>
      <c r="O1404" s="116">
        <v>356.53333333333302</v>
      </c>
      <c r="P1404" s="116">
        <v>357.33333333333297</v>
      </c>
      <c r="Q1404" s="116">
        <v>1109.75</v>
      </c>
      <c r="R1404">
        <v>246043</v>
      </c>
    </row>
    <row r="1405" spans="1:18" x14ac:dyDescent="0.25">
      <c r="A1405" s="169">
        <v>44561</v>
      </c>
      <c r="B1405" s="116">
        <v>373.433333333333</v>
      </c>
      <c r="C1405" s="116">
        <v>368.51666666666699</v>
      </c>
      <c r="D1405" s="116">
        <v>365.55</v>
      </c>
      <c r="E1405" s="116">
        <v>367.38333333333298</v>
      </c>
      <c r="F1405" s="116">
        <v>1105.55</v>
      </c>
      <c r="G1405">
        <v>10458</v>
      </c>
      <c r="H1405" s="116"/>
      <c r="I1405" s="116"/>
      <c r="L1405" s="169">
        <v>44561</v>
      </c>
      <c r="M1405" s="116">
        <v>369.183333333333</v>
      </c>
      <c r="N1405" s="116">
        <v>373.66666666666703</v>
      </c>
      <c r="O1405" s="116">
        <v>365.066666666667</v>
      </c>
      <c r="P1405" s="116">
        <v>370.66666666666703</v>
      </c>
      <c r="Q1405" s="116">
        <v>1107.55</v>
      </c>
      <c r="R1405">
        <v>101983</v>
      </c>
    </row>
    <row r="1406" spans="1:18" x14ac:dyDescent="0.25">
      <c r="A1406" s="169">
        <v>44564</v>
      </c>
      <c r="B1406" s="116">
        <v>376.66666666666703</v>
      </c>
      <c r="C1406" s="116">
        <v>369.3</v>
      </c>
      <c r="D1406" s="116">
        <v>367.83333333333297</v>
      </c>
      <c r="E1406" s="116">
        <v>370.8</v>
      </c>
      <c r="F1406" s="116">
        <v>1107.9000000000001</v>
      </c>
      <c r="G1406">
        <v>6706</v>
      </c>
      <c r="H1406" s="116"/>
      <c r="I1406" s="116"/>
      <c r="L1406" s="169">
        <v>44564</v>
      </c>
      <c r="M1406" s="116">
        <v>370.63333333333298</v>
      </c>
      <c r="N1406" s="116">
        <v>377.33333333333297</v>
      </c>
      <c r="O1406" s="116">
        <v>367.36666666666702</v>
      </c>
      <c r="P1406" s="116">
        <v>369.933333333333</v>
      </c>
      <c r="Q1406" s="116">
        <v>1111.9000000000001</v>
      </c>
      <c r="R1406">
        <v>97772</v>
      </c>
    </row>
    <row r="1407" spans="1:18" x14ac:dyDescent="0.25">
      <c r="A1407" s="169">
        <v>44565</v>
      </c>
      <c r="B1407" s="116">
        <v>375.61666666666702</v>
      </c>
      <c r="C1407" s="116">
        <v>364.86666666666702</v>
      </c>
      <c r="D1407" s="116">
        <v>363.316666666667</v>
      </c>
      <c r="E1407" s="116">
        <v>375.61666666666702</v>
      </c>
      <c r="F1407" s="116">
        <v>1094.5999999999999</v>
      </c>
      <c r="G1407">
        <v>4007</v>
      </c>
      <c r="H1407" s="116"/>
      <c r="I1407" s="116"/>
      <c r="L1407" s="169">
        <v>44565</v>
      </c>
      <c r="M1407" s="116">
        <v>364.53333333333302</v>
      </c>
      <c r="N1407" s="116">
        <v>373</v>
      </c>
      <c r="O1407" s="116">
        <v>363.03333333333302</v>
      </c>
      <c r="P1407" s="116">
        <v>373</v>
      </c>
      <c r="Q1407" s="116">
        <v>1093.5999999999999</v>
      </c>
      <c r="R1407">
        <v>97675</v>
      </c>
    </row>
    <row r="1408" spans="1:18" x14ac:dyDescent="0.25">
      <c r="A1408" s="169">
        <v>44566</v>
      </c>
      <c r="B1408" s="116">
        <v>368.91666666666703</v>
      </c>
      <c r="C1408" s="116">
        <v>361.48333333333301</v>
      </c>
      <c r="D1408" s="116">
        <v>357</v>
      </c>
      <c r="E1408" s="116">
        <v>365.98333333333301</v>
      </c>
      <c r="F1408" s="116">
        <v>1084.45</v>
      </c>
      <c r="G1408">
        <v>9841</v>
      </c>
      <c r="H1408" s="116"/>
      <c r="I1408" s="116"/>
      <c r="L1408" s="169">
        <v>44566</v>
      </c>
      <c r="M1408" s="116">
        <v>361.53333333333302</v>
      </c>
      <c r="N1408" s="116">
        <v>369.33333333333297</v>
      </c>
      <c r="O1408" s="116">
        <v>356.66666666666703</v>
      </c>
      <c r="P1408" s="116">
        <v>367.33333333333297</v>
      </c>
      <c r="Q1408" s="116">
        <v>1084.5999999999999</v>
      </c>
      <c r="R1408">
        <v>125775</v>
      </c>
    </row>
    <row r="1409" spans="1:18" x14ac:dyDescent="0.25">
      <c r="A1409" s="169">
        <v>44567</v>
      </c>
      <c r="B1409" s="116">
        <v>368.7</v>
      </c>
      <c r="C1409" s="116">
        <v>361.9</v>
      </c>
      <c r="D1409" s="116">
        <v>355.01666666666699</v>
      </c>
      <c r="E1409" s="116">
        <v>355.01666666666699</v>
      </c>
      <c r="F1409" s="116">
        <v>1085.7</v>
      </c>
      <c r="G1409">
        <v>8318</v>
      </c>
      <c r="H1409" s="116"/>
      <c r="I1409" s="116"/>
      <c r="L1409" s="169">
        <v>44567</v>
      </c>
      <c r="M1409" s="116">
        <v>362.183333333333</v>
      </c>
      <c r="N1409" s="116">
        <v>369.33333333333297</v>
      </c>
      <c r="O1409" s="116">
        <v>356.26666666666699</v>
      </c>
      <c r="P1409" s="116">
        <v>360</v>
      </c>
      <c r="Q1409" s="116">
        <v>1086.55</v>
      </c>
      <c r="R1409">
        <v>98107</v>
      </c>
    </row>
    <row r="1410" spans="1:18" x14ac:dyDescent="0.25">
      <c r="A1410" s="169">
        <v>44568</v>
      </c>
      <c r="B1410" s="116">
        <v>362.95</v>
      </c>
      <c r="C1410" s="116">
        <v>359.3</v>
      </c>
      <c r="D1410" s="116">
        <v>357.9</v>
      </c>
      <c r="E1410" s="116">
        <v>361.9</v>
      </c>
      <c r="F1410" s="116">
        <v>1077.9000000000001</v>
      </c>
      <c r="G1410">
        <v>2395</v>
      </c>
      <c r="H1410" s="116"/>
      <c r="I1410" s="116"/>
      <c r="L1410" s="169">
        <v>44568</v>
      </c>
      <c r="M1410" s="116">
        <v>359.65</v>
      </c>
      <c r="N1410" s="116">
        <v>363.71666666666698</v>
      </c>
      <c r="O1410" s="116">
        <v>357.66666666666703</v>
      </c>
      <c r="P1410" s="116">
        <v>362.183333333333</v>
      </c>
      <c r="Q1410" s="116">
        <v>1078.95</v>
      </c>
      <c r="R1410">
        <v>51549</v>
      </c>
    </row>
    <row r="1411" spans="1:18" x14ac:dyDescent="0.25">
      <c r="A1411" s="169">
        <v>44571</v>
      </c>
      <c r="B1411" s="116">
        <v>366.33333333333297</v>
      </c>
      <c r="C1411" s="116">
        <v>358.96666666666698</v>
      </c>
      <c r="D1411" s="116">
        <v>357.65</v>
      </c>
      <c r="E1411" s="116">
        <v>360</v>
      </c>
      <c r="F1411" s="116">
        <v>1076.9000000000001</v>
      </c>
      <c r="G1411">
        <v>3422</v>
      </c>
      <c r="H1411" s="116"/>
      <c r="I1411" s="116"/>
      <c r="L1411" s="169">
        <v>44571</v>
      </c>
      <c r="M1411" s="116">
        <v>358.9</v>
      </c>
      <c r="N1411" s="116">
        <v>366.96666666666698</v>
      </c>
      <c r="O1411" s="116">
        <v>357.66666666666703</v>
      </c>
      <c r="P1411" s="116">
        <v>362</v>
      </c>
      <c r="Q1411" s="116">
        <v>1076.7</v>
      </c>
      <c r="R1411">
        <v>49196</v>
      </c>
    </row>
    <row r="1412" spans="1:18" x14ac:dyDescent="0.25">
      <c r="A1412" s="169">
        <v>44572</v>
      </c>
      <c r="B1412" s="116">
        <v>363.16666666666703</v>
      </c>
      <c r="C1412" s="116">
        <v>353.58333333333297</v>
      </c>
      <c r="D1412" s="116">
        <v>351.83333333333297</v>
      </c>
      <c r="E1412" s="116">
        <v>362.66666666666703</v>
      </c>
      <c r="F1412" s="116">
        <v>1060.75</v>
      </c>
      <c r="G1412">
        <v>6419</v>
      </c>
      <c r="H1412" s="116"/>
      <c r="I1412" s="116"/>
      <c r="L1412" s="169">
        <v>44572</v>
      </c>
      <c r="M1412" s="116">
        <v>353.05</v>
      </c>
      <c r="N1412" s="116">
        <v>363.3</v>
      </c>
      <c r="O1412" s="116">
        <v>351.683333333333</v>
      </c>
      <c r="P1412" s="116">
        <v>360.66666666666703</v>
      </c>
      <c r="Q1412" s="116">
        <v>1059.1500000000001</v>
      </c>
      <c r="R1412">
        <v>62471</v>
      </c>
    </row>
    <row r="1413" spans="1:18" x14ac:dyDescent="0.25">
      <c r="A1413" s="169">
        <v>44573</v>
      </c>
      <c r="B1413" s="116">
        <v>356.23333333333301</v>
      </c>
      <c r="C1413" s="116">
        <v>350.48333333333301</v>
      </c>
      <c r="D1413" s="116">
        <v>349.8</v>
      </c>
      <c r="E1413" s="116">
        <v>353.33333333333297</v>
      </c>
      <c r="F1413" s="116">
        <v>1051.45</v>
      </c>
      <c r="G1413">
        <v>6533</v>
      </c>
      <c r="H1413" s="116"/>
      <c r="I1413" s="116"/>
      <c r="L1413" s="169">
        <v>44573</v>
      </c>
      <c r="M1413" s="116">
        <v>350.51666666666699</v>
      </c>
      <c r="N1413" s="116">
        <v>356</v>
      </c>
      <c r="O1413" s="116">
        <v>349.933333333333</v>
      </c>
      <c r="P1413" s="116">
        <v>353.66666666666703</v>
      </c>
      <c r="Q1413" s="116">
        <v>1051.55</v>
      </c>
      <c r="R1413">
        <v>43664</v>
      </c>
    </row>
    <row r="1414" spans="1:18" x14ac:dyDescent="0.25">
      <c r="A1414" s="169">
        <v>44574</v>
      </c>
      <c r="B1414" s="116">
        <v>353.33333333333297</v>
      </c>
      <c r="C1414" s="116">
        <v>348.45</v>
      </c>
      <c r="D1414" s="116">
        <v>347.7</v>
      </c>
      <c r="E1414" s="116">
        <v>353.33333333333297</v>
      </c>
      <c r="F1414" s="116">
        <v>1045.3499999999999</v>
      </c>
      <c r="G1414">
        <v>4035</v>
      </c>
      <c r="H1414" s="116"/>
      <c r="I1414" s="116"/>
      <c r="L1414" s="169">
        <v>44574</v>
      </c>
      <c r="M1414" s="116">
        <v>348.08333333333297</v>
      </c>
      <c r="N1414" s="116">
        <v>353.33333333333297</v>
      </c>
      <c r="O1414" s="116">
        <v>347.58333333333297</v>
      </c>
      <c r="P1414" s="116">
        <v>350.66666666666703</v>
      </c>
      <c r="Q1414" s="116">
        <v>1044.25</v>
      </c>
      <c r="R1414">
        <v>80412</v>
      </c>
    </row>
    <row r="1415" spans="1:18" x14ac:dyDescent="0.25">
      <c r="A1415" s="169">
        <v>44575</v>
      </c>
      <c r="B1415" s="116">
        <v>352.16666666666703</v>
      </c>
      <c r="C1415" s="116">
        <v>343.91666666666703</v>
      </c>
      <c r="D1415" s="116">
        <v>343.03333333333302</v>
      </c>
      <c r="E1415" s="116">
        <v>352.16666666666703</v>
      </c>
      <c r="F1415" s="116">
        <v>1031.75</v>
      </c>
      <c r="G1415">
        <v>8180</v>
      </c>
      <c r="H1415" s="116"/>
      <c r="I1415" s="116"/>
      <c r="L1415" s="169">
        <v>44575</v>
      </c>
      <c r="M1415" s="116">
        <v>343.96666666666698</v>
      </c>
      <c r="N1415" s="116">
        <v>350.066666666667</v>
      </c>
      <c r="O1415" s="116">
        <v>343</v>
      </c>
      <c r="P1415" s="116">
        <v>347.21666666666698</v>
      </c>
      <c r="Q1415" s="116">
        <v>1031.9000000000001</v>
      </c>
      <c r="R1415">
        <v>98791</v>
      </c>
    </row>
    <row r="1416" spans="1:18" x14ac:dyDescent="0.25">
      <c r="A1416" s="169">
        <v>44578</v>
      </c>
      <c r="B1416" s="116">
        <v>345.91666666666703</v>
      </c>
      <c r="C1416" s="116">
        <v>340.98333333333301</v>
      </c>
      <c r="D1416" s="116">
        <v>339.11666666666702</v>
      </c>
      <c r="E1416" s="116">
        <v>345.3</v>
      </c>
      <c r="F1416" s="116">
        <v>1022.95</v>
      </c>
      <c r="G1416">
        <v>2103</v>
      </c>
      <c r="H1416" s="116"/>
      <c r="I1416" s="116"/>
      <c r="L1416" s="169">
        <v>44578</v>
      </c>
      <c r="M1416" s="116">
        <v>340.91666666666703</v>
      </c>
      <c r="N1416" s="116">
        <v>347.98333333333301</v>
      </c>
      <c r="O1416" s="116">
        <v>339.08333333333297</v>
      </c>
      <c r="P1416" s="116">
        <v>345</v>
      </c>
      <c r="Q1416" s="116">
        <v>1022.75</v>
      </c>
      <c r="R1416">
        <v>53265</v>
      </c>
    </row>
    <row r="1417" spans="1:18" x14ac:dyDescent="0.25">
      <c r="A1417" s="169">
        <v>44579</v>
      </c>
      <c r="B1417" s="116">
        <v>342.48333333333301</v>
      </c>
      <c r="C1417" s="116">
        <v>334.13333333333298</v>
      </c>
      <c r="D1417" s="116">
        <v>333.38333333333298</v>
      </c>
      <c r="E1417" s="116">
        <v>340.15</v>
      </c>
      <c r="F1417" s="116">
        <v>1002.4</v>
      </c>
      <c r="G1417">
        <v>8590</v>
      </c>
      <c r="H1417" s="116"/>
      <c r="I1417" s="116"/>
      <c r="L1417" s="169">
        <v>44579</v>
      </c>
      <c r="M1417" s="116">
        <v>334.2</v>
      </c>
      <c r="N1417" s="116">
        <v>342.33333333333297</v>
      </c>
      <c r="O1417" s="116">
        <v>333.33333333333297</v>
      </c>
      <c r="P1417" s="116">
        <v>342</v>
      </c>
      <c r="Q1417" s="116">
        <v>1002.6</v>
      </c>
      <c r="R1417">
        <v>46454</v>
      </c>
    </row>
    <row r="1418" spans="1:18" x14ac:dyDescent="0.25">
      <c r="A1418" s="169">
        <v>44580</v>
      </c>
      <c r="B1418" s="116">
        <v>339.01666666666699</v>
      </c>
      <c r="C1418" s="116">
        <v>337.55</v>
      </c>
      <c r="D1418" s="116">
        <v>329.7</v>
      </c>
      <c r="E1418" s="116">
        <v>333.33333333333297</v>
      </c>
      <c r="F1418" s="116">
        <v>1012.65</v>
      </c>
      <c r="G1418">
        <v>4781</v>
      </c>
      <c r="H1418" s="116"/>
      <c r="I1418" s="116"/>
      <c r="L1418" s="169">
        <v>44580</v>
      </c>
      <c r="M1418" s="116">
        <v>337.566666666667</v>
      </c>
      <c r="N1418" s="116">
        <v>338.66666666666703</v>
      </c>
      <c r="O1418" s="116">
        <v>328.91666666666703</v>
      </c>
      <c r="P1418" s="116">
        <v>335.2</v>
      </c>
      <c r="Q1418" s="116">
        <v>1012.7</v>
      </c>
      <c r="R1418">
        <v>53045</v>
      </c>
    </row>
    <row r="1419" spans="1:18" x14ac:dyDescent="0.25">
      <c r="A1419" s="169">
        <v>44581</v>
      </c>
      <c r="B1419" s="116">
        <v>339.26666666666699</v>
      </c>
      <c r="C1419" s="116">
        <v>332.85</v>
      </c>
      <c r="D1419" s="116">
        <v>331.51666666666699</v>
      </c>
      <c r="E1419" s="116">
        <v>339.26666666666699</v>
      </c>
      <c r="F1419" s="116">
        <v>998.55</v>
      </c>
      <c r="G1419">
        <v>2956</v>
      </c>
      <c r="H1419" s="116"/>
      <c r="I1419" s="116"/>
      <c r="L1419" s="169">
        <v>44581</v>
      </c>
      <c r="M1419" s="116">
        <v>332.65</v>
      </c>
      <c r="N1419" s="116">
        <v>340</v>
      </c>
      <c r="O1419" s="116">
        <v>331.33333333333297</v>
      </c>
      <c r="P1419" s="116">
        <v>339.26666666666699</v>
      </c>
      <c r="Q1419" s="116">
        <v>997.95</v>
      </c>
      <c r="R1419">
        <v>46363</v>
      </c>
    </row>
    <row r="1420" spans="1:18" x14ac:dyDescent="0.25">
      <c r="A1420" s="169">
        <v>44582</v>
      </c>
      <c r="B1420" s="116">
        <v>331.25</v>
      </c>
      <c r="C1420" s="116">
        <v>321.11666666666702</v>
      </c>
      <c r="D1420" s="116">
        <v>318.41666666666703</v>
      </c>
      <c r="E1420" s="116">
        <v>327</v>
      </c>
      <c r="F1420" s="116">
        <v>963.35</v>
      </c>
      <c r="G1420">
        <v>20624</v>
      </c>
      <c r="H1420" s="116"/>
      <c r="I1420" s="116"/>
      <c r="L1420" s="169">
        <v>44582</v>
      </c>
      <c r="M1420" s="116">
        <v>321.26666666666699</v>
      </c>
      <c r="N1420" s="116">
        <v>331.63333333333298</v>
      </c>
      <c r="O1420" s="116">
        <v>318.33333333333297</v>
      </c>
      <c r="P1420" s="116">
        <v>329.33333333333297</v>
      </c>
      <c r="Q1420" s="116">
        <v>963.8</v>
      </c>
      <c r="R1420">
        <v>102600</v>
      </c>
    </row>
    <row r="1421" spans="1:18" x14ac:dyDescent="0.25">
      <c r="A1421" s="169">
        <v>44585</v>
      </c>
      <c r="B1421" s="116">
        <v>326.14999999999998</v>
      </c>
      <c r="C1421" s="116">
        <v>313.03333333333302</v>
      </c>
      <c r="D1421" s="116">
        <v>296.66666666666703</v>
      </c>
      <c r="E1421" s="116">
        <v>321.66666666666703</v>
      </c>
      <c r="F1421" s="116">
        <v>939.1</v>
      </c>
      <c r="G1421">
        <v>8693</v>
      </c>
      <c r="H1421" s="116"/>
      <c r="I1421" s="116"/>
      <c r="L1421" s="169">
        <v>44585</v>
      </c>
      <c r="M1421" s="116">
        <v>309.683333333333</v>
      </c>
      <c r="N1421" s="116">
        <v>326.66666666666703</v>
      </c>
      <c r="O1421" s="116">
        <v>296.35000000000002</v>
      </c>
      <c r="P1421" s="116">
        <v>320</v>
      </c>
      <c r="Q1421" s="116">
        <v>929.05</v>
      </c>
      <c r="R1421">
        <v>134713</v>
      </c>
    </row>
    <row r="1422" spans="1:18" x14ac:dyDescent="0.25">
      <c r="A1422" s="169">
        <v>44586</v>
      </c>
      <c r="B1422" s="116">
        <v>306.66666666666703</v>
      </c>
      <c r="C1422" s="116">
        <v>302.36666666666702</v>
      </c>
      <c r="D1422" s="116">
        <v>299.28333333333302</v>
      </c>
      <c r="E1422" s="116">
        <v>306.66666666666703</v>
      </c>
      <c r="F1422" s="116">
        <v>907.1</v>
      </c>
      <c r="G1422">
        <v>21681</v>
      </c>
      <c r="H1422" s="116"/>
      <c r="I1422" s="116"/>
      <c r="L1422" s="169">
        <v>44586</v>
      </c>
      <c r="M1422" s="116">
        <v>302.38333333333298</v>
      </c>
      <c r="N1422" s="116">
        <v>309.683333333333</v>
      </c>
      <c r="O1422" s="116">
        <v>298.53333333333302</v>
      </c>
      <c r="P1422" s="116">
        <v>309.683333333333</v>
      </c>
      <c r="Q1422" s="116">
        <v>907.15</v>
      </c>
      <c r="R1422">
        <v>97289</v>
      </c>
    </row>
    <row r="1423" spans="1:18" x14ac:dyDescent="0.25">
      <c r="A1423" s="169">
        <v>44588</v>
      </c>
      <c r="B1423" s="116">
        <v>361.65</v>
      </c>
      <c r="C1423" s="116">
        <v>353.15</v>
      </c>
      <c r="D1423" s="116">
        <v>303.53333333333302</v>
      </c>
      <c r="E1423" s="116">
        <v>311.14999999999998</v>
      </c>
      <c r="F1423" s="116">
        <v>1059.45</v>
      </c>
      <c r="G1423">
        <v>56767</v>
      </c>
      <c r="H1423" s="116"/>
      <c r="I1423" s="116"/>
      <c r="L1423" s="169">
        <v>44588</v>
      </c>
      <c r="M1423" s="116">
        <v>352.35</v>
      </c>
      <c r="N1423" s="116">
        <v>362.33333333333297</v>
      </c>
      <c r="O1423" s="116">
        <v>302.96666666666698</v>
      </c>
      <c r="P1423" s="116">
        <v>305.2</v>
      </c>
      <c r="Q1423" s="116">
        <v>1057.05</v>
      </c>
      <c r="R1423">
        <v>1375294</v>
      </c>
    </row>
    <row r="1424" spans="1:18" x14ac:dyDescent="0.25">
      <c r="A1424" s="169">
        <v>44589</v>
      </c>
      <c r="B1424" s="116">
        <v>353.15</v>
      </c>
      <c r="C1424" s="116">
        <v>337.36666666666702</v>
      </c>
      <c r="D1424" s="116">
        <v>334.683333333333</v>
      </c>
      <c r="E1424" s="116">
        <v>353.15</v>
      </c>
      <c r="F1424" s="116">
        <v>1012.1</v>
      </c>
      <c r="G1424">
        <v>23517</v>
      </c>
      <c r="H1424" s="116"/>
      <c r="I1424" s="116"/>
      <c r="L1424" s="169">
        <v>44589</v>
      </c>
      <c r="M1424" s="116">
        <v>338.05</v>
      </c>
      <c r="N1424" s="116">
        <v>351.33333333333297</v>
      </c>
      <c r="O1424" s="116">
        <v>335</v>
      </c>
      <c r="P1424" s="116">
        <v>348.83333333333297</v>
      </c>
      <c r="Q1424" s="116">
        <v>1014.15</v>
      </c>
      <c r="R1424">
        <v>169838</v>
      </c>
    </row>
    <row r="1425" spans="1:18" x14ac:dyDescent="0.25">
      <c r="A1425" s="169">
        <v>44592</v>
      </c>
      <c r="B1425" s="116">
        <v>341.66666666666703</v>
      </c>
      <c r="C1425" s="116">
        <v>323.63333333333298</v>
      </c>
      <c r="D1425" s="116">
        <v>321.66666666666703</v>
      </c>
      <c r="E1425" s="116">
        <v>341.65</v>
      </c>
      <c r="F1425" s="116">
        <v>970.9</v>
      </c>
      <c r="G1425">
        <v>14409</v>
      </c>
      <c r="H1425" s="116"/>
      <c r="I1425" s="116"/>
      <c r="L1425" s="169">
        <v>44592</v>
      </c>
      <c r="M1425" s="116">
        <v>323.78333333333302</v>
      </c>
      <c r="N1425" s="116">
        <v>338.3</v>
      </c>
      <c r="O1425" s="116">
        <v>321.33333333333297</v>
      </c>
      <c r="P1425" s="116">
        <v>336.66666666666703</v>
      </c>
      <c r="Q1425" s="116">
        <v>971.35</v>
      </c>
      <c r="R1425">
        <v>137149</v>
      </c>
    </row>
    <row r="1426" spans="1:18" x14ac:dyDescent="0.25">
      <c r="A1426" s="169">
        <v>44593</v>
      </c>
      <c r="B1426" s="116">
        <v>329.11666666666702</v>
      </c>
      <c r="C1426" s="116">
        <v>322.316666666667</v>
      </c>
      <c r="D1426" s="116">
        <v>320.41666666666703</v>
      </c>
      <c r="E1426" s="116">
        <v>326.58333333333297</v>
      </c>
      <c r="F1426" s="116">
        <v>966.95</v>
      </c>
      <c r="G1426">
        <v>5635</v>
      </c>
      <c r="H1426" s="116"/>
      <c r="I1426" s="116"/>
      <c r="L1426" s="169">
        <v>44593</v>
      </c>
      <c r="M1426" s="116">
        <v>321.91666666666703</v>
      </c>
      <c r="N1426" s="116">
        <v>329.33333333333297</v>
      </c>
      <c r="O1426" s="116">
        <v>320.11666666666702</v>
      </c>
      <c r="P1426" s="116">
        <v>328.33333333333297</v>
      </c>
      <c r="Q1426" s="116">
        <v>965.75</v>
      </c>
      <c r="R1426">
        <v>62398</v>
      </c>
    </row>
    <row r="1427" spans="1:18" x14ac:dyDescent="0.25">
      <c r="A1427" s="169">
        <v>44594</v>
      </c>
      <c r="B1427" s="116">
        <v>328.38333333333298</v>
      </c>
      <c r="C1427" s="116">
        <v>324.14999999999998</v>
      </c>
      <c r="D1427" s="116">
        <v>320.33333333333297</v>
      </c>
      <c r="E1427" s="116">
        <v>320.33333333333297</v>
      </c>
      <c r="F1427" s="116">
        <v>972.45</v>
      </c>
      <c r="G1427">
        <v>11659</v>
      </c>
      <c r="H1427" s="116"/>
      <c r="I1427" s="116"/>
      <c r="L1427" s="169">
        <v>44594</v>
      </c>
      <c r="M1427" s="116">
        <v>324.66666666666703</v>
      </c>
      <c r="N1427" s="116">
        <v>328.3</v>
      </c>
      <c r="O1427" s="116">
        <v>321.933333333333</v>
      </c>
      <c r="P1427" s="116">
        <v>321.98333333333301</v>
      </c>
      <c r="Q1427" s="116">
        <v>974</v>
      </c>
      <c r="R1427">
        <v>51432</v>
      </c>
    </row>
    <row r="1428" spans="1:18" x14ac:dyDescent="0.25">
      <c r="A1428" s="169">
        <v>44595</v>
      </c>
      <c r="B1428" s="116">
        <v>325.16666666666703</v>
      </c>
      <c r="C1428" s="116">
        <v>321.46666666666698</v>
      </c>
      <c r="D1428" s="116">
        <v>320.05</v>
      </c>
      <c r="E1428" s="116">
        <v>324.26666666666699</v>
      </c>
      <c r="F1428" s="116">
        <v>964.4</v>
      </c>
      <c r="G1428">
        <v>2625</v>
      </c>
      <c r="H1428" s="116"/>
      <c r="I1428" s="116"/>
      <c r="L1428" s="169">
        <v>44595</v>
      </c>
      <c r="M1428" s="116">
        <v>321.21666666666698</v>
      </c>
      <c r="N1428" s="116">
        <v>325</v>
      </c>
      <c r="O1428" s="116">
        <v>320</v>
      </c>
      <c r="P1428" s="116">
        <v>325</v>
      </c>
      <c r="Q1428" s="116">
        <v>963.65</v>
      </c>
      <c r="R1428">
        <v>30123</v>
      </c>
    </row>
    <row r="1429" spans="1:18" x14ac:dyDescent="0.25">
      <c r="A1429" s="169">
        <v>44596</v>
      </c>
      <c r="B1429" s="116">
        <v>325.66666666666703</v>
      </c>
      <c r="C1429" s="116">
        <v>323.16666666666703</v>
      </c>
      <c r="D1429" s="116">
        <v>320.01666666666699</v>
      </c>
      <c r="E1429" s="116">
        <v>321.46666666666698</v>
      </c>
      <c r="F1429" s="116">
        <v>969.5</v>
      </c>
      <c r="G1429">
        <v>3552</v>
      </c>
      <c r="H1429" s="116"/>
      <c r="I1429" s="116"/>
      <c r="L1429" s="169">
        <v>44596</v>
      </c>
      <c r="M1429" s="116">
        <v>323.16666666666703</v>
      </c>
      <c r="N1429" s="116">
        <v>325.95</v>
      </c>
      <c r="O1429" s="116">
        <v>320.183333333333</v>
      </c>
      <c r="P1429" s="116">
        <v>322.8</v>
      </c>
      <c r="Q1429" s="116">
        <v>969.5</v>
      </c>
      <c r="R1429">
        <v>29578</v>
      </c>
    </row>
    <row r="1430" spans="1:18" x14ac:dyDescent="0.25">
      <c r="A1430" s="169">
        <v>44599</v>
      </c>
      <c r="B1430" s="116">
        <v>335.63333333333298</v>
      </c>
      <c r="C1430" s="116">
        <v>327.35000000000002</v>
      </c>
      <c r="D1430" s="116">
        <v>318.51666666666699</v>
      </c>
      <c r="E1430" s="116">
        <v>325</v>
      </c>
      <c r="F1430" s="116">
        <v>982.05</v>
      </c>
      <c r="G1430">
        <v>10233</v>
      </c>
      <c r="H1430" s="116"/>
      <c r="I1430" s="116"/>
      <c r="L1430" s="169">
        <v>44599</v>
      </c>
      <c r="M1430" s="116">
        <v>327.21666666666698</v>
      </c>
      <c r="N1430" s="116">
        <v>336</v>
      </c>
      <c r="O1430" s="116">
        <v>318.38333333333298</v>
      </c>
      <c r="P1430" s="116">
        <v>324.5</v>
      </c>
      <c r="Q1430" s="116">
        <v>981.65</v>
      </c>
      <c r="R1430">
        <v>78324</v>
      </c>
    </row>
    <row r="1431" spans="1:18" x14ac:dyDescent="0.25">
      <c r="A1431" s="169">
        <v>44600</v>
      </c>
      <c r="B1431" s="116">
        <v>333</v>
      </c>
      <c r="C1431" s="116">
        <v>323.933333333333</v>
      </c>
      <c r="D1431" s="116">
        <v>323.08333333333297</v>
      </c>
      <c r="E1431" s="116">
        <v>333</v>
      </c>
      <c r="F1431" s="116">
        <v>971.8</v>
      </c>
      <c r="G1431">
        <v>2848</v>
      </c>
      <c r="H1431" s="116"/>
      <c r="I1431" s="116"/>
      <c r="L1431" s="169">
        <v>44600</v>
      </c>
      <c r="M1431" s="116">
        <v>324.26666666666699</v>
      </c>
      <c r="N1431" s="116">
        <v>330.9</v>
      </c>
      <c r="O1431" s="116">
        <v>322.7</v>
      </c>
      <c r="P1431" s="116">
        <v>328.3</v>
      </c>
      <c r="Q1431" s="116">
        <v>972.8</v>
      </c>
      <c r="R1431">
        <v>18502</v>
      </c>
    </row>
    <row r="1432" spans="1:18" x14ac:dyDescent="0.25">
      <c r="A1432" s="169">
        <v>44601</v>
      </c>
      <c r="B1432" s="116">
        <v>328.48333333333301</v>
      </c>
      <c r="C1432" s="116">
        <v>324.55</v>
      </c>
      <c r="D1432" s="116">
        <v>322.78333333333302</v>
      </c>
      <c r="E1432" s="116">
        <v>325</v>
      </c>
      <c r="F1432" s="116">
        <v>973.65</v>
      </c>
      <c r="G1432">
        <v>1171</v>
      </c>
      <c r="H1432" s="116"/>
      <c r="I1432" s="116"/>
      <c r="L1432" s="169">
        <v>44601</v>
      </c>
      <c r="M1432" s="116">
        <v>324.566666666667</v>
      </c>
      <c r="N1432" s="116">
        <v>328.25</v>
      </c>
      <c r="O1432" s="116">
        <v>322.41666666666703</v>
      </c>
      <c r="P1432" s="116">
        <v>326.16666666666703</v>
      </c>
      <c r="Q1432" s="116">
        <v>973.7</v>
      </c>
      <c r="R1432">
        <v>17013</v>
      </c>
    </row>
    <row r="1433" spans="1:18" x14ac:dyDescent="0.25">
      <c r="A1433" s="169">
        <v>44602</v>
      </c>
      <c r="B1433" s="116">
        <v>327.75</v>
      </c>
      <c r="C1433" s="116">
        <v>317.83333333333297</v>
      </c>
      <c r="D1433" s="116">
        <v>312.23333333333301</v>
      </c>
      <c r="E1433" s="116">
        <v>323.55</v>
      </c>
      <c r="F1433" s="116">
        <v>953.5</v>
      </c>
      <c r="G1433">
        <v>15984</v>
      </c>
      <c r="H1433" s="116"/>
      <c r="I1433" s="116"/>
      <c r="L1433" s="169">
        <v>44602</v>
      </c>
      <c r="M1433" s="116">
        <v>316.35000000000002</v>
      </c>
      <c r="N1433" s="116">
        <v>328</v>
      </c>
      <c r="O1433" s="116">
        <v>312</v>
      </c>
      <c r="P1433" s="116">
        <v>324.66666666666703</v>
      </c>
      <c r="Q1433" s="116">
        <v>949.05</v>
      </c>
      <c r="R1433">
        <v>61310</v>
      </c>
    </row>
    <row r="1434" spans="1:18" x14ac:dyDescent="0.25">
      <c r="A1434" s="169">
        <v>44603</v>
      </c>
      <c r="B1434" s="116">
        <v>320.98333333333301</v>
      </c>
      <c r="C1434" s="116">
        <v>315.14999999999998</v>
      </c>
      <c r="D1434" s="116">
        <v>311.66666666666703</v>
      </c>
      <c r="E1434" s="116">
        <v>315.61666666666702</v>
      </c>
      <c r="F1434" s="116">
        <v>945.45</v>
      </c>
      <c r="G1434">
        <v>13101</v>
      </c>
      <c r="H1434" s="116"/>
      <c r="I1434" s="116"/>
      <c r="L1434" s="169">
        <v>44603</v>
      </c>
      <c r="M1434" s="116">
        <v>315.28333333333302</v>
      </c>
      <c r="N1434" s="116">
        <v>320.83333333333297</v>
      </c>
      <c r="O1434" s="116">
        <v>310.51666666666699</v>
      </c>
      <c r="P1434" s="116">
        <v>313.33333333333297</v>
      </c>
      <c r="Q1434" s="116">
        <v>945.85</v>
      </c>
      <c r="R1434">
        <v>41305</v>
      </c>
    </row>
    <row r="1435" spans="1:18" x14ac:dyDescent="0.25">
      <c r="A1435" s="169">
        <v>44606</v>
      </c>
      <c r="B1435" s="116">
        <v>313.316666666667</v>
      </c>
      <c r="C1435" s="116">
        <v>287.11666666666702</v>
      </c>
      <c r="D1435" s="116">
        <v>283</v>
      </c>
      <c r="E1435" s="116">
        <v>313.316666666667</v>
      </c>
      <c r="F1435" s="116">
        <v>861.35</v>
      </c>
      <c r="G1435">
        <v>10192</v>
      </c>
      <c r="H1435" s="116"/>
      <c r="I1435" s="116"/>
      <c r="L1435" s="169">
        <v>44606</v>
      </c>
      <c r="M1435" s="116">
        <v>286.38333333333298</v>
      </c>
      <c r="N1435" s="116">
        <v>303.60000000000002</v>
      </c>
      <c r="O1435" s="116">
        <v>281.95</v>
      </c>
      <c r="P1435" s="116">
        <v>299</v>
      </c>
      <c r="Q1435" s="116">
        <v>859.15</v>
      </c>
      <c r="R1435">
        <v>140306</v>
      </c>
    </row>
    <row r="1436" spans="1:18" x14ac:dyDescent="0.25">
      <c r="A1436" s="169">
        <v>44607</v>
      </c>
      <c r="B1436" s="116">
        <v>299.46666666666698</v>
      </c>
      <c r="C1436" s="116">
        <v>291.85000000000002</v>
      </c>
      <c r="D1436" s="116">
        <v>286.91666666666703</v>
      </c>
      <c r="E1436" s="116">
        <v>289.33333333333297</v>
      </c>
      <c r="F1436" s="116">
        <v>875.55</v>
      </c>
      <c r="G1436">
        <v>9345</v>
      </c>
      <c r="H1436" s="116"/>
      <c r="I1436" s="116"/>
      <c r="L1436" s="169">
        <v>44607</v>
      </c>
      <c r="M1436" s="116">
        <v>292.05</v>
      </c>
      <c r="N1436" s="116">
        <v>300</v>
      </c>
      <c r="O1436" s="116">
        <v>286.66666666666703</v>
      </c>
      <c r="P1436" s="116">
        <v>287.33333333333297</v>
      </c>
      <c r="Q1436" s="116">
        <v>876.15</v>
      </c>
      <c r="R1436">
        <v>84698</v>
      </c>
    </row>
    <row r="1437" spans="1:18" x14ac:dyDescent="0.25">
      <c r="A1437" s="169">
        <v>44608</v>
      </c>
      <c r="B1437" s="116">
        <v>300.73333333333301</v>
      </c>
      <c r="C1437" s="116">
        <v>290.95</v>
      </c>
      <c r="D1437" s="116">
        <v>289.96666666666698</v>
      </c>
      <c r="E1437" s="116">
        <v>299.8</v>
      </c>
      <c r="F1437" s="116">
        <v>872.85</v>
      </c>
      <c r="G1437">
        <v>6016</v>
      </c>
      <c r="H1437" s="116"/>
      <c r="I1437" s="116"/>
      <c r="L1437" s="169">
        <v>44608</v>
      </c>
      <c r="M1437" s="116">
        <v>290.38333333333298</v>
      </c>
      <c r="N1437" s="116">
        <v>301.05</v>
      </c>
      <c r="O1437" s="116">
        <v>289.816666666667</v>
      </c>
      <c r="P1437" s="116">
        <v>294.33333333333297</v>
      </c>
      <c r="Q1437" s="116">
        <v>871.15</v>
      </c>
      <c r="R1437">
        <v>104649</v>
      </c>
    </row>
    <row r="1438" spans="1:18" x14ac:dyDescent="0.25">
      <c r="A1438" s="169">
        <v>44609</v>
      </c>
      <c r="B1438" s="116">
        <v>297.45</v>
      </c>
      <c r="C1438" s="116">
        <v>294.01666666666699</v>
      </c>
      <c r="D1438" s="116">
        <v>291.60000000000002</v>
      </c>
      <c r="E1438" s="116">
        <v>292.85000000000002</v>
      </c>
      <c r="F1438" s="116">
        <v>882.05</v>
      </c>
      <c r="G1438">
        <v>7697</v>
      </c>
      <c r="H1438" s="116"/>
      <c r="I1438" s="116"/>
      <c r="L1438" s="169">
        <v>44609</v>
      </c>
      <c r="M1438" s="116">
        <v>294.35000000000002</v>
      </c>
      <c r="N1438" s="116">
        <v>297.33333333333297</v>
      </c>
      <c r="O1438" s="116">
        <v>291.66666666666703</v>
      </c>
      <c r="P1438" s="116">
        <v>291.85000000000002</v>
      </c>
      <c r="Q1438" s="116">
        <v>883.05</v>
      </c>
      <c r="R1438">
        <v>53093</v>
      </c>
    </row>
    <row r="1439" spans="1:18" x14ac:dyDescent="0.25">
      <c r="A1439" s="169">
        <v>44610</v>
      </c>
      <c r="B1439" s="116">
        <v>299.5</v>
      </c>
      <c r="C1439" s="116">
        <v>296.58333333333297</v>
      </c>
      <c r="D1439" s="116">
        <v>290.60000000000002</v>
      </c>
      <c r="E1439" s="116">
        <v>299.5</v>
      </c>
      <c r="F1439" s="116">
        <v>889.75</v>
      </c>
      <c r="G1439">
        <v>9764</v>
      </c>
      <c r="H1439" s="116"/>
      <c r="I1439" s="116"/>
      <c r="L1439" s="169">
        <v>44610</v>
      </c>
      <c r="M1439" s="116">
        <v>296.64999999999998</v>
      </c>
      <c r="N1439" s="116">
        <v>297.816666666667</v>
      </c>
      <c r="O1439" s="116">
        <v>289</v>
      </c>
      <c r="P1439" s="116">
        <v>289</v>
      </c>
      <c r="Q1439" s="116">
        <v>889.95</v>
      </c>
      <c r="R1439">
        <v>65290</v>
      </c>
    </row>
    <row r="1440" spans="1:18" x14ac:dyDescent="0.25">
      <c r="A1440" s="169">
        <v>44613</v>
      </c>
      <c r="B1440" s="116">
        <v>297.13333333333298</v>
      </c>
      <c r="C1440" s="116">
        <v>292.13333333333298</v>
      </c>
      <c r="D1440" s="116">
        <v>289.63333333333298</v>
      </c>
      <c r="E1440" s="116">
        <v>296.66666666666703</v>
      </c>
      <c r="F1440" s="116">
        <v>876.4</v>
      </c>
      <c r="G1440">
        <v>15745</v>
      </c>
      <c r="H1440" s="116"/>
      <c r="I1440" s="116"/>
      <c r="L1440" s="169">
        <v>44613</v>
      </c>
      <c r="M1440" s="116">
        <v>292.38333333333298</v>
      </c>
      <c r="N1440" s="116">
        <v>297.11666666666702</v>
      </c>
      <c r="O1440" s="116">
        <v>289.46666666666698</v>
      </c>
      <c r="P1440" s="116">
        <v>295.25</v>
      </c>
      <c r="Q1440" s="116">
        <v>877.15</v>
      </c>
      <c r="R1440">
        <v>73910</v>
      </c>
    </row>
    <row r="1441" spans="1:18" x14ac:dyDescent="0.25">
      <c r="A1441" s="169">
        <v>44614</v>
      </c>
      <c r="B1441" s="116">
        <v>306.88333333333298</v>
      </c>
      <c r="C1441" s="116">
        <v>292.03333333333302</v>
      </c>
      <c r="D1441" s="116">
        <v>289.98333333333301</v>
      </c>
      <c r="E1441" s="116">
        <v>289.98333333333301</v>
      </c>
      <c r="F1441" s="116">
        <v>876.1</v>
      </c>
      <c r="G1441">
        <v>143627</v>
      </c>
      <c r="H1441" s="116"/>
      <c r="I1441" s="116"/>
      <c r="L1441" s="169">
        <v>44614</v>
      </c>
      <c r="M1441" s="116">
        <v>292.316666666667</v>
      </c>
      <c r="N1441" s="116">
        <v>307.51666666666699</v>
      </c>
      <c r="O1441" s="116">
        <v>288.33333333333297</v>
      </c>
      <c r="P1441" s="116">
        <v>288.33333333333297</v>
      </c>
      <c r="Q1441" s="116">
        <v>876.95</v>
      </c>
      <c r="R1441">
        <v>211514</v>
      </c>
    </row>
    <row r="1442" spans="1:18" x14ac:dyDescent="0.25">
      <c r="A1442" s="169">
        <v>44615</v>
      </c>
      <c r="B1442" s="116">
        <v>301.25</v>
      </c>
      <c r="C1442" s="116">
        <v>291.05</v>
      </c>
      <c r="D1442" s="116">
        <v>289.433333333333</v>
      </c>
      <c r="E1442" s="116">
        <v>300.73333333333301</v>
      </c>
      <c r="F1442" s="116">
        <v>873.15</v>
      </c>
      <c r="G1442">
        <v>10012</v>
      </c>
      <c r="H1442" s="116"/>
      <c r="I1442" s="116"/>
      <c r="L1442" s="169">
        <v>44615</v>
      </c>
      <c r="M1442" s="116">
        <v>291.60000000000002</v>
      </c>
      <c r="N1442" s="116">
        <v>301.25</v>
      </c>
      <c r="O1442" s="116">
        <v>289.35000000000002</v>
      </c>
      <c r="P1442" s="116">
        <v>296</v>
      </c>
      <c r="Q1442" s="116">
        <v>874.8</v>
      </c>
      <c r="R1442">
        <v>54016</v>
      </c>
    </row>
    <row r="1443" spans="1:18" x14ac:dyDescent="0.25">
      <c r="A1443" s="169">
        <v>44616</v>
      </c>
      <c r="B1443" s="116">
        <v>301.7</v>
      </c>
      <c r="C1443" s="116">
        <v>287.98333333333301</v>
      </c>
      <c r="D1443" s="116">
        <v>284</v>
      </c>
      <c r="E1443" s="116">
        <v>288.33333333333297</v>
      </c>
      <c r="F1443" s="116">
        <v>863.95</v>
      </c>
      <c r="G1443">
        <v>12179</v>
      </c>
      <c r="H1443" s="116"/>
      <c r="I1443" s="116"/>
      <c r="L1443" s="169">
        <v>44616</v>
      </c>
      <c r="M1443" s="116">
        <v>287.33333333333297</v>
      </c>
      <c r="N1443" s="116">
        <v>302.64999999999998</v>
      </c>
      <c r="O1443" s="116">
        <v>283.33333333333297</v>
      </c>
      <c r="P1443" s="116">
        <v>286.66666666666703</v>
      </c>
      <c r="Q1443" s="116">
        <v>862</v>
      </c>
      <c r="R1443">
        <v>162612</v>
      </c>
    </row>
    <row r="1444" spans="1:18" x14ac:dyDescent="0.25">
      <c r="A1444" s="169">
        <v>44617</v>
      </c>
      <c r="B1444" s="116">
        <v>290.7</v>
      </c>
      <c r="C1444" s="116">
        <v>282.85000000000002</v>
      </c>
      <c r="D1444" s="116">
        <v>281.66666666666703</v>
      </c>
      <c r="E1444" s="116">
        <v>290.7</v>
      </c>
      <c r="F1444" s="116">
        <v>848.55</v>
      </c>
      <c r="G1444">
        <v>12434</v>
      </c>
      <c r="H1444" s="116"/>
      <c r="I1444" s="116"/>
      <c r="L1444" s="169">
        <v>44617</v>
      </c>
      <c r="M1444" s="116">
        <v>283.38333333333298</v>
      </c>
      <c r="N1444" s="116">
        <v>289.96666666666698</v>
      </c>
      <c r="O1444" s="116">
        <v>281.66666666666703</v>
      </c>
      <c r="P1444" s="116">
        <v>285.11666666666702</v>
      </c>
      <c r="Q1444" s="116">
        <v>850.15</v>
      </c>
      <c r="R1444">
        <v>148973</v>
      </c>
    </row>
    <row r="1445" spans="1:18" x14ac:dyDescent="0.25">
      <c r="A1445" s="169">
        <v>44620</v>
      </c>
      <c r="B1445" s="116">
        <v>287.46666666666698</v>
      </c>
      <c r="C1445" s="116">
        <v>285.5</v>
      </c>
      <c r="D1445" s="116">
        <v>274.60000000000002</v>
      </c>
      <c r="E1445" s="116">
        <v>282.85000000000002</v>
      </c>
      <c r="F1445" s="116">
        <v>856.5</v>
      </c>
      <c r="G1445">
        <v>2976</v>
      </c>
      <c r="H1445" s="116"/>
      <c r="I1445" s="116"/>
      <c r="L1445" s="169">
        <v>44620</v>
      </c>
      <c r="M1445" s="116">
        <v>286.03333333333302</v>
      </c>
      <c r="N1445" s="116">
        <v>287.23333333333301</v>
      </c>
      <c r="O1445" s="116">
        <v>268.66666666666703</v>
      </c>
      <c r="P1445" s="116">
        <v>268.66666666666703</v>
      </c>
      <c r="Q1445" s="116">
        <v>858.1</v>
      </c>
      <c r="R1445">
        <v>46366</v>
      </c>
    </row>
    <row r="1446" spans="1:18" x14ac:dyDescent="0.25">
      <c r="A1446" s="169">
        <v>44622</v>
      </c>
      <c r="B1446" s="116">
        <v>286</v>
      </c>
      <c r="C1446" s="116">
        <v>280.86666666666702</v>
      </c>
      <c r="D1446" s="116">
        <v>277.66666666666703</v>
      </c>
      <c r="E1446" s="116">
        <v>286</v>
      </c>
      <c r="F1446" s="116">
        <v>842.6</v>
      </c>
      <c r="G1446">
        <v>2601</v>
      </c>
      <c r="H1446" s="116"/>
      <c r="I1446" s="116"/>
      <c r="L1446" s="169">
        <v>44622</v>
      </c>
      <c r="M1446" s="116">
        <v>280.41666666666703</v>
      </c>
      <c r="N1446" s="116">
        <v>284.14999999999998</v>
      </c>
      <c r="O1446" s="116">
        <v>277.433333333333</v>
      </c>
      <c r="P1446" s="116">
        <v>281</v>
      </c>
      <c r="Q1446" s="116">
        <v>841.25</v>
      </c>
      <c r="R1446">
        <v>58993</v>
      </c>
    </row>
    <row r="1447" spans="1:18" x14ac:dyDescent="0.25">
      <c r="A1447" s="169">
        <v>44623</v>
      </c>
      <c r="B1447" s="116">
        <v>290.25</v>
      </c>
      <c r="C1447" s="116">
        <v>281.14999999999998</v>
      </c>
      <c r="D1447" s="116">
        <v>276.25</v>
      </c>
      <c r="E1447" s="116">
        <v>280.55</v>
      </c>
      <c r="F1447" s="116">
        <v>843.45</v>
      </c>
      <c r="G1447">
        <v>6017</v>
      </c>
      <c r="H1447" s="116"/>
      <c r="I1447" s="116"/>
      <c r="L1447" s="169">
        <v>44623</v>
      </c>
      <c r="M1447" s="116">
        <v>279.89999999999998</v>
      </c>
      <c r="N1447" s="116">
        <v>290.45</v>
      </c>
      <c r="O1447" s="116">
        <v>276.01666666666699</v>
      </c>
      <c r="P1447" s="116">
        <v>282</v>
      </c>
      <c r="Q1447" s="116">
        <v>839.7</v>
      </c>
      <c r="R1447">
        <v>130174</v>
      </c>
    </row>
    <row r="1448" spans="1:18" x14ac:dyDescent="0.25">
      <c r="A1448" s="169">
        <v>44624</v>
      </c>
      <c r="B1448" s="116">
        <v>282.66666666666703</v>
      </c>
      <c r="C1448" s="116">
        <v>280.5</v>
      </c>
      <c r="D1448" s="116">
        <v>273.66666666666703</v>
      </c>
      <c r="E1448" s="116">
        <v>277.41666666666703</v>
      </c>
      <c r="F1448" s="116">
        <v>841.5</v>
      </c>
      <c r="G1448">
        <v>78153</v>
      </c>
      <c r="H1448" s="116"/>
      <c r="I1448" s="116"/>
      <c r="L1448" s="169">
        <v>44624</v>
      </c>
      <c r="M1448" s="116">
        <v>280.7</v>
      </c>
      <c r="N1448" s="116">
        <v>282.66666666666703</v>
      </c>
      <c r="O1448" s="116">
        <v>273.36666666666702</v>
      </c>
      <c r="P1448" s="116">
        <v>278.38333333333298</v>
      </c>
      <c r="Q1448" s="116">
        <v>842.1</v>
      </c>
      <c r="R1448">
        <v>56686</v>
      </c>
    </row>
    <row r="1449" spans="1:18" x14ac:dyDescent="0.25">
      <c r="A1449" s="169">
        <v>44627</v>
      </c>
      <c r="B1449" s="116">
        <v>282.433333333333</v>
      </c>
      <c r="C1449" s="116">
        <v>272.16666666666703</v>
      </c>
      <c r="D1449" s="116">
        <v>267.63333333333298</v>
      </c>
      <c r="E1449" s="116">
        <v>278.53333333333302</v>
      </c>
      <c r="F1449" s="116">
        <v>816.5</v>
      </c>
      <c r="G1449">
        <v>17534</v>
      </c>
      <c r="H1449" s="116"/>
      <c r="I1449" s="116"/>
      <c r="L1449" s="169">
        <v>44627</v>
      </c>
      <c r="M1449" s="116">
        <v>273.10000000000002</v>
      </c>
      <c r="N1449" s="116">
        <v>282.98333333333301</v>
      </c>
      <c r="O1449" s="116">
        <v>268.13333333333298</v>
      </c>
      <c r="P1449" s="116">
        <v>275</v>
      </c>
      <c r="Q1449" s="116">
        <v>819.3</v>
      </c>
      <c r="R1449">
        <v>98740</v>
      </c>
    </row>
    <row r="1450" spans="1:18" x14ac:dyDescent="0.25">
      <c r="A1450" s="169">
        <v>44628</v>
      </c>
      <c r="B1450" s="116">
        <v>276.53333333333302</v>
      </c>
      <c r="C1450" s="116">
        <v>274</v>
      </c>
      <c r="D1450" s="116">
        <v>264.39999999999998</v>
      </c>
      <c r="E1450" s="116">
        <v>271.14999999999998</v>
      </c>
      <c r="F1450" s="116">
        <v>822</v>
      </c>
      <c r="G1450">
        <v>29048</v>
      </c>
      <c r="H1450" s="116"/>
      <c r="I1450" s="116"/>
      <c r="L1450" s="169">
        <v>44628</v>
      </c>
      <c r="M1450" s="116">
        <v>271.41666666666703</v>
      </c>
      <c r="N1450" s="116">
        <v>276.64999999999998</v>
      </c>
      <c r="O1450" s="116">
        <v>264.13333333333298</v>
      </c>
      <c r="P1450" s="116">
        <v>268.53333333333302</v>
      </c>
      <c r="Q1450" s="116">
        <v>814.25</v>
      </c>
      <c r="R1450">
        <v>133432</v>
      </c>
    </row>
    <row r="1451" spans="1:18" x14ac:dyDescent="0.25">
      <c r="A1451" s="169">
        <v>44629</v>
      </c>
      <c r="B1451" s="116">
        <v>278.75</v>
      </c>
      <c r="C1451" s="116">
        <v>272.41666666666703</v>
      </c>
      <c r="D1451" s="116">
        <v>270.21666666666698</v>
      </c>
      <c r="E1451" s="116">
        <v>272.08333333333297</v>
      </c>
      <c r="F1451" s="116">
        <v>817.25</v>
      </c>
      <c r="G1451">
        <v>25527</v>
      </c>
      <c r="H1451" s="116"/>
      <c r="I1451" s="116"/>
      <c r="L1451" s="169">
        <v>44629</v>
      </c>
      <c r="M1451" s="116">
        <v>273.13333333333298</v>
      </c>
      <c r="N1451" s="116">
        <v>279.28333333333302</v>
      </c>
      <c r="O1451" s="116">
        <v>270</v>
      </c>
      <c r="P1451" s="116">
        <v>272</v>
      </c>
      <c r="Q1451" s="116">
        <v>819.4</v>
      </c>
      <c r="R1451">
        <v>135425</v>
      </c>
    </row>
    <row r="1452" spans="1:18" x14ac:dyDescent="0.25">
      <c r="A1452" s="169">
        <v>44630</v>
      </c>
      <c r="B1452" s="116">
        <v>279.33333333333297</v>
      </c>
      <c r="C1452" s="116">
        <v>269.53333333333302</v>
      </c>
      <c r="D1452" s="116">
        <v>267.03333333333302</v>
      </c>
      <c r="E1452" s="116">
        <v>278.14999999999998</v>
      </c>
      <c r="F1452" s="116">
        <v>808.6</v>
      </c>
      <c r="G1452">
        <v>25760</v>
      </c>
      <c r="H1452" s="116"/>
      <c r="I1452" s="116"/>
      <c r="L1452" s="169">
        <v>44630</v>
      </c>
      <c r="M1452" s="116">
        <v>269.183333333333</v>
      </c>
      <c r="N1452" s="116">
        <v>279.8</v>
      </c>
      <c r="O1452" s="116">
        <v>267</v>
      </c>
      <c r="P1452" s="116">
        <v>279.8</v>
      </c>
      <c r="Q1452" s="116">
        <v>807.55</v>
      </c>
      <c r="R1452">
        <v>200408</v>
      </c>
    </row>
    <row r="1453" spans="1:18" x14ac:dyDescent="0.25">
      <c r="A1453" s="169">
        <v>44631</v>
      </c>
      <c r="B1453" s="116">
        <v>272.21666666666698</v>
      </c>
      <c r="C1453" s="116">
        <v>268</v>
      </c>
      <c r="D1453" s="116">
        <v>267.33333333333297</v>
      </c>
      <c r="E1453" s="116">
        <v>269.96666666666698</v>
      </c>
      <c r="F1453" s="116">
        <v>804</v>
      </c>
      <c r="G1453">
        <v>8658</v>
      </c>
      <c r="H1453" s="116"/>
      <c r="I1453" s="116"/>
      <c r="L1453" s="169">
        <v>44631</v>
      </c>
      <c r="M1453" s="116">
        <v>268.01666666666699</v>
      </c>
      <c r="N1453" s="116">
        <v>272.41666666666703</v>
      </c>
      <c r="O1453" s="116">
        <v>267.05</v>
      </c>
      <c r="P1453" s="116">
        <v>268.566666666667</v>
      </c>
      <c r="Q1453" s="116">
        <v>804.05</v>
      </c>
      <c r="R1453">
        <v>108293</v>
      </c>
    </row>
    <row r="1454" spans="1:18" x14ac:dyDescent="0.25">
      <c r="A1454" s="169">
        <v>44634</v>
      </c>
      <c r="B1454" s="116">
        <v>271.86666666666702</v>
      </c>
      <c r="C1454" s="116">
        <v>268.25</v>
      </c>
      <c r="D1454" s="116">
        <v>265.95</v>
      </c>
      <c r="E1454" s="116">
        <v>268.33333333333297</v>
      </c>
      <c r="F1454" s="116">
        <v>804.75</v>
      </c>
      <c r="G1454">
        <v>22913</v>
      </c>
      <c r="H1454" s="116"/>
      <c r="I1454" s="116"/>
      <c r="L1454" s="169">
        <v>44634</v>
      </c>
      <c r="M1454" s="116">
        <v>268.3</v>
      </c>
      <c r="N1454" s="116">
        <v>272.14999999999998</v>
      </c>
      <c r="O1454" s="116">
        <v>265.51666666666699</v>
      </c>
      <c r="P1454" s="116">
        <v>268</v>
      </c>
      <c r="Q1454" s="116">
        <v>804.9</v>
      </c>
      <c r="R1454">
        <v>119121</v>
      </c>
    </row>
    <row r="1455" spans="1:18" x14ac:dyDescent="0.25">
      <c r="A1455" s="169">
        <v>44635</v>
      </c>
      <c r="B1455" s="116">
        <v>273.33333333333297</v>
      </c>
      <c r="C1455" s="116">
        <v>264.066666666667</v>
      </c>
      <c r="D1455" s="116">
        <v>262.7</v>
      </c>
      <c r="E1455" s="116">
        <v>269.83333333333297</v>
      </c>
      <c r="F1455" s="116">
        <v>792.2</v>
      </c>
      <c r="G1455">
        <v>9745</v>
      </c>
      <c r="H1455" s="116"/>
      <c r="I1455" s="116"/>
      <c r="L1455" s="169">
        <v>44635</v>
      </c>
      <c r="M1455" s="116">
        <v>264.08333333333297</v>
      </c>
      <c r="N1455" s="116">
        <v>273.26666666666699</v>
      </c>
      <c r="O1455" s="116">
        <v>262.66666666666703</v>
      </c>
      <c r="P1455" s="116">
        <v>268.53333333333302</v>
      </c>
      <c r="Q1455" s="116">
        <v>792.25</v>
      </c>
      <c r="R1455">
        <v>93617</v>
      </c>
    </row>
    <row r="1456" spans="1:18" x14ac:dyDescent="0.25">
      <c r="A1456" s="169">
        <v>44636</v>
      </c>
      <c r="B1456" s="116">
        <v>271.23333333333301</v>
      </c>
      <c r="C1456" s="116">
        <v>263.36666666666702</v>
      </c>
      <c r="D1456" s="116">
        <v>260.41666666666703</v>
      </c>
      <c r="E1456" s="116">
        <v>268.01666666666699</v>
      </c>
      <c r="F1456" s="116">
        <v>790.1</v>
      </c>
      <c r="G1456">
        <v>13211</v>
      </c>
      <c r="H1456" s="116"/>
      <c r="I1456" s="116"/>
      <c r="L1456" s="169">
        <v>44636</v>
      </c>
      <c r="M1456" s="116">
        <v>262.26666666666699</v>
      </c>
      <c r="N1456" s="116">
        <v>271.33333333333297</v>
      </c>
      <c r="O1456" s="116">
        <v>260</v>
      </c>
      <c r="P1456" s="116">
        <v>266.66666666666703</v>
      </c>
      <c r="Q1456" s="116">
        <v>786.8</v>
      </c>
      <c r="R1456">
        <v>79337</v>
      </c>
    </row>
    <row r="1457" spans="1:18" x14ac:dyDescent="0.25">
      <c r="A1457" s="169">
        <v>44637</v>
      </c>
      <c r="B1457" s="116">
        <v>267.33333333333297</v>
      </c>
      <c r="C1457" s="116">
        <v>260</v>
      </c>
      <c r="D1457" s="116">
        <v>259.33333333333297</v>
      </c>
      <c r="E1457" s="116">
        <v>264.066666666667</v>
      </c>
      <c r="F1457" s="116">
        <v>780</v>
      </c>
      <c r="G1457">
        <v>26847</v>
      </c>
      <c r="H1457" s="116"/>
      <c r="I1457" s="116"/>
      <c r="L1457" s="169">
        <v>44637</v>
      </c>
      <c r="M1457" s="116">
        <v>260.08333333333297</v>
      </c>
      <c r="N1457" s="116">
        <v>268</v>
      </c>
      <c r="O1457" s="116">
        <v>259.2</v>
      </c>
      <c r="P1457" s="116">
        <v>268</v>
      </c>
      <c r="Q1457" s="116">
        <v>780.25</v>
      </c>
      <c r="R1457">
        <v>77695</v>
      </c>
    </row>
    <row r="1458" spans="1:18" x14ac:dyDescent="0.25">
      <c r="A1458" s="169">
        <v>44641</v>
      </c>
      <c r="B1458" s="116">
        <v>268.33333333333297</v>
      </c>
      <c r="C1458" s="116">
        <v>257.55</v>
      </c>
      <c r="D1458" s="116">
        <v>255.15</v>
      </c>
      <c r="E1458" s="116">
        <v>268.33333333333297</v>
      </c>
      <c r="F1458" s="116">
        <v>772.65</v>
      </c>
      <c r="G1458">
        <v>12220</v>
      </c>
      <c r="H1458" s="116"/>
      <c r="I1458" s="116"/>
      <c r="L1458" s="169">
        <v>44641</v>
      </c>
      <c r="M1458" s="116">
        <v>257.61666666666702</v>
      </c>
      <c r="N1458" s="116">
        <v>265.38333333333298</v>
      </c>
      <c r="O1458" s="116">
        <v>255</v>
      </c>
      <c r="P1458" s="116">
        <v>264</v>
      </c>
      <c r="Q1458" s="116">
        <v>772.85</v>
      </c>
      <c r="R1458">
        <v>89656</v>
      </c>
    </row>
    <row r="1459" spans="1:18" x14ac:dyDescent="0.25">
      <c r="A1459" s="169">
        <v>44642</v>
      </c>
      <c r="B1459" s="116">
        <v>264.816666666667</v>
      </c>
      <c r="C1459" s="116">
        <v>263.933333333333</v>
      </c>
      <c r="D1459" s="116">
        <v>258.66666666666703</v>
      </c>
      <c r="E1459" s="116">
        <v>258.66666666666703</v>
      </c>
      <c r="F1459" s="116">
        <v>791.8</v>
      </c>
      <c r="G1459">
        <v>4157</v>
      </c>
      <c r="H1459" s="116"/>
      <c r="I1459" s="116"/>
      <c r="L1459" s="169">
        <v>44642</v>
      </c>
      <c r="M1459" s="116">
        <v>263.86666666666702</v>
      </c>
      <c r="N1459" s="116">
        <v>265</v>
      </c>
      <c r="O1459" s="116">
        <v>258.3</v>
      </c>
      <c r="P1459" s="116">
        <v>258.3</v>
      </c>
      <c r="Q1459" s="116">
        <v>791.6</v>
      </c>
      <c r="R1459">
        <v>114702</v>
      </c>
    </row>
    <row r="1460" spans="1:18" x14ac:dyDescent="0.25">
      <c r="A1460" s="169">
        <v>44643</v>
      </c>
      <c r="B1460" s="116">
        <v>267.66666666666703</v>
      </c>
      <c r="C1460" s="116">
        <v>258.98333333333301</v>
      </c>
      <c r="D1460" s="116">
        <v>257.3</v>
      </c>
      <c r="E1460" s="116">
        <v>266.066666666667</v>
      </c>
      <c r="F1460" s="116">
        <v>776.95</v>
      </c>
      <c r="G1460">
        <v>22502</v>
      </c>
      <c r="H1460" s="116"/>
      <c r="I1460" s="116"/>
      <c r="L1460" s="169">
        <v>44643</v>
      </c>
      <c r="M1460" s="116">
        <v>258.96666666666698</v>
      </c>
      <c r="N1460" s="116">
        <v>267.33333333333297</v>
      </c>
      <c r="O1460" s="116">
        <v>257.33333333333297</v>
      </c>
      <c r="P1460" s="116">
        <v>266</v>
      </c>
      <c r="Q1460" s="116">
        <v>776.9</v>
      </c>
      <c r="R1460">
        <v>82385</v>
      </c>
    </row>
    <row r="1461" spans="1:18" x14ac:dyDescent="0.25">
      <c r="A1461" s="169">
        <v>44644</v>
      </c>
      <c r="B1461" s="116">
        <v>263.85000000000002</v>
      </c>
      <c r="C1461" s="116">
        <v>256.816666666667</v>
      </c>
      <c r="D1461" s="116">
        <v>256.03333333333302</v>
      </c>
      <c r="E1461" s="116">
        <v>260</v>
      </c>
      <c r="F1461" s="116">
        <v>770.45</v>
      </c>
      <c r="G1461">
        <v>9769</v>
      </c>
      <c r="H1461" s="116"/>
      <c r="I1461" s="116"/>
      <c r="L1461" s="169">
        <v>44644</v>
      </c>
      <c r="M1461" s="116">
        <v>256.88333333333298</v>
      </c>
      <c r="N1461" s="116">
        <v>263.75</v>
      </c>
      <c r="O1461" s="116">
        <v>256.16666666666703</v>
      </c>
      <c r="P1461" s="116">
        <v>257.53333333333302</v>
      </c>
      <c r="Q1461" s="116">
        <v>770.65</v>
      </c>
      <c r="R1461">
        <v>58239</v>
      </c>
    </row>
    <row r="1462" spans="1:18" x14ac:dyDescent="0.25">
      <c r="A1462" s="169">
        <v>44645</v>
      </c>
      <c r="B1462" s="116">
        <v>260.85000000000002</v>
      </c>
      <c r="C1462" s="116">
        <v>260.51666666666699</v>
      </c>
      <c r="D1462" s="116">
        <v>257.03333333333302</v>
      </c>
      <c r="E1462" s="116">
        <v>260</v>
      </c>
      <c r="F1462" s="116">
        <v>781.55</v>
      </c>
      <c r="G1462">
        <v>5154</v>
      </c>
      <c r="H1462" s="116"/>
      <c r="I1462" s="116"/>
      <c r="L1462" s="169">
        <v>44645</v>
      </c>
      <c r="M1462" s="116">
        <v>260.08333333333297</v>
      </c>
      <c r="N1462" s="116">
        <v>261.316666666667</v>
      </c>
      <c r="O1462" s="116">
        <v>257.01666666666699</v>
      </c>
      <c r="P1462" s="116">
        <v>258.16666666666703</v>
      </c>
      <c r="Q1462" s="116">
        <v>780.25</v>
      </c>
      <c r="R1462">
        <v>100450</v>
      </c>
    </row>
    <row r="1463" spans="1:18" x14ac:dyDescent="0.25">
      <c r="A1463" s="169">
        <v>44648</v>
      </c>
      <c r="B1463" s="116">
        <v>261.25</v>
      </c>
      <c r="C1463" s="116">
        <v>258.3</v>
      </c>
      <c r="D1463" s="116">
        <v>251.666666666667</v>
      </c>
      <c r="E1463" s="116">
        <v>259.683333333333</v>
      </c>
      <c r="F1463" s="116">
        <v>774.9</v>
      </c>
      <c r="G1463">
        <v>23797</v>
      </c>
      <c r="H1463" s="116"/>
      <c r="I1463" s="116"/>
      <c r="L1463" s="169">
        <v>44648</v>
      </c>
      <c r="M1463" s="116">
        <v>258.76666666666699</v>
      </c>
      <c r="N1463" s="116">
        <v>260.8</v>
      </c>
      <c r="O1463" s="116">
        <v>251.11666666666699</v>
      </c>
      <c r="P1463" s="116">
        <v>260.8</v>
      </c>
      <c r="Q1463" s="116">
        <v>776.3</v>
      </c>
      <c r="R1463">
        <v>100354</v>
      </c>
    </row>
    <row r="1464" spans="1:18" x14ac:dyDescent="0.25">
      <c r="A1464" s="169">
        <v>44649</v>
      </c>
      <c r="B1464" s="116">
        <v>265.66666666666703</v>
      </c>
      <c r="C1464" s="116">
        <v>250.95</v>
      </c>
      <c r="D1464" s="116">
        <v>249.166666666667</v>
      </c>
      <c r="E1464" s="116">
        <v>261.66666666666703</v>
      </c>
      <c r="F1464" s="116">
        <v>752.85</v>
      </c>
      <c r="G1464">
        <v>119685</v>
      </c>
      <c r="H1464" s="116"/>
      <c r="I1464" s="116"/>
      <c r="L1464" s="169">
        <v>44649</v>
      </c>
      <c r="M1464" s="116">
        <v>250.166666666667</v>
      </c>
      <c r="N1464" s="116">
        <v>266.11666666666702</v>
      </c>
      <c r="O1464" s="116">
        <v>249</v>
      </c>
      <c r="P1464" s="116">
        <v>260</v>
      </c>
      <c r="Q1464" s="116">
        <v>750.5</v>
      </c>
      <c r="R1464">
        <v>473214</v>
      </c>
    </row>
    <row r="1465" spans="1:18" x14ac:dyDescent="0.25">
      <c r="A1465" s="169">
        <v>44650</v>
      </c>
      <c r="B1465" s="116">
        <v>255</v>
      </c>
      <c r="C1465" s="116">
        <v>249.01666666666699</v>
      </c>
      <c r="D1465" s="116">
        <v>247.416666666667</v>
      </c>
      <c r="E1465" s="116">
        <v>250.166666666667</v>
      </c>
      <c r="F1465" s="116">
        <v>747.05</v>
      </c>
      <c r="G1465">
        <v>22395</v>
      </c>
      <c r="H1465" s="116"/>
      <c r="I1465" s="116"/>
      <c r="L1465" s="169">
        <v>44650</v>
      </c>
      <c r="M1465" s="116">
        <v>248.566666666667</v>
      </c>
      <c r="N1465" s="116">
        <v>255.333333333333</v>
      </c>
      <c r="O1465" s="116">
        <v>247.35</v>
      </c>
      <c r="P1465" s="116">
        <v>252</v>
      </c>
      <c r="Q1465" s="116">
        <v>745.7</v>
      </c>
      <c r="R1465">
        <v>96895</v>
      </c>
    </row>
    <row r="1466" spans="1:18" x14ac:dyDescent="0.25">
      <c r="A1466" s="169">
        <v>44651</v>
      </c>
      <c r="B1466" s="116">
        <v>265.316666666667</v>
      </c>
      <c r="C1466" s="116">
        <v>257.91666666666703</v>
      </c>
      <c r="D1466" s="116">
        <v>249</v>
      </c>
      <c r="E1466" s="116">
        <v>249.01666666666699</v>
      </c>
      <c r="F1466" s="116">
        <v>773.75</v>
      </c>
      <c r="G1466">
        <v>61148</v>
      </c>
      <c r="H1466" s="116"/>
      <c r="I1466" s="116"/>
      <c r="L1466" s="169">
        <v>44651</v>
      </c>
      <c r="M1466" s="116">
        <v>258.433333333333</v>
      </c>
      <c r="N1466" s="116">
        <v>265.64999999999998</v>
      </c>
      <c r="O1466" s="116">
        <v>249</v>
      </c>
      <c r="P1466" s="116">
        <v>249</v>
      </c>
      <c r="Q1466" s="116">
        <v>775.3</v>
      </c>
      <c r="R1466">
        <v>193574</v>
      </c>
    </row>
    <row r="1467" spans="1:18" x14ac:dyDescent="0.25">
      <c r="A1467" s="169">
        <v>44652</v>
      </c>
      <c r="B1467" s="116">
        <v>264.11666666666702</v>
      </c>
      <c r="C1467" s="116">
        <v>263.10000000000002</v>
      </c>
      <c r="D1467" s="116">
        <v>257.61666666666702</v>
      </c>
      <c r="E1467" s="116">
        <v>257.61666666666702</v>
      </c>
      <c r="F1467" s="116">
        <v>789.3</v>
      </c>
      <c r="G1467">
        <v>24476</v>
      </c>
      <c r="H1467" s="116"/>
      <c r="I1467" s="116"/>
      <c r="L1467" s="169">
        <v>44652</v>
      </c>
      <c r="M1467" s="116">
        <v>262.683333333333</v>
      </c>
      <c r="N1467" s="116">
        <v>264.10000000000002</v>
      </c>
      <c r="O1467" s="116">
        <v>257.3</v>
      </c>
      <c r="P1467" s="116">
        <v>258.64999999999998</v>
      </c>
      <c r="Q1467" s="116">
        <v>788.05</v>
      </c>
      <c r="R1467">
        <v>49904</v>
      </c>
    </row>
    <row r="1468" spans="1:18" x14ac:dyDescent="0.25">
      <c r="A1468" s="169">
        <v>44655</v>
      </c>
      <c r="B1468" s="116">
        <v>274.66666666666703</v>
      </c>
      <c r="C1468" s="116">
        <v>272.35000000000002</v>
      </c>
      <c r="D1468" s="116">
        <v>264</v>
      </c>
      <c r="E1468" s="116">
        <v>264</v>
      </c>
      <c r="F1468" s="116">
        <v>817.05</v>
      </c>
      <c r="G1468">
        <v>18270</v>
      </c>
      <c r="H1468" s="116"/>
      <c r="I1468" s="116"/>
      <c r="L1468" s="169">
        <v>44655</v>
      </c>
      <c r="M1468" s="116">
        <v>272.63333333333298</v>
      </c>
      <c r="N1468" s="116">
        <v>274.816666666667</v>
      </c>
      <c r="O1468" s="116">
        <v>265.83333333333297</v>
      </c>
      <c r="P1468" s="116">
        <v>266.316666666667</v>
      </c>
      <c r="Q1468" s="116">
        <v>817.9</v>
      </c>
      <c r="R1468">
        <v>83953</v>
      </c>
    </row>
    <row r="1469" spans="1:18" x14ac:dyDescent="0.25">
      <c r="A1469" s="169">
        <v>44656</v>
      </c>
      <c r="B1469" s="116">
        <v>285.46666666666698</v>
      </c>
      <c r="C1469" s="116">
        <v>282.66666666666703</v>
      </c>
      <c r="D1469" s="116">
        <v>274.433333333333</v>
      </c>
      <c r="E1469" s="116">
        <v>275</v>
      </c>
      <c r="F1469" s="116">
        <v>848</v>
      </c>
      <c r="G1469">
        <v>7083</v>
      </c>
      <c r="H1469" s="116"/>
      <c r="I1469" s="116"/>
      <c r="L1469" s="169">
        <v>44656</v>
      </c>
      <c r="M1469" s="116">
        <v>283.23333333333301</v>
      </c>
      <c r="N1469" s="116">
        <v>286.66666666666703</v>
      </c>
      <c r="O1469" s="116">
        <v>271.39999999999998</v>
      </c>
      <c r="P1469" s="116">
        <v>276.66666666666703</v>
      </c>
      <c r="Q1469" s="116">
        <v>849.7</v>
      </c>
      <c r="R1469">
        <v>112102</v>
      </c>
    </row>
    <row r="1470" spans="1:18" x14ac:dyDescent="0.25">
      <c r="A1470" s="169">
        <v>44657</v>
      </c>
      <c r="B1470" s="116">
        <v>286.60000000000002</v>
      </c>
      <c r="C1470" s="116">
        <v>280.21666666666698</v>
      </c>
      <c r="D1470" s="116">
        <v>277.33333333333297</v>
      </c>
      <c r="E1470" s="116">
        <v>280</v>
      </c>
      <c r="F1470" s="116">
        <v>840.65</v>
      </c>
      <c r="G1470">
        <v>56881</v>
      </c>
      <c r="H1470" s="116"/>
      <c r="I1470" s="116"/>
      <c r="L1470" s="169">
        <v>44657</v>
      </c>
      <c r="M1470" s="116">
        <v>280.23333333333301</v>
      </c>
      <c r="N1470" s="116">
        <v>286.66666666666703</v>
      </c>
      <c r="O1470" s="116">
        <v>277</v>
      </c>
      <c r="P1470" s="116">
        <v>280</v>
      </c>
      <c r="Q1470" s="116">
        <v>840.7</v>
      </c>
      <c r="R1470">
        <v>226544</v>
      </c>
    </row>
    <row r="1471" spans="1:18" x14ac:dyDescent="0.25">
      <c r="A1471" s="169">
        <v>44658</v>
      </c>
      <c r="B1471" s="116">
        <v>298.816666666667</v>
      </c>
      <c r="C1471" s="116">
        <v>294.60000000000002</v>
      </c>
      <c r="D1471" s="116">
        <v>280.8</v>
      </c>
      <c r="E1471" s="116">
        <v>280.8</v>
      </c>
      <c r="F1471" s="116">
        <v>883.8</v>
      </c>
      <c r="G1471">
        <v>46236</v>
      </c>
      <c r="H1471" s="116"/>
      <c r="I1471" s="116"/>
      <c r="L1471" s="169">
        <v>44658</v>
      </c>
      <c r="M1471" s="116">
        <v>294.95</v>
      </c>
      <c r="N1471" s="116">
        <v>298.28333333333302</v>
      </c>
      <c r="O1471" s="116">
        <v>280.23333333333301</v>
      </c>
      <c r="P1471" s="116">
        <v>280.23333333333301</v>
      </c>
      <c r="Q1471" s="116">
        <v>884.85</v>
      </c>
      <c r="R1471">
        <v>210304</v>
      </c>
    </row>
    <row r="1472" spans="1:18" x14ac:dyDescent="0.25">
      <c r="A1472" s="169">
        <v>44659</v>
      </c>
      <c r="B1472" s="116">
        <v>300.14999999999998</v>
      </c>
      <c r="C1472" s="116">
        <v>291.61666666666702</v>
      </c>
      <c r="D1472" s="116">
        <v>289.48333333333301</v>
      </c>
      <c r="E1472" s="116">
        <v>293.33333333333297</v>
      </c>
      <c r="F1472" s="116">
        <v>874.85</v>
      </c>
      <c r="G1472">
        <v>24420</v>
      </c>
      <c r="H1472" s="116"/>
      <c r="I1472" s="116"/>
      <c r="L1472" s="169">
        <v>44659</v>
      </c>
      <c r="M1472" s="116">
        <v>291.71666666666698</v>
      </c>
      <c r="N1472" s="116">
        <v>299.26666666666699</v>
      </c>
      <c r="O1472" s="116">
        <v>289.38333333333298</v>
      </c>
      <c r="P1472" s="116">
        <v>298.33333333333297</v>
      </c>
      <c r="Q1472" s="116">
        <v>875.15</v>
      </c>
      <c r="R1472">
        <v>81203</v>
      </c>
    </row>
    <row r="1473" spans="1:18" x14ac:dyDescent="0.25">
      <c r="A1473" s="169">
        <v>44662</v>
      </c>
      <c r="B1473" s="116">
        <v>299.64999999999998</v>
      </c>
      <c r="C1473" s="116">
        <v>296.8</v>
      </c>
      <c r="D1473" s="116">
        <v>291.46666666666698</v>
      </c>
      <c r="E1473" s="116">
        <v>299.64999999999998</v>
      </c>
      <c r="F1473" s="116">
        <v>890.4</v>
      </c>
      <c r="G1473">
        <v>29003</v>
      </c>
      <c r="H1473" s="116"/>
      <c r="I1473" s="116"/>
      <c r="L1473" s="169">
        <v>44662</v>
      </c>
      <c r="M1473" s="116">
        <v>296.816666666667</v>
      </c>
      <c r="N1473" s="116">
        <v>299.33333333333297</v>
      </c>
      <c r="O1473" s="116">
        <v>291.26666666666699</v>
      </c>
      <c r="P1473" s="116">
        <v>293.33333333333297</v>
      </c>
      <c r="Q1473" s="116">
        <v>890.45</v>
      </c>
      <c r="R1473">
        <v>78693</v>
      </c>
    </row>
    <row r="1474" spans="1:18" x14ac:dyDescent="0.25">
      <c r="A1474" s="169">
        <v>44663</v>
      </c>
      <c r="B1474" s="116">
        <v>305.64999999999998</v>
      </c>
      <c r="C1474" s="116">
        <v>295.01666666666699</v>
      </c>
      <c r="D1474" s="116">
        <v>292.01666666666699</v>
      </c>
      <c r="E1474" s="116">
        <v>305.64999999999998</v>
      </c>
      <c r="F1474" s="116">
        <v>885.05</v>
      </c>
      <c r="G1474">
        <v>4449</v>
      </c>
      <c r="H1474" s="116"/>
      <c r="I1474" s="116"/>
      <c r="L1474" s="169">
        <v>44663</v>
      </c>
      <c r="M1474" s="116">
        <v>296.183333333333</v>
      </c>
      <c r="N1474" s="116">
        <v>301.433333333333</v>
      </c>
      <c r="O1474" s="116">
        <v>292</v>
      </c>
      <c r="P1474" s="116">
        <v>296.816666666667</v>
      </c>
      <c r="Q1474" s="116">
        <v>888.55</v>
      </c>
      <c r="R1474">
        <v>80991</v>
      </c>
    </row>
    <row r="1475" spans="1:18" x14ac:dyDescent="0.25">
      <c r="A1475" s="169">
        <v>44664</v>
      </c>
      <c r="B1475" s="116">
        <v>296.86666666666702</v>
      </c>
      <c r="C1475" s="116">
        <v>291.78333333333302</v>
      </c>
      <c r="D1475" s="116">
        <v>290.28333333333302</v>
      </c>
      <c r="E1475" s="116">
        <v>296.86666666666702</v>
      </c>
      <c r="F1475" s="116">
        <v>875.35</v>
      </c>
      <c r="G1475">
        <v>2407</v>
      </c>
      <c r="H1475" s="116"/>
      <c r="I1475" s="116"/>
      <c r="L1475" s="169">
        <v>44664</v>
      </c>
      <c r="M1475" s="116">
        <v>290.85000000000002</v>
      </c>
      <c r="N1475" s="116">
        <v>297.48333333333301</v>
      </c>
      <c r="O1475" s="116">
        <v>290.38333333333298</v>
      </c>
      <c r="P1475" s="116">
        <v>296</v>
      </c>
      <c r="Q1475" s="116">
        <v>872.55</v>
      </c>
      <c r="R1475">
        <v>196812</v>
      </c>
    </row>
    <row r="1476" spans="1:18" x14ac:dyDescent="0.25">
      <c r="A1476" s="169">
        <v>44669</v>
      </c>
      <c r="B1476" s="116">
        <v>291.78333333333302</v>
      </c>
      <c r="C1476" s="116">
        <v>280.816666666667</v>
      </c>
      <c r="D1476" s="116">
        <v>279.01666666666699</v>
      </c>
      <c r="E1476" s="116">
        <v>291.78333333333302</v>
      </c>
      <c r="F1476" s="116">
        <v>842.45</v>
      </c>
      <c r="G1476">
        <v>5658</v>
      </c>
      <c r="H1476" s="116"/>
      <c r="I1476" s="116"/>
      <c r="L1476" s="169">
        <v>44669</v>
      </c>
      <c r="M1476" s="116">
        <v>280.91666666666703</v>
      </c>
      <c r="N1476" s="116">
        <v>290.85000000000002</v>
      </c>
      <c r="O1476" s="116">
        <v>279</v>
      </c>
      <c r="P1476" s="116">
        <v>290.85000000000002</v>
      </c>
      <c r="Q1476" s="116">
        <v>842.75</v>
      </c>
      <c r="R1476">
        <v>68724</v>
      </c>
    </row>
    <row r="1477" spans="1:18" x14ac:dyDescent="0.25">
      <c r="A1477" s="169">
        <v>44670</v>
      </c>
      <c r="B1477" s="116">
        <v>287.45</v>
      </c>
      <c r="C1477" s="116">
        <v>283.21666666666698</v>
      </c>
      <c r="D1477" s="116">
        <v>281.33333333333297</v>
      </c>
      <c r="E1477" s="116">
        <v>281.33333333333297</v>
      </c>
      <c r="F1477" s="116">
        <v>849.65</v>
      </c>
      <c r="G1477">
        <v>3965</v>
      </c>
      <c r="H1477" s="116"/>
      <c r="I1477" s="116"/>
      <c r="L1477" s="169">
        <v>44670</v>
      </c>
      <c r="M1477" s="116">
        <v>283.39999999999998</v>
      </c>
      <c r="N1477" s="116">
        <v>287.66666666666703</v>
      </c>
      <c r="O1477" s="116">
        <v>282.33333333333297</v>
      </c>
      <c r="P1477" s="116">
        <v>282.33333333333297</v>
      </c>
      <c r="Q1477" s="116">
        <v>850.2</v>
      </c>
      <c r="R1477">
        <v>30119</v>
      </c>
    </row>
    <row r="1478" spans="1:18" x14ac:dyDescent="0.25">
      <c r="A1478" s="169">
        <v>44671</v>
      </c>
      <c r="B1478" s="116">
        <v>293.98333333333301</v>
      </c>
      <c r="C1478" s="116">
        <v>283.066666666667</v>
      </c>
      <c r="D1478" s="116">
        <v>282.10000000000002</v>
      </c>
      <c r="E1478" s="116">
        <v>291.33333333333297</v>
      </c>
      <c r="F1478" s="116">
        <v>849.2</v>
      </c>
      <c r="G1478">
        <v>4249</v>
      </c>
      <c r="H1478" s="116"/>
      <c r="I1478" s="116"/>
      <c r="L1478" s="169">
        <v>44671</v>
      </c>
      <c r="M1478" s="116">
        <v>283.10000000000002</v>
      </c>
      <c r="N1478" s="116">
        <v>293.566666666667</v>
      </c>
      <c r="O1478" s="116">
        <v>282.33333333333297</v>
      </c>
      <c r="P1478" s="116">
        <v>284</v>
      </c>
      <c r="Q1478" s="116">
        <v>849.3</v>
      </c>
      <c r="R1478">
        <v>38554</v>
      </c>
    </row>
    <row r="1479" spans="1:18" x14ac:dyDescent="0.25">
      <c r="A1479" s="169">
        <v>44672</v>
      </c>
      <c r="B1479" s="116">
        <v>289.25</v>
      </c>
      <c r="C1479" s="116">
        <v>284.21666666666698</v>
      </c>
      <c r="D1479" s="116">
        <v>281.933333333333</v>
      </c>
      <c r="E1479" s="116">
        <v>286.66666666666703</v>
      </c>
      <c r="F1479" s="116">
        <v>852.65</v>
      </c>
      <c r="G1479">
        <v>11301</v>
      </c>
      <c r="H1479" s="116"/>
      <c r="I1479" s="116"/>
      <c r="L1479" s="169">
        <v>44672</v>
      </c>
      <c r="M1479" s="116">
        <v>284.2</v>
      </c>
      <c r="N1479" s="116">
        <v>289.66666666666703</v>
      </c>
      <c r="O1479" s="116">
        <v>281.66666666666703</v>
      </c>
      <c r="P1479" s="116">
        <v>288.26666666666699</v>
      </c>
      <c r="Q1479" s="116">
        <v>852.6</v>
      </c>
      <c r="R1479">
        <v>30935</v>
      </c>
    </row>
    <row r="1480" spans="1:18" x14ac:dyDescent="0.25">
      <c r="A1480" s="169">
        <v>44673</v>
      </c>
      <c r="B1480" s="116">
        <v>284.55</v>
      </c>
      <c r="C1480" s="116">
        <v>276.75</v>
      </c>
      <c r="D1480" s="116">
        <v>275.066666666667</v>
      </c>
      <c r="E1480" s="116">
        <v>282</v>
      </c>
      <c r="F1480" s="116">
        <v>830.25</v>
      </c>
      <c r="G1480">
        <v>10865</v>
      </c>
      <c r="H1480" s="116"/>
      <c r="I1480" s="116"/>
      <c r="L1480" s="169">
        <v>44673</v>
      </c>
      <c r="M1480" s="116">
        <v>277.91666666666703</v>
      </c>
      <c r="N1480" s="116">
        <v>284.66666666666703</v>
      </c>
      <c r="O1480" s="116">
        <v>275.35000000000002</v>
      </c>
      <c r="P1480" s="116">
        <v>284.2</v>
      </c>
      <c r="Q1480" s="116">
        <v>833.75</v>
      </c>
      <c r="R1480">
        <v>70797</v>
      </c>
    </row>
    <row r="1481" spans="1:18" x14ac:dyDescent="0.25">
      <c r="A1481" s="169">
        <v>44676</v>
      </c>
      <c r="B1481" s="116">
        <v>277.45</v>
      </c>
      <c r="C1481" s="116">
        <v>270.45</v>
      </c>
      <c r="D1481" s="116">
        <v>268.63333333333298</v>
      </c>
      <c r="E1481" s="116">
        <v>276.76666666666699</v>
      </c>
      <c r="F1481" s="116">
        <v>811.35</v>
      </c>
      <c r="G1481">
        <v>3016</v>
      </c>
      <c r="H1481" s="116"/>
      <c r="I1481" s="116"/>
      <c r="L1481" s="169">
        <v>44676</v>
      </c>
      <c r="M1481" s="116">
        <v>269.98333333333301</v>
      </c>
      <c r="N1481" s="116">
        <v>278</v>
      </c>
      <c r="O1481" s="116">
        <v>268.51666666666699</v>
      </c>
      <c r="P1481" s="116">
        <v>277.66666666666703</v>
      </c>
      <c r="Q1481" s="116">
        <v>809.95</v>
      </c>
      <c r="R1481">
        <v>131483</v>
      </c>
    </row>
    <row r="1482" spans="1:18" x14ac:dyDescent="0.25">
      <c r="A1482" s="169">
        <v>44677</v>
      </c>
      <c r="B1482" s="116">
        <v>272.5</v>
      </c>
      <c r="C1482" s="116">
        <v>270.35000000000002</v>
      </c>
      <c r="D1482" s="116">
        <v>269.51666666666699</v>
      </c>
      <c r="E1482" s="116">
        <v>272</v>
      </c>
      <c r="F1482" s="116">
        <v>811.05</v>
      </c>
      <c r="G1482">
        <v>2447</v>
      </c>
      <c r="H1482" s="116"/>
      <c r="I1482" s="116"/>
      <c r="L1482" s="169">
        <v>44677</v>
      </c>
      <c r="M1482" s="116">
        <v>270.41666666666703</v>
      </c>
      <c r="N1482" s="116">
        <v>272.35000000000002</v>
      </c>
      <c r="O1482" s="116">
        <v>269.60000000000002</v>
      </c>
      <c r="P1482" s="116">
        <v>271.33333333333297</v>
      </c>
      <c r="Q1482" s="116">
        <v>811.25</v>
      </c>
      <c r="R1482">
        <v>15472</v>
      </c>
    </row>
    <row r="1483" spans="1:18" x14ac:dyDescent="0.25">
      <c r="A1483" s="169">
        <v>44678</v>
      </c>
      <c r="B1483" s="116">
        <v>275.85000000000002</v>
      </c>
      <c r="C1483" s="116">
        <v>272.78333333333302</v>
      </c>
      <c r="D1483" s="116">
        <v>260.61666666666702</v>
      </c>
      <c r="E1483" s="116">
        <v>260.61666666666702</v>
      </c>
      <c r="F1483" s="116">
        <v>818.35</v>
      </c>
      <c r="G1483">
        <v>10032</v>
      </c>
      <c r="H1483" s="116"/>
      <c r="I1483" s="116"/>
      <c r="L1483" s="169">
        <v>44678</v>
      </c>
      <c r="M1483" s="116">
        <v>273.13333333333298</v>
      </c>
      <c r="N1483" s="116">
        <v>275.8</v>
      </c>
      <c r="O1483" s="116">
        <v>269.03333333333302</v>
      </c>
      <c r="P1483" s="116">
        <v>271.64999999999998</v>
      </c>
      <c r="Q1483" s="116">
        <v>819.4</v>
      </c>
      <c r="R1483">
        <v>46412</v>
      </c>
    </row>
    <row r="1484" spans="1:18" x14ac:dyDescent="0.25">
      <c r="A1484" s="169">
        <v>44679</v>
      </c>
      <c r="B1484" s="116">
        <v>275.95</v>
      </c>
      <c r="C1484" s="116">
        <v>272.86666666666702</v>
      </c>
      <c r="D1484" s="116">
        <v>271.03333333333302</v>
      </c>
      <c r="E1484" s="116">
        <v>275.2</v>
      </c>
      <c r="F1484" s="116">
        <v>818.6</v>
      </c>
      <c r="G1484">
        <v>1928</v>
      </c>
      <c r="H1484" s="116"/>
      <c r="I1484" s="116"/>
      <c r="L1484" s="169">
        <v>44679</v>
      </c>
      <c r="M1484" s="116">
        <v>272.8</v>
      </c>
      <c r="N1484" s="116">
        <v>277.3</v>
      </c>
      <c r="O1484" s="116">
        <v>270.683333333333</v>
      </c>
      <c r="P1484" s="116">
        <v>277.3</v>
      </c>
      <c r="Q1484" s="116">
        <v>818.4</v>
      </c>
      <c r="R1484">
        <v>19401</v>
      </c>
    </row>
    <row r="1485" spans="1:18" x14ac:dyDescent="0.25">
      <c r="A1485" s="169">
        <v>44680</v>
      </c>
      <c r="B1485" s="116">
        <v>279.53333333333302</v>
      </c>
      <c r="C1485" s="116">
        <v>270.75</v>
      </c>
      <c r="D1485" s="116">
        <v>269.066666666667</v>
      </c>
      <c r="E1485" s="116">
        <v>275.98333333333301</v>
      </c>
      <c r="F1485" s="116">
        <v>812.25</v>
      </c>
      <c r="G1485">
        <v>5768</v>
      </c>
      <c r="H1485" s="116"/>
      <c r="I1485" s="116"/>
      <c r="L1485" s="169">
        <v>44680</v>
      </c>
      <c r="M1485" s="116">
        <v>270.3</v>
      </c>
      <c r="N1485" s="116">
        <v>279.64999999999998</v>
      </c>
      <c r="O1485" s="116">
        <v>268.8</v>
      </c>
      <c r="P1485" s="116">
        <v>273.33333333333297</v>
      </c>
      <c r="Q1485" s="116">
        <v>810.9</v>
      </c>
      <c r="R1485">
        <v>40140</v>
      </c>
    </row>
    <row r="1486" spans="1:18" x14ac:dyDescent="0.25">
      <c r="A1486" s="169">
        <v>44683</v>
      </c>
      <c r="B1486" s="116">
        <v>266</v>
      </c>
      <c r="C1486" s="116">
        <v>257.2</v>
      </c>
      <c r="D1486" s="116">
        <v>250</v>
      </c>
      <c r="E1486" s="116">
        <v>266</v>
      </c>
      <c r="F1486" s="116">
        <v>771.6</v>
      </c>
      <c r="G1486">
        <v>8708</v>
      </c>
      <c r="H1486" s="116"/>
      <c r="I1486" s="116"/>
      <c r="L1486" s="169">
        <v>44683</v>
      </c>
      <c r="M1486" s="116">
        <v>256.98333333333301</v>
      </c>
      <c r="N1486" s="116">
        <v>263.316666666667</v>
      </c>
      <c r="O1486" s="116">
        <v>238.38333333333301</v>
      </c>
      <c r="P1486" s="116">
        <v>258.5</v>
      </c>
      <c r="Q1486" s="116">
        <v>770.95</v>
      </c>
      <c r="R1486">
        <v>92891</v>
      </c>
    </row>
    <row r="1487" spans="1:18" x14ac:dyDescent="0.25">
      <c r="A1487" s="169">
        <v>44685</v>
      </c>
      <c r="B1487" s="116">
        <v>259</v>
      </c>
      <c r="C1487" s="116">
        <v>249.166666666667</v>
      </c>
      <c r="D1487" s="116">
        <v>247.666666666667</v>
      </c>
      <c r="E1487" s="116">
        <v>257.2</v>
      </c>
      <c r="F1487" s="116">
        <v>747.5</v>
      </c>
      <c r="G1487">
        <v>11644</v>
      </c>
      <c r="H1487" s="116"/>
      <c r="I1487" s="116"/>
      <c r="L1487" s="169">
        <v>44685</v>
      </c>
      <c r="M1487" s="116">
        <v>249.28333333333299</v>
      </c>
      <c r="N1487" s="116">
        <v>261</v>
      </c>
      <c r="O1487" s="116">
        <v>247.48333333333301</v>
      </c>
      <c r="P1487" s="116">
        <v>258.28333333333302</v>
      </c>
      <c r="Q1487" s="116">
        <v>747.85</v>
      </c>
      <c r="R1487">
        <v>75413</v>
      </c>
    </row>
    <row r="1488" spans="1:18" x14ac:dyDescent="0.25">
      <c r="A1488" s="169">
        <v>44686</v>
      </c>
      <c r="B1488" s="116">
        <v>261.33333333333297</v>
      </c>
      <c r="C1488" s="116">
        <v>259.7</v>
      </c>
      <c r="D1488" s="116">
        <v>250.666666666667</v>
      </c>
      <c r="E1488" s="116">
        <v>250.666666666667</v>
      </c>
      <c r="F1488" s="116">
        <v>779.1</v>
      </c>
      <c r="G1488">
        <v>8502</v>
      </c>
      <c r="H1488" s="116"/>
      <c r="I1488" s="116"/>
      <c r="L1488" s="169">
        <v>44686</v>
      </c>
      <c r="M1488" s="116">
        <v>258.66666666666703</v>
      </c>
      <c r="N1488" s="116">
        <v>261.66666666666703</v>
      </c>
      <c r="O1488" s="116">
        <v>250.333333333333</v>
      </c>
      <c r="P1488" s="116">
        <v>250.333333333333</v>
      </c>
      <c r="Q1488" s="116">
        <v>776</v>
      </c>
      <c r="R1488">
        <v>109638</v>
      </c>
    </row>
    <row r="1489" spans="1:18" x14ac:dyDescent="0.25">
      <c r="A1489" s="169">
        <v>44687</v>
      </c>
      <c r="B1489" s="116">
        <v>260.33333333333297</v>
      </c>
      <c r="C1489" s="116">
        <v>258.26666666666699</v>
      </c>
      <c r="D1489" s="116">
        <v>249.61666666666699</v>
      </c>
      <c r="E1489" s="116">
        <v>250.61666666666699</v>
      </c>
      <c r="F1489" s="116">
        <v>774.8</v>
      </c>
      <c r="G1489">
        <v>11674</v>
      </c>
      <c r="H1489" s="116"/>
      <c r="I1489" s="116"/>
      <c r="L1489" s="169">
        <v>44687</v>
      </c>
      <c r="M1489" s="116">
        <v>257.11666666666702</v>
      </c>
      <c r="N1489" s="116">
        <v>260.55</v>
      </c>
      <c r="O1489" s="116">
        <v>249.35</v>
      </c>
      <c r="P1489" s="116">
        <v>254</v>
      </c>
      <c r="Q1489" s="116">
        <v>771.35</v>
      </c>
      <c r="R1489">
        <v>92460</v>
      </c>
    </row>
    <row r="1490" spans="1:18" x14ac:dyDescent="0.25">
      <c r="A1490" s="169">
        <v>44690</v>
      </c>
      <c r="B1490" s="116">
        <v>256.10000000000002</v>
      </c>
      <c r="C1490" s="116">
        <v>251.11666666666699</v>
      </c>
      <c r="D1490" s="116">
        <v>248.166666666667</v>
      </c>
      <c r="E1490" s="116">
        <v>253.666666666667</v>
      </c>
      <c r="F1490" s="116">
        <v>753.35</v>
      </c>
      <c r="G1490">
        <v>7416</v>
      </c>
      <c r="H1490" s="116"/>
      <c r="I1490" s="116"/>
      <c r="L1490" s="169">
        <v>44690</v>
      </c>
      <c r="M1490" s="116">
        <v>250.03333333333299</v>
      </c>
      <c r="N1490" s="116">
        <v>256.98333333333301</v>
      </c>
      <c r="O1490" s="116">
        <v>248.21666666666701</v>
      </c>
      <c r="P1490" s="116">
        <v>256.98333333333301</v>
      </c>
      <c r="Q1490" s="116">
        <v>750.1</v>
      </c>
      <c r="R1490">
        <v>72390</v>
      </c>
    </row>
    <row r="1491" spans="1:18" x14ac:dyDescent="0.25">
      <c r="A1491" s="169">
        <v>44691</v>
      </c>
      <c r="B1491" s="116">
        <v>260</v>
      </c>
      <c r="C1491" s="116">
        <v>254.35</v>
      </c>
      <c r="D1491" s="116">
        <v>249.01666666666699</v>
      </c>
      <c r="E1491" s="116">
        <v>249.01666666666699</v>
      </c>
      <c r="F1491" s="116">
        <v>763.05</v>
      </c>
      <c r="G1491">
        <v>13242</v>
      </c>
      <c r="H1491" s="116"/>
      <c r="I1491" s="116"/>
      <c r="L1491" s="169">
        <v>44691</v>
      </c>
      <c r="M1491" s="116">
        <v>254.65</v>
      </c>
      <c r="N1491" s="116">
        <v>260.10000000000002</v>
      </c>
      <c r="O1491" s="116">
        <v>250.73333333333301</v>
      </c>
      <c r="P1491" s="116">
        <v>251.666666666667</v>
      </c>
      <c r="Q1491" s="116">
        <v>763.95</v>
      </c>
      <c r="R1491">
        <v>55119</v>
      </c>
    </row>
    <row r="1492" spans="1:18" x14ac:dyDescent="0.25">
      <c r="A1492" s="169">
        <v>44692</v>
      </c>
      <c r="B1492" s="116">
        <v>253.48333333333301</v>
      </c>
      <c r="C1492" s="116">
        <v>245</v>
      </c>
      <c r="D1492" s="116">
        <v>240.71666666666701</v>
      </c>
      <c r="E1492" s="116">
        <v>253</v>
      </c>
      <c r="F1492" s="116">
        <v>735</v>
      </c>
      <c r="G1492">
        <v>13777</v>
      </c>
      <c r="H1492" s="116"/>
      <c r="I1492" s="116"/>
      <c r="L1492" s="169">
        <v>44692</v>
      </c>
      <c r="M1492" s="116">
        <v>245.583333333333</v>
      </c>
      <c r="N1492" s="116">
        <v>253.333333333333</v>
      </c>
      <c r="O1492" s="116">
        <v>240.65</v>
      </c>
      <c r="P1492" s="116">
        <v>251.7</v>
      </c>
      <c r="Q1492" s="116">
        <v>736.75</v>
      </c>
      <c r="R1492">
        <v>96621</v>
      </c>
    </row>
    <row r="1493" spans="1:18" x14ac:dyDescent="0.25">
      <c r="A1493" s="169">
        <v>44693</v>
      </c>
      <c r="B1493" s="116">
        <v>250.25</v>
      </c>
      <c r="C1493" s="116">
        <v>244.98333333333301</v>
      </c>
      <c r="D1493" s="116">
        <v>241.166666666667</v>
      </c>
      <c r="E1493" s="116">
        <v>245.63333333333301</v>
      </c>
      <c r="F1493" s="116">
        <v>734.95</v>
      </c>
      <c r="G1493">
        <v>5549</v>
      </c>
      <c r="H1493" s="116"/>
      <c r="I1493" s="116"/>
      <c r="L1493" s="169">
        <v>44693</v>
      </c>
      <c r="M1493" s="116">
        <v>245.9</v>
      </c>
      <c r="N1493" s="116">
        <v>250.3</v>
      </c>
      <c r="O1493" s="116">
        <v>241.01666666666699</v>
      </c>
      <c r="P1493" s="116">
        <v>245.316666666667</v>
      </c>
      <c r="Q1493" s="116">
        <v>737.7</v>
      </c>
      <c r="R1493">
        <v>48341</v>
      </c>
    </row>
    <row r="1494" spans="1:18" x14ac:dyDescent="0.25">
      <c r="A1494" s="169">
        <v>44694</v>
      </c>
      <c r="B1494" s="116">
        <v>249.25</v>
      </c>
      <c r="C1494" s="116">
        <v>244.75</v>
      </c>
      <c r="D1494" s="116">
        <v>244.333333333333</v>
      </c>
      <c r="E1494" s="116">
        <v>246.066666666667</v>
      </c>
      <c r="F1494" s="116">
        <v>734.25</v>
      </c>
      <c r="G1494">
        <v>1318</v>
      </c>
      <c r="H1494" s="116"/>
      <c r="I1494" s="116"/>
      <c r="L1494" s="169">
        <v>44694</v>
      </c>
      <c r="M1494" s="116">
        <v>244.71666666666701</v>
      </c>
      <c r="N1494" s="116">
        <v>249.86666666666699</v>
      </c>
      <c r="O1494" s="116">
        <v>244.21666666666701</v>
      </c>
      <c r="P1494" s="116">
        <v>246.333333333333</v>
      </c>
      <c r="Q1494" s="116">
        <v>734.15</v>
      </c>
      <c r="R1494">
        <v>20589</v>
      </c>
    </row>
    <row r="1495" spans="1:18" x14ac:dyDescent="0.25">
      <c r="A1495" s="169">
        <v>44697</v>
      </c>
      <c r="B1495" s="116">
        <v>243.2</v>
      </c>
      <c r="C1495" s="116">
        <v>229.25</v>
      </c>
      <c r="D1495" s="116">
        <v>228.51666666666699</v>
      </c>
      <c r="E1495" s="116">
        <v>243.2</v>
      </c>
      <c r="F1495" s="116">
        <v>687.75</v>
      </c>
      <c r="G1495">
        <v>14513</v>
      </c>
      <c r="H1495" s="116"/>
      <c r="I1495" s="116"/>
      <c r="L1495" s="169">
        <v>44697</v>
      </c>
      <c r="M1495" s="116">
        <v>229.45</v>
      </c>
      <c r="N1495" s="116">
        <v>242.63333333333301</v>
      </c>
      <c r="O1495" s="116">
        <v>228.88333333333301</v>
      </c>
      <c r="P1495" s="116">
        <v>240</v>
      </c>
      <c r="Q1495" s="116">
        <v>688.35</v>
      </c>
      <c r="R1495">
        <v>113140</v>
      </c>
    </row>
    <row r="1496" spans="1:18" x14ac:dyDescent="0.25">
      <c r="A1496" s="169">
        <v>44698</v>
      </c>
      <c r="B1496" s="116">
        <v>233.333333333333</v>
      </c>
      <c r="C1496" s="116">
        <v>228.76666666666699</v>
      </c>
      <c r="D1496" s="116">
        <v>228.566666666667</v>
      </c>
      <c r="E1496" s="116">
        <v>233.333333333333</v>
      </c>
      <c r="F1496" s="116">
        <v>686.3</v>
      </c>
      <c r="G1496">
        <v>3165</v>
      </c>
      <c r="H1496" s="116"/>
      <c r="I1496" s="116"/>
      <c r="L1496" s="169">
        <v>44698</v>
      </c>
      <c r="M1496" s="116">
        <v>228.86666666666699</v>
      </c>
      <c r="N1496" s="116">
        <v>231.98333333333301</v>
      </c>
      <c r="O1496" s="116">
        <v>228.7</v>
      </c>
      <c r="P1496" s="116">
        <v>229.666666666667</v>
      </c>
      <c r="Q1496" s="116">
        <v>686.6</v>
      </c>
      <c r="R1496">
        <v>51700</v>
      </c>
    </row>
    <row r="1497" spans="1:18" x14ac:dyDescent="0.25">
      <c r="A1497" s="169">
        <v>44699</v>
      </c>
      <c r="B1497" s="116">
        <v>232.01666666666699</v>
      </c>
      <c r="C1497" s="116">
        <v>227</v>
      </c>
      <c r="D1497" s="116">
        <v>226.666666666667</v>
      </c>
      <c r="E1497" s="116">
        <v>231.75</v>
      </c>
      <c r="F1497" s="116">
        <v>681</v>
      </c>
      <c r="G1497">
        <v>2975</v>
      </c>
      <c r="H1497" s="116"/>
      <c r="I1497" s="116"/>
      <c r="L1497" s="169">
        <v>44699</v>
      </c>
      <c r="M1497" s="116">
        <v>227.066666666667</v>
      </c>
      <c r="N1497" s="116">
        <v>232.933333333333</v>
      </c>
      <c r="O1497" s="116">
        <v>226.666666666667</v>
      </c>
      <c r="P1497" s="116">
        <v>230.05</v>
      </c>
      <c r="Q1497" s="116">
        <v>681.2</v>
      </c>
      <c r="R1497">
        <v>60104</v>
      </c>
    </row>
    <row r="1498" spans="1:18" x14ac:dyDescent="0.25">
      <c r="A1498" s="169">
        <v>44700</v>
      </c>
      <c r="B1498" s="116">
        <v>226.333333333333</v>
      </c>
      <c r="C1498" s="116">
        <v>222.73333333333301</v>
      </c>
      <c r="D1498" s="116">
        <v>221.666666666667</v>
      </c>
      <c r="E1498" s="116">
        <v>226.333333333333</v>
      </c>
      <c r="F1498" s="116">
        <v>668.2</v>
      </c>
      <c r="G1498">
        <v>4014</v>
      </c>
      <c r="H1498" s="116"/>
      <c r="I1498" s="116"/>
      <c r="L1498" s="169">
        <v>44700</v>
      </c>
      <c r="M1498" s="116">
        <v>223.2</v>
      </c>
      <c r="N1498" s="116">
        <v>226.63333333333301</v>
      </c>
      <c r="O1498" s="116">
        <v>221.666666666667</v>
      </c>
      <c r="P1498" s="116">
        <v>224</v>
      </c>
      <c r="Q1498" s="116">
        <v>669.6</v>
      </c>
      <c r="R1498">
        <v>62927</v>
      </c>
    </row>
    <row r="1499" spans="1:18" x14ac:dyDescent="0.25">
      <c r="A1499" s="169">
        <v>44701</v>
      </c>
      <c r="B1499" s="116">
        <v>226.083333333333</v>
      </c>
      <c r="C1499" s="116">
        <v>223.03333333333299</v>
      </c>
      <c r="D1499" s="116">
        <v>222.35</v>
      </c>
      <c r="E1499" s="116">
        <v>225.01666666666699</v>
      </c>
      <c r="F1499" s="116">
        <v>669.1</v>
      </c>
      <c r="G1499">
        <v>1911</v>
      </c>
      <c r="H1499" s="116"/>
      <c r="I1499" s="116"/>
      <c r="L1499" s="169">
        <v>44701</v>
      </c>
      <c r="M1499" s="116">
        <v>223.55</v>
      </c>
      <c r="N1499" s="116">
        <v>226</v>
      </c>
      <c r="O1499" s="116">
        <v>222.03333333333299</v>
      </c>
      <c r="P1499" s="116">
        <v>224.316666666667</v>
      </c>
      <c r="Q1499" s="116">
        <v>670.65</v>
      </c>
      <c r="R1499">
        <v>19791</v>
      </c>
    </row>
    <row r="1500" spans="1:18" x14ac:dyDescent="0.25">
      <c r="A1500" s="169">
        <v>44704</v>
      </c>
      <c r="B1500" s="116">
        <v>226.53333333333299</v>
      </c>
      <c r="C1500" s="116">
        <v>217.183333333333</v>
      </c>
      <c r="D1500" s="116">
        <v>214.2</v>
      </c>
      <c r="E1500" s="116">
        <v>223.066666666667</v>
      </c>
      <c r="F1500" s="116">
        <v>651.54999999999995</v>
      </c>
      <c r="G1500">
        <v>2869</v>
      </c>
      <c r="H1500" s="116"/>
      <c r="I1500" s="116"/>
      <c r="L1500" s="169">
        <v>44704</v>
      </c>
      <c r="M1500" s="116">
        <v>216.86666666666699</v>
      </c>
      <c r="N1500" s="116">
        <v>226.28333333333299</v>
      </c>
      <c r="O1500" s="116">
        <v>213.333333333333</v>
      </c>
      <c r="P1500" s="116">
        <v>226.28333333333299</v>
      </c>
      <c r="Q1500" s="116">
        <v>650.6</v>
      </c>
      <c r="R1500">
        <v>53251</v>
      </c>
    </row>
    <row r="1501" spans="1:18" x14ac:dyDescent="0.25">
      <c r="A1501" s="169">
        <v>44705</v>
      </c>
      <c r="B1501" s="116">
        <v>218.36666666666699</v>
      </c>
      <c r="C1501" s="116">
        <v>214.683333333333</v>
      </c>
      <c r="D1501" s="116">
        <v>213</v>
      </c>
      <c r="E1501" s="116">
        <v>217.183333333333</v>
      </c>
      <c r="F1501" s="116">
        <v>644.04999999999995</v>
      </c>
      <c r="G1501">
        <v>8557</v>
      </c>
      <c r="H1501" s="116"/>
      <c r="I1501" s="116"/>
      <c r="L1501" s="169">
        <v>44705</v>
      </c>
      <c r="M1501" s="116">
        <v>214.21666666666701</v>
      </c>
      <c r="N1501" s="116">
        <v>218.3</v>
      </c>
      <c r="O1501" s="116">
        <v>212.683333333333</v>
      </c>
      <c r="P1501" s="116">
        <v>218.3</v>
      </c>
      <c r="Q1501" s="116">
        <v>642.65</v>
      </c>
      <c r="R1501">
        <v>22675</v>
      </c>
    </row>
    <row r="1502" spans="1:18" x14ac:dyDescent="0.25">
      <c r="A1502" s="169">
        <v>44706</v>
      </c>
      <c r="B1502" s="116">
        <v>219.53333333333299</v>
      </c>
      <c r="C1502" s="116">
        <v>211.71666666666701</v>
      </c>
      <c r="D1502" s="116">
        <v>210.666666666667</v>
      </c>
      <c r="E1502" s="116">
        <v>214.7</v>
      </c>
      <c r="F1502" s="116">
        <v>635.15</v>
      </c>
      <c r="G1502">
        <v>3295</v>
      </c>
      <c r="H1502" s="116"/>
      <c r="I1502" s="116"/>
      <c r="L1502" s="169">
        <v>44706</v>
      </c>
      <c r="M1502" s="116">
        <v>211.75</v>
      </c>
      <c r="N1502" s="116">
        <v>219.666666666667</v>
      </c>
      <c r="O1502" s="116">
        <v>210.38333333333301</v>
      </c>
      <c r="P1502" s="116">
        <v>214.21666666666701</v>
      </c>
      <c r="Q1502" s="116">
        <v>635.25</v>
      </c>
      <c r="R1502">
        <v>19797</v>
      </c>
    </row>
    <row r="1503" spans="1:18" x14ac:dyDescent="0.25">
      <c r="A1503" s="169">
        <v>44707</v>
      </c>
      <c r="B1503" s="116">
        <v>235</v>
      </c>
      <c r="C1503" s="116">
        <v>230.066666666667</v>
      </c>
      <c r="D1503" s="116">
        <v>210.333333333333</v>
      </c>
      <c r="E1503" s="116">
        <v>211.666666666667</v>
      </c>
      <c r="F1503" s="116">
        <v>690.2</v>
      </c>
      <c r="G1503">
        <v>23086</v>
      </c>
      <c r="H1503" s="116"/>
      <c r="I1503" s="116"/>
      <c r="L1503" s="169">
        <v>44707</v>
      </c>
      <c r="M1503" s="116">
        <v>230.1</v>
      </c>
      <c r="N1503" s="116">
        <v>254.083333333333</v>
      </c>
      <c r="O1503" s="116">
        <v>210.36666666666699</v>
      </c>
      <c r="P1503" s="116">
        <v>212.666666666667</v>
      </c>
      <c r="Q1503" s="116">
        <v>690.3</v>
      </c>
      <c r="R1503">
        <v>579398</v>
      </c>
    </row>
    <row r="1504" spans="1:18" x14ac:dyDescent="0.25">
      <c r="A1504" s="169">
        <v>44708</v>
      </c>
      <c r="B1504" s="116">
        <v>233.3</v>
      </c>
      <c r="C1504" s="116">
        <v>230.316666666667</v>
      </c>
      <c r="D1504" s="116">
        <v>224.3</v>
      </c>
      <c r="E1504" s="116">
        <v>229.03333333333299</v>
      </c>
      <c r="F1504" s="116">
        <v>690.95</v>
      </c>
      <c r="G1504">
        <v>6111</v>
      </c>
      <c r="H1504" s="116"/>
      <c r="I1504" s="116"/>
      <c r="L1504" s="169">
        <v>44708</v>
      </c>
      <c r="M1504" s="116">
        <v>229.566666666667</v>
      </c>
      <c r="N1504" s="116">
        <v>233</v>
      </c>
      <c r="O1504" s="116">
        <v>223.75</v>
      </c>
      <c r="P1504" s="116">
        <v>226.666666666667</v>
      </c>
      <c r="Q1504" s="116">
        <v>688.7</v>
      </c>
      <c r="R1504">
        <v>92180</v>
      </c>
    </row>
    <row r="1505" spans="1:18" x14ac:dyDescent="0.25">
      <c r="A1505" s="169">
        <v>44711</v>
      </c>
      <c r="B1505" s="116">
        <v>233.3</v>
      </c>
      <c r="C1505" s="116">
        <v>221.933333333333</v>
      </c>
      <c r="D1505" s="116">
        <v>220.88333333333301</v>
      </c>
      <c r="E1505" s="116">
        <v>233.3</v>
      </c>
      <c r="F1505" s="116">
        <v>665.8</v>
      </c>
      <c r="G1505">
        <v>15044</v>
      </c>
      <c r="H1505" s="116"/>
      <c r="I1505" s="116"/>
      <c r="L1505" s="169">
        <v>44711</v>
      </c>
      <c r="M1505" s="116">
        <v>222.3</v>
      </c>
      <c r="N1505" s="116">
        <v>232.98333333333301</v>
      </c>
      <c r="O1505" s="116">
        <v>221</v>
      </c>
      <c r="P1505" s="116">
        <v>230.666666666667</v>
      </c>
      <c r="Q1505" s="116">
        <v>666.9</v>
      </c>
      <c r="R1505">
        <v>61973</v>
      </c>
    </row>
    <row r="1506" spans="1:18" x14ac:dyDescent="0.25">
      <c r="A1506" s="169">
        <v>44712</v>
      </c>
      <c r="B1506" s="116">
        <v>230.5</v>
      </c>
      <c r="C1506" s="116">
        <v>219.75</v>
      </c>
      <c r="D1506" s="116">
        <v>218.916666666667</v>
      </c>
      <c r="E1506" s="116">
        <v>230.5</v>
      </c>
      <c r="F1506" s="116">
        <v>659.25</v>
      </c>
      <c r="G1506">
        <v>9813</v>
      </c>
      <c r="H1506" s="116"/>
      <c r="I1506" s="116"/>
      <c r="L1506" s="169">
        <v>44712</v>
      </c>
      <c r="M1506" s="116">
        <v>219.88333333333301</v>
      </c>
      <c r="N1506" s="116">
        <v>225.65</v>
      </c>
      <c r="O1506" s="116">
        <v>219.01666666666699</v>
      </c>
      <c r="P1506" s="116">
        <v>220.5</v>
      </c>
      <c r="Q1506" s="116">
        <v>659.65</v>
      </c>
      <c r="R1506">
        <v>45650</v>
      </c>
    </row>
    <row r="1507" spans="1:18" x14ac:dyDescent="0.25">
      <c r="A1507" s="169">
        <v>44713</v>
      </c>
      <c r="B1507" s="116">
        <v>220.98333333333301</v>
      </c>
      <c r="C1507" s="116">
        <v>212.6</v>
      </c>
      <c r="D1507" s="116">
        <v>211.666666666667</v>
      </c>
      <c r="E1507" s="116">
        <v>220.416666666667</v>
      </c>
      <c r="F1507" s="116">
        <v>637.79999999999995</v>
      </c>
      <c r="G1507">
        <v>3874</v>
      </c>
      <c r="H1507" s="116"/>
      <c r="I1507" s="116"/>
      <c r="L1507" s="169">
        <v>44713</v>
      </c>
      <c r="M1507" s="116">
        <v>212.8</v>
      </c>
      <c r="N1507" s="116">
        <v>221.25</v>
      </c>
      <c r="O1507" s="116">
        <v>210.5</v>
      </c>
      <c r="P1507" s="116">
        <v>219.88333333333301</v>
      </c>
      <c r="Q1507" s="116">
        <v>638.4</v>
      </c>
      <c r="R1507">
        <v>81862</v>
      </c>
    </row>
    <row r="1508" spans="1:18" x14ac:dyDescent="0.25">
      <c r="A1508" s="169">
        <v>44714</v>
      </c>
      <c r="B1508" s="116">
        <v>217.51666666666699</v>
      </c>
      <c r="C1508" s="116">
        <v>210.95</v>
      </c>
      <c r="D1508" s="116">
        <v>209.183333333333</v>
      </c>
      <c r="E1508" s="116">
        <v>213.88333333333301</v>
      </c>
      <c r="F1508" s="116">
        <v>632.85</v>
      </c>
      <c r="G1508">
        <v>4281</v>
      </c>
      <c r="H1508" s="116"/>
      <c r="I1508" s="116"/>
      <c r="L1508" s="169">
        <v>44714</v>
      </c>
      <c r="M1508" s="116">
        <v>210.71666666666701</v>
      </c>
      <c r="N1508" s="116">
        <v>217.71666666666701</v>
      </c>
      <c r="O1508" s="116">
        <v>209</v>
      </c>
      <c r="P1508" s="116">
        <v>211.95</v>
      </c>
      <c r="Q1508" s="116">
        <v>632.15</v>
      </c>
      <c r="R1508">
        <v>78737</v>
      </c>
    </row>
    <row r="1509" spans="1:18" x14ac:dyDescent="0.25">
      <c r="A1509" s="169">
        <v>44715</v>
      </c>
      <c r="B1509" s="116">
        <v>215.36666666666699</v>
      </c>
      <c r="C1509" s="116">
        <v>211.11666666666699</v>
      </c>
      <c r="D1509" s="116">
        <v>210.13333333333301</v>
      </c>
      <c r="E1509" s="116">
        <v>211.566666666667</v>
      </c>
      <c r="F1509" s="116">
        <v>633.35</v>
      </c>
      <c r="G1509">
        <v>6044</v>
      </c>
      <c r="H1509" s="116"/>
      <c r="I1509" s="116"/>
      <c r="L1509" s="169">
        <v>44715</v>
      </c>
      <c r="M1509" s="116">
        <v>211.25</v>
      </c>
      <c r="N1509" s="116">
        <v>217.98333333333301</v>
      </c>
      <c r="O1509" s="116">
        <v>210.3</v>
      </c>
      <c r="P1509" s="116">
        <v>212.01666666666699</v>
      </c>
      <c r="Q1509" s="116">
        <v>633.75</v>
      </c>
      <c r="R1509">
        <v>64140</v>
      </c>
    </row>
    <row r="1510" spans="1:18" x14ac:dyDescent="0.25">
      <c r="A1510" s="169">
        <v>44718</v>
      </c>
      <c r="B1510" s="116">
        <v>230.333333333333</v>
      </c>
      <c r="C1510" s="116">
        <v>223.5</v>
      </c>
      <c r="D1510" s="116">
        <v>212.666666666667</v>
      </c>
      <c r="E1510" s="116">
        <v>212.666666666667</v>
      </c>
      <c r="F1510" s="116">
        <v>670.5</v>
      </c>
      <c r="G1510">
        <v>25459</v>
      </c>
      <c r="H1510" s="116"/>
      <c r="I1510" s="116"/>
      <c r="L1510" s="169">
        <v>44718</v>
      </c>
      <c r="M1510" s="116">
        <v>223.5</v>
      </c>
      <c r="N1510" s="116">
        <v>230.666666666667</v>
      </c>
      <c r="O1510" s="116">
        <v>211.96666666666701</v>
      </c>
      <c r="P1510" s="116">
        <v>215.8</v>
      </c>
      <c r="Q1510" s="116">
        <v>670.5</v>
      </c>
      <c r="R1510">
        <v>998382</v>
      </c>
    </row>
    <row r="1511" spans="1:18" x14ac:dyDescent="0.25">
      <c r="A1511" s="169">
        <v>44719</v>
      </c>
      <c r="B1511" s="116">
        <v>226.083333333333</v>
      </c>
      <c r="C1511" s="116">
        <v>223.95</v>
      </c>
      <c r="D1511" s="116">
        <v>215.35</v>
      </c>
      <c r="E1511" s="116">
        <v>223.5</v>
      </c>
      <c r="F1511" s="116">
        <v>671.85</v>
      </c>
      <c r="G1511">
        <v>15000</v>
      </c>
      <c r="H1511" s="116"/>
      <c r="I1511" s="116"/>
      <c r="L1511" s="169">
        <v>44719</v>
      </c>
      <c r="M1511" s="116">
        <v>223.88333333333301</v>
      </c>
      <c r="N1511" s="116">
        <v>226.666666666667</v>
      </c>
      <c r="O1511" s="116">
        <v>216.666666666667</v>
      </c>
      <c r="P1511" s="116">
        <v>222.333333333333</v>
      </c>
      <c r="Q1511" s="116">
        <v>671.65</v>
      </c>
      <c r="R1511">
        <v>141423</v>
      </c>
    </row>
    <row r="1512" spans="1:18" x14ac:dyDescent="0.25">
      <c r="A1512" s="169">
        <v>44720</v>
      </c>
      <c r="B1512" s="116">
        <v>231.583333333333</v>
      </c>
      <c r="C1512" s="116">
        <v>220.833333333333</v>
      </c>
      <c r="D1512" s="116">
        <v>219.4</v>
      </c>
      <c r="E1512" s="116">
        <v>223.95</v>
      </c>
      <c r="F1512" s="116">
        <v>662.5</v>
      </c>
      <c r="G1512">
        <v>18305</v>
      </c>
      <c r="H1512" s="116"/>
      <c r="I1512" s="116"/>
      <c r="L1512" s="169">
        <v>44720</v>
      </c>
      <c r="M1512" s="116">
        <v>221.6</v>
      </c>
      <c r="N1512" s="116">
        <v>231.65</v>
      </c>
      <c r="O1512" s="116">
        <v>219</v>
      </c>
      <c r="P1512" s="116">
        <v>224</v>
      </c>
      <c r="Q1512" s="116">
        <v>664.8</v>
      </c>
      <c r="R1512">
        <v>174705</v>
      </c>
    </row>
    <row r="1513" spans="1:18" x14ac:dyDescent="0.25">
      <c r="A1513" s="169">
        <v>44721</v>
      </c>
      <c r="B1513" s="116">
        <v>229.4</v>
      </c>
      <c r="C1513" s="116">
        <v>228.46666666666701</v>
      </c>
      <c r="D1513" s="116">
        <v>220.333333333333</v>
      </c>
      <c r="E1513" s="116">
        <v>220.333333333333</v>
      </c>
      <c r="F1513" s="116">
        <v>685.4</v>
      </c>
      <c r="G1513">
        <v>9490</v>
      </c>
      <c r="H1513" s="116"/>
      <c r="I1513" s="116"/>
      <c r="L1513" s="169">
        <v>44721</v>
      </c>
      <c r="M1513" s="116">
        <v>228.25</v>
      </c>
      <c r="N1513" s="116">
        <v>229.666666666667</v>
      </c>
      <c r="O1513" s="116">
        <v>220.333333333333</v>
      </c>
      <c r="P1513" s="116">
        <v>221.13333333333301</v>
      </c>
      <c r="Q1513" s="116">
        <v>684.75</v>
      </c>
      <c r="R1513">
        <v>106900</v>
      </c>
    </row>
    <row r="1514" spans="1:18" x14ac:dyDescent="0.25">
      <c r="A1514" s="169">
        <v>44722</v>
      </c>
      <c r="B1514" s="116">
        <v>241.71666666666701</v>
      </c>
      <c r="C1514" s="116">
        <v>239.1</v>
      </c>
      <c r="D1514" s="116">
        <v>225</v>
      </c>
      <c r="E1514" s="116">
        <v>227.333333333333</v>
      </c>
      <c r="F1514" s="116">
        <v>717.3</v>
      </c>
      <c r="G1514">
        <v>12075</v>
      </c>
      <c r="H1514" s="116"/>
      <c r="I1514" s="116"/>
      <c r="L1514" s="169">
        <v>44722</v>
      </c>
      <c r="M1514" s="116">
        <v>239.13333333333301</v>
      </c>
      <c r="N1514" s="116">
        <v>241.666666666667</v>
      </c>
      <c r="O1514" s="116">
        <v>224.96666666666701</v>
      </c>
      <c r="P1514" s="116">
        <v>228.98333333333301</v>
      </c>
      <c r="Q1514" s="116">
        <v>717.4</v>
      </c>
      <c r="R1514">
        <v>264785</v>
      </c>
    </row>
    <row r="1515" spans="1:18" x14ac:dyDescent="0.25">
      <c r="A1515" s="169">
        <v>44725</v>
      </c>
      <c r="B1515" s="116">
        <v>235.03333333333299</v>
      </c>
      <c r="C1515" s="116">
        <v>227.1</v>
      </c>
      <c r="D1515" s="116">
        <v>224.6</v>
      </c>
      <c r="E1515" s="116">
        <v>234.9</v>
      </c>
      <c r="F1515" s="116">
        <v>681.3</v>
      </c>
      <c r="G1515">
        <v>7994</v>
      </c>
      <c r="H1515" s="116"/>
      <c r="I1515" s="116"/>
      <c r="L1515" s="169">
        <v>44725</v>
      </c>
      <c r="M1515" s="116">
        <v>226.35</v>
      </c>
      <c r="N1515" s="116">
        <v>236.333333333333</v>
      </c>
      <c r="O1515" s="116">
        <v>225</v>
      </c>
      <c r="P1515" s="116">
        <v>232</v>
      </c>
      <c r="Q1515" s="116">
        <v>679.05</v>
      </c>
      <c r="R1515">
        <v>120431</v>
      </c>
    </row>
    <row r="1516" spans="1:18" x14ac:dyDescent="0.25">
      <c r="A1516" s="169">
        <v>44726</v>
      </c>
      <c r="B1516" s="116">
        <v>228.76666666666699</v>
      </c>
      <c r="C1516" s="116">
        <v>220.35</v>
      </c>
      <c r="D1516" s="116">
        <v>220</v>
      </c>
      <c r="E1516" s="116">
        <v>223.76666666666699</v>
      </c>
      <c r="F1516" s="116">
        <v>661.05</v>
      </c>
      <c r="G1516">
        <v>8717</v>
      </c>
      <c r="H1516" s="116"/>
      <c r="I1516" s="116"/>
      <c r="L1516" s="169">
        <v>44726</v>
      </c>
      <c r="M1516" s="116">
        <v>220.46666666666701</v>
      </c>
      <c r="N1516" s="116">
        <v>229.183333333333</v>
      </c>
      <c r="O1516" s="116">
        <v>219.88333333333301</v>
      </c>
      <c r="P1516" s="116">
        <v>226.333333333333</v>
      </c>
      <c r="Q1516" s="116">
        <v>661.4</v>
      </c>
      <c r="R1516">
        <v>79925</v>
      </c>
    </row>
    <row r="1517" spans="1:18" x14ac:dyDescent="0.25">
      <c r="A1517" s="169">
        <v>44727</v>
      </c>
      <c r="B1517" s="116">
        <v>223.01666666666699</v>
      </c>
      <c r="C1517" s="116">
        <v>221.38333333333301</v>
      </c>
      <c r="D1517" s="116">
        <v>220.01666666666699</v>
      </c>
      <c r="E1517" s="116">
        <v>221.5</v>
      </c>
      <c r="F1517" s="116">
        <v>664.15</v>
      </c>
      <c r="G1517">
        <v>4828</v>
      </c>
      <c r="H1517" s="116"/>
      <c r="I1517" s="116"/>
      <c r="L1517" s="169">
        <v>44727</v>
      </c>
      <c r="M1517" s="116">
        <v>221.416666666667</v>
      </c>
      <c r="N1517" s="116">
        <v>223.26666666666699</v>
      </c>
      <c r="O1517" s="116">
        <v>220</v>
      </c>
      <c r="P1517" s="116">
        <v>220.46666666666701</v>
      </c>
      <c r="Q1517" s="116">
        <v>664.25</v>
      </c>
      <c r="R1517">
        <v>29306</v>
      </c>
    </row>
    <row r="1518" spans="1:18" x14ac:dyDescent="0.25">
      <c r="A1518" s="169">
        <v>44728</v>
      </c>
      <c r="B1518" s="116">
        <v>236.6</v>
      </c>
      <c r="C1518" s="116">
        <v>214.9</v>
      </c>
      <c r="D1518" s="116">
        <v>214.183333333333</v>
      </c>
      <c r="E1518" s="116">
        <v>236.6</v>
      </c>
      <c r="F1518" s="116">
        <v>644.70000000000005</v>
      </c>
      <c r="G1518">
        <v>4597</v>
      </c>
      <c r="H1518" s="116"/>
      <c r="I1518" s="116"/>
      <c r="L1518" s="169">
        <v>44728</v>
      </c>
      <c r="M1518" s="116">
        <v>215.5</v>
      </c>
      <c r="N1518" s="116">
        <v>224.583333333333</v>
      </c>
      <c r="O1518" s="116">
        <v>212.5</v>
      </c>
      <c r="P1518" s="116">
        <v>223</v>
      </c>
      <c r="Q1518" s="116">
        <v>646.5</v>
      </c>
      <c r="R1518">
        <v>74494</v>
      </c>
    </row>
    <row r="1519" spans="1:18" x14ac:dyDescent="0.25">
      <c r="A1519" s="169">
        <v>44729</v>
      </c>
      <c r="B1519" s="116">
        <v>215.4</v>
      </c>
      <c r="C1519" s="116">
        <v>213.7</v>
      </c>
      <c r="D1519" s="116">
        <v>209.25</v>
      </c>
      <c r="E1519" s="116">
        <v>215.4</v>
      </c>
      <c r="F1519" s="116">
        <v>641.1</v>
      </c>
      <c r="G1519">
        <v>2099</v>
      </c>
      <c r="H1519" s="116"/>
      <c r="I1519" s="116"/>
      <c r="L1519" s="169">
        <v>44729</v>
      </c>
      <c r="M1519" s="116">
        <v>213.88333333333301</v>
      </c>
      <c r="N1519" s="116">
        <v>215.583333333333</v>
      </c>
      <c r="O1519" s="116">
        <v>208.65</v>
      </c>
      <c r="P1519" s="116">
        <v>215</v>
      </c>
      <c r="Q1519" s="116">
        <v>641.65</v>
      </c>
      <c r="R1519">
        <v>38639</v>
      </c>
    </row>
    <row r="1520" spans="1:18" x14ac:dyDescent="0.25">
      <c r="A1520" s="169">
        <v>44732</v>
      </c>
      <c r="B1520" s="116">
        <v>217.183333333333</v>
      </c>
      <c r="C1520" s="116">
        <v>210.183333333333</v>
      </c>
      <c r="D1520" s="116">
        <v>209.433333333333</v>
      </c>
      <c r="E1520" s="116">
        <v>214.333333333333</v>
      </c>
      <c r="F1520" s="116">
        <v>630.54999999999995</v>
      </c>
      <c r="G1520">
        <v>3240</v>
      </c>
      <c r="H1520" s="116"/>
      <c r="I1520" s="116"/>
      <c r="L1520" s="169">
        <v>44732</v>
      </c>
      <c r="M1520" s="116">
        <v>210.55</v>
      </c>
      <c r="N1520" s="116">
        <v>217.28333333333299</v>
      </c>
      <c r="O1520" s="116">
        <v>209.316666666667</v>
      </c>
      <c r="P1520" s="116">
        <v>213.333333333333</v>
      </c>
      <c r="Q1520" s="116">
        <v>631.65</v>
      </c>
      <c r="R1520">
        <v>45910</v>
      </c>
    </row>
    <row r="1521" spans="1:18" x14ac:dyDescent="0.25">
      <c r="A1521" s="169">
        <v>44733</v>
      </c>
      <c r="B1521" s="116">
        <v>214.5</v>
      </c>
      <c r="C1521" s="116">
        <v>213.21666666666701</v>
      </c>
      <c r="D1521" s="116">
        <v>212.5</v>
      </c>
      <c r="E1521" s="116">
        <v>213.98333333333301</v>
      </c>
      <c r="F1521" s="116">
        <v>639.65</v>
      </c>
      <c r="G1521">
        <v>1378</v>
      </c>
      <c r="H1521" s="116"/>
      <c r="I1521" s="116"/>
      <c r="L1521" s="169">
        <v>44733</v>
      </c>
      <c r="M1521" s="116">
        <v>213.28333333333299</v>
      </c>
      <c r="N1521" s="116">
        <v>214.76666666666699</v>
      </c>
      <c r="O1521" s="116">
        <v>211.666666666667</v>
      </c>
      <c r="P1521" s="116">
        <v>214</v>
      </c>
      <c r="Q1521" s="116">
        <v>639.85</v>
      </c>
      <c r="R1521">
        <v>16525</v>
      </c>
    </row>
    <row r="1522" spans="1:18" x14ac:dyDescent="0.25">
      <c r="A1522" s="169">
        <v>44734</v>
      </c>
      <c r="B1522" s="116">
        <v>213.38333333333301</v>
      </c>
      <c r="C1522" s="116">
        <v>211.416666666667</v>
      </c>
      <c r="D1522" s="116">
        <v>208.333333333333</v>
      </c>
      <c r="E1522" s="116">
        <v>213.333333333333</v>
      </c>
      <c r="F1522" s="116">
        <v>634.25</v>
      </c>
      <c r="G1522">
        <v>1911</v>
      </c>
      <c r="H1522" s="116"/>
      <c r="I1522" s="116"/>
      <c r="L1522" s="169">
        <v>44734</v>
      </c>
      <c r="M1522" s="116">
        <v>211.2</v>
      </c>
      <c r="N1522" s="116">
        <v>213.98333333333301</v>
      </c>
      <c r="O1522" s="116">
        <v>206.7</v>
      </c>
      <c r="P1522" s="116">
        <v>206.7</v>
      </c>
      <c r="Q1522" s="116">
        <v>633.6</v>
      </c>
      <c r="R1522">
        <v>34718</v>
      </c>
    </row>
    <row r="1523" spans="1:18" x14ac:dyDescent="0.25">
      <c r="A1523" s="169">
        <v>44735</v>
      </c>
      <c r="B1523" s="116">
        <v>215</v>
      </c>
      <c r="C1523" s="116">
        <v>207.6</v>
      </c>
      <c r="D1523" s="116">
        <v>206.75</v>
      </c>
      <c r="E1523" s="116">
        <v>212</v>
      </c>
      <c r="F1523" s="116">
        <v>622.79999999999995</v>
      </c>
      <c r="G1523">
        <v>8793</v>
      </c>
      <c r="H1523" s="116"/>
      <c r="I1523" s="116"/>
      <c r="L1523" s="169">
        <v>44735</v>
      </c>
      <c r="M1523" s="116">
        <v>207.73333333333301</v>
      </c>
      <c r="N1523" s="116">
        <v>215.28333333333299</v>
      </c>
      <c r="O1523" s="116">
        <v>206.7</v>
      </c>
      <c r="P1523" s="116">
        <v>212.26666666666699</v>
      </c>
      <c r="Q1523" s="116">
        <v>623.20000000000005</v>
      </c>
      <c r="R1523">
        <v>65083</v>
      </c>
    </row>
    <row r="1524" spans="1:18" x14ac:dyDescent="0.25">
      <c r="A1524" s="169">
        <v>44736</v>
      </c>
      <c r="B1524" s="116">
        <v>212.38333333333301</v>
      </c>
      <c r="C1524" s="116">
        <v>209.51666666666699</v>
      </c>
      <c r="D1524" s="116">
        <v>208.333333333333</v>
      </c>
      <c r="E1524" s="116">
        <v>209.96666666666701</v>
      </c>
      <c r="F1524" s="116">
        <v>628.54999999999995</v>
      </c>
      <c r="G1524">
        <v>3146</v>
      </c>
      <c r="H1524" s="116"/>
      <c r="I1524" s="116"/>
      <c r="L1524" s="169">
        <v>44736</v>
      </c>
      <c r="M1524" s="116">
        <v>209.88333333333301</v>
      </c>
      <c r="N1524" s="116">
        <v>212.65</v>
      </c>
      <c r="O1524" s="116">
        <v>208.21666666666701</v>
      </c>
      <c r="P1524" s="116">
        <v>210.6</v>
      </c>
      <c r="Q1524" s="116">
        <v>629.65</v>
      </c>
      <c r="R1524">
        <v>28187</v>
      </c>
    </row>
    <row r="1525" spans="1:18" x14ac:dyDescent="0.25">
      <c r="A1525" s="169">
        <v>44739</v>
      </c>
      <c r="B1525" s="116">
        <v>216.666666666667</v>
      </c>
      <c r="C1525" s="116">
        <v>209.65</v>
      </c>
      <c r="D1525" s="116">
        <v>208.666666666667</v>
      </c>
      <c r="E1525" s="116">
        <v>211.88333333333301</v>
      </c>
      <c r="F1525" s="116">
        <v>628.95000000000005</v>
      </c>
      <c r="G1525">
        <v>8438</v>
      </c>
      <c r="H1525" s="116"/>
      <c r="I1525" s="116"/>
      <c r="L1525" s="169">
        <v>44739</v>
      </c>
      <c r="M1525" s="116">
        <v>209.833333333333</v>
      </c>
      <c r="N1525" s="116">
        <v>216.683333333333</v>
      </c>
      <c r="O1525" s="116">
        <v>208.333333333333</v>
      </c>
      <c r="P1525" s="116">
        <v>212</v>
      </c>
      <c r="Q1525" s="116">
        <v>629.5</v>
      </c>
      <c r="R1525">
        <v>81769</v>
      </c>
    </row>
    <row r="1526" spans="1:18" x14ac:dyDescent="0.25">
      <c r="A1526" s="169">
        <v>44740</v>
      </c>
      <c r="B1526" s="116">
        <v>212.51666666666699</v>
      </c>
      <c r="C1526" s="116">
        <v>210.416666666667</v>
      </c>
      <c r="D1526" s="116">
        <v>209.48333333333301</v>
      </c>
      <c r="E1526" s="116">
        <v>211.13333333333301</v>
      </c>
      <c r="F1526" s="116">
        <v>631.25</v>
      </c>
      <c r="G1526">
        <v>3927</v>
      </c>
      <c r="H1526" s="116"/>
      <c r="I1526" s="116"/>
      <c r="L1526" s="169">
        <v>44740</v>
      </c>
      <c r="M1526" s="116">
        <v>210.46666666666701</v>
      </c>
      <c r="N1526" s="116">
        <v>212.683333333333</v>
      </c>
      <c r="O1526" s="116">
        <v>209.666666666667</v>
      </c>
      <c r="P1526" s="116">
        <v>211.65</v>
      </c>
      <c r="Q1526" s="116">
        <v>631.4</v>
      </c>
      <c r="R1526">
        <v>53700</v>
      </c>
    </row>
    <row r="1527" spans="1:18" x14ac:dyDescent="0.25">
      <c r="A1527" s="169">
        <v>44741</v>
      </c>
      <c r="B1527" s="116">
        <v>212.65</v>
      </c>
      <c r="C1527" s="116">
        <v>208.583333333333</v>
      </c>
      <c r="D1527" s="116">
        <v>208.333333333333</v>
      </c>
      <c r="E1527" s="116">
        <v>209.666666666667</v>
      </c>
      <c r="F1527" s="116">
        <v>625.75</v>
      </c>
      <c r="G1527">
        <v>3369</v>
      </c>
      <c r="H1527" s="116"/>
      <c r="I1527" s="116"/>
      <c r="L1527" s="169">
        <v>44741</v>
      </c>
      <c r="M1527" s="116">
        <v>208.65</v>
      </c>
      <c r="N1527" s="116">
        <v>212.816666666667</v>
      </c>
      <c r="O1527" s="116">
        <v>208.2</v>
      </c>
      <c r="P1527" s="116">
        <v>211.333333333333</v>
      </c>
      <c r="Q1527" s="116">
        <v>625.95000000000005</v>
      </c>
      <c r="R1527">
        <v>50715</v>
      </c>
    </row>
    <row r="1528" spans="1:18" x14ac:dyDescent="0.25">
      <c r="A1528" s="169">
        <v>44742</v>
      </c>
      <c r="B1528" s="116">
        <v>211.583333333333</v>
      </c>
      <c r="C1528" s="116">
        <v>207.083333333333</v>
      </c>
      <c r="D1528" s="116">
        <v>206.75</v>
      </c>
      <c r="E1528" s="116">
        <v>210.6</v>
      </c>
      <c r="F1528" s="116">
        <v>621.25</v>
      </c>
      <c r="G1528">
        <v>2054</v>
      </c>
      <c r="H1528" s="116"/>
      <c r="I1528" s="116"/>
      <c r="L1528" s="169">
        <v>44742</v>
      </c>
      <c r="M1528" s="116">
        <v>207.01666666666699</v>
      </c>
      <c r="N1528" s="116">
        <v>211.5</v>
      </c>
      <c r="O1528" s="116">
        <v>206.666666666667</v>
      </c>
      <c r="P1528" s="116">
        <v>209.7</v>
      </c>
      <c r="Q1528" s="116">
        <v>621.04999999999995</v>
      </c>
      <c r="R1528">
        <v>39668</v>
      </c>
    </row>
    <row r="1529" spans="1:18" x14ac:dyDescent="0.25">
      <c r="A1529" s="169">
        <v>44743</v>
      </c>
      <c r="B1529" s="116">
        <v>208.23333333333301</v>
      </c>
      <c r="C1529" s="116">
        <v>205.71666666666701</v>
      </c>
      <c r="D1529" s="116">
        <v>204.5</v>
      </c>
      <c r="E1529" s="116">
        <v>208</v>
      </c>
      <c r="F1529" s="116">
        <v>617.15</v>
      </c>
      <c r="G1529">
        <v>4363</v>
      </c>
      <c r="H1529" s="116"/>
      <c r="I1529" s="116"/>
      <c r="L1529" s="169">
        <v>44743</v>
      </c>
      <c r="M1529" s="116">
        <v>205.583333333333</v>
      </c>
      <c r="N1529" s="116">
        <v>209</v>
      </c>
      <c r="O1529" s="116">
        <v>204.4</v>
      </c>
      <c r="P1529" s="116">
        <v>207.63333333333301</v>
      </c>
      <c r="Q1529" s="116">
        <v>616.75</v>
      </c>
      <c r="R1529">
        <v>33220</v>
      </c>
    </row>
    <row r="1530" spans="1:18" x14ac:dyDescent="0.25">
      <c r="A1530" s="169">
        <v>44746</v>
      </c>
      <c r="B1530" s="116">
        <v>208.183333333333</v>
      </c>
      <c r="C1530" s="116">
        <v>206.65</v>
      </c>
      <c r="D1530" s="116">
        <v>205.71666666666701</v>
      </c>
      <c r="E1530" s="116">
        <v>205.71666666666701</v>
      </c>
      <c r="F1530" s="116">
        <v>619.95000000000005</v>
      </c>
      <c r="G1530">
        <v>2005</v>
      </c>
      <c r="H1530" s="116"/>
      <c r="I1530" s="116"/>
      <c r="L1530" s="169">
        <v>44746</v>
      </c>
      <c r="M1530" s="116">
        <v>206.4</v>
      </c>
      <c r="N1530" s="116">
        <v>207.98333333333301</v>
      </c>
      <c r="O1530" s="116">
        <v>205.666666666667</v>
      </c>
      <c r="P1530" s="116">
        <v>207</v>
      </c>
      <c r="Q1530" s="116">
        <v>619.20000000000005</v>
      </c>
      <c r="R1530">
        <v>10436</v>
      </c>
    </row>
    <row r="1531" spans="1:18" x14ac:dyDescent="0.25">
      <c r="A1531" s="169">
        <v>44747</v>
      </c>
      <c r="B1531" s="116">
        <v>211.666666666667</v>
      </c>
      <c r="C1531" s="116">
        <v>204.683333333333</v>
      </c>
      <c r="D1531" s="116">
        <v>203.26666666666699</v>
      </c>
      <c r="E1531" s="116">
        <v>208.183333333333</v>
      </c>
      <c r="F1531" s="116">
        <v>614.04999999999995</v>
      </c>
      <c r="G1531">
        <v>6796</v>
      </c>
      <c r="H1531" s="116"/>
      <c r="I1531" s="116"/>
      <c r="L1531" s="169">
        <v>44747</v>
      </c>
      <c r="M1531" s="116">
        <v>204.666666666667</v>
      </c>
      <c r="N1531" s="116">
        <v>211.933333333333</v>
      </c>
      <c r="O1531" s="116">
        <v>203.01666666666699</v>
      </c>
      <c r="P1531" s="116">
        <v>207.666666666667</v>
      </c>
      <c r="Q1531" s="116">
        <v>614</v>
      </c>
      <c r="R1531">
        <v>99408</v>
      </c>
    </row>
    <row r="1532" spans="1:18" x14ac:dyDescent="0.25">
      <c r="A1532" s="169">
        <v>44748</v>
      </c>
      <c r="B1532" s="116">
        <v>207.75</v>
      </c>
      <c r="C1532" s="116">
        <v>205.083333333333</v>
      </c>
      <c r="D1532" s="116">
        <v>203.333333333333</v>
      </c>
      <c r="E1532" s="116">
        <v>207.75</v>
      </c>
      <c r="F1532" s="116">
        <v>615.25</v>
      </c>
      <c r="G1532">
        <v>4193</v>
      </c>
      <c r="H1532" s="116"/>
      <c r="I1532" s="116"/>
      <c r="L1532" s="169">
        <v>44748</v>
      </c>
      <c r="M1532" s="116">
        <v>204.45</v>
      </c>
      <c r="N1532" s="116">
        <v>208.3</v>
      </c>
      <c r="O1532" s="116">
        <v>202.666666666667</v>
      </c>
      <c r="P1532" s="116">
        <v>207.666666666667</v>
      </c>
      <c r="Q1532" s="116">
        <v>613.35</v>
      </c>
      <c r="R1532">
        <v>21298</v>
      </c>
    </row>
    <row r="1533" spans="1:18" x14ac:dyDescent="0.25">
      <c r="A1533" s="169">
        <v>44749</v>
      </c>
      <c r="B1533" s="116">
        <v>208.833333333333</v>
      </c>
      <c r="C1533" s="116">
        <v>207.46666666666701</v>
      </c>
      <c r="D1533" s="116">
        <v>206.28333333333299</v>
      </c>
      <c r="E1533" s="116">
        <v>206.333333333333</v>
      </c>
      <c r="F1533" s="116">
        <v>622.4</v>
      </c>
      <c r="G1533">
        <v>5172</v>
      </c>
      <c r="H1533" s="116"/>
      <c r="I1533" s="116"/>
      <c r="L1533" s="169">
        <v>44749</v>
      </c>
      <c r="M1533" s="116">
        <v>207.2</v>
      </c>
      <c r="N1533" s="116">
        <v>208.666666666667</v>
      </c>
      <c r="O1533" s="116">
        <v>206</v>
      </c>
      <c r="P1533" s="116">
        <v>206</v>
      </c>
      <c r="Q1533" s="116">
        <v>621.6</v>
      </c>
      <c r="R1533">
        <v>19954</v>
      </c>
    </row>
    <row r="1534" spans="1:18" x14ac:dyDescent="0.25">
      <c r="A1534" s="169">
        <v>44750</v>
      </c>
      <c r="B1534" s="116">
        <v>209.23333333333301</v>
      </c>
      <c r="C1534" s="116">
        <v>206.816666666667</v>
      </c>
      <c r="D1534" s="116">
        <v>205.666666666667</v>
      </c>
      <c r="E1534" s="116">
        <v>208.88333333333301</v>
      </c>
      <c r="F1534" s="116">
        <v>620.45000000000005</v>
      </c>
      <c r="G1534">
        <v>2108</v>
      </c>
      <c r="H1534" s="116"/>
      <c r="I1534" s="116"/>
      <c r="L1534" s="169">
        <v>44750</v>
      </c>
      <c r="M1534" s="116">
        <v>206.65</v>
      </c>
      <c r="N1534" s="116">
        <v>209.38333333333301</v>
      </c>
      <c r="O1534" s="116">
        <v>205.53333333333299</v>
      </c>
      <c r="P1534" s="116">
        <v>208.333333333333</v>
      </c>
      <c r="Q1534" s="116">
        <v>619.95000000000005</v>
      </c>
      <c r="R1534">
        <v>18430</v>
      </c>
    </row>
    <row r="1535" spans="1:18" x14ac:dyDescent="0.25">
      <c r="A1535" s="169">
        <v>44753</v>
      </c>
      <c r="B1535" s="116">
        <v>210.15</v>
      </c>
      <c r="C1535" s="116">
        <v>207.36666666666699</v>
      </c>
      <c r="D1535" s="116">
        <v>204.78333333333299</v>
      </c>
      <c r="E1535" s="116">
        <v>210.15</v>
      </c>
      <c r="F1535" s="116">
        <v>622.1</v>
      </c>
      <c r="G1535">
        <v>4048</v>
      </c>
      <c r="H1535" s="116"/>
      <c r="I1535" s="116"/>
      <c r="L1535" s="169">
        <v>44753</v>
      </c>
      <c r="M1535" s="116">
        <v>207.25</v>
      </c>
      <c r="N1535" s="116">
        <v>209</v>
      </c>
      <c r="O1535" s="116">
        <v>204.666666666667</v>
      </c>
      <c r="P1535" s="116">
        <v>207.666666666667</v>
      </c>
      <c r="Q1535" s="116">
        <v>621.75</v>
      </c>
      <c r="R1535">
        <v>34094</v>
      </c>
    </row>
    <row r="1536" spans="1:18" x14ac:dyDescent="0.25">
      <c r="A1536" s="169">
        <v>44754</v>
      </c>
      <c r="B1536" s="116">
        <v>211.23333333333301</v>
      </c>
      <c r="C1536" s="116">
        <v>206.28333333333299</v>
      </c>
      <c r="D1536" s="116">
        <v>205.666666666667</v>
      </c>
      <c r="E1536" s="116">
        <v>211.23333333333301</v>
      </c>
      <c r="F1536" s="116">
        <v>618.85</v>
      </c>
      <c r="G1536">
        <v>4567</v>
      </c>
      <c r="H1536" s="116"/>
      <c r="I1536" s="116"/>
      <c r="L1536" s="169">
        <v>44754</v>
      </c>
      <c r="M1536" s="116">
        <v>206.933333333333</v>
      </c>
      <c r="N1536" s="116">
        <v>208.86666666666699</v>
      </c>
      <c r="O1536" s="116">
        <v>206</v>
      </c>
      <c r="P1536" s="116">
        <v>207.5</v>
      </c>
      <c r="Q1536" s="116">
        <v>620.79999999999995</v>
      </c>
      <c r="R1536">
        <v>15905</v>
      </c>
    </row>
    <row r="1537" spans="1:18" x14ac:dyDescent="0.25">
      <c r="A1537" s="169">
        <v>44755</v>
      </c>
      <c r="B1537" s="116">
        <v>208.183333333333</v>
      </c>
      <c r="C1537" s="116">
        <v>205.71666666666701</v>
      </c>
      <c r="D1537" s="116">
        <v>204.71666666666701</v>
      </c>
      <c r="E1537" s="116">
        <v>207.35</v>
      </c>
      <c r="F1537" s="116">
        <v>617.15</v>
      </c>
      <c r="G1537">
        <v>1537</v>
      </c>
      <c r="H1537" s="116"/>
      <c r="I1537" s="116"/>
      <c r="L1537" s="169">
        <v>44755</v>
      </c>
      <c r="M1537" s="116">
        <v>205.98333333333301</v>
      </c>
      <c r="N1537" s="116">
        <v>208.25</v>
      </c>
      <c r="O1537" s="116">
        <v>204.61666666666699</v>
      </c>
      <c r="P1537" s="116">
        <v>205.35</v>
      </c>
      <c r="Q1537" s="116">
        <v>617.95000000000005</v>
      </c>
      <c r="R1537">
        <v>19809</v>
      </c>
    </row>
    <row r="1538" spans="1:18" x14ac:dyDescent="0.25">
      <c r="A1538" s="169">
        <v>44756</v>
      </c>
      <c r="B1538" s="116">
        <v>211.23333333333301</v>
      </c>
      <c r="C1538" s="116">
        <v>206.36666666666699</v>
      </c>
      <c r="D1538" s="116">
        <v>205.35</v>
      </c>
      <c r="E1538" s="116">
        <v>205.98333333333301</v>
      </c>
      <c r="F1538" s="116">
        <v>619.1</v>
      </c>
      <c r="G1538">
        <v>3958</v>
      </c>
      <c r="H1538" s="116"/>
      <c r="I1538" s="116"/>
      <c r="L1538" s="169">
        <v>44756</v>
      </c>
      <c r="M1538" s="116">
        <v>206.816666666667</v>
      </c>
      <c r="N1538" s="116">
        <v>211.566666666667</v>
      </c>
      <c r="O1538" s="116">
        <v>205</v>
      </c>
      <c r="P1538" s="116">
        <v>207</v>
      </c>
      <c r="Q1538" s="116">
        <v>620.45000000000005</v>
      </c>
      <c r="R1538">
        <v>48630</v>
      </c>
    </row>
    <row r="1539" spans="1:18" x14ac:dyDescent="0.25">
      <c r="A1539" s="169">
        <v>44757</v>
      </c>
      <c r="B1539" s="116">
        <v>207.28333333333299</v>
      </c>
      <c r="C1539" s="116">
        <v>206.1</v>
      </c>
      <c r="D1539" s="116">
        <v>205</v>
      </c>
      <c r="E1539" s="116">
        <v>205</v>
      </c>
      <c r="F1539" s="116">
        <v>618.29999999999995</v>
      </c>
      <c r="G1539">
        <v>959</v>
      </c>
      <c r="H1539" s="116"/>
      <c r="I1539" s="116"/>
      <c r="L1539" s="169">
        <v>44757</v>
      </c>
      <c r="M1539" s="116">
        <v>205.86666666666699</v>
      </c>
      <c r="N1539" s="116">
        <v>207.5</v>
      </c>
      <c r="O1539" s="116">
        <v>205.666666666667</v>
      </c>
      <c r="P1539" s="116">
        <v>207</v>
      </c>
      <c r="Q1539" s="116">
        <v>617.6</v>
      </c>
      <c r="R1539">
        <v>10594</v>
      </c>
    </row>
    <row r="1540" spans="1:18" x14ac:dyDescent="0.25">
      <c r="A1540" s="169">
        <v>44760</v>
      </c>
      <c r="B1540" s="116">
        <v>208.333333333333</v>
      </c>
      <c r="C1540" s="116">
        <v>206.98333333333301</v>
      </c>
      <c r="D1540" s="116">
        <v>205.666666666667</v>
      </c>
      <c r="E1540" s="116">
        <v>207.23333333333301</v>
      </c>
      <c r="F1540" s="116">
        <v>620.95000000000005</v>
      </c>
      <c r="G1540">
        <v>3096</v>
      </c>
      <c r="H1540" s="116"/>
      <c r="I1540" s="116"/>
      <c r="L1540" s="169">
        <v>44760</v>
      </c>
      <c r="M1540" s="116">
        <v>207.03333333333299</v>
      </c>
      <c r="N1540" s="116">
        <v>208.4</v>
      </c>
      <c r="O1540" s="116">
        <v>205.666666666667</v>
      </c>
      <c r="P1540" s="116">
        <v>206.333333333333</v>
      </c>
      <c r="Q1540" s="116">
        <v>621.1</v>
      </c>
      <c r="R1540">
        <v>32928</v>
      </c>
    </row>
    <row r="1541" spans="1:18" x14ac:dyDescent="0.25">
      <c r="A1541" s="169">
        <v>44761</v>
      </c>
      <c r="B1541" s="116">
        <v>212.833333333333</v>
      </c>
      <c r="C1541" s="116">
        <v>206.25</v>
      </c>
      <c r="D1541" s="116">
        <v>205.71666666666701</v>
      </c>
      <c r="E1541" s="116">
        <v>208.333333333333</v>
      </c>
      <c r="F1541" s="116">
        <v>618.75</v>
      </c>
      <c r="G1541">
        <v>2714</v>
      </c>
      <c r="H1541" s="116"/>
      <c r="I1541" s="116"/>
      <c r="L1541" s="169">
        <v>44761</v>
      </c>
      <c r="M1541" s="116">
        <v>206.38333333333301</v>
      </c>
      <c r="N1541" s="116">
        <v>212.61666666666699</v>
      </c>
      <c r="O1541" s="116">
        <v>205</v>
      </c>
      <c r="P1541" s="116">
        <v>208.333333333333</v>
      </c>
      <c r="Q1541" s="116">
        <v>619.15</v>
      </c>
      <c r="R1541">
        <v>69898</v>
      </c>
    </row>
    <row r="1542" spans="1:18" x14ac:dyDescent="0.25">
      <c r="A1542" s="169">
        <v>44762</v>
      </c>
      <c r="B1542" s="116">
        <v>209.13333333333301</v>
      </c>
      <c r="C1542" s="116">
        <v>207.28333333333299</v>
      </c>
      <c r="D1542" s="116">
        <v>206.816666666667</v>
      </c>
      <c r="E1542" s="116">
        <v>208.933333333333</v>
      </c>
      <c r="F1542" s="116">
        <v>621.85</v>
      </c>
      <c r="G1542">
        <v>1745</v>
      </c>
      <c r="H1542" s="116"/>
      <c r="I1542" s="116"/>
      <c r="L1542" s="169">
        <v>44762</v>
      </c>
      <c r="M1542" s="116">
        <v>207.25</v>
      </c>
      <c r="N1542" s="116">
        <v>209.666666666667</v>
      </c>
      <c r="O1542" s="116">
        <v>206.666666666667</v>
      </c>
      <c r="P1542" s="116">
        <v>208.333333333333</v>
      </c>
      <c r="Q1542" s="116">
        <v>621.75</v>
      </c>
      <c r="R1542">
        <v>47811</v>
      </c>
    </row>
    <row r="1543" spans="1:18" x14ac:dyDescent="0.25">
      <c r="A1543" s="169">
        <v>44763</v>
      </c>
      <c r="B1543" s="116">
        <v>208.933333333333</v>
      </c>
      <c r="C1543" s="116">
        <v>203.38333333333301</v>
      </c>
      <c r="D1543" s="116">
        <v>201</v>
      </c>
      <c r="E1543" s="116">
        <v>207.26666666666699</v>
      </c>
      <c r="F1543" s="116">
        <v>610.15</v>
      </c>
      <c r="G1543">
        <v>12380</v>
      </c>
      <c r="H1543" s="116"/>
      <c r="I1543" s="116"/>
      <c r="L1543" s="169">
        <v>44763</v>
      </c>
      <c r="M1543" s="116">
        <v>202.933333333333</v>
      </c>
      <c r="N1543" s="116">
        <v>208.96666666666701</v>
      </c>
      <c r="O1543" s="116">
        <v>201</v>
      </c>
      <c r="P1543" s="116">
        <v>208</v>
      </c>
      <c r="Q1543" s="116">
        <v>608.79999999999995</v>
      </c>
      <c r="R1543">
        <v>137029</v>
      </c>
    </row>
    <row r="1544" spans="1:18" x14ac:dyDescent="0.25">
      <c r="A1544" s="169">
        <v>44764</v>
      </c>
      <c r="B1544" s="116">
        <v>209.96666666666701</v>
      </c>
      <c r="C1544" s="116">
        <v>205.48333333333301</v>
      </c>
      <c r="D1544" s="116">
        <v>203.36666666666699</v>
      </c>
      <c r="E1544" s="116">
        <v>203.666666666667</v>
      </c>
      <c r="F1544" s="116">
        <v>616.45000000000005</v>
      </c>
      <c r="G1544">
        <v>18661</v>
      </c>
      <c r="H1544" s="116"/>
      <c r="I1544" s="116"/>
      <c r="L1544" s="169">
        <v>44764</v>
      </c>
      <c r="M1544" s="116">
        <v>204.916666666667</v>
      </c>
      <c r="N1544" s="116">
        <v>210</v>
      </c>
      <c r="O1544" s="116">
        <v>203.11666666666699</v>
      </c>
      <c r="P1544" s="116">
        <v>203.666666666667</v>
      </c>
      <c r="Q1544" s="116">
        <v>614.75</v>
      </c>
      <c r="R1544">
        <v>209370</v>
      </c>
    </row>
    <row r="1545" spans="1:18" x14ac:dyDescent="0.25">
      <c r="A1545" s="169">
        <v>44767</v>
      </c>
      <c r="B1545" s="116">
        <v>208.333333333333</v>
      </c>
      <c r="C1545" s="116">
        <v>207.3</v>
      </c>
      <c r="D1545" s="116">
        <v>204.916666666667</v>
      </c>
      <c r="E1545" s="116">
        <v>206.666666666667</v>
      </c>
      <c r="F1545" s="116">
        <v>621.9</v>
      </c>
      <c r="G1545">
        <v>10490</v>
      </c>
      <c r="H1545" s="116"/>
      <c r="I1545" s="116"/>
      <c r="L1545" s="169">
        <v>44767</v>
      </c>
      <c r="M1545" s="116">
        <v>207.333333333333</v>
      </c>
      <c r="N1545" s="116">
        <v>208.35</v>
      </c>
      <c r="O1545" s="116">
        <v>205</v>
      </c>
      <c r="P1545" s="116">
        <v>207.3</v>
      </c>
      <c r="Q1545" s="116">
        <v>622</v>
      </c>
      <c r="R1545">
        <v>64844</v>
      </c>
    </row>
    <row r="1546" spans="1:18" x14ac:dyDescent="0.25">
      <c r="A1546" s="169">
        <v>44768</v>
      </c>
      <c r="B1546" s="116">
        <v>210.916666666667</v>
      </c>
      <c r="C1546" s="116">
        <v>206.76666666666699</v>
      </c>
      <c r="D1546" s="116">
        <v>206.333333333333</v>
      </c>
      <c r="E1546" s="116">
        <v>210</v>
      </c>
      <c r="F1546" s="116">
        <v>620.29999999999995</v>
      </c>
      <c r="G1546">
        <v>5341</v>
      </c>
      <c r="H1546" s="116"/>
      <c r="I1546" s="116"/>
      <c r="L1546" s="169">
        <v>44768</v>
      </c>
      <c r="M1546" s="116">
        <v>206.63333333333301</v>
      </c>
      <c r="N1546" s="116">
        <v>211.333333333333</v>
      </c>
      <c r="O1546" s="116">
        <v>206</v>
      </c>
      <c r="P1546" s="116">
        <v>209.3</v>
      </c>
      <c r="Q1546" s="116">
        <v>619.9</v>
      </c>
      <c r="R1546">
        <v>75411</v>
      </c>
    </row>
    <row r="1547" spans="1:18" x14ac:dyDescent="0.25">
      <c r="A1547" s="169">
        <v>44769</v>
      </c>
      <c r="B1547" s="116">
        <v>209.65</v>
      </c>
      <c r="C1547" s="116">
        <v>208.183333333333</v>
      </c>
      <c r="D1547" s="116">
        <v>206.36666666666699</v>
      </c>
      <c r="E1547" s="116">
        <v>206.76666666666699</v>
      </c>
      <c r="F1547" s="116">
        <v>624.54999999999995</v>
      </c>
      <c r="G1547">
        <v>6001</v>
      </c>
      <c r="H1547" s="116"/>
      <c r="I1547" s="116"/>
      <c r="L1547" s="169">
        <v>44769</v>
      </c>
      <c r="M1547" s="116">
        <v>208.86666666666699</v>
      </c>
      <c r="N1547" s="116">
        <v>209.666666666667</v>
      </c>
      <c r="O1547" s="116">
        <v>206.333333333333</v>
      </c>
      <c r="P1547" s="116">
        <v>208.333333333333</v>
      </c>
      <c r="Q1547" s="116">
        <v>626.6</v>
      </c>
      <c r="R1547">
        <v>35827</v>
      </c>
    </row>
    <row r="1548" spans="1:18" x14ac:dyDescent="0.25">
      <c r="A1548" s="169">
        <v>44770</v>
      </c>
      <c r="B1548" s="116">
        <v>211.183333333333</v>
      </c>
      <c r="C1548" s="116">
        <v>207.416666666667</v>
      </c>
      <c r="D1548" s="116">
        <v>206.7</v>
      </c>
      <c r="E1548" s="116">
        <v>211.183333333333</v>
      </c>
      <c r="F1548" s="116">
        <v>622.25</v>
      </c>
      <c r="G1548">
        <v>1951</v>
      </c>
      <c r="H1548" s="116"/>
      <c r="I1548" s="116"/>
      <c r="L1548" s="169">
        <v>44770</v>
      </c>
      <c r="M1548" s="116">
        <v>207.183333333333</v>
      </c>
      <c r="N1548" s="116">
        <v>209.666666666667</v>
      </c>
      <c r="O1548" s="116">
        <v>206.666666666667</v>
      </c>
      <c r="P1548" s="116">
        <v>209.666666666667</v>
      </c>
      <c r="Q1548" s="116">
        <v>621.54999999999995</v>
      </c>
      <c r="R1548">
        <v>27639</v>
      </c>
    </row>
    <row r="1549" spans="1:18" x14ac:dyDescent="0.25">
      <c r="A1549" s="169">
        <v>44771</v>
      </c>
      <c r="B1549" s="116">
        <v>215.583333333333</v>
      </c>
      <c r="C1549" s="116">
        <v>213.36666666666699</v>
      </c>
      <c r="D1549" s="116">
        <v>207.78333333333299</v>
      </c>
      <c r="E1549" s="116">
        <v>211</v>
      </c>
      <c r="F1549" s="116">
        <v>640.1</v>
      </c>
      <c r="G1549">
        <v>15122</v>
      </c>
      <c r="H1549" s="116"/>
      <c r="I1549" s="116"/>
      <c r="L1549" s="169">
        <v>44771</v>
      </c>
      <c r="M1549" s="116">
        <v>213.03333333333299</v>
      </c>
      <c r="N1549" s="116">
        <v>215.98333333333301</v>
      </c>
      <c r="O1549" s="116">
        <v>207.333333333333</v>
      </c>
      <c r="P1549" s="116">
        <v>207.333333333333</v>
      </c>
      <c r="Q1549" s="116">
        <v>639.1</v>
      </c>
      <c r="R1549">
        <v>139413</v>
      </c>
    </row>
    <row r="1550" spans="1:18" x14ac:dyDescent="0.25">
      <c r="A1550" s="169">
        <v>44774</v>
      </c>
      <c r="B1550" s="116">
        <v>220.48333333333301</v>
      </c>
      <c r="C1550" s="116">
        <v>219.01666666666699</v>
      </c>
      <c r="D1550" s="116">
        <v>212.96666666666701</v>
      </c>
      <c r="E1550" s="116">
        <v>214.88333333333301</v>
      </c>
      <c r="F1550" s="116">
        <v>657.05</v>
      </c>
      <c r="G1550">
        <v>18268</v>
      </c>
      <c r="H1550" s="116"/>
      <c r="I1550" s="116"/>
      <c r="L1550" s="169">
        <v>44774</v>
      </c>
      <c r="M1550" s="116">
        <v>219.166666666667</v>
      </c>
      <c r="N1550" s="116">
        <v>220.53333333333299</v>
      </c>
      <c r="O1550" s="116">
        <v>213.1</v>
      </c>
      <c r="P1550" s="116">
        <v>216.316666666667</v>
      </c>
      <c r="Q1550" s="116">
        <v>657.5</v>
      </c>
      <c r="R1550">
        <v>138043</v>
      </c>
    </row>
    <row r="1551" spans="1:18" x14ac:dyDescent="0.25">
      <c r="A1551" s="169">
        <v>44775</v>
      </c>
      <c r="B1551" s="116">
        <v>215.666666666667</v>
      </c>
      <c r="C1551" s="116">
        <v>210.96666666666701</v>
      </c>
      <c r="D1551" s="116">
        <v>208.2</v>
      </c>
      <c r="E1551" s="116">
        <v>215.666666666667</v>
      </c>
      <c r="F1551" s="116">
        <v>632.9</v>
      </c>
      <c r="G1551">
        <v>12180</v>
      </c>
      <c r="H1551" s="116"/>
      <c r="I1551" s="116"/>
      <c r="L1551" s="169">
        <v>44775</v>
      </c>
      <c r="M1551" s="116">
        <v>211</v>
      </c>
      <c r="N1551" s="116">
        <v>215.25</v>
      </c>
      <c r="O1551" s="116">
        <v>207.833333333333</v>
      </c>
      <c r="P1551" s="116">
        <v>215</v>
      </c>
      <c r="Q1551" s="116">
        <v>633</v>
      </c>
      <c r="R1551">
        <v>189250</v>
      </c>
    </row>
    <row r="1552" spans="1:18" x14ac:dyDescent="0.25">
      <c r="A1552" s="169">
        <v>44776</v>
      </c>
      <c r="B1552" s="116">
        <v>213.35</v>
      </c>
      <c r="C1552" s="116">
        <v>210.3</v>
      </c>
      <c r="D1552" s="116">
        <v>209.433333333333</v>
      </c>
      <c r="E1552" s="116">
        <v>212.316666666667</v>
      </c>
      <c r="F1552" s="116">
        <v>630.9</v>
      </c>
      <c r="G1552">
        <v>2255</v>
      </c>
      <c r="H1552" s="116"/>
      <c r="I1552" s="116"/>
      <c r="L1552" s="169">
        <v>44776</v>
      </c>
      <c r="M1552" s="116">
        <v>210.05</v>
      </c>
      <c r="N1552" s="116">
        <v>213.333333333333</v>
      </c>
      <c r="O1552" s="116">
        <v>209.433333333333</v>
      </c>
      <c r="P1552" s="116">
        <v>213.333333333333</v>
      </c>
      <c r="Q1552" s="116">
        <v>630.15</v>
      </c>
      <c r="R1552">
        <v>50387</v>
      </c>
    </row>
    <row r="1553" spans="1:18" x14ac:dyDescent="0.25">
      <c r="A1553" s="169">
        <v>44777</v>
      </c>
      <c r="B1553" s="116">
        <v>213</v>
      </c>
      <c r="C1553" s="116">
        <v>209.05</v>
      </c>
      <c r="D1553" s="116">
        <v>207.9</v>
      </c>
      <c r="E1553" s="116">
        <v>213</v>
      </c>
      <c r="F1553" s="116">
        <v>627.15</v>
      </c>
      <c r="G1553">
        <v>7669</v>
      </c>
      <c r="H1553" s="116"/>
      <c r="I1553" s="116"/>
      <c r="L1553" s="169">
        <v>44777</v>
      </c>
      <c r="M1553" s="116">
        <v>209.066666666667</v>
      </c>
      <c r="N1553" s="116">
        <v>212.15</v>
      </c>
      <c r="O1553" s="116">
        <v>207.916666666667</v>
      </c>
      <c r="P1553" s="116">
        <v>212.15</v>
      </c>
      <c r="Q1553" s="116">
        <v>627.20000000000005</v>
      </c>
      <c r="R1553">
        <v>58417</v>
      </c>
    </row>
    <row r="1554" spans="1:18" x14ac:dyDescent="0.25">
      <c r="A1554" s="169">
        <v>44778</v>
      </c>
      <c r="B1554" s="116">
        <v>212.833333333333</v>
      </c>
      <c r="C1554" s="116">
        <v>210.11666666666699</v>
      </c>
      <c r="D1554" s="116">
        <v>208.333333333333</v>
      </c>
      <c r="E1554" s="116">
        <v>208.333333333333</v>
      </c>
      <c r="F1554" s="116">
        <v>630.35</v>
      </c>
      <c r="G1554">
        <v>621</v>
      </c>
      <c r="H1554" s="116"/>
      <c r="I1554" s="116"/>
      <c r="L1554" s="169">
        <v>44778</v>
      </c>
      <c r="M1554" s="116">
        <v>210.166666666667</v>
      </c>
      <c r="N1554" s="116">
        <v>212.95</v>
      </c>
      <c r="O1554" s="116">
        <v>209.333333333333</v>
      </c>
      <c r="P1554" s="116">
        <v>209.333333333333</v>
      </c>
      <c r="Q1554" s="116">
        <v>630.5</v>
      </c>
      <c r="R1554">
        <v>34861</v>
      </c>
    </row>
    <row r="1555" spans="1:18" x14ac:dyDescent="0.25">
      <c r="A1555" s="169">
        <v>44781</v>
      </c>
      <c r="B1555" s="116">
        <v>216.666666666667</v>
      </c>
      <c r="C1555" s="116">
        <v>211.61666666666699</v>
      </c>
      <c r="D1555" s="116">
        <v>209.816666666667</v>
      </c>
      <c r="E1555" s="116">
        <v>216.666666666667</v>
      </c>
      <c r="F1555" s="116">
        <v>634.85</v>
      </c>
      <c r="G1555">
        <v>2452</v>
      </c>
      <c r="H1555" s="116"/>
      <c r="I1555" s="116"/>
      <c r="L1555" s="169">
        <v>44781</v>
      </c>
      <c r="M1555" s="116">
        <v>211.2</v>
      </c>
      <c r="N1555" s="116">
        <v>213.26666666666699</v>
      </c>
      <c r="O1555" s="116">
        <v>209.53333333333299</v>
      </c>
      <c r="P1555" s="116">
        <v>211.23333333333301</v>
      </c>
      <c r="Q1555" s="116">
        <v>633.6</v>
      </c>
      <c r="R1555">
        <v>33215</v>
      </c>
    </row>
    <row r="1556" spans="1:18" x14ac:dyDescent="0.25">
      <c r="A1556" s="169">
        <v>44783</v>
      </c>
      <c r="B1556" s="116">
        <v>213.333333333333</v>
      </c>
      <c r="C1556" s="116">
        <v>209.01666666666699</v>
      </c>
      <c r="D1556" s="116">
        <v>207.916666666667</v>
      </c>
      <c r="E1556" s="116">
        <v>213.333333333333</v>
      </c>
      <c r="F1556" s="116">
        <v>627.04999999999995</v>
      </c>
      <c r="G1556">
        <v>6717</v>
      </c>
      <c r="H1556" s="116"/>
      <c r="I1556" s="116"/>
      <c r="L1556" s="169">
        <v>44783</v>
      </c>
      <c r="M1556" s="116">
        <v>209.25</v>
      </c>
      <c r="N1556" s="116">
        <v>213.01666666666699</v>
      </c>
      <c r="O1556" s="116">
        <v>207.9</v>
      </c>
      <c r="P1556" s="116">
        <v>211.666666666667</v>
      </c>
      <c r="Q1556" s="116">
        <v>627.75</v>
      </c>
      <c r="R1556">
        <v>44998</v>
      </c>
    </row>
    <row r="1557" spans="1:18" x14ac:dyDescent="0.25">
      <c r="A1557" s="169">
        <v>44784</v>
      </c>
      <c r="B1557" s="116">
        <v>212.38333333333301</v>
      </c>
      <c r="C1557" s="116">
        <v>210.316666666667</v>
      </c>
      <c r="D1557" s="116">
        <v>208.88333333333301</v>
      </c>
      <c r="E1557" s="116">
        <v>210</v>
      </c>
      <c r="F1557" s="116">
        <v>630.95000000000005</v>
      </c>
      <c r="G1557">
        <v>2045</v>
      </c>
      <c r="H1557" s="116"/>
      <c r="I1557" s="116"/>
      <c r="L1557" s="169">
        <v>44784</v>
      </c>
      <c r="M1557" s="116">
        <v>210.36666666666699</v>
      </c>
      <c r="N1557" s="116">
        <v>212.53333333333299</v>
      </c>
      <c r="O1557" s="116">
        <v>208.61666666666699</v>
      </c>
      <c r="P1557" s="116">
        <v>209.25</v>
      </c>
      <c r="Q1557" s="116">
        <v>631.1</v>
      </c>
      <c r="R1557">
        <v>35939</v>
      </c>
    </row>
    <row r="1558" spans="1:18" x14ac:dyDescent="0.25">
      <c r="A1558" s="169">
        <v>44785</v>
      </c>
      <c r="B1558" s="116">
        <v>211.03333333333299</v>
      </c>
      <c r="C1558" s="116">
        <v>207.666666666667</v>
      </c>
      <c r="D1558" s="116">
        <v>206.683333333333</v>
      </c>
      <c r="E1558" s="116">
        <v>210.95</v>
      </c>
      <c r="F1558" s="116">
        <v>623</v>
      </c>
      <c r="G1558">
        <v>3038</v>
      </c>
      <c r="H1558" s="116"/>
      <c r="I1558" s="116"/>
      <c r="L1558" s="169">
        <v>44785</v>
      </c>
      <c r="M1558" s="116">
        <v>207.26666666666699</v>
      </c>
      <c r="N1558" s="116">
        <v>211.433333333333</v>
      </c>
      <c r="O1558" s="116">
        <v>206.666666666667</v>
      </c>
      <c r="P1558" s="116">
        <v>211.433333333333</v>
      </c>
      <c r="Q1558" s="116">
        <v>621.79999999999995</v>
      </c>
      <c r="R1558">
        <v>54163</v>
      </c>
    </row>
    <row r="1559" spans="1:18" x14ac:dyDescent="0.25">
      <c r="A1559" s="169">
        <v>44789</v>
      </c>
      <c r="B1559" s="116">
        <v>208.25</v>
      </c>
      <c r="C1559" s="116">
        <v>207.083333333333</v>
      </c>
      <c r="D1559" s="116">
        <v>206</v>
      </c>
      <c r="E1559" s="116">
        <v>206.683333333333</v>
      </c>
      <c r="F1559" s="116">
        <v>621.25</v>
      </c>
      <c r="G1559">
        <v>6529</v>
      </c>
      <c r="H1559" s="116"/>
      <c r="I1559" s="116"/>
      <c r="L1559" s="169">
        <v>44789</v>
      </c>
      <c r="M1559" s="116">
        <v>207.01666666666699</v>
      </c>
      <c r="N1559" s="116">
        <v>208.316666666667</v>
      </c>
      <c r="O1559" s="116">
        <v>206.1</v>
      </c>
      <c r="P1559" s="116">
        <v>207.71666666666701</v>
      </c>
      <c r="Q1559" s="116">
        <v>621.04999999999995</v>
      </c>
      <c r="R1559">
        <v>39074</v>
      </c>
    </row>
    <row r="1560" spans="1:18" x14ac:dyDescent="0.25">
      <c r="A1560" s="169">
        <v>44790</v>
      </c>
      <c r="B1560" s="116">
        <v>211.666666666667</v>
      </c>
      <c r="C1560" s="116">
        <v>211.15</v>
      </c>
      <c r="D1560" s="116">
        <v>206.55</v>
      </c>
      <c r="E1560" s="116">
        <v>208.15</v>
      </c>
      <c r="F1560" s="116">
        <v>633.45000000000005</v>
      </c>
      <c r="G1560">
        <v>11271</v>
      </c>
      <c r="H1560" s="116"/>
      <c r="I1560" s="116"/>
      <c r="L1560" s="169">
        <v>44790</v>
      </c>
      <c r="M1560" s="116">
        <v>211.3</v>
      </c>
      <c r="N1560" s="116">
        <v>211.95</v>
      </c>
      <c r="O1560" s="116">
        <v>206.666666666667</v>
      </c>
      <c r="P1560" s="116">
        <v>208.333333333333</v>
      </c>
      <c r="Q1560" s="116">
        <v>633.9</v>
      </c>
      <c r="R1560">
        <v>101904</v>
      </c>
    </row>
    <row r="1561" spans="1:18" x14ac:dyDescent="0.25">
      <c r="A1561" s="169">
        <v>44791</v>
      </c>
      <c r="B1561" s="116">
        <v>218.833333333333</v>
      </c>
      <c r="C1561" s="116">
        <v>217.46666666666701</v>
      </c>
      <c r="D1561" s="116">
        <v>210.3</v>
      </c>
      <c r="E1561" s="116">
        <v>211</v>
      </c>
      <c r="F1561" s="116">
        <v>652.4</v>
      </c>
      <c r="G1561">
        <v>5974</v>
      </c>
      <c r="H1561" s="116"/>
      <c r="I1561" s="116"/>
      <c r="L1561" s="169">
        <v>44791</v>
      </c>
      <c r="M1561" s="116">
        <v>217.26666666666699</v>
      </c>
      <c r="N1561" s="116">
        <v>218.85</v>
      </c>
      <c r="O1561" s="116">
        <v>209.98333333333301</v>
      </c>
      <c r="P1561" s="116">
        <v>210</v>
      </c>
      <c r="Q1561" s="116">
        <v>651.79999999999995</v>
      </c>
      <c r="R1561">
        <v>219915</v>
      </c>
    </row>
    <row r="1562" spans="1:18" x14ac:dyDescent="0.25">
      <c r="A1562" s="169">
        <v>44792</v>
      </c>
      <c r="B1562" s="116">
        <v>223.03333333333299</v>
      </c>
      <c r="C1562" s="116">
        <v>218.51666666666699</v>
      </c>
      <c r="D1562" s="116">
        <v>212.38333333333301</v>
      </c>
      <c r="E1562" s="116">
        <v>219.35</v>
      </c>
      <c r="F1562" s="116">
        <v>655.55</v>
      </c>
      <c r="G1562">
        <v>18027</v>
      </c>
      <c r="H1562" s="116"/>
      <c r="I1562" s="116"/>
      <c r="L1562" s="169">
        <v>44792</v>
      </c>
      <c r="M1562" s="116">
        <v>218.416666666667</v>
      </c>
      <c r="N1562" s="116">
        <v>223.28333333333299</v>
      </c>
      <c r="O1562" s="116">
        <v>212.666666666667</v>
      </c>
      <c r="P1562" s="116">
        <v>218.96666666666701</v>
      </c>
      <c r="Q1562" s="116">
        <v>655.25</v>
      </c>
      <c r="R1562">
        <v>141277</v>
      </c>
    </row>
    <row r="1563" spans="1:18" x14ac:dyDescent="0.25">
      <c r="A1563" s="169">
        <v>44795</v>
      </c>
      <c r="B1563" s="116">
        <v>216.666666666667</v>
      </c>
      <c r="C1563" s="116">
        <v>213.11666666666699</v>
      </c>
      <c r="D1563" s="116">
        <v>210.46666666666701</v>
      </c>
      <c r="E1563" s="116">
        <v>216.666666666667</v>
      </c>
      <c r="F1563" s="116">
        <v>639.35</v>
      </c>
      <c r="G1563">
        <v>11780</v>
      </c>
      <c r="H1563" s="116"/>
      <c r="I1563" s="116"/>
      <c r="L1563" s="169">
        <v>44795</v>
      </c>
      <c r="M1563" s="116">
        <v>213.13333333333301</v>
      </c>
      <c r="N1563" s="116">
        <v>217.23333333333301</v>
      </c>
      <c r="O1563" s="116">
        <v>210.78333333333299</v>
      </c>
      <c r="P1563" s="116">
        <v>217.23333333333301</v>
      </c>
      <c r="Q1563" s="116">
        <v>639.4</v>
      </c>
      <c r="R1563">
        <v>56959</v>
      </c>
    </row>
    <row r="1564" spans="1:18" x14ac:dyDescent="0.25">
      <c r="A1564" s="169">
        <v>44796</v>
      </c>
      <c r="B1564" s="116">
        <v>212.316666666667</v>
      </c>
      <c r="C1564" s="116">
        <v>208.85</v>
      </c>
      <c r="D1564" s="116">
        <v>208.333333333333</v>
      </c>
      <c r="E1564" s="116">
        <v>211.683333333333</v>
      </c>
      <c r="F1564" s="116">
        <v>626.54999999999995</v>
      </c>
      <c r="G1564">
        <v>2644</v>
      </c>
      <c r="H1564" s="116"/>
      <c r="I1564" s="116"/>
      <c r="L1564" s="169">
        <v>44796</v>
      </c>
      <c r="M1564" s="116">
        <v>208.98333333333301</v>
      </c>
      <c r="N1564" s="116">
        <v>212.38333333333301</v>
      </c>
      <c r="O1564" s="116">
        <v>208.333333333333</v>
      </c>
      <c r="P1564" s="116">
        <v>212</v>
      </c>
      <c r="Q1564" s="116">
        <v>626.95000000000005</v>
      </c>
      <c r="R1564">
        <v>55903</v>
      </c>
    </row>
    <row r="1565" spans="1:18" x14ac:dyDescent="0.25">
      <c r="A1565" s="169">
        <v>44797</v>
      </c>
      <c r="B1565" s="116">
        <v>212.916666666667</v>
      </c>
      <c r="C1565" s="116">
        <v>210.38333333333301</v>
      </c>
      <c r="D1565" s="116">
        <v>209.03333333333299</v>
      </c>
      <c r="E1565" s="116">
        <v>209.583333333333</v>
      </c>
      <c r="F1565" s="116">
        <v>631.15</v>
      </c>
      <c r="G1565">
        <v>1617</v>
      </c>
      <c r="H1565" s="116"/>
      <c r="I1565" s="116"/>
      <c r="L1565" s="169">
        <v>44797</v>
      </c>
      <c r="M1565" s="116">
        <v>210.25</v>
      </c>
      <c r="N1565" s="116">
        <v>211.36666666666699</v>
      </c>
      <c r="O1565" s="116">
        <v>208.666666666667</v>
      </c>
      <c r="P1565" s="116">
        <v>210.03333333333299</v>
      </c>
      <c r="Q1565" s="116">
        <v>630.75</v>
      </c>
      <c r="R1565">
        <v>43998</v>
      </c>
    </row>
    <row r="1566" spans="1:18" x14ac:dyDescent="0.25">
      <c r="A1566" s="169">
        <v>44798</v>
      </c>
      <c r="B1566" s="116">
        <v>211.416666666667</v>
      </c>
      <c r="C1566" s="116">
        <v>209.11666666666699</v>
      </c>
      <c r="D1566" s="116">
        <v>208.333333333333</v>
      </c>
      <c r="E1566" s="116">
        <v>210.816666666667</v>
      </c>
      <c r="F1566" s="116">
        <v>627.35</v>
      </c>
      <c r="G1566">
        <v>8697</v>
      </c>
      <c r="H1566" s="116"/>
      <c r="I1566" s="116"/>
      <c r="L1566" s="169">
        <v>44798</v>
      </c>
      <c r="M1566" s="116">
        <v>209.25</v>
      </c>
      <c r="N1566" s="116">
        <v>211.666666666667</v>
      </c>
      <c r="O1566" s="116">
        <v>208.666666666667</v>
      </c>
      <c r="P1566" s="116">
        <v>210.25</v>
      </c>
      <c r="Q1566" s="116">
        <v>627.75</v>
      </c>
      <c r="R1566">
        <v>48719</v>
      </c>
    </row>
    <row r="1567" spans="1:18" x14ac:dyDescent="0.25">
      <c r="A1567" s="169">
        <v>44799</v>
      </c>
      <c r="B1567" s="116">
        <v>211.183333333333</v>
      </c>
      <c r="C1567" s="116">
        <v>209.55</v>
      </c>
      <c r="D1567" s="116">
        <v>208.95</v>
      </c>
      <c r="E1567" s="116">
        <v>210</v>
      </c>
      <c r="F1567" s="116">
        <v>628.65</v>
      </c>
      <c r="G1567">
        <v>1883</v>
      </c>
      <c r="H1567" s="116"/>
      <c r="I1567" s="116"/>
      <c r="L1567" s="169">
        <v>44799</v>
      </c>
      <c r="M1567" s="116">
        <v>209.21666666666701</v>
      </c>
      <c r="N1567" s="116">
        <v>211.48333333333301</v>
      </c>
      <c r="O1567" s="116">
        <v>208.916666666667</v>
      </c>
      <c r="P1567" s="116">
        <v>210.51666666666699</v>
      </c>
      <c r="Q1567" s="116">
        <v>627.65</v>
      </c>
      <c r="R1567">
        <v>25736</v>
      </c>
    </row>
    <row r="1568" spans="1:18" x14ac:dyDescent="0.25">
      <c r="A1568" s="169">
        <v>44802</v>
      </c>
      <c r="B1568" s="116">
        <v>208.78333333333299</v>
      </c>
      <c r="C1568" s="116">
        <v>203.333333333333</v>
      </c>
      <c r="D1568" s="116">
        <v>200</v>
      </c>
      <c r="E1568" s="116">
        <v>200</v>
      </c>
      <c r="F1568" s="116">
        <v>610</v>
      </c>
      <c r="G1568">
        <v>609733</v>
      </c>
      <c r="H1568" s="116"/>
      <c r="I1568" s="116"/>
      <c r="L1568" s="169">
        <v>44802</v>
      </c>
      <c r="M1568" s="116">
        <v>203.75</v>
      </c>
      <c r="N1568" s="116">
        <v>208.9</v>
      </c>
      <c r="O1568" s="116">
        <v>200.3</v>
      </c>
      <c r="P1568" s="116">
        <v>206.666666666667</v>
      </c>
      <c r="Q1568" s="116">
        <v>611.25</v>
      </c>
      <c r="R1568">
        <v>559311</v>
      </c>
    </row>
    <row r="1569" spans="1:18" x14ac:dyDescent="0.25">
      <c r="A1569" s="169">
        <v>44803</v>
      </c>
      <c r="B1569" s="116">
        <v>207.28333333333299</v>
      </c>
      <c r="C1569" s="116">
        <v>206.3</v>
      </c>
      <c r="D1569" s="116">
        <v>204.666666666667</v>
      </c>
      <c r="E1569" s="116">
        <v>206.65</v>
      </c>
      <c r="F1569" s="116">
        <v>618.9</v>
      </c>
      <c r="G1569">
        <v>4933</v>
      </c>
      <c r="H1569" s="116"/>
      <c r="I1569" s="116"/>
      <c r="L1569" s="169">
        <v>44803</v>
      </c>
      <c r="M1569" s="116">
        <v>206.166666666667</v>
      </c>
      <c r="N1569" s="116">
        <v>207.666666666667</v>
      </c>
      <c r="O1569" s="116">
        <v>203.88333333333301</v>
      </c>
      <c r="P1569" s="116">
        <v>207.666666666667</v>
      </c>
      <c r="Q1569" s="116">
        <v>618.5</v>
      </c>
      <c r="R1569">
        <v>90765</v>
      </c>
    </row>
    <row r="1570" spans="1:18" x14ac:dyDescent="0.25">
      <c r="A1570" s="169">
        <v>44805</v>
      </c>
      <c r="B1570" s="116">
        <v>207.05</v>
      </c>
      <c r="C1570" s="116">
        <v>206.48333333333301</v>
      </c>
      <c r="D1570" s="116">
        <v>203.01666666666699</v>
      </c>
      <c r="E1570" s="116">
        <v>205</v>
      </c>
      <c r="F1570" s="116">
        <v>619.45000000000005</v>
      </c>
      <c r="G1570">
        <v>7000</v>
      </c>
      <c r="H1570" s="116"/>
      <c r="I1570" s="116"/>
      <c r="L1570" s="169">
        <v>44805</v>
      </c>
      <c r="M1570" s="116">
        <v>206.5</v>
      </c>
      <c r="N1570" s="116">
        <v>207.166666666667</v>
      </c>
      <c r="O1570" s="116">
        <v>203.333333333333</v>
      </c>
      <c r="P1570" s="116">
        <v>205</v>
      </c>
      <c r="Q1570" s="116">
        <v>619.5</v>
      </c>
      <c r="R1570">
        <v>32996</v>
      </c>
    </row>
    <row r="1571" spans="1:18" x14ac:dyDescent="0.25">
      <c r="A1571" s="169">
        <v>44806</v>
      </c>
      <c r="B1571" s="116">
        <v>209.433333333333</v>
      </c>
      <c r="C1571" s="116">
        <v>206.683333333333</v>
      </c>
      <c r="D1571" s="116">
        <v>205</v>
      </c>
      <c r="E1571" s="116">
        <v>205</v>
      </c>
      <c r="F1571" s="116">
        <v>620.04999999999995</v>
      </c>
      <c r="G1571">
        <v>2375</v>
      </c>
      <c r="H1571" s="116"/>
      <c r="I1571" s="116"/>
      <c r="L1571" s="169">
        <v>44806</v>
      </c>
      <c r="M1571" s="116">
        <v>206.666666666667</v>
      </c>
      <c r="N1571" s="116">
        <v>209.5</v>
      </c>
      <c r="O1571" s="116">
        <v>205.666666666667</v>
      </c>
      <c r="P1571" s="116">
        <v>207.333333333333</v>
      </c>
      <c r="Q1571" s="116">
        <v>620</v>
      </c>
      <c r="R1571">
        <v>43009</v>
      </c>
    </row>
    <row r="1572" spans="1:18" x14ac:dyDescent="0.25">
      <c r="A1572" s="169">
        <v>44809</v>
      </c>
      <c r="B1572" s="116">
        <v>213.333333333333</v>
      </c>
      <c r="C1572" s="116">
        <v>210.333333333333</v>
      </c>
      <c r="D1572" s="116">
        <v>206.78333333333299</v>
      </c>
      <c r="E1572" s="116">
        <v>207.816666666667</v>
      </c>
      <c r="F1572" s="116">
        <v>631</v>
      </c>
      <c r="G1572">
        <v>11793</v>
      </c>
      <c r="H1572" s="116"/>
      <c r="I1572" s="116"/>
      <c r="L1572" s="169">
        <v>44809</v>
      </c>
      <c r="M1572" s="116">
        <v>210.35</v>
      </c>
      <c r="N1572" s="116">
        <v>213.26666666666699</v>
      </c>
      <c r="O1572" s="116">
        <v>206.666666666667</v>
      </c>
      <c r="P1572" s="116">
        <v>206.666666666667</v>
      </c>
      <c r="Q1572" s="116">
        <v>631.04999999999995</v>
      </c>
      <c r="R1572">
        <v>62060</v>
      </c>
    </row>
    <row r="1573" spans="1:18" x14ac:dyDescent="0.25">
      <c r="A1573" s="169">
        <v>44810</v>
      </c>
      <c r="B1573" s="116">
        <v>218.38333333333301</v>
      </c>
      <c r="C1573" s="116">
        <v>216.933333333333</v>
      </c>
      <c r="D1573" s="116">
        <v>210.433333333333</v>
      </c>
      <c r="E1573" s="116">
        <v>210.5</v>
      </c>
      <c r="F1573" s="116">
        <v>650.79999999999995</v>
      </c>
      <c r="G1573">
        <v>4417</v>
      </c>
      <c r="H1573" s="116"/>
      <c r="I1573" s="116"/>
      <c r="L1573" s="169">
        <v>44810</v>
      </c>
      <c r="M1573" s="116">
        <v>216.7</v>
      </c>
      <c r="N1573" s="116">
        <v>218.666666666667</v>
      </c>
      <c r="O1573" s="116">
        <v>210</v>
      </c>
      <c r="P1573" s="116">
        <v>210</v>
      </c>
      <c r="Q1573" s="116">
        <v>650.1</v>
      </c>
      <c r="R1573">
        <v>125998</v>
      </c>
    </row>
    <row r="1574" spans="1:18" x14ac:dyDescent="0.25">
      <c r="A1574" s="169">
        <v>44811</v>
      </c>
      <c r="B1574" s="116">
        <v>221.183333333333</v>
      </c>
      <c r="C1574" s="116">
        <v>219.11666666666699</v>
      </c>
      <c r="D1574" s="116">
        <v>215</v>
      </c>
      <c r="E1574" s="116">
        <v>217.23333333333301</v>
      </c>
      <c r="F1574" s="116">
        <v>657.35</v>
      </c>
      <c r="G1574">
        <v>11424</v>
      </c>
      <c r="H1574" s="116"/>
      <c r="I1574" s="116"/>
      <c r="L1574" s="169">
        <v>44811</v>
      </c>
      <c r="M1574" s="116">
        <v>219.4</v>
      </c>
      <c r="N1574" s="116">
        <v>221.333333333333</v>
      </c>
      <c r="O1574" s="116">
        <v>215.166666666667</v>
      </c>
      <c r="P1574" s="116">
        <v>217.95</v>
      </c>
      <c r="Q1574" s="116">
        <v>658.2</v>
      </c>
      <c r="R1574">
        <v>71007</v>
      </c>
    </row>
    <row r="1575" spans="1:18" x14ac:dyDescent="0.25">
      <c r="A1575" s="169">
        <v>44812</v>
      </c>
      <c r="B1575" s="116">
        <v>240.666666666667</v>
      </c>
      <c r="C1575" s="116">
        <v>229.11666666666699</v>
      </c>
      <c r="D1575" s="116">
        <v>219</v>
      </c>
      <c r="E1575" s="116">
        <v>219</v>
      </c>
      <c r="F1575" s="116">
        <v>687.35</v>
      </c>
      <c r="G1575">
        <v>49244</v>
      </c>
      <c r="H1575" s="116"/>
      <c r="I1575" s="116"/>
      <c r="L1575" s="169">
        <v>44812</v>
      </c>
      <c r="M1575" s="116">
        <v>229.65</v>
      </c>
      <c r="N1575" s="116">
        <v>241</v>
      </c>
      <c r="O1575" s="116">
        <v>220</v>
      </c>
      <c r="P1575" s="116">
        <v>220.666666666667</v>
      </c>
      <c r="Q1575" s="116">
        <v>688.95</v>
      </c>
      <c r="R1575">
        <v>1710781</v>
      </c>
    </row>
    <row r="1576" spans="1:18" x14ac:dyDescent="0.25">
      <c r="A1576" s="169">
        <v>44813</v>
      </c>
      <c r="B1576" s="116">
        <v>239.433333333333</v>
      </c>
      <c r="C1576" s="116">
        <v>235.933333333333</v>
      </c>
      <c r="D1576" s="116">
        <v>227.23333333333301</v>
      </c>
      <c r="E1576" s="116">
        <v>229.98333333333301</v>
      </c>
      <c r="F1576" s="116">
        <v>707.8</v>
      </c>
      <c r="G1576">
        <v>11488</v>
      </c>
      <c r="H1576" s="116"/>
      <c r="I1576" s="116"/>
      <c r="L1576" s="169">
        <v>44813</v>
      </c>
      <c r="M1576" s="116">
        <v>236.4</v>
      </c>
      <c r="N1576" s="116">
        <v>238.26666666666699</v>
      </c>
      <c r="O1576" s="116">
        <v>227</v>
      </c>
      <c r="P1576" s="116">
        <v>230.666666666667</v>
      </c>
      <c r="Q1576" s="116">
        <v>709.2</v>
      </c>
      <c r="R1576">
        <v>237008</v>
      </c>
    </row>
    <row r="1577" spans="1:18" x14ac:dyDescent="0.25">
      <c r="A1577" s="169">
        <v>44816</v>
      </c>
      <c r="B1577" s="116">
        <v>241.55</v>
      </c>
      <c r="C1577" s="116">
        <v>238.55</v>
      </c>
      <c r="D1577" s="116">
        <v>235.6</v>
      </c>
      <c r="E1577" s="116">
        <v>240</v>
      </c>
      <c r="F1577" s="116">
        <v>715.65</v>
      </c>
      <c r="G1577">
        <v>23622</v>
      </c>
      <c r="H1577" s="116"/>
      <c r="I1577" s="116"/>
      <c r="L1577" s="169">
        <v>44816</v>
      </c>
      <c r="M1577" s="116">
        <v>238.46666666666701</v>
      </c>
      <c r="N1577" s="116">
        <v>242</v>
      </c>
      <c r="O1577" s="116">
        <v>235.316666666667</v>
      </c>
      <c r="P1577" s="116">
        <v>239</v>
      </c>
      <c r="Q1577" s="116">
        <v>715.4</v>
      </c>
      <c r="R1577">
        <v>180713</v>
      </c>
    </row>
    <row r="1578" spans="1:18" x14ac:dyDescent="0.25">
      <c r="A1578" s="169">
        <v>44817</v>
      </c>
      <c r="B1578" s="116">
        <v>246.45</v>
      </c>
      <c r="C1578" s="116">
        <v>234.166666666667</v>
      </c>
      <c r="D1578" s="116">
        <v>231.666666666667</v>
      </c>
      <c r="E1578" s="116">
        <v>243.333333333333</v>
      </c>
      <c r="F1578" s="116">
        <v>702.5</v>
      </c>
      <c r="G1578">
        <v>32175</v>
      </c>
      <c r="H1578" s="116"/>
      <c r="I1578" s="116"/>
      <c r="L1578" s="169">
        <v>44817</v>
      </c>
      <c r="M1578" s="116">
        <v>234.13333333333301</v>
      </c>
      <c r="N1578" s="116">
        <v>247.333333333333</v>
      </c>
      <c r="O1578" s="116">
        <v>231.55</v>
      </c>
      <c r="P1578" s="116">
        <v>244.333333333333</v>
      </c>
      <c r="Q1578" s="116">
        <v>702.4</v>
      </c>
      <c r="R1578">
        <v>266281</v>
      </c>
    </row>
    <row r="1579" spans="1:18" x14ac:dyDescent="0.25">
      <c r="A1579" s="169">
        <v>44818</v>
      </c>
      <c r="B1579" s="116">
        <v>236.666666666667</v>
      </c>
      <c r="C1579" s="116">
        <v>233.53333333333299</v>
      </c>
      <c r="D1579" s="116">
        <v>226.666666666667</v>
      </c>
      <c r="E1579" s="116">
        <v>226.666666666667</v>
      </c>
      <c r="F1579" s="116">
        <v>700.6</v>
      </c>
      <c r="G1579">
        <v>66256</v>
      </c>
      <c r="H1579" s="116"/>
      <c r="I1579" s="116"/>
      <c r="L1579" s="169">
        <v>44818</v>
      </c>
      <c r="M1579" s="116">
        <v>233.71666666666701</v>
      </c>
      <c r="N1579" s="116">
        <v>236.183333333333</v>
      </c>
      <c r="O1579" s="116">
        <v>227.01666666666699</v>
      </c>
      <c r="P1579" s="116">
        <v>227.566666666667</v>
      </c>
      <c r="Q1579" s="116">
        <v>701.15</v>
      </c>
      <c r="R1579">
        <v>156413</v>
      </c>
    </row>
    <row r="1580" spans="1:18" x14ac:dyDescent="0.25">
      <c r="A1580" s="169">
        <v>44819</v>
      </c>
      <c r="B1580" s="116">
        <v>239.666666666667</v>
      </c>
      <c r="C1580" s="116">
        <v>237.13333333333301</v>
      </c>
      <c r="D1580" s="116">
        <v>231.4</v>
      </c>
      <c r="E1580" s="116">
        <v>231.666666666667</v>
      </c>
      <c r="F1580" s="116">
        <v>711.4</v>
      </c>
      <c r="G1580">
        <v>3786</v>
      </c>
      <c r="H1580" s="116"/>
      <c r="I1580" s="116"/>
      <c r="L1580" s="169">
        <v>44819</v>
      </c>
      <c r="M1580" s="116">
        <v>237.86666666666699</v>
      </c>
      <c r="N1580" s="116">
        <v>239.75</v>
      </c>
      <c r="O1580" s="116">
        <v>231.03333333333299</v>
      </c>
      <c r="P1580" s="116">
        <v>233.333333333333</v>
      </c>
      <c r="Q1580" s="116">
        <v>713.6</v>
      </c>
      <c r="R1580">
        <v>109504</v>
      </c>
    </row>
    <row r="1581" spans="1:18" x14ac:dyDescent="0.25">
      <c r="A1581" s="169">
        <v>44820</v>
      </c>
      <c r="B1581" s="116">
        <v>240.38333333333301</v>
      </c>
      <c r="C1581" s="116">
        <v>237.71666666666701</v>
      </c>
      <c r="D1581" s="116">
        <v>230.53333333333299</v>
      </c>
      <c r="E1581" s="116">
        <v>237.666666666667</v>
      </c>
      <c r="F1581" s="116">
        <v>713.15</v>
      </c>
      <c r="G1581">
        <v>8285</v>
      </c>
      <c r="H1581" s="116"/>
      <c r="I1581" s="116"/>
      <c r="L1581" s="169">
        <v>44820</v>
      </c>
      <c r="M1581" s="116">
        <v>237.75</v>
      </c>
      <c r="N1581" s="116">
        <v>240.8</v>
      </c>
      <c r="O1581" s="116">
        <v>230.333333333333</v>
      </c>
      <c r="P1581" s="116">
        <v>237.35</v>
      </c>
      <c r="Q1581" s="116">
        <v>713.25</v>
      </c>
      <c r="R1581">
        <v>137494</v>
      </c>
    </row>
    <row r="1582" spans="1:18" x14ac:dyDescent="0.25">
      <c r="A1582" s="169">
        <v>44823</v>
      </c>
      <c r="B1582" s="116">
        <v>242.7</v>
      </c>
      <c r="C1582" s="116">
        <v>235.433333333333</v>
      </c>
      <c r="D1582" s="116">
        <v>234.916666666667</v>
      </c>
      <c r="E1582" s="116">
        <v>237.333333333333</v>
      </c>
      <c r="F1582" s="116">
        <v>706.3</v>
      </c>
      <c r="G1582">
        <v>11455</v>
      </c>
      <c r="H1582" s="116"/>
      <c r="I1582" s="116"/>
      <c r="L1582" s="169">
        <v>44823</v>
      </c>
      <c r="M1582" s="116">
        <v>235.61666666666699</v>
      </c>
      <c r="N1582" s="116">
        <v>243.333333333333</v>
      </c>
      <c r="O1582" s="116">
        <v>235</v>
      </c>
      <c r="P1582" s="116">
        <v>239.666666666667</v>
      </c>
      <c r="Q1582" s="116">
        <v>706.85</v>
      </c>
      <c r="R1582">
        <v>82461</v>
      </c>
    </row>
    <row r="1583" spans="1:18" x14ac:dyDescent="0.25">
      <c r="A1583" s="169">
        <v>44824</v>
      </c>
      <c r="B1583" s="116">
        <v>237.71666666666701</v>
      </c>
      <c r="C1583" s="116">
        <v>235.98333333333301</v>
      </c>
      <c r="D1583" s="116">
        <v>233.78333333333299</v>
      </c>
      <c r="E1583" s="116">
        <v>233.78333333333299</v>
      </c>
      <c r="F1583" s="116">
        <v>707.95</v>
      </c>
      <c r="G1583">
        <v>2084</v>
      </c>
      <c r="H1583" s="116"/>
      <c r="I1583" s="116"/>
      <c r="L1583" s="169">
        <v>44824</v>
      </c>
      <c r="M1583" s="116">
        <v>236.13333333333301</v>
      </c>
      <c r="N1583" s="116">
        <v>237.683333333333</v>
      </c>
      <c r="O1583" s="116">
        <v>234.63333333333301</v>
      </c>
      <c r="P1583" s="116">
        <v>237</v>
      </c>
      <c r="Q1583" s="116">
        <v>708.4</v>
      </c>
      <c r="R1583">
        <v>93797</v>
      </c>
    </row>
    <row r="1584" spans="1:18" x14ac:dyDescent="0.25">
      <c r="A1584" s="169">
        <v>44825</v>
      </c>
      <c r="B1584" s="116">
        <v>236.566666666667</v>
      </c>
      <c r="C1584" s="116">
        <v>229.833333333333</v>
      </c>
      <c r="D1584" s="116">
        <v>226.73333333333301</v>
      </c>
      <c r="E1584" s="116">
        <v>233.666666666667</v>
      </c>
      <c r="F1584" s="116">
        <v>689.5</v>
      </c>
      <c r="G1584">
        <v>6026</v>
      </c>
      <c r="H1584" s="116"/>
      <c r="I1584" s="116"/>
      <c r="L1584" s="169">
        <v>44825</v>
      </c>
      <c r="M1584" s="116">
        <v>228.38333333333301</v>
      </c>
      <c r="N1584" s="116">
        <v>237.066666666667</v>
      </c>
      <c r="O1584" s="116">
        <v>226.916666666667</v>
      </c>
      <c r="P1584" s="116">
        <v>236.13333333333301</v>
      </c>
      <c r="Q1584" s="116">
        <v>685.15</v>
      </c>
      <c r="R1584">
        <v>74915</v>
      </c>
    </row>
    <row r="1585" spans="1:18" x14ac:dyDescent="0.25">
      <c r="A1585" s="169">
        <v>44826</v>
      </c>
      <c r="B1585" s="116">
        <v>235.666666666667</v>
      </c>
      <c r="C1585" s="116">
        <v>231.3</v>
      </c>
      <c r="D1585" s="116">
        <v>223.61666666666699</v>
      </c>
      <c r="E1585" s="116">
        <v>225.666666666667</v>
      </c>
      <c r="F1585" s="116">
        <v>693.9</v>
      </c>
      <c r="G1585">
        <v>10663</v>
      </c>
      <c r="H1585" s="116"/>
      <c r="I1585" s="116"/>
      <c r="L1585" s="169">
        <v>44826</v>
      </c>
      <c r="M1585" s="116">
        <v>230.46666666666701</v>
      </c>
      <c r="N1585" s="116">
        <v>235.666666666667</v>
      </c>
      <c r="O1585" s="116">
        <v>223.51666666666699</v>
      </c>
      <c r="P1585" s="116">
        <v>228.38333333333301</v>
      </c>
      <c r="Q1585" s="116">
        <v>691.4</v>
      </c>
      <c r="R1585">
        <v>79353</v>
      </c>
    </row>
    <row r="1586" spans="1:18" x14ac:dyDescent="0.25">
      <c r="A1586" s="169">
        <v>44827</v>
      </c>
      <c r="B1586" s="116">
        <v>232.666666666667</v>
      </c>
      <c r="C1586" s="116">
        <v>228.63333333333301</v>
      </c>
      <c r="D1586" s="116">
        <v>225.86666666666699</v>
      </c>
      <c r="E1586" s="116">
        <v>226.666666666667</v>
      </c>
      <c r="F1586" s="116">
        <v>685.9</v>
      </c>
      <c r="G1586">
        <v>6484</v>
      </c>
      <c r="H1586" s="116"/>
      <c r="I1586" s="116"/>
      <c r="L1586" s="169">
        <v>44827</v>
      </c>
      <c r="M1586" s="116">
        <v>229.01666666666699</v>
      </c>
      <c r="N1586" s="116">
        <v>232.933333333333</v>
      </c>
      <c r="O1586" s="116">
        <v>225.9</v>
      </c>
      <c r="P1586" s="116">
        <v>228</v>
      </c>
      <c r="Q1586" s="116">
        <v>687.05</v>
      </c>
      <c r="R1586">
        <v>52232</v>
      </c>
    </row>
    <row r="1587" spans="1:18" x14ac:dyDescent="0.25">
      <c r="A1587" s="169">
        <v>44830</v>
      </c>
      <c r="B1587" s="116">
        <v>232.86666666666699</v>
      </c>
      <c r="C1587" s="116">
        <v>230.416666666667</v>
      </c>
      <c r="D1587" s="116">
        <v>219.51666666666699</v>
      </c>
      <c r="E1587" s="116">
        <v>228.333333333333</v>
      </c>
      <c r="F1587" s="116">
        <v>691.25</v>
      </c>
      <c r="G1587">
        <v>4226</v>
      </c>
      <c r="H1587" s="116"/>
      <c r="I1587" s="116"/>
      <c r="L1587" s="169">
        <v>44830</v>
      </c>
      <c r="M1587" s="116">
        <v>230.26666666666699</v>
      </c>
      <c r="N1587" s="116">
        <v>233.28333333333299</v>
      </c>
      <c r="O1587" s="116">
        <v>219.333333333333</v>
      </c>
      <c r="P1587" s="116">
        <v>229</v>
      </c>
      <c r="Q1587" s="116">
        <v>690.8</v>
      </c>
      <c r="R1587">
        <v>66366</v>
      </c>
    </row>
    <row r="1588" spans="1:18" x14ac:dyDescent="0.25">
      <c r="A1588" s="169">
        <v>44831</v>
      </c>
      <c r="B1588" s="116">
        <v>233.683333333333</v>
      </c>
      <c r="C1588" s="116">
        <v>233.11666666666699</v>
      </c>
      <c r="D1588" s="116">
        <v>222.333333333333</v>
      </c>
      <c r="E1588" s="116">
        <v>226.666666666667</v>
      </c>
      <c r="F1588" s="116">
        <v>699.35</v>
      </c>
      <c r="G1588">
        <v>19765</v>
      </c>
      <c r="H1588" s="116"/>
      <c r="I1588" s="116"/>
      <c r="L1588" s="169">
        <v>44831</v>
      </c>
      <c r="M1588" s="116">
        <v>233.2</v>
      </c>
      <c r="N1588" s="116">
        <v>233.333333333333</v>
      </c>
      <c r="O1588" s="116">
        <v>222.183333333333</v>
      </c>
      <c r="P1588" s="116">
        <v>227.26666666666699</v>
      </c>
      <c r="Q1588" s="116">
        <v>699.6</v>
      </c>
      <c r="R1588">
        <v>153854</v>
      </c>
    </row>
    <row r="1589" spans="1:18" x14ac:dyDescent="0.25">
      <c r="A1589" s="169">
        <v>44832</v>
      </c>
      <c r="B1589" s="116">
        <v>233</v>
      </c>
      <c r="C1589" s="116">
        <v>228.6</v>
      </c>
      <c r="D1589" s="116">
        <v>227.35</v>
      </c>
      <c r="E1589" s="116">
        <v>228.566666666667</v>
      </c>
      <c r="F1589" s="116">
        <v>685.8</v>
      </c>
      <c r="G1589">
        <v>2179</v>
      </c>
      <c r="H1589" s="116"/>
      <c r="I1589" s="116"/>
      <c r="L1589" s="169">
        <v>44832</v>
      </c>
      <c r="M1589" s="116">
        <v>229.15</v>
      </c>
      <c r="N1589" s="116">
        <v>233.28333333333299</v>
      </c>
      <c r="O1589" s="116">
        <v>227.03333333333299</v>
      </c>
      <c r="P1589" s="116">
        <v>229.7</v>
      </c>
      <c r="Q1589" s="116">
        <v>687.45</v>
      </c>
      <c r="R1589">
        <v>36660</v>
      </c>
    </row>
    <row r="1590" spans="1:18" x14ac:dyDescent="0.25">
      <c r="A1590" s="169">
        <v>44833</v>
      </c>
      <c r="B1590" s="116">
        <v>235.916666666667</v>
      </c>
      <c r="C1590" s="116">
        <v>234.11666666666699</v>
      </c>
      <c r="D1590" s="116">
        <v>229.416666666667</v>
      </c>
      <c r="E1590" s="116">
        <v>231.316666666667</v>
      </c>
      <c r="F1590" s="116">
        <v>702.35</v>
      </c>
      <c r="G1590">
        <v>2576</v>
      </c>
      <c r="H1590" s="116"/>
      <c r="I1590" s="116"/>
      <c r="L1590" s="169">
        <v>44833</v>
      </c>
      <c r="M1590" s="116">
        <v>234.13333333333301</v>
      </c>
      <c r="N1590" s="116">
        <v>235.96666666666701</v>
      </c>
      <c r="O1590" s="116">
        <v>229.083333333333</v>
      </c>
      <c r="P1590" s="116">
        <v>230.333333333333</v>
      </c>
      <c r="Q1590" s="116">
        <v>702.4</v>
      </c>
      <c r="R1590">
        <v>117634</v>
      </c>
    </row>
    <row r="1591" spans="1:18" x14ac:dyDescent="0.25">
      <c r="A1591" s="169">
        <v>44834</v>
      </c>
      <c r="B1591" s="116">
        <v>234.13333333333301</v>
      </c>
      <c r="C1591" s="116">
        <v>233.166666666667</v>
      </c>
      <c r="D1591" s="116">
        <v>229.71666666666701</v>
      </c>
      <c r="E1591" s="116">
        <v>229.71666666666701</v>
      </c>
      <c r="F1591" s="116">
        <v>699.5</v>
      </c>
      <c r="G1591">
        <v>1676</v>
      </c>
      <c r="H1591" s="116"/>
      <c r="I1591" s="116"/>
      <c r="L1591" s="169">
        <v>44834</v>
      </c>
      <c r="M1591" s="116">
        <v>233.433333333333</v>
      </c>
      <c r="N1591" s="116">
        <v>235</v>
      </c>
      <c r="O1591" s="116">
        <v>230.28333333333299</v>
      </c>
      <c r="P1591" s="116">
        <v>235</v>
      </c>
      <c r="Q1591" s="116">
        <v>700.3</v>
      </c>
      <c r="R1591">
        <v>24989</v>
      </c>
    </row>
    <row r="1592" spans="1:18" x14ac:dyDescent="0.25">
      <c r="A1592" s="169">
        <v>44837</v>
      </c>
      <c r="B1592" s="116">
        <v>237.166666666667</v>
      </c>
      <c r="C1592" s="116">
        <v>228.666666666667</v>
      </c>
      <c r="D1592" s="116">
        <v>227.23333333333301</v>
      </c>
      <c r="E1592" s="116">
        <v>233.25</v>
      </c>
      <c r="F1592" s="116">
        <v>686</v>
      </c>
      <c r="G1592">
        <v>9530</v>
      </c>
      <c r="H1592" s="116"/>
      <c r="I1592" s="116"/>
      <c r="L1592" s="169">
        <v>44837</v>
      </c>
      <c r="M1592" s="116">
        <v>229.433333333333</v>
      </c>
      <c r="N1592" s="116">
        <v>237.53333333333299</v>
      </c>
      <c r="O1592" s="116">
        <v>227.066666666667</v>
      </c>
      <c r="P1592" s="116">
        <v>234.53333333333299</v>
      </c>
      <c r="Q1592" s="116">
        <v>688.3</v>
      </c>
      <c r="R1592">
        <v>53590</v>
      </c>
    </row>
    <row r="1593" spans="1:18" x14ac:dyDescent="0.25">
      <c r="A1593" s="169">
        <v>44838</v>
      </c>
      <c r="B1593" s="116">
        <v>233.71666666666701</v>
      </c>
      <c r="C1593" s="116">
        <v>231.15</v>
      </c>
      <c r="D1593" s="116">
        <v>230.15</v>
      </c>
      <c r="E1593" s="116">
        <v>233.23333333333301</v>
      </c>
      <c r="F1593" s="116">
        <v>693.45</v>
      </c>
      <c r="G1593">
        <v>1953</v>
      </c>
      <c r="H1593" s="116"/>
      <c r="I1593" s="116"/>
      <c r="L1593" s="169">
        <v>44838</v>
      </c>
      <c r="M1593" s="116">
        <v>231.066666666667</v>
      </c>
      <c r="N1593" s="116">
        <v>233.666666666667</v>
      </c>
      <c r="O1593" s="116">
        <v>230.01666666666699</v>
      </c>
      <c r="P1593" s="116">
        <v>231</v>
      </c>
      <c r="Q1593" s="116">
        <v>693.2</v>
      </c>
      <c r="R1593">
        <v>20146</v>
      </c>
    </row>
    <row r="1594" spans="1:18" x14ac:dyDescent="0.25">
      <c r="A1594" s="169">
        <v>44840</v>
      </c>
      <c r="B1594" s="116">
        <v>235.63333333333301</v>
      </c>
      <c r="C1594" s="116">
        <v>233.833333333333</v>
      </c>
      <c r="D1594" s="116">
        <v>230.35</v>
      </c>
      <c r="E1594" s="116">
        <v>230.35</v>
      </c>
      <c r="F1594" s="116">
        <v>701.5</v>
      </c>
      <c r="G1594">
        <v>5431</v>
      </c>
      <c r="H1594" s="116"/>
      <c r="I1594" s="116"/>
      <c r="L1594" s="169">
        <v>44840</v>
      </c>
      <c r="M1594" s="116">
        <v>233.76666666666699</v>
      </c>
      <c r="N1594" s="116">
        <v>236</v>
      </c>
      <c r="O1594" s="116">
        <v>231.316666666667</v>
      </c>
      <c r="P1594" s="116">
        <v>232.23333333333301</v>
      </c>
      <c r="Q1594" s="116">
        <v>701.3</v>
      </c>
      <c r="R1594">
        <v>34989</v>
      </c>
    </row>
    <row r="1595" spans="1:18" x14ac:dyDescent="0.25">
      <c r="A1595" s="169">
        <v>44841</v>
      </c>
      <c r="B1595" s="116">
        <v>233.433333333333</v>
      </c>
      <c r="C1595" s="116">
        <v>230.3</v>
      </c>
      <c r="D1595" s="116">
        <v>230</v>
      </c>
      <c r="E1595" s="116">
        <v>231.01666666666699</v>
      </c>
      <c r="F1595" s="116">
        <v>690.9</v>
      </c>
      <c r="G1595">
        <v>3721</v>
      </c>
      <c r="H1595" s="116"/>
      <c r="I1595" s="116"/>
      <c r="L1595" s="169">
        <v>44841</v>
      </c>
      <c r="M1595" s="116">
        <v>230.76666666666699</v>
      </c>
      <c r="N1595" s="116">
        <v>233.71666666666701</v>
      </c>
      <c r="O1595" s="116">
        <v>230.01666666666699</v>
      </c>
      <c r="P1595" s="116">
        <v>233</v>
      </c>
      <c r="Q1595" s="116">
        <v>692.3</v>
      </c>
      <c r="R1595">
        <v>16196</v>
      </c>
    </row>
    <row r="1596" spans="1:18" x14ac:dyDescent="0.25">
      <c r="A1596" s="169">
        <v>44844</v>
      </c>
      <c r="B1596" s="116">
        <v>230.35</v>
      </c>
      <c r="C1596" s="116">
        <v>228.8</v>
      </c>
      <c r="D1596" s="116">
        <v>226.3</v>
      </c>
      <c r="E1596" s="116">
        <v>230.3</v>
      </c>
      <c r="F1596" s="116">
        <v>686.4</v>
      </c>
      <c r="G1596">
        <v>1701</v>
      </c>
      <c r="H1596" s="116"/>
      <c r="I1596" s="116"/>
      <c r="L1596" s="169">
        <v>44844</v>
      </c>
      <c r="M1596" s="116">
        <v>228.86666666666699</v>
      </c>
      <c r="N1596" s="116">
        <v>230.666666666667</v>
      </c>
      <c r="O1596" s="116">
        <v>225.083333333333</v>
      </c>
      <c r="P1596" s="116">
        <v>228.666666666667</v>
      </c>
      <c r="Q1596" s="116">
        <v>686.6</v>
      </c>
      <c r="R1596">
        <v>33497</v>
      </c>
    </row>
    <row r="1597" spans="1:18" x14ac:dyDescent="0.25">
      <c r="A1597" s="169">
        <v>44845</v>
      </c>
      <c r="B1597" s="116">
        <v>229.76666666666699</v>
      </c>
      <c r="C1597" s="116">
        <v>228.6</v>
      </c>
      <c r="D1597" s="116">
        <v>226.683333333333</v>
      </c>
      <c r="E1597" s="116">
        <v>226.683333333333</v>
      </c>
      <c r="F1597" s="116">
        <v>685.8</v>
      </c>
      <c r="G1597">
        <v>6527</v>
      </c>
      <c r="H1597" s="116"/>
      <c r="I1597" s="116"/>
      <c r="L1597" s="169">
        <v>44845</v>
      </c>
      <c r="M1597" s="116">
        <v>228.71666666666701</v>
      </c>
      <c r="N1597" s="116">
        <v>230</v>
      </c>
      <c r="O1597" s="116">
        <v>227.76666666666699</v>
      </c>
      <c r="P1597" s="116">
        <v>230</v>
      </c>
      <c r="Q1597" s="116">
        <v>686.15</v>
      </c>
      <c r="R1597">
        <v>21130</v>
      </c>
    </row>
    <row r="1598" spans="1:18" x14ac:dyDescent="0.25">
      <c r="A1598" s="169">
        <v>44846</v>
      </c>
      <c r="B1598" s="116">
        <v>229.666666666667</v>
      </c>
      <c r="C1598" s="116">
        <v>227.13333333333301</v>
      </c>
      <c r="D1598" s="116">
        <v>223.066666666667</v>
      </c>
      <c r="E1598" s="116">
        <v>227.48333333333301</v>
      </c>
      <c r="F1598" s="116">
        <v>681.4</v>
      </c>
      <c r="G1598">
        <v>3249</v>
      </c>
      <c r="H1598" s="116"/>
      <c r="I1598" s="116"/>
      <c r="L1598" s="169">
        <v>44846</v>
      </c>
      <c r="M1598" s="116">
        <v>226.4</v>
      </c>
      <c r="N1598" s="116">
        <v>229.666666666667</v>
      </c>
      <c r="O1598" s="116">
        <v>223.333333333333</v>
      </c>
      <c r="P1598" s="116">
        <v>229.333333333333</v>
      </c>
      <c r="Q1598" s="116">
        <v>679.2</v>
      </c>
      <c r="R1598">
        <v>26486</v>
      </c>
    </row>
    <row r="1599" spans="1:18" x14ac:dyDescent="0.25">
      <c r="A1599" s="169">
        <v>44847</v>
      </c>
      <c r="B1599" s="116">
        <v>227.63333333333301</v>
      </c>
      <c r="C1599" s="116">
        <v>224.48333333333301</v>
      </c>
      <c r="D1599" s="116">
        <v>223.7</v>
      </c>
      <c r="E1599" s="116">
        <v>226.48333333333301</v>
      </c>
      <c r="F1599" s="116">
        <v>673.45</v>
      </c>
      <c r="G1599">
        <v>2628</v>
      </c>
      <c r="H1599" s="116"/>
      <c r="I1599" s="116"/>
      <c r="L1599" s="169">
        <v>44847</v>
      </c>
      <c r="M1599" s="116">
        <v>224.7</v>
      </c>
      <c r="N1599" s="116">
        <v>229.26666666666699</v>
      </c>
      <c r="O1599" s="116">
        <v>223.5</v>
      </c>
      <c r="P1599" s="116">
        <v>227.333333333333</v>
      </c>
      <c r="Q1599" s="116">
        <v>674.1</v>
      </c>
      <c r="R1599">
        <v>12337</v>
      </c>
    </row>
    <row r="1600" spans="1:18" x14ac:dyDescent="0.25">
      <c r="A1600" s="169">
        <v>44848</v>
      </c>
      <c r="B1600" s="116">
        <v>227.316666666667</v>
      </c>
      <c r="C1600" s="116">
        <v>224.76666666666699</v>
      </c>
      <c r="D1600" s="116">
        <v>223.51666666666699</v>
      </c>
      <c r="E1600" s="116">
        <v>224.5</v>
      </c>
      <c r="F1600" s="116">
        <v>674.3</v>
      </c>
      <c r="G1600">
        <v>1680</v>
      </c>
      <c r="H1600" s="116"/>
      <c r="I1600" s="116"/>
      <c r="L1600" s="169">
        <v>44848</v>
      </c>
      <c r="M1600" s="116">
        <v>224.65</v>
      </c>
      <c r="N1600" s="116">
        <v>227.46666666666701</v>
      </c>
      <c r="O1600" s="116">
        <v>223.35</v>
      </c>
      <c r="P1600" s="116">
        <v>225.96666666666701</v>
      </c>
      <c r="Q1600" s="116">
        <v>673.95</v>
      </c>
      <c r="R1600">
        <v>18191</v>
      </c>
    </row>
    <row r="1601" spans="1:18" x14ac:dyDescent="0.25">
      <c r="A1601" s="169">
        <v>44851</v>
      </c>
      <c r="B1601" s="116">
        <v>224.566666666667</v>
      </c>
      <c r="C1601" s="116">
        <v>220.45</v>
      </c>
      <c r="D1601" s="116">
        <v>219</v>
      </c>
      <c r="E1601" s="116">
        <v>224.55</v>
      </c>
      <c r="F1601" s="116">
        <v>661.35</v>
      </c>
      <c r="G1601">
        <v>7363</v>
      </c>
      <c r="H1601" s="116"/>
      <c r="I1601" s="116"/>
      <c r="L1601" s="169">
        <v>44851</v>
      </c>
      <c r="M1601" s="116">
        <v>220.36666666666699</v>
      </c>
      <c r="N1601" s="116">
        <v>225.7</v>
      </c>
      <c r="O1601" s="116">
        <v>219.01666666666699</v>
      </c>
      <c r="P1601" s="116">
        <v>225.7</v>
      </c>
      <c r="Q1601" s="116">
        <v>661.1</v>
      </c>
      <c r="R1601">
        <v>31678</v>
      </c>
    </row>
    <row r="1602" spans="1:18" x14ac:dyDescent="0.25">
      <c r="A1602" s="169">
        <v>44852</v>
      </c>
      <c r="B1602" s="116">
        <v>221.683333333333</v>
      </c>
      <c r="C1602" s="116">
        <v>215.3</v>
      </c>
      <c r="D1602" s="116">
        <v>212.566666666667</v>
      </c>
      <c r="E1602" s="116">
        <v>219.35</v>
      </c>
      <c r="F1602" s="116">
        <v>645.9</v>
      </c>
      <c r="G1602">
        <v>8609</v>
      </c>
      <c r="H1602" s="116"/>
      <c r="I1602" s="116"/>
      <c r="L1602" s="169">
        <v>44852</v>
      </c>
      <c r="M1602" s="116">
        <v>215.566666666667</v>
      </c>
      <c r="N1602" s="116">
        <v>221.96666666666701</v>
      </c>
      <c r="O1602" s="116">
        <v>212.7</v>
      </c>
      <c r="P1602" s="116">
        <v>221.48333333333301</v>
      </c>
      <c r="Q1602" s="116">
        <v>646.70000000000005</v>
      </c>
      <c r="R1602">
        <v>61277</v>
      </c>
    </row>
    <row r="1603" spans="1:18" x14ac:dyDescent="0.25">
      <c r="A1603" s="169">
        <v>44853</v>
      </c>
      <c r="B1603" s="116">
        <v>218.333333333333</v>
      </c>
      <c r="C1603" s="116">
        <v>217.433333333333</v>
      </c>
      <c r="D1603" s="116">
        <v>213.35</v>
      </c>
      <c r="E1603" s="116">
        <v>216.666666666667</v>
      </c>
      <c r="F1603" s="116">
        <v>652.29999999999995</v>
      </c>
      <c r="G1603">
        <v>2403</v>
      </c>
      <c r="H1603" s="116"/>
      <c r="I1603" s="116"/>
      <c r="L1603" s="169">
        <v>44853</v>
      </c>
      <c r="M1603" s="116">
        <v>217.73333333333301</v>
      </c>
      <c r="N1603" s="116">
        <v>218.98333333333301</v>
      </c>
      <c r="O1603" s="116">
        <v>213.2</v>
      </c>
      <c r="P1603" s="116">
        <v>215.03333333333299</v>
      </c>
      <c r="Q1603" s="116">
        <v>653.20000000000005</v>
      </c>
      <c r="R1603">
        <v>77230</v>
      </c>
    </row>
    <row r="1604" spans="1:18" x14ac:dyDescent="0.25">
      <c r="A1604" s="169">
        <v>44854</v>
      </c>
      <c r="B1604" s="116">
        <v>218.23333333333301</v>
      </c>
      <c r="C1604" s="116">
        <v>213.316666666667</v>
      </c>
      <c r="D1604" s="116">
        <v>210.933333333333</v>
      </c>
      <c r="E1604" s="116">
        <v>218.23333333333301</v>
      </c>
      <c r="F1604" s="116">
        <v>639.95000000000005</v>
      </c>
      <c r="G1604">
        <v>6391</v>
      </c>
      <c r="H1604" s="116"/>
      <c r="I1604" s="116"/>
      <c r="L1604" s="169">
        <v>44854</v>
      </c>
      <c r="M1604" s="116">
        <v>212.98333333333301</v>
      </c>
      <c r="N1604" s="116">
        <v>217.51666666666699</v>
      </c>
      <c r="O1604" s="116">
        <v>210.8</v>
      </c>
      <c r="P1604" s="116">
        <v>216.65</v>
      </c>
      <c r="Q1604" s="116">
        <v>638.95000000000005</v>
      </c>
      <c r="R1604">
        <v>155800</v>
      </c>
    </row>
    <row r="1605" spans="1:18" x14ac:dyDescent="0.25">
      <c r="A1605" s="169">
        <v>44855</v>
      </c>
      <c r="B1605" s="116">
        <v>218</v>
      </c>
      <c r="C1605" s="116">
        <v>214.23333333333301</v>
      </c>
      <c r="D1605" s="116">
        <v>211.333333333333</v>
      </c>
      <c r="E1605" s="116">
        <v>211.333333333333</v>
      </c>
      <c r="F1605" s="116">
        <v>642.70000000000005</v>
      </c>
      <c r="G1605">
        <v>4400</v>
      </c>
      <c r="H1605" s="116"/>
      <c r="I1605" s="116"/>
      <c r="L1605" s="169">
        <v>44855</v>
      </c>
      <c r="M1605" s="116">
        <v>213.98333333333301</v>
      </c>
      <c r="N1605" s="116">
        <v>218.01666666666699</v>
      </c>
      <c r="O1605" s="116">
        <v>212.63333333333301</v>
      </c>
      <c r="P1605" s="116">
        <v>214.05</v>
      </c>
      <c r="Q1605" s="116">
        <v>641.95000000000005</v>
      </c>
      <c r="R1605">
        <v>46223</v>
      </c>
    </row>
    <row r="1606" spans="1:18" x14ac:dyDescent="0.25">
      <c r="A1606" s="169">
        <v>44858</v>
      </c>
      <c r="B1606" s="116">
        <v>218.45</v>
      </c>
      <c r="C1606" s="116">
        <v>216.5</v>
      </c>
      <c r="D1606" s="116">
        <v>214.01666666666699</v>
      </c>
      <c r="E1606" s="116">
        <v>214.01666666666699</v>
      </c>
      <c r="F1606" s="116">
        <v>649.5</v>
      </c>
      <c r="G1606">
        <v>1340</v>
      </c>
      <c r="H1606" s="116"/>
      <c r="I1606" s="116"/>
      <c r="L1606" s="169">
        <v>44858</v>
      </c>
      <c r="M1606" s="116">
        <v>216.666666666667</v>
      </c>
      <c r="N1606" s="116">
        <v>218.21666666666701</v>
      </c>
      <c r="O1606" s="116">
        <v>212.78333333333299</v>
      </c>
      <c r="P1606" s="116">
        <v>216.666666666667</v>
      </c>
      <c r="Q1606" s="116">
        <v>650</v>
      </c>
      <c r="R1606">
        <v>10879</v>
      </c>
    </row>
    <row r="1607" spans="1:18" x14ac:dyDescent="0.25">
      <c r="A1607" s="169">
        <v>44859</v>
      </c>
      <c r="B1607" s="116">
        <v>217.23333333333301</v>
      </c>
      <c r="C1607" s="116">
        <v>214.13333333333301</v>
      </c>
      <c r="D1607" s="116">
        <v>213.066666666667</v>
      </c>
      <c r="E1607" s="116">
        <v>217.23333333333301</v>
      </c>
      <c r="F1607" s="116">
        <v>642.4</v>
      </c>
      <c r="G1607">
        <v>5522</v>
      </c>
      <c r="H1607" s="116"/>
      <c r="I1607" s="116"/>
      <c r="L1607" s="169">
        <v>44859</v>
      </c>
      <c r="M1607" s="116">
        <v>213.816666666667</v>
      </c>
      <c r="N1607" s="116">
        <v>217.36666666666699</v>
      </c>
      <c r="O1607" s="116">
        <v>212.316666666667</v>
      </c>
      <c r="P1607" s="116">
        <v>216.666666666667</v>
      </c>
      <c r="Q1607" s="116">
        <v>641.45000000000005</v>
      </c>
      <c r="R1607">
        <v>113006</v>
      </c>
    </row>
    <row r="1608" spans="1:18" x14ac:dyDescent="0.25">
      <c r="A1608" s="169">
        <v>44861</v>
      </c>
      <c r="B1608" s="116">
        <v>216.583333333333</v>
      </c>
      <c r="C1608" s="116">
        <v>211.433333333333</v>
      </c>
      <c r="D1608" s="116">
        <v>210</v>
      </c>
      <c r="E1608" s="116">
        <v>214.7</v>
      </c>
      <c r="F1608" s="116">
        <v>634.29999999999995</v>
      </c>
      <c r="G1608">
        <v>5686</v>
      </c>
      <c r="H1608" s="116"/>
      <c r="I1608" s="116"/>
      <c r="L1608" s="169">
        <v>44861</v>
      </c>
      <c r="M1608" s="116">
        <v>211.61666666666699</v>
      </c>
      <c r="N1608" s="116">
        <v>216.6</v>
      </c>
      <c r="O1608" s="116">
        <v>210.9</v>
      </c>
      <c r="P1608" s="116">
        <v>214.333333333333</v>
      </c>
      <c r="Q1608" s="116">
        <v>634.85</v>
      </c>
      <c r="R1608">
        <v>32756</v>
      </c>
    </row>
    <row r="1609" spans="1:18" x14ac:dyDescent="0.25">
      <c r="A1609" s="169">
        <v>44862</v>
      </c>
      <c r="B1609" s="116">
        <v>213.73333333333301</v>
      </c>
      <c r="C1609" s="116">
        <v>211.583333333333</v>
      </c>
      <c r="D1609" s="116">
        <v>210</v>
      </c>
      <c r="E1609" s="116">
        <v>211.75</v>
      </c>
      <c r="F1609" s="116">
        <v>634.75</v>
      </c>
      <c r="G1609">
        <v>2312</v>
      </c>
      <c r="H1609" s="116"/>
      <c r="I1609" s="116"/>
      <c r="L1609" s="169">
        <v>44862</v>
      </c>
      <c r="M1609" s="116">
        <v>211.416666666667</v>
      </c>
      <c r="N1609" s="116">
        <v>212.6</v>
      </c>
      <c r="O1609" s="116">
        <v>209.666666666667</v>
      </c>
      <c r="P1609" s="116">
        <v>211.61666666666699</v>
      </c>
      <c r="Q1609" s="116">
        <v>634.25</v>
      </c>
      <c r="R1609">
        <v>59751</v>
      </c>
    </row>
    <row r="1610" spans="1:18" x14ac:dyDescent="0.25">
      <c r="A1610" s="169">
        <v>44865</v>
      </c>
      <c r="B1610" s="116">
        <v>216.13333333333301</v>
      </c>
      <c r="C1610" s="116">
        <v>213.85</v>
      </c>
      <c r="D1610" s="116">
        <v>212.416666666667</v>
      </c>
      <c r="E1610" s="116">
        <v>212.416666666667</v>
      </c>
      <c r="F1610" s="116">
        <v>641.54999999999995</v>
      </c>
      <c r="G1610">
        <v>4038</v>
      </c>
      <c r="H1610" s="116"/>
      <c r="I1610" s="116"/>
      <c r="L1610" s="169">
        <v>44865</v>
      </c>
      <c r="M1610" s="116">
        <v>213.73333333333301</v>
      </c>
      <c r="N1610" s="116">
        <v>216.65</v>
      </c>
      <c r="O1610" s="116">
        <v>213</v>
      </c>
      <c r="P1610" s="116">
        <v>213</v>
      </c>
      <c r="Q1610" s="116">
        <v>641.20000000000005</v>
      </c>
      <c r="R1610">
        <v>28395</v>
      </c>
    </row>
    <row r="1611" spans="1:18" x14ac:dyDescent="0.25">
      <c r="A1611" s="169">
        <v>44866</v>
      </c>
      <c r="B1611" s="116">
        <v>219.53333333333299</v>
      </c>
      <c r="C1611" s="116">
        <v>214.933333333333</v>
      </c>
      <c r="D1611" s="116">
        <v>209.21666666666701</v>
      </c>
      <c r="E1611" s="116">
        <v>209.21666666666701</v>
      </c>
      <c r="F1611" s="116">
        <v>644.79999999999995</v>
      </c>
      <c r="G1611">
        <v>2597</v>
      </c>
      <c r="H1611" s="116"/>
      <c r="I1611" s="116"/>
      <c r="L1611" s="169">
        <v>44866</v>
      </c>
      <c r="M1611" s="116">
        <v>214.73333333333301</v>
      </c>
      <c r="N1611" s="116">
        <v>216.316666666667</v>
      </c>
      <c r="O1611" s="116">
        <v>213.666666666667</v>
      </c>
      <c r="P1611" s="116">
        <v>213.666666666667</v>
      </c>
      <c r="Q1611" s="116">
        <v>644.20000000000005</v>
      </c>
      <c r="R1611">
        <v>19153</v>
      </c>
    </row>
    <row r="1612" spans="1:18" x14ac:dyDescent="0.25">
      <c r="A1612" s="169">
        <v>44867</v>
      </c>
      <c r="B1612" s="116">
        <v>217.933333333333</v>
      </c>
      <c r="C1612" s="116">
        <v>216.5</v>
      </c>
      <c r="D1612" s="116">
        <v>214.583333333333</v>
      </c>
      <c r="E1612" s="116">
        <v>215.333333333333</v>
      </c>
      <c r="F1612" s="116">
        <v>649.5</v>
      </c>
      <c r="G1612">
        <v>3856</v>
      </c>
      <c r="H1612" s="116"/>
      <c r="I1612" s="116"/>
      <c r="L1612" s="169">
        <v>44867</v>
      </c>
      <c r="M1612" s="116">
        <v>216.73333333333301</v>
      </c>
      <c r="N1612" s="116">
        <v>218.13333333333301</v>
      </c>
      <c r="O1612" s="116">
        <v>214.3</v>
      </c>
      <c r="P1612" s="116">
        <v>215.816666666667</v>
      </c>
      <c r="Q1612" s="116">
        <v>650.20000000000005</v>
      </c>
      <c r="R1612">
        <v>18450</v>
      </c>
    </row>
    <row r="1613" spans="1:18" x14ac:dyDescent="0.25">
      <c r="A1613" s="169">
        <v>44868</v>
      </c>
      <c r="B1613" s="116">
        <v>217.083333333333</v>
      </c>
      <c r="C1613" s="116">
        <v>216.26666666666699</v>
      </c>
      <c r="D1613" s="116">
        <v>213.76666666666699</v>
      </c>
      <c r="E1613" s="116">
        <v>213.76666666666699</v>
      </c>
      <c r="F1613" s="116">
        <v>648.79999999999995</v>
      </c>
      <c r="G1613">
        <v>675</v>
      </c>
      <c r="H1613" s="116"/>
      <c r="I1613" s="116"/>
      <c r="L1613" s="169">
        <v>44868</v>
      </c>
      <c r="M1613" s="116">
        <v>216.5</v>
      </c>
      <c r="N1613" s="116">
        <v>217.333333333333</v>
      </c>
      <c r="O1613" s="116">
        <v>215</v>
      </c>
      <c r="P1613" s="116">
        <v>216.666666666667</v>
      </c>
      <c r="Q1613" s="116">
        <v>649.5</v>
      </c>
      <c r="R1613">
        <v>14773</v>
      </c>
    </row>
    <row r="1614" spans="1:18" x14ac:dyDescent="0.25">
      <c r="A1614" s="169">
        <v>44869</v>
      </c>
      <c r="B1614" s="116">
        <v>226.45</v>
      </c>
      <c r="C1614" s="116">
        <v>223.48333333333301</v>
      </c>
      <c r="D1614" s="116">
        <v>215.01666666666699</v>
      </c>
      <c r="E1614" s="116">
        <v>216.63333333333301</v>
      </c>
      <c r="F1614" s="116">
        <v>670.45</v>
      </c>
      <c r="G1614">
        <v>1876</v>
      </c>
      <c r="H1614" s="116"/>
      <c r="I1614" s="116"/>
      <c r="L1614" s="169">
        <v>44869</v>
      </c>
      <c r="M1614" s="116">
        <v>223.183333333333</v>
      </c>
      <c r="N1614" s="116">
        <v>226</v>
      </c>
      <c r="O1614" s="116">
        <v>214.833333333333</v>
      </c>
      <c r="P1614" s="116">
        <v>217.583333333333</v>
      </c>
      <c r="Q1614" s="116">
        <v>669.55</v>
      </c>
      <c r="R1614">
        <v>44552</v>
      </c>
    </row>
    <row r="1615" spans="1:18" x14ac:dyDescent="0.25">
      <c r="A1615" s="169">
        <v>44872</v>
      </c>
      <c r="B1615" s="116">
        <v>224.95</v>
      </c>
      <c r="C1615" s="116">
        <v>221.61666666666699</v>
      </c>
      <c r="D1615" s="116">
        <v>220.5</v>
      </c>
      <c r="E1615" s="116">
        <v>223.61666666666699</v>
      </c>
      <c r="F1615" s="116">
        <v>664.85</v>
      </c>
      <c r="G1615">
        <v>8102</v>
      </c>
      <c r="H1615" s="116"/>
      <c r="I1615" s="116"/>
      <c r="L1615" s="169">
        <v>44872</v>
      </c>
      <c r="M1615" s="116">
        <v>222</v>
      </c>
      <c r="N1615" s="116">
        <v>225</v>
      </c>
      <c r="O1615" s="116">
        <v>219.61666666666699</v>
      </c>
      <c r="P1615" s="116">
        <v>224.3</v>
      </c>
      <c r="Q1615" s="116">
        <v>666</v>
      </c>
      <c r="R1615">
        <v>29588</v>
      </c>
    </row>
    <row r="1616" spans="1:18" x14ac:dyDescent="0.25">
      <c r="A1616" s="169">
        <v>44874</v>
      </c>
      <c r="B1616" s="116">
        <v>225.6</v>
      </c>
      <c r="C1616" s="116">
        <v>222.46666666666701</v>
      </c>
      <c r="D1616" s="116">
        <v>220.666666666667</v>
      </c>
      <c r="E1616" s="116">
        <v>225.6</v>
      </c>
      <c r="F1616" s="116">
        <v>667.4</v>
      </c>
      <c r="G1616">
        <v>1195</v>
      </c>
      <c r="H1616" s="116"/>
      <c r="I1616" s="116"/>
      <c r="L1616" s="169">
        <v>44874</v>
      </c>
      <c r="M1616" s="116">
        <v>222.48333333333301</v>
      </c>
      <c r="N1616" s="116">
        <v>224.98333333333301</v>
      </c>
      <c r="O1616" s="116">
        <v>220.55</v>
      </c>
      <c r="P1616" s="116">
        <v>223.15</v>
      </c>
      <c r="Q1616" s="116">
        <v>667.45</v>
      </c>
      <c r="R1616">
        <v>32849</v>
      </c>
    </row>
    <row r="1617" spans="1:18" x14ac:dyDescent="0.25">
      <c r="A1617" s="169">
        <v>44875</v>
      </c>
      <c r="B1617" s="116">
        <v>224.23333333333301</v>
      </c>
      <c r="C1617" s="116">
        <v>222.666666666667</v>
      </c>
      <c r="D1617" s="116">
        <v>219.316666666667</v>
      </c>
      <c r="E1617" s="116">
        <v>220.78333333333299</v>
      </c>
      <c r="F1617" s="116">
        <v>668</v>
      </c>
      <c r="G1617">
        <v>2488</v>
      </c>
      <c r="H1617" s="116"/>
      <c r="I1617" s="116"/>
      <c r="L1617" s="169">
        <v>44875</v>
      </c>
      <c r="M1617" s="116">
        <v>223.55</v>
      </c>
      <c r="N1617" s="116">
        <v>224.3</v>
      </c>
      <c r="O1617" s="116">
        <v>219.183333333333</v>
      </c>
      <c r="P1617" s="116">
        <v>222.48333333333301</v>
      </c>
      <c r="Q1617" s="116">
        <v>670.65</v>
      </c>
      <c r="R1617">
        <v>24977</v>
      </c>
    </row>
    <row r="1618" spans="1:18" x14ac:dyDescent="0.25">
      <c r="A1618" s="169">
        <v>44876</v>
      </c>
      <c r="B1618" s="116">
        <v>223.7</v>
      </c>
      <c r="C1618" s="116">
        <v>221.85</v>
      </c>
      <c r="D1618" s="116">
        <v>218.73333333333301</v>
      </c>
      <c r="E1618" s="116">
        <v>222.666666666667</v>
      </c>
      <c r="F1618" s="116">
        <v>665.55</v>
      </c>
      <c r="G1618">
        <v>2353</v>
      </c>
      <c r="H1618" s="116"/>
      <c r="I1618" s="116"/>
      <c r="L1618" s="169">
        <v>44876</v>
      </c>
      <c r="M1618" s="116">
        <v>222</v>
      </c>
      <c r="N1618" s="116">
        <v>224</v>
      </c>
      <c r="O1618" s="116">
        <v>218.333333333333</v>
      </c>
      <c r="P1618" s="116">
        <v>224</v>
      </c>
      <c r="Q1618" s="116">
        <v>666</v>
      </c>
      <c r="R1618">
        <v>27728</v>
      </c>
    </row>
    <row r="1619" spans="1:18" x14ac:dyDescent="0.25">
      <c r="A1619" s="169">
        <v>44879</v>
      </c>
      <c r="B1619" s="116">
        <v>216.416666666667</v>
      </c>
      <c r="C1619" s="116">
        <v>213.78333333333299</v>
      </c>
      <c r="D1619" s="116">
        <v>209.45</v>
      </c>
      <c r="E1619" s="116">
        <v>210.01666666666699</v>
      </c>
      <c r="F1619" s="116">
        <v>641.35</v>
      </c>
      <c r="G1619">
        <v>6331</v>
      </c>
      <c r="H1619" s="116"/>
      <c r="I1619" s="116"/>
      <c r="L1619" s="169">
        <v>44879</v>
      </c>
      <c r="M1619" s="116">
        <v>211.75</v>
      </c>
      <c r="N1619" s="116">
        <v>216.5</v>
      </c>
      <c r="O1619" s="116">
        <v>209.333333333333</v>
      </c>
      <c r="P1619" s="116">
        <v>214.4</v>
      </c>
      <c r="Q1619" s="116">
        <v>635.25</v>
      </c>
      <c r="R1619">
        <v>96576</v>
      </c>
    </row>
    <row r="1620" spans="1:18" x14ac:dyDescent="0.25">
      <c r="A1620" s="169">
        <v>44880</v>
      </c>
      <c r="B1620" s="116">
        <v>215.066666666667</v>
      </c>
      <c r="C1620" s="116">
        <v>213.25</v>
      </c>
      <c r="D1620" s="116">
        <v>211.666666666667</v>
      </c>
      <c r="E1620" s="116">
        <v>211.666666666667</v>
      </c>
      <c r="F1620" s="116">
        <v>639.75</v>
      </c>
      <c r="G1620">
        <v>4068</v>
      </c>
      <c r="H1620" s="116"/>
      <c r="I1620" s="116"/>
      <c r="L1620" s="169">
        <v>44880</v>
      </c>
      <c r="M1620" s="116">
        <v>213.6</v>
      </c>
      <c r="N1620" s="116">
        <v>215.48333333333301</v>
      </c>
      <c r="O1620" s="116">
        <v>212.333333333333</v>
      </c>
      <c r="P1620" s="116">
        <v>212.816666666667</v>
      </c>
      <c r="Q1620" s="116">
        <v>640.79999999999995</v>
      </c>
      <c r="R1620">
        <v>21859</v>
      </c>
    </row>
    <row r="1621" spans="1:18" x14ac:dyDescent="0.25">
      <c r="A1621" s="169">
        <v>44881</v>
      </c>
      <c r="B1621" s="116">
        <v>214.63333333333301</v>
      </c>
      <c r="C1621" s="116">
        <v>210.05</v>
      </c>
      <c r="D1621" s="116">
        <v>209.35</v>
      </c>
      <c r="E1621" s="116">
        <v>213.916666666667</v>
      </c>
      <c r="F1621" s="116">
        <v>630.15</v>
      </c>
      <c r="G1621">
        <v>2180</v>
      </c>
      <c r="H1621" s="116"/>
      <c r="I1621" s="116"/>
      <c r="L1621" s="169">
        <v>44881</v>
      </c>
      <c r="M1621" s="116">
        <v>210.21666666666701</v>
      </c>
      <c r="N1621" s="116">
        <v>214.98333333333301</v>
      </c>
      <c r="O1621" s="116">
        <v>209.316666666667</v>
      </c>
      <c r="P1621" s="116">
        <v>214.683333333333</v>
      </c>
      <c r="Q1621" s="116">
        <v>630.65</v>
      </c>
      <c r="R1621">
        <v>22639</v>
      </c>
    </row>
    <row r="1622" spans="1:18" x14ac:dyDescent="0.25">
      <c r="A1622" s="169">
        <v>44882</v>
      </c>
      <c r="B1622" s="116">
        <v>212.333333333333</v>
      </c>
      <c r="C1622" s="116">
        <v>210.2</v>
      </c>
      <c r="D1622" s="116">
        <v>207.88333333333301</v>
      </c>
      <c r="E1622" s="116">
        <v>211.666666666667</v>
      </c>
      <c r="F1622" s="116">
        <v>630.6</v>
      </c>
      <c r="G1622">
        <v>2005</v>
      </c>
      <c r="H1622" s="116"/>
      <c r="I1622" s="116"/>
      <c r="L1622" s="169">
        <v>44882</v>
      </c>
      <c r="M1622" s="116">
        <v>208.666666666667</v>
      </c>
      <c r="N1622" s="116">
        <v>212.683333333333</v>
      </c>
      <c r="O1622" s="116">
        <v>208.333333333333</v>
      </c>
      <c r="P1622" s="116">
        <v>210.333333333333</v>
      </c>
      <c r="Q1622" s="116">
        <v>626</v>
      </c>
      <c r="R1622">
        <v>18003</v>
      </c>
    </row>
    <row r="1623" spans="1:18" x14ac:dyDescent="0.25">
      <c r="A1623" s="169">
        <v>44883</v>
      </c>
      <c r="B1623" s="116">
        <v>210.333333333333</v>
      </c>
      <c r="C1623" s="116">
        <v>206.95</v>
      </c>
      <c r="D1623" s="116">
        <v>206.05</v>
      </c>
      <c r="E1623" s="116">
        <v>209.48333333333301</v>
      </c>
      <c r="F1623" s="116">
        <v>620.85</v>
      </c>
      <c r="G1623">
        <v>5245</v>
      </c>
      <c r="H1623" s="116"/>
      <c r="I1623" s="116"/>
      <c r="L1623" s="169">
        <v>44883</v>
      </c>
      <c r="M1623" s="116">
        <v>206.916666666667</v>
      </c>
      <c r="N1623" s="116">
        <v>210.8</v>
      </c>
      <c r="O1623" s="116">
        <v>206.333333333333</v>
      </c>
      <c r="P1623" s="116">
        <v>208.333333333333</v>
      </c>
      <c r="Q1623" s="116">
        <v>620.75</v>
      </c>
      <c r="R1623">
        <v>16354</v>
      </c>
    </row>
    <row r="1624" spans="1:18" x14ac:dyDescent="0.25">
      <c r="A1624" s="169">
        <v>44886</v>
      </c>
      <c r="B1624" s="116">
        <v>209.666666666667</v>
      </c>
      <c r="C1624" s="116">
        <v>206.11666666666699</v>
      </c>
      <c r="D1624" s="116">
        <v>205.21666666666701</v>
      </c>
      <c r="E1624" s="116">
        <v>206.916666666667</v>
      </c>
      <c r="F1624" s="116">
        <v>618.35</v>
      </c>
      <c r="G1624">
        <v>2244</v>
      </c>
      <c r="H1624" s="116"/>
      <c r="I1624" s="116"/>
      <c r="L1624" s="169">
        <v>44886</v>
      </c>
      <c r="M1624" s="116">
        <v>206.3</v>
      </c>
      <c r="N1624" s="116">
        <v>210</v>
      </c>
      <c r="O1624" s="116">
        <v>205.35</v>
      </c>
      <c r="P1624" s="116">
        <v>207.566666666667</v>
      </c>
      <c r="Q1624" s="116">
        <v>618.9</v>
      </c>
      <c r="R1624">
        <v>13509</v>
      </c>
    </row>
    <row r="1625" spans="1:18" x14ac:dyDescent="0.25">
      <c r="A1625" s="169">
        <v>44887</v>
      </c>
      <c r="B1625" s="116">
        <v>207.28333333333299</v>
      </c>
      <c r="C1625" s="116">
        <v>203.583333333333</v>
      </c>
      <c r="D1625" s="116">
        <v>200.03333333333299</v>
      </c>
      <c r="E1625" s="116">
        <v>206.316666666667</v>
      </c>
      <c r="F1625" s="116">
        <v>610.75</v>
      </c>
      <c r="G1625">
        <v>2936</v>
      </c>
      <c r="H1625" s="116"/>
      <c r="I1625" s="116"/>
      <c r="L1625" s="169">
        <v>44887</v>
      </c>
      <c r="M1625" s="116">
        <v>203.05</v>
      </c>
      <c r="N1625" s="116">
        <v>207.333333333333</v>
      </c>
      <c r="O1625" s="116">
        <v>200</v>
      </c>
      <c r="P1625" s="116">
        <v>206.3</v>
      </c>
      <c r="Q1625" s="116">
        <v>609.15</v>
      </c>
      <c r="R1625">
        <v>51350</v>
      </c>
    </row>
    <row r="1626" spans="1:18" x14ac:dyDescent="0.25">
      <c r="A1626" s="169">
        <v>44888</v>
      </c>
      <c r="B1626" s="116">
        <v>213.53333333333299</v>
      </c>
      <c r="C1626" s="116">
        <v>204.01666666666699</v>
      </c>
      <c r="D1626" s="116">
        <v>202.816666666667</v>
      </c>
      <c r="E1626" s="116">
        <v>203.666666666667</v>
      </c>
      <c r="F1626" s="116">
        <v>612.04999999999995</v>
      </c>
      <c r="G1626">
        <v>22242</v>
      </c>
      <c r="H1626" s="116"/>
      <c r="I1626" s="116"/>
      <c r="L1626" s="169">
        <v>44888</v>
      </c>
      <c r="M1626" s="116">
        <v>204.05</v>
      </c>
      <c r="N1626" s="116">
        <v>213.666666666667</v>
      </c>
      <c r="O1626" s="116">
        <v>203.05</v>
      </c>
      <c r="P1626" s="116">
        <v>204.066666666667</v>
      </c>
      <c r="Q1626" s="116">
        <v>612.15</v>
      </c>
      <c r="R1626">
        <v>150321</v>
      </c>
    </row>
    <row r="1627" spans="1:18" x14ac:dyDescent="0.25">
      <c r="A1627" s="169">
        <v>44889</v>
      </c>
      <c r="B1627" s="116">
        <v>208.683333333333</v>
      </c>
      <c r="C1627" s="116">
        <v>205.95</v>
      </c>
      <c r="D1627" s="116">
        <v>205.51666666666699</v>
      </c>
      <c r="E1627" s="116">
        <v>208.683333333333</v>
      </c>
      <c r="F1627" s="116">
        <v>617.85</v>
      </c>
      <c r="G1627">
        <v>377</v>
      </c>
      <c r="H1627" s="116"/>
      <c r="I1627" s="116"/>
      <c r="L1627" s="169">
        <v>44889</v>
      </c>
      <c r="M1627" s="116">
        <v>205.61666666666699</v>
      </c>
      <c r="N1627" s="116">
        <v>208.25</v>
      </c>
      <c r="O1627" s="116">
        <v>205</v>
      </c>
      <c r="P1627" s="116">
        <v>205.083333333333</v>
      </c>
      <c r="Q1627" s="116">
        <v>616.85</v>
      </c>
      <c r="R1627">
        <v>22960</v>
      </c>
    </row>
    <row r="1628" spans="1:18" x14ac:dyDescent="0.25">
      <c r="A1628" s="169">
        <v>44890</v>
      </c>
      <c r="B1628" s="116">
        <v>208.03333333333299</v>
      </c>
      <c r="C1628" s="116">
        <v>204.98333333333301</v>
      </c>
      <c r="D1628" s="116">
        <v>203.78333333333299</v>
      </c>
      <c r="E1628" s="116">
        <v>205.666666666667</v>
      </c>
      <c r="F1628" s="116">
        <v>614.95000000000005</v>
      </c>
      <c r="G1628">
        <v>6898</v>
      </c>
      <c r="H1628" s="116"/>
      <c r="I1628" s="116"/>
      <c r="L1628" s="169">
        <v>44890</v>
      </c>
      <c r="M1628" s="116">
        <v>204.61666666666699</v>
      </c>
      <c r="N1628" s="116">
        <v>208</v>
      </c>
      <c r="O1628" s="116">
        <v>203.4</v>
      </c>
      <c r="P1628" s="116">
        <v>206.666666666667</v>
      </c>
      <c r="Q1628" s="116">
        <v>613.85</v>
      </c>
      <c r="R1628">
        <v>37881</v>
      </c>
    </row>
    <row r="1629" spans="1:18" x14ac:dyDescent="0.25">
      <c r="A1629" s="169">
        <v>44893</v>
      </c>
      <c r="B1629" s="116">
        <v>206.98333333333301</v>
      </c>
      <c r="C1629" s="116">
        <v>205.28333333333299</v>
      </c>
      <c r="D1629" s="116">
        <v>203.333333333333</v>
      </c>
      <c r="E1629" s="116">
        <v>204</v>
      </c>
      <c r="F1629" s="116">
        <v>615.85</v>
      </c>
      <c r="G1629">
        <v>3836</v>
      </c>
      <c r="H1629" s="116"/>
      <c r="I1629" s="116"/>
      <c r="L1629" s="169">
        <v>44893</v>
      </c>
      <c r="M1629" s="116">
        <v>205.11666666666699</v>
      </c>
      <c r="N1629" s="116">
        <v>207</v>
      </c>
      <c r="O1629" s="116">
        <v>203.666666666667</v>
      </c>
      <c r="P1629" s="116">
        <v>204.666666666667</v>
      </c>
      <c r="Q1629" s="116">
        <v>615.35</v>
      </c>
      <c r="R1629">
        <v>18197</v>
      </c>
    </row>
    <row r="1630" spans="1:18" x14ac:dyDescent="0.25">
      <c r="A1630" s="169">
        <v>44894</v>
      </c>
      <c r="B1630" s="116">
        <v>208</v>
      </c>
      <c r="C1630" s="116">
        <v>206.85</v>
      </c>
      <c r="D1630" s="116">
        <v>205.28333333333299</v>
      </c>
      <c r="E1630" s="116">
        <v>205.28333333333299</v>
      </c>
      <c r="F1630" s="116">
        <v>620.54999999999995</v>
      </c>
      <c r="G1630">
        <v>3029</v>
      </c>
      <c r="H1630" s="116"/>
      <c r="I1630" s="116"/>
      <c r="L1630" s="169">
        <v>44894</v>
      </c>
      <c r="M1630" s="116">
        <v>206.78333333333299</v>
      </c>
      <c r="N1630" s="116">
        <v>208.25</v>
      </c>
      <c r="O1630" s="116">
        <v>205.333333333333</v>
      </c>
      <c r="P1630" s="116">
        <v>206.13333333333301</v>
      </c>
      <c r="Q1630" s="116">
        <v>620.35</v>
      </c>
      <c r="R1630">
        <v>14867</v>
      </c>
    </row>
    <row r="1631" spans="1:18" x14ac:dyDescent="0.25">
      <c r="A1631" s="169">
        <v>44895</v>
      </c>
      <c r="B1631" s="116">
        <v>211.1</v>
      </c>
      <c r="C1631" s="116">
        <v>210.35</v>
      </c>
      <c r="D1631" s="116">
        <v>207.01666666666699</v>
      </c>
      <c r="E1631" s="116">
        <v>209</v>
      </c>
      <c r="F1631" s="116">
        <v>631.04999999999995</v>
      </c>
      <c r="G1631">
        <v>5234</v>
      </c>
      <c r="H1631" s="116"/>
      <c r="I1631" s="116"/>
      <c r="L1631" s="169">
        <v>44895</v>
      </c>
      <c r="M1631" s="116">
        <v>210.26666666666699</v>
      </c>
      <c r="N1631" s="116">
        <v>211.01666666666699</v>
      </c>
      <c r="O1631" s="116">
        <v>207.083333333333</v>
      </c>
      <c r="P1631" s="116">
        <v>207.083333333333</v>
      </c>
      <c r="Q1631" s="116">
        <v>630.79999999999995</v>
      </c>
      <c r="R1631">
        <v>26411</v>
      </c>
    </row>
    <row r="1632" spans="1:18" x14ac:dyDescent="0.25">
      <c r="A1632" s="169">
        <v>44896</v>
      </c>
      <c r="B1632" s="116">
        <v>212.933333333333</v>
      </c>
      <c r="C1632" s="116">
        <v>210.36666666666699</v>
      </c>
      <c r="D1632" s="116">
        <v>208.816666666667</v>
      </c>
      <c r="E1632" s="116">
        <v>212.933333333333</v>
      </c>
      <c r="F1632" s="116">
        <v>631.1</v>
      </c>
      <c r="G1632">
        <v>3380</v>
      </c>
      <c r="H1632" s="116"/>
      <c r="I1632" s="116"/>
      <c r="L1632" s="169">
        <v>44896</v>
      </c>
      <c r="M1632" s="116">
        <v>210.46666666666701</v>
      </c>
      <c r="N1632" s="116">
        <v>212.71666666666701</v>
      </c>
      <c r="O1632" s="116">
        <v>209.333333333333</v>
      </c>
      <c r="P1632" s="116">
        <v>210.333333333333</v>
      </c>
      <c r="Q1632" s="116">
        <v>631.4</v>
      </c>
      <c r="R1632">
        <v>18885</v>
      </c>
    </row>
    <row r="1633" spans="1:18" x14ac:dyDescent="0.25">
      <c r="A1633" s="169">
        <v>44897</v>
      </c>
      <c r="B1633" s="116">
        <v>214.26666666666699</v>
      </c>
      <c r="C1633" s="116">
        <v>213.21666666666701</v>
      </c>
      <c r="D1633" s="116">
        <v>206.26666666666699</v>
      </c>
      <c r="E1633" s="116">
        <v>206.26666666666699</v>
      </c>
      <c r="F1633" s="116">
        <v>639.65</v>
      </c>
      <c r="G1633">
        <v>2022</v>
      </c>
      <c r="H1633" s="116"/>
      <c r="I1633" s="116"/>
      <c r="L1633" s="169">
        <v>44897</v>
      </c>
      <c r="M1633" s="116">
        <v>213.416666666667</v>
      </c>
      <c r="N1633" s="116">
        <v>214.28333333333299</v>
      </c>
      <c r="O1633" s="116">
        <v>209.51666666666699</v>
      </c>
      <c r="P1633" s="116">
        <v>210.1</v>
      </c>
      <c r="Q1633" s="116">
        <v>640.25</v>
      </c>
      <c r="R1633">
        <v>42720</v>
      </c>
    </row>
    <row r="1634" spans="1:18" x14ac:dyDescent="0.25">
      <c r="A1634" s="169">
        <v>44900</v>
      </c>
      <c r="B1634" s="116">
        <v>216.316666666667</v>
      </c>
      <c r="C1634" s="116">
        <v>213.65</v>
      </c>
      <c r="D1634" s="116">
        <v>212.933333333333</v>
      </c>
      <c r="E1634" s="116">
        <v>216.316666666667</v>
      </c>
      <c r="F1634" s="116">
        <v>640.95000000000005</v>
      </c>
      <c r="G1634">
        <v>1857</v>
      </c>
      <c r="H1634" s="116"/>
      <c r="I1634" s="116"/>
      <c r="L1634" s="169">
        <v>44900</v>
      </c>
      <c r="M1634" s="116">
        <v>213.816666666667</v>
      </c>
      <c r="N1634" s="116">
        <v>215.65</v>
      </c>
      <c r="O1634" s="116">
        <v>212.71666666666701</v>
      </c>
      <c r="P1634" s="116">
        <v>213.666666666667</v>
      </c>
      <c r="Q1634" s="116">
        <v>641.45000000000005</v>
      </c>
      <c r="R1634">
        <v>24025</v>
      </c>
    </row>
    <row r="1635" spans="1:18" x14ac:dyDescent="0.25">
      <c r="A1635" s="169">
        <v>44901</v>
      </c>
      <c r="B1635" s="116">
        <v>214.63333333333301</v>
      </c>
      <c r="C1635" s="116">
        <v>213.76666666666699</v>
      </c>
      <c r="D1635" s="116">
        <v>213.183333333333</v>
      </c>
      <c r="E1635" s="116">
        <v>213.183333333333</v>
      </c>
      <c r="F1635" s="116">
        <v>641.29999999999995</v>
      </c>
      <c r="G1635">
        <v>652</v>
      </c>
      <c r="H1635" s="116"/>
      <c r="I1635" s="116"/>
      <c r="L1635" s="169">
        <v>44901</v>
      </c>
      <c r="M1635" s="116">
        <v>213.433333333333</v>
      </c>
      <c r="N1635" s="116">
        <v>214.9</v>
      </c>
      <c r="O1635" s="116">
        <v>213.26666666666699</v>
      </c>
      <c r="P1635" s="116">
        <v>213.816666666667</v>
      </c>
      <c r="Q1635" s="116">
        <v>640.29999999999995</v>
      </c>
      <c r="R1635">
        <v>15235</v>
      </c>
    </row>
    <row r="1636" spans="1:18" x14ac:dyDescent="0.25">
      <c r="A1636" s="169">
        <v>44902</v>
      </c>
      <c r="B1636" s="116">
        <v>217.61666666666699</v>
      </c>
      <c r="C1636" s="116">
        <v>215.28333333333299</v>
      </c>
      <c r="D1636" s="116">
        <v>212.2</v>
      </c>
      <c r="E1636" s="116">
        <v>214.78333333333299</v>
      </c>
      <c r="F1636" s="116">
        <v>645.85</v>
      </c>
      <c r="G1636">
        <v>6737</v>
      </c>
      <c r="H1636" s="116"/>
      <c r="I1636" s="116"/>
      <c r="L1636" s="169">
        <v>44902</v>
      </c>
      <c r="M1636" s="116">
        <v>216.03333333333299</v>
      </c>
      <c r="N1636" s="116">
        <v>218.333333333333</v>
      </c>
      <c r="O1636" s="116">
        <v>212.46666666666701</v>
      </c>
      <c r="P1636" s="116">
        <v>214.51666666666699</v>
      </c>
      <c r="Q1636" s="116">
        <v>648.1</v>
      </c>
      <c r="R1636">
        <v>28585</v>
      </c>
    </row>
    <row r="1637" spans="1:18" x14ac:dyDescent="0.25">
      <c r="A1637" s="169">
        <v>44903</v>
      </c>
      <c r="B1637" s="116">
        <v>216.15</v>
      </c>
      <c r="C1637" s="116">
        <v>212.75</v>
      </c>
      <c r="D1637" s="116">
        <v>212.5</v>
      </c>
      <c r="E1637" s="116">
        <v>216.03333333333299</v>
      </c>
      <c r="F1637" s="116">
        <v>638.25</v>
      </c>
      <c r="G1637">
        <v>433</v>
      </c>
      <c r="H1637" s="116"/>
      <c r="I1637" s="116"/>
      <c r="L1637" s="169">
        <v>44903</v>
      </c>
      <c r="M1637" s="116">
        <v>213.03333333333299</v>
      </c>
      <c r="N1637" s="116">
        <v>216.61666666666699</v>
      </c>
      <c r="O1637" s="116">
        <v>211.96666666666701</v>
      </c>
      <c r="P1637" s="116">
        <v>216.61666666666699</v>
      </c>
      <c r="Q1637" s="116">
        <v>639.1</v>
      </c>
      <c r="R1637">
        <v>20316</v>
      </c>
    </row>
    <row r="1638" spans="1:18" x14ac:dyDescent="0.25">
      <c r="A1638" s="169">
        <v>44904</v>
      </c>
      <c r="B1638" s="116">
        <v>214</v>
      </c>
      <c r="C1638" s="116">
        <v>206.51666666666699</v>
      </c>
      <c r="D1638" s="116">
        <v>205.333333333333</v>
      </c>
      <c r="E1638" s="116">
        <v>214</v>
      </c>
      <c r="F1638" s="116">
        <v>619.54999999999995</v>
      </c>
      <c r="G1638">
        <v>1910</v>
      </c>
      <c r="H1638" s="116"/>
      <c r="I1638" s="116"/>
      <c r="L1638" s="169">
        <v>44904</v>
      </c>
      <c r="M1638" s="116">
        <v>206.15</v>
      </c>
      <c r="N1638" s="116">
        <v>214</v>
      </c>
      <c r="O1638" s="116">
        <v>205.066666666667</v>
      </c>
      <c r="P1638" s="116">
        <v>214</v>
      </c>
      <c r="Q1638" s="116">
        <v>618.45000000000005</v>
      </c>
      <c r="R1638">
        <v>25568</v>
      </c>
    </row>
    <row r="1639" spans="1:18" x14ac:dyDescent="0.25">
      <c r="A1639" s="169">
        <v>44907</v>
      </c>
      <c r="B1639" s="116">
        <v>208.316666666667</v>
      </c>
      <c r="C1639" s="116">
        <v>204.95</v>
      </c>
      <c r="D1639" s="116">
        <v>204.333333333333</v>
      </c>
      <c r="E1639" s="116">
        <v>205.35</v>
      </c>
      <c r="F1639" s="116">
        <v>614.85</v>
      </c>
      <c r="G1639">
        <v>2750</v>
      </c>
      <c r="H1639" s="116"/>
      <c r="I1639" s="116"/>
      <c r="L1639" s="169">
        <v>44907</v>
      </c>
      <c r="M1639" s="116">
        <v>204.96666666666701</v>
      </c>
      <c r="N1639" s="116">
        <v>208.3</v>
      </c>
      <c r="O1639" s="116">
        <v>204.166666666667</v>
      </c>
      <c r="P1639" s="116">
        <v>207.166666666667</v>
      </c>
      <c r="Q1639" s="116">
        <v>614.9</v>
      </c>
      <c r="R1639">
        <v>20791</v>
      </c>
    </row>
    <row r="1640" spans="1:18" x14ac:dyDescent="0.25">
      <c r="A1640" s="169">
        <v>44908</v>
      </c>
      <c r="B1640" s="116">
        <v>212.666666666667</v>
      </c>
      <c r="C1640" s="116">
        <v>205.05</v>
      </c>
      <c r="D1640" s="116">
        <v>204.36666666666699</v>
      </c>
      <c r="E1640" s="116">
        <v>212.666666666667</v>
      </c>
      <c r="F1640" s="116">
        <v>615.15</v>
      </c>
      <c r="G1640">
        <v>1231</v>
      </c>
      <c r="H1640" s="116"/>
      <c r="I1640" s="116"/>
      <c r="L1640" s="169">
        <v>44908</v>
      </c>
      <c r="M1640" s="116">
        <v>205.3</v>
      </c>
      <c r="N1640" s="116">
        <v>207.5</v>
      </c>
      <c r="O1640" s="116">
        <v>204.666666666667</v>
      </c>
      <c r="P1640" s="116">
        <v>206</v>
      </c>
      <c r="Q1640" s="116">
        <v>615.9</v>
      </c>
      <c r="R1640">
        <v>20095</v>
      </c>
    </row>
    <row r="1641" spans="1:18" x14ac:dyDescent="0.25">
      <c r="A1641" s="169">
        <v>44909</v>
      </c>
      <c r="B1641" s="116">
        <v>207.13333333333301</v>
      </c>
      <c r="C1641" s="116">
        <v>204.98333333333301</v>
      </c>
      <c r="D1641" s="116">
        <v>204.01666666666699</v>
      </c>
      <c r="E1641" s="116">
        <v>204.01666666666699</v>
      </c>
      <c r="F1641" s="116">
        <v>614.95000000000005</v>
      </c>
      <c r="G1641">
        <v>2213</v>
      </c>
      <c r="H1641" s="116"/>
      <c r="I1641" s="116"/>
      <c r="L1641" s="169">
        <v>44909</v>
      </c>
      <c r="M1641" s="116">
        <v>205.11666666666699</v>
      </c>
      <c r="N1641" s="116">
        <v>207.15</v>
      </c>
      <c r="O1641" s="116">
        <v>204.333333333333</v>
      </c>
      <c r="P1641" s="116">
        <v>205.333333333333</v>
      </c>
      <c r="Q1641" s="116">
        <v>615.35</v>
      </c>
      <c r="R1641">
        <v>27100</v>
      </c>
    </row>
    <row r="1642" spans="1:18" x14ac:dyDescent="0.25">
      <c r="A1642" s="169">
        <v>44910</v>
      </c>
      <c r="B1642" s="116">
        <v>206.666666666667</v>
      </c>
      <c r="C1642" s="116">
        <v>204.03333333333299</v>
      </c>
      <c r="D1642" s="116">
        <v>203.7</v>
      </c>
      <c r="E1642" s="116">
        <v>206.666666666667</v>
      </c>
      <c r="F1642" s="116">
        <v>612.1</v>
      </c>
      <c r="G1642">
        <v>74800</v>
      </c>
      <c r="H1642" s="116"/>
      <c r="I1642" s="116"/>
      <c r="L1642" s="169">
        <v>44910</v>
      </c>
      <c r="M1642" s="116">
        <v>204</v>
      </c>
      <c r="N1642" s="116">
        <v>206.166666666667</v>
      </c>
      <c r="O1642" s="116">
        <v>203.666666666667</v>
      </c>
      <c r="P1642" s="116">
        <v>205.833333333333</v>
      </c>
      <c r="Q1642" s="116">
        <v>612</v>
      </c>
      <c r="R1642">
        <v>40550</v>
      </c>
    </row>
    <row r="1643" spans="1:18" x14ac:dyDescent="0.25">
      <c r="A1643" s="169">
        <v>44911</v>
      </c>
      <c r="B1643" s="116">
        <v>205.01666666666699</v>
      </c>
      <c r="C1643" s="116">
        <v>203.3</v>
      </c>
      <c r="D1643" s="116">
        <v>202.666666666667</v>
      </c>
      <c r="E1643" s="116">
        <v>203.416666666667</v>
      </c>
      <c r="F1643" s="116">
        <v>609.9</v>
      </c>
      <c r="G1643">
        <v>3239</v>
      </c>
      <c r="H1643" s="116"/>
      <c r="I1643" s="116"/>
      <c r="L1643" s="169">
        <v>44911</v>
      </c>
      <c r="M1643" s="116">
        <v>203.28333333333299</v>
      </c>
      <c r="N1643" s="116">
        <v>205.25</v>
      </c>
      <c r="O1643" s="116">
        <v>202.7</v>
      </c>
      <c r="P1643" s="116">
        <v>203.5</v>
      </c>
      <c r="Q1643" s="116">
        <v>609.85</v>
      </c>
      <c r="R1643">
        <v>27053</v>
      </c>
    </row>
    <row r="1644" spans="1:18" x14ac:dyDescent="0.25">
      <c r="A1644" s="169">
        <v>44914</v>
      </c>
      <c r="B1644" s="116">
        <v>204</v>
      </c>
      <c r="C1644" s="116">
        <v>203.38333333333301</v>
      </c>
      <c r="D1644" s="116">
        <v>201.61666666666699</v>
      </c>
      <c r="E1644" s="116">
        <v>201.7</v>
      </c>
      <c r="F1644" s="116">
        <v>610.15</v>
      </c>
      <c r="G1644">
        <v>5749</v>
      </c>
      <c r="H1644" s="116"/>
      <c r="I1644" s="116"/>
      <c r="L1644" s="169">
        <v>44914</v>
      </c>
      <c r="M1644" s="116">
        <v>203.416666666667</v>
      </c>
      <c r="N1644" s="116">
        <v>204.23333333333301</v>
      </c>
      <c r="O1644" s="116">
        <v>202.666666666667</v>
      </c>
      <c r="P1644" s="116">
        <v>203.433333333333</v>
      </c>
      <c r="Q1644" s="116">
        <v>610.25</v>
      </c>
      <c r="R1644">
        <v>11521</v>
      </c>
    </row>
    <row r="1645" spans="1:18" x14ac:dyDescent="0.25">
      <c r="A1645" s="169">
        <v>44915</v>
      </c>
      <c r="B1645" s="116">
        <v>204.583333333333</v>
      </c>
      <c r="C1645" s="116">
        <v>203.2</v>
      </c>
      <c r="D1645" s="116">
        <v>202.51666666666699</v>
      </c>
      <c r="E1645" s="116">
        <v>203.416666666667</v>
      </c>
      <c r="F1645" s="116">
        <v>609.6</v>
      </c>
      <c r="G1645">
        <v>1158</v>
      </c>
      <c r="H1645" s="116"/>
      <c r="I1645" s="116"/>
      <c r="L1645" s="169">
        <v>44915</v>
      </c>
      <c r="M1645" s="116">
        <v>202.86666666666699</v>
      </c>
      <c r="N1645" s="116">
        <v>204.566666666667</v>
      </c>
      <c r="O1645" s="116">
        <v>202.5</v>
      </c>
      <c r="P1645" s="116">
        <v>203.75</v>
      </c>
      <c r="Q1645" s="116">
        <v>608.6</v>
      </c>
      <c r="R1645">
        <v>13241</v>
      </c>
    </row>
    <row r="1646" spans="1:18" x14ac:dyDescent="0.25">
      <c r="A1646" s="169">
        <v>44916</v>
      </c>
      <c r="B1646" s="116">
        <v>236.2</v>
      </c>
      <c r="C1646" s="116">
        <v>233.36666666666699</v>
      </c>
      <c r="D1646" s="116">
        <v>205.6</v>
      </c>
      <c r="E1646" s="116">
        <v>207.333333333333</v>
      </c>
      <c r="F1646" s="116">
        <v>700.1</v>
      </c>
      <c r="G1646">
        <v>70279</v>
      </c>
      <c r="H1646" s="116"/>
      <c r="I1646" s="116"/>
      <c r="L1646" s="169">
        <v>44916</v>
      </c>
      <c r="M1646" s="116">
        <v>233.61666666666699</v>
      </c>
      <c r="N1646" s="116">
        <v>236.333333333333</v>
      </c>
      <c r="O1646" s="116">
        <v>205.61666666666699</v>
      </c>
      <c r="P1646" s="116">
        <v>205.916666666667</v>
      </c>
      <c r="Q1646" s="116">
        <v>700.85</v>
      </c>
      <c r="R1646">
        <v>1668836</v>
      </c>
    </row>
    <row r="1647" spans="1:18" x14ac:dyDescent="0.25">
      <c r="A1647" s="169">
        <v>44917</v>
      </c>
      <c r="B1647" s="116">
        <v>256.33333333333297</v>
      </c>
      <c r="C1647" s="116">
        <v>208.05</v>
      </c>
      <c r="D1647" s="116">
        <v>204.416666666667</v>
      </c>
      <c r="E1647" s="116">
        <v>234.816666666667</v>
      </c>
      <c r="F1647" s="116">
        <v>624.15</v>
      </c>
      <c r="G1647">
        <v>163612</v>
      </c>
      <c r="H1647" s="116"/>
      <c r="I1647" s="116"/>
      <c r="L1647" s="169">
        <v>44917</v>
      </c>
      <c r="M1647" s="116">
        <v>207.933333333333</v>
      </c>
      <c r="N1647" s="116">
        <v>256.08333333333297</v>
      </c>
      <c r="O1647" s="116">
        <v>204.066666666667</v>
      </c>
      <c r="P1647" s="116">
        <v>234.8</v>
      </c>
      <c r="Q1647" s="116">
        <v>623.79999999999995</v>
      </c>
      <c r="R1647">
        <v>5185705</v>
      </c>
    </row>
    <row r="1648" spans="1:18" x14ac:dyDescent="0.25">
      <c r="A1648" s="169">
        <v>44918</v>
      </c>
      <c r="B1648" s="116">
        <v>222.88333333333301</v>
      </c>
      <c r="C1648" s="116">
        <v>211.916666666667</v>
      </c>
      <c r="D1648" s="116">
        <v>208.53333333333299</v>
      </c>
      <c r="E1648" s="116">
        <v>211.36666666666699</v>
      </c>
      <c r="F1648" s="116">
        <v>635.75</v>
      </c>
      <c r="G1648">
        <v>141770</v>
      </c>
      <c r="H1648" s="116"/>
      <c r="I1648" s="116"/>
      <c r="L1648" s="169">
        <v>44918</v>
      </c>
      <c r="M1648" s="116">
        <v>211.683333333333</v>
      </c>
      <c r="N1648" s="116">
        <v>223</v>
      </c>
      <c r="O1648" s="116">
        <v>208.183333333333</v>
      </c>
      <c r="P1648" s="116">
        <v>208.86666666666699</v>
      </c>
      <c r="Q1648" s="116">
        <v>635.04999999999995</v>
      </c>
      <c r="R1648">
        <v>2859053</v>
      </c>
    </row>
    <row r="1649" spans="1:18" x14ac:dyDescent="0.25">
      <c r="A1649" s="169">
        <v>44921</v>
      </c>
      <c r="B1649" s="116">
        <v>221.2</v>
      </c>
      <c r="C1649" s="116">
        <v>207.23333333333301</v>
      </c>
      <c r="D1649" s="116">
        <v>206.05</v>
      </c>
      <c r="E1649" s="116">
        <v>216.13333333333301</v>
      </c>
      <c r="F1649" s="116">
        <v>621.70000000000005</v>
      </c>
      <c r="G1649">
        <v>51858</v>
      </c>
      <c r="H1649" s="116"/>
      <c r="I1649" s="116"/>
      <c r="L1649" s="169">
        <v>44921</v>
      </c>
      <c r="M1649" s="116">
        <v>207.25</v>
      </c>
      <c r="N1649" s="116">
        <v>222.15</v>
      </c>
      <c r="O1649" s="116">
        <v>206.03333333333299</v>
      </c>
      <c r="P1649" s="116">
        <v>216.666666666667</v>
      </c>
      <c r="Q1649" s="116">
        <v>621.75</v>
      </c>
      <c r="R1649">
        <v>665226</v>
      </c>
    </row>
    <row r="1650" spans="1:18" x14ac:dyDescent="0.25">
      <c r="A1650" s="169">
        <v>44922</v>
      </c>
      <c r="B1650" s="116">
        <v>208.666666666667</v>
      </c>
      <c r="C1650" s="116">
        <v>204.183333333333</v>
      </c>
      <c r="D1650" s="116">
        <v>203.35</v>
      </c>
      <c r="E1650" s="116">
        <v>208.666666666667</v>
      </c>
      <c r="F1650" s="116">
        <v>612.54999999999995</v>
      </c>
      <c r="G1650">
        <v>9844</v>
      </c>
      <c r="H1650" s="116"/>
      <c r="I1650" s="116"/>
      <c r="L1650" s="169">
        <v>44922</v>
      </c>
      <c r="M1650" s="116">
        <v>204.55</v>
      </c>
      <c r="N1650" s="116">
        <v>208.583333333333</v>
      </c>
      <c r="O1650" s="116">
        <v>203.51666666666699</v>
      </c>
      <c r="P1650" s="116">
        <v>208.333333333333</v>
      </c>
      <c r="Q1650" s="116">
        <v>613.65</v>
      </c>
      <c r="R1650">
        <v>298105</v>
      </c>
    </row>
    <row r="1651" spans="1:18" x14ac:dyDescent="0.25">
      <c r="A1651" s="169">
        <v>44923</v>
      </c>
      <c r="B1651" s="116">
        <v>210.55</v>
      </c>
      <c r="C1651" s="116">
        <v>205.45</v>
      </c>
      <c r="D1651" s="116">
        <v>204.38333333333301</v>
      </c>
      <c r="E1651" s="116">
        <v>205.15</v>
      </c>
      <c r="F1651" s="116">
        <v>616.35</v>
      </c>
      <c r="G1651">
        <v>8381</v>
      </c>
      <c r="H1651" s="116"/>
      <c r="I1651" s="116"/>
      <c r="L1651" s="169">
        <v>44923</v>
      </c>
      <c r="M1651" s="116">
        <v>205.61666666666699</v>
      </c>
      <c r="N1651" s="116">
        <v>210.61666666666699</v>
      </c>
      <c r="O1651" s="116">
        <v>203.666666666667</v>
      </c>
      <c r="P1651" s="116">
        <v>204.55</v>
      </c>
      <c r="Q1651" s="116">
        <v>616.85</v>
      </c>
      <c r="R1651">
        <v>302533</v>
      </c>
    </row>
    <row r="1652" spans="1:18" x14ac:dyDescent="0.25">
      <c r="A1652" s="169">
        <v>44924</v>
      </c>
      <c r="B1652" s="116">
        <v>215.25</v>
      </c>
      <c r="C1652" s="116">
        <v>209.03333333333299</v>
      </c>
      <c r="D1652" s="116">
        <v>208.01666666666699</v>
      </c>
      <c r="E1652" s="116">
        <v>210.36666666666699</v>
      </c>
      <c r="F1652" s="116">
        <v>627.1</v>
      </c>
      <c r="G1652">
        <v>20868</v>
      </c>
      <c r="H1652" s="116"/>
      <c r="I1652" s="116"/>
      <c r="L1652" s="169">
        <v>44924</v>
      </c>
      <c r="M1652" s="116">
        <v>209.11666666666699</v>
      </c>
      <c r="N1652" s="116">
        <v>216.65</v>
      </c>
      <c r="O1652" s="116">
        <v>208.03333333333299</v>
      </c>
      <c r="P1652" s="116">
        <v>208.73333333333301</v>
      </c>
      <c r="Q1652" s="116">
        <v>627.35</v>
      </c>
      <c r="R1652">
        <v>583015</v>
      </c>
    </row>
    <row r="1653" spans="1:18" x14ac:dyDescent="0.25">
      <c r="A1653" s="169">
        <v>44925</v>
      </c>
      <c r="B1653" s="116">
        <v>210.083333333333</v>
      </c>
      <c r="C1653" s="116">
        <v>205.96666666666701</v>
      </c>
      <c r="D1653" s="116">
        <v>205.416666666667</v>
      </c>
      <c r="E1653" s="116">
        <v>209.833333333333</v>
      </c>
      <c r="F1653" s="116">
        <v>617.9</v>
      </c>
      <c r="G1653">
        <v>4637</v>
      </c>
      <c r="H1653" s="116"/>
      <c r="I1653" s="116"/>
      <c r="L1653" s="169">
        <v>44925</v>
      </c>
      <c r="M1653" s="116">
        <v>206.21666666666701</v>
      </c>
      <c r="N1653" s="116">
        <v>210.3</v>
      </c>
      <c r="O1653" s="116">
        <v>205.433333333333</v>
      </c>
      <c r="P1653" s="116">
        <v>209.8</v>
      </c>
      <c r="Q1653" s="116">
        <v>618.65</v>
      </c>
      <c r="R1653">
        <v>147619</v>
      </c>
    </row>
    <row r="1654" spans="1:18" x14ac:dyDescent="0.25">
      <c r="A1654" s="169">
        <v>44928</v>
      </c>
      <c r="B1654" s="116">
        <v>207.05</v>
      </c>
      <c r="C1654" s="116">
        <v>203.7</v>
      </c>
      <c r="D1654" s="116">
        <v>203.416666666667</v>
      </c>
      <c r="E1654" s="116">
        <v>206.666666666667</v>
      </c>
      <c r="F1654" s="116">
        <v>611.1</v>
      </c>
      <c r="G1654">
        <v>5531</v>
      </c>
      <c r="H1654" s="116"/>
      <c r="I1654" s="116"/>
      <c r="L1654" s="169">
        <v>44928</v>
      </c>
      <c r="M1654" s="116">
        <v>203.816666666667</v>
      </c>
      <c r="N1654" s="116">
        <v>206.96666666666701</v>
      </c>
      <c r="O1654" s="116">
        <v>203.333333333333</v>
      </c>
      <c r="P1654" s="116">
        <v>206.48333333333301</v>
      </c>
      <c r="Q1654" s="116">
        <v>611.45000000000005</v>
      </c>
      <c r="R1654">
        <v>146895</v>
      </c>
    </row>
    <row r="1655" spans="1:18" x14ac:dyDescent="0.25">
      <c r="A1655" s="169">
        <v>44929</v>
      </c>
      <c r="B1655" s="116">
        <v>206.333333333333</v>
      </c>
      <c r="C1655" s="116">
        <v>204.98333333333301</v>
      </c>
      <c r="D1655" s="116">
        <v>203.85</v>
      </c>
      <c r="E1655" s="116">
        <v>204</v>
      </c>
      <c r="F1655" s="116">
        <v>614.95000000000005</v>
      </c>
      <c r="G1655">
        <v>3899</v>
      </c>
      <c r="H1655" s="116"/>
      <c r="I1655" s="116"/>
      <c r="L1655" s="169">
        <v>44929</v>
      </c>
      <c r="M1655" s="116">
        <v>204.96666666666701</v>
      </c>
      <c r="N1655" s="116">
        <v>206.5</v>
      </c>
      <c r="O1655" s="116">
        <v>203.7</v>
      </c>
      <c r="P1655" s="116">
        <v>204.96666666666701</v>
      </c>
      <c r="Q1655" s="116">
        <v>614.9</v>
      </c>
      <c r="R1655">
        <v>136540</v>
      </c>
    </row>
    <row r="1656" spans="1:18" x14ac:dyDescent="0.25">
      <c r="A1656" s="169">
        <v>44930</v>
      </c>
      <c r="B1656" s="116">
        <v>205.36666666666699</v>
      </c>
      <c r="C1656" s="116">
        <v>202.816666666667</v>
      </c>
      <c r="D1656" s="116">
        <v>202.48333333333301</v>
      </c>
      <c r="E1656" s="116">
        <v>202.666666666667</v>
      </c>
      <c r="F1656" s="116">
        <v>608.45000000000005</v>
      </c>
      <c r="G1656">
        <v>10204</v>
      </c>
      <c r="H1656" s="116"/>
      <c r="I1656" s="116"/>
      <c r="L1656" s="169">
        <v>44930</v>
      </c>
      <c r="M1656" s="116">
        <v>202.916666666667</v>
      </c>
      <c r="N1656" s="116">
        <v>206</v>
      </c>
      <c r="O1656" s="116">
        <v>202.5</v>
      </c>
      <c r="P1656" s="116">
        <v>205.4</v>
      </c>
      <c r="Q1656" s="116">
        <v>608.75</v>
      </c>
      <c r="R1656">
        <v>92338</v>
      </c>
    </row>
    <row r="1657" spans="1:18" x14ac:dyDescent="0.25">
      <c r="A1657" s="169">
        <v>44931</v>
      </c>
      <c r="B1657" s="116">
        <v>203.78333333333299</v>
      </c>
      <c r="C1657" s="116">
        <v>201.78333333333299</v>
      </c>
      <c r="D1657" s="116">
        <v>201</v>
      </c>
      <c r="E1657" s="116">
        <v>203.666666666667</v>
      </c>
      <c r="F1657" s="116">
        <v>605.35</v>
      </c>
      <c r="G1657">
        <v>2999</v>
      </c>
      <c r="H1657" s="116"/>
      <c r="I1657" s="116"/>
      <c r="L1657" s="169">
        <v>44931</v>
      </c>
      <c r="M1657" s="116">
        <v>201.8</v>
      </c>
      <c r="N1657" s="116">
        <v>203.583333333333</v>
      </c>
      <c r="O1657" s="116">
        <v>200.933333333333</v>
      </c>
      <c r="P1657" s="116">
        <v>203.583333333333</v>
      </c>
      <c r="Q1657" s="116">
        <v>605.4</v>
      </c>
      <c r="R1657">
        <v>86433</v>
      </c>
    </row>
    <row r="1658" spans="1:18" x14ac:dyDescent="0.25">
      <c r="A1658" s="169">
        <v>44932</v>
      </c>
      <c r="B1658" s="116">
        <v>201.71666666666701</v>
      </c>
      <c r="C1658" s="116">
        <v>196.21666666666701</v>
      </c>
      <c r="D1658" s="116">
        <v>195.683333333333</v>
      </c>
      <c r="E1658" s="116">
        <v>201.71666666666701</v>
      </c>
      <c r="F1658" s="116">
        <v>588.65</v>
      </c>
      <c r="G1658">
        <v>10941</v>
      </c>
      <c r="H1658" s="116"/>
      <c r="I1658" s="116"/>
      <c r="L1658" s="169">
        <v>44932</v>
      </c>
      <c r="M1658" s="116">
        <v>196.26666666666699</v>
      </c>
      <c r="N1658" s="116">
        <v>202.2</v>
      </c>
      <c r="O1658" s="116">
        <v>195.833333333333</v>
      </c>
      <c r="P1658" s="116">
        <v>201.5</v>
      </c>
      <c r="Q1658" s="116">
        <v>588.79999999999995</v>
      </c>
      <c r="R1658">
        <v>178399</v>
      </c>
    </row>
    <row r="1659" spans="1:18" x14ac:dyDescent="0.25">
      <c r="A1659" s="169">
        <v>44935</v>
      </c>
      <c r="B1659" s="116">
        <v>197.95</v>
      </c>
      <c r="C1659" s="116">
        <v>190.683333333333</v>
      </c>
      <c r="D1659" s="116">
        <v>190</v>
      </c>
      <c r="E1659" s="116">
        <v>195.01666666666699</v>
      </c>
      <c r="F1659" s="116">
        <v>572.04999999999995</v>
      </c>
      <c r="G1659">
        <v>8768</v>
      </c>
      <c r="H1659" s="116"/>
      <c r="I1659" s="116"/>
      <c r="L1659" s="169">
        <v>44935</v>
      </c>
      <c r="M1659" s="116">
        <v>190.7</v>
      </c>
      <c r="N1659" s="116">
        <v>198.13333333333301</v>
      </c>
      <c r="O1659" s="116">
        <v>190</v>
      </c>
      <c r="P1659" s="116">
        <v>196.71666666666701</v>
      </c>
      <c r="Q1659" s="116">
        <v>572.1</v>
      </c>
      <c r="R1659">
        <v>281264</v>
      </c>
    </row>
    <row r="1660" spans="1:18" x14ac:dyDescent="0.25">
      <c r="A1660" s="169">
        <v>44936</v>
      </c>
      <c r="B1660" s="116">
        <v>193.63333333333301</v>
      </c>
      <c r="C1660" s="116">
        <v>190.833333333333</v>
      </c>
      <c r="D1660" s="116">
        <v>187.433333333333</v>
      </c>
      <c r="E1660" s="116">
        <v>190.7</v>
      </c>
      <c r="F1660" s="116">
        <v>572.5</v>
      </c>
      <c r="G1660">
        <v>4665</v>
      </c>
      <c r="H1660" s="116"/>
      <c r="I1660" s="116"/>
      <c r="L1660" s="169">
        <v>44936</v>
      </c>
      <c r="M1660" s="116">
        <v>191.21666666666701</v>
      </c>
      <c r="N1660" s="116">
        <v>195.88333333333301</v>
      </c>
      <c r="O1660" s="116">
        <v>187.36666666666699</v>
      </c>
      <c r="P1660" s="116">
        <v>190.666666666667</v>
      </c>
      <c r="Q1660" s="116">
        <v>573.65</v>
      </c>
      <c r="R1660">
        <v>150262</v>
      </c>
    </row>
    <row r="1661" spans="1:18" x14ac:dyDescent="0.25">
      <c r="A1661" s="169">
        <v>44937</v>
      </c>
      <c r="B1661" s="116">
        <v>194.28333333333299</v>
      </c>
      <c r="C1661" s="116">
        <v>192.05</v>
      </c>
      <c r="D1661" s="116">
        <v>191.666666666667</v>
      </c>
      <c r="E1661" s="116">
        <v>193.4</v>
      </c>
      <c r="F1661" s="116">
        <v>576.15</v>
      </c>
      <c r="G1661">
        <v>1036</v>
      </c>
      <c r="H1661" s="116"/>
      <c r="I1661" s="116"/>
      <c r="L1661" s="169">
        <v>44937</v>
      </c>
      <c r="M1661" s="116">
        <v>192.1</v>
      </c>
      <c r="N1661" s="116">
        <v>194.666666666667</v>
      </c>
      <c r="O1661" s="116">
        <v>191.333333333333</v>
      </c>
      <c r="P1661" s="116">
        <v>193.13333333333301</v>
      </c>
      <c r="Q1661" s="116">
        <v>576.29999999999995</v>
      </c>
      <c r="R1661">
        <v>65719</v>
      </c>
    </row>
    <row r="1662" spans="1:18" x14ac:dyDescent="0.25">
      <c r="A1662" s="169">
        <v>44938</v>
      </c>
      <c r="B1662" s="116">
        <v>192.23333333333301</v>
      </c>
      <c r="C1662" s="116">
        <v>191.666666666667</v>
      </c>
      <c r="D1662" s="116">
        <v>190.6</v>
      </c>
      <c r="E1662" s="116">
        <v>192.1</v>
      </c>
      <c r="F1662" s="116">
        <v>575</v>
      </c>
      <c r="G1662">
        <v>3193</v>
      </c>
      <c r="H1662" s="116"/>
      <c r="I1662" s="116"/>
      <c r="L1662" s="169">
        <v>44938</v>
      </c>
      <c r="M1662" s="116">
        <v>191.566666666667</v>
      </c>
      <c r="N1662" s="116">
        <v>193</v>
      </c>
      <c r="O1662" s="116">
        <v>190.55</v>
      </c>
      <c r="P1662" s="116">
        <v>193</v>
      </c>
      <c r="Q1662" s="116">
        <v>574.70000000000005</v>
      </c>
      <c r="R1662">
        <v>62374</v>
      </c>
    </row>
    <row r="1663" spans="1:18" x14ac:dyDescent="0.25">
      <c r="A1663" s="169">
        <v>44939</v>
      </c>
      <c r="B1663" s="116">
        <v>192.816666666667</v>
      </c>
      <c r="C1663" s="116">
        <v>190.566666666667</v>
      </c>
      <c r="D1663" s="116">
        <v>190.25</v>
      </c>
      <c r="E1663" s="116">
        <v>192.333333333333</v>
      </c>
      <c r="F1663" s="116">
        <v>571.70000000000005</v>
      </c>
      <c r="G1663">
        <v>4946</v>
      </c>
      <c r="H1663" s="116"/>
      <c r="I1663" s="116"/>
      <c r="L1663" s="169">
        <v>44939</v>
      </c>
      <c r="M1663" s="116">
        <v>190.583333333333</v>
      </c>
      <c r="N1663" s="116">
        <v>192.86666666666699</v>
      </c>
      <c r="O1663" s="116">
        <v>190</v>
      </c>
      <c r="P1663" s="116">
        <v>192.333333333333</v>
      </c>
      <c r="Q1663" s="116">
        <v>571.75</v>
      </c>
      <c r="R1663">
        <v>39162</v>
      </c>
    </row>
    <row r="1664" spans="1:18" x14ac:dyDescent="0.25">
      <c r="A1664" s="169">
        <v>44942</v>
      </c>
      <c r="B1664" s="116">
        <v>191.416666666667</v>
      </c>
      <c r="C1664" s="116">
        <v>188.6</v>
      </c>
      <c r="D1664" s="116">
        <v>188.11666666666699</v>
      </c>
      <c r="E1664" s="116">
        <v>191.166666666667</v>
      </c>
      <c r="F1664" s="116">
        <v>565.79999999999995</v>
      </c>
      <c r="G1664">
        <v>1997</v>
      </c>
      <c r="H1664" s="116"/>
      <c r="I1664" s="116"/>
      <c r="L1664" s="169">
        <v>44942</v>
      </c>
      <c r="M1664" s="116">
        <v>188.71666666666701</v>
      </c>
      <c r="N1664" s="116">
        <v>191.666666666667</v>
      </c>
      <c r="O1664" s="116">
        <v>188.05</v>
      </c>
      <c r="P1664" s="116">
        <v>191.666666666667</v>
      </c>
      <c r="Q1664" s="116">
        <v>566.15</v>
      </c>
      <c r="R1664">
        <v>44177</v>
      </c>
    </row>
    <row r="1665" spans="1:18" x14ac:dyDescent="0.25">
      <c r="A1665" s="169">
        <v>44943</v>
      </c>
      <c r="B1665" s="116">
        <v>188.48333333333301</v>
      </c>
      <c r="C1665" s="116">
        <v>186.71666666666701</v>
      </c>
      <c r="D1665" s="116">
        <v>186.36666666666699</v>
      </c>
      <c r="E1665" s="116">
        <v>188.23333333333301</v>
      </c>
      <c r="F1665" s="116">
        <v>560.15</v>
      </c>
      <c r="G1665">
        <v>1716</v>
      </c>
      <c r="H1665" s="116"/>
      <c r="I1665" s="116"/>
      <c r="L1665" s="169">
        <v>44943</v>
      </c>
      <c r="M1665" s="116">
        <v>186.71666666666701</v>
      </c>
      <c r="N1665" s="116">
        <v>188.61666666666699</v>
      </c>
      <c r="O1665" s="116">
        <v>186.333333333333</v>
      </c>
      <c r="P1665" s="116">
        <v>187.53333333333299</v>
      </c>
      <c r="Q1665" s="116">
        <v>560.15</v>
      </c>
      <c r="R1665">
        <v>46062</v>
      </c>
    </row>
    <row r="1666" spans="1:18" x14ac:dyDescent="0.25">
      <c r="A1666" s="169">
        <v>44944</v>
      </c>
      <c r="B1666" s="116">
        <v>188.23333333333301</v>
      </c>
      <c r="C1666" s="116">
        <v>186.21666666666701</v>
      </c>
      <c r="D1666" s="116">
        <v>185</v>
      </c>
      <c r="E1666" s="116">
        <v>186.98333333333301</v>
      </c>
      <c r="F1666" s="116">
        <v>558.65</v>
      </c>
      <c r="G1666">
        <v>5554</v>
      </c>
      <c r="H1666" s="116"/>
      <c r="I1666" s="116"/>
      <c r="L1666" s="169">
        <v>44944</v>
      </c>
      <c r="M1666" s="116">
        <v>185.98333333333301</v>
      </c>
      <c r="N1666" s="116">
        <v>188.26666666666699</v>
      </c>
      <c r="O1666" s="116">
        <v>184.333333333333</v>
      </c>
      <c r="P1666" s="116">
        <v>187.333333333333</v>
      </c>
      <c r="Q1666" s="116">
        <v>557.95000000000005</v>
      </c>
      <c r="R1666">
        <v>38080</v>
      </c>
    </row>
    <row r="1667" spans="1:18" x14ac:dyDescent="0.25">
      <c r="A1667" s="169">
        <v>44945</v>
      </c>
      <c r="B1667" s="116">
        <v>188.28333333333299</v>
      </c>
      <c r="C1667" s="116">
        <v>185.88333333333301</v>
      </c>
      <c r="D1667" s="116">
        <v>184.45</v>
      </c>
      <c r="E1667" s="116">
        <v>184.45</v>
      </c>
      <c r="F1667" s="116">
        <v>557.65</v>
      </c>
      <c r="G1667">
        <v>6370</v>
      </c>
      <c r="H1667" s="116"/>
      <c r="I1667" s="116"/>
      <c r="L1667" s="169">
        <v>44945</v>
      </c>
      <c r="M1667" s="116">
        <v>186.05</v>
      </c>
      <c r="N1667" s="116">
        <v>188.166666666667</v>
      </c>
      <c r="O1667" s="116">
        <v>185.083333333333</v>
      </c>
      <c r="P1667" s="116">
        <v>185.5</v>
      </c>
      <c r="Q1667" s="116">
        <v>558.15</v>
      </c>
      <c r="R1667">
        <v>38494</v>
      </c>
    </row>
    <row r="1668" spans="1:18" x14ac:dyDescent="0.25">
      <c r="A1668" s="169">
        <v>44946</v>
      </c>
      <c r="B1668" s="116">
        <v>187.65</v>
      </c>
      <c r="C1668" s="116">
        <v>186.21666666666701</v>
      </c>
      <c r="D1668" s="116">
        <v>185.683333333333</v>
      </c>
      <c r="E1668" s="116">
        <v>185.9</v>
      </c>
      <c r="F1668" s="116">
        <v>558.65</v>
      </c>
      <c r="G1668">
        <v>2043</v>
      </c>
      <c r="H1668" s="116"/>
      <c r="I1668" s="116"/>
      <c r="L1668" s="169">
        <v>44946</v>
      </c>
      <c r="M1668" s="116">
        <v>186.25</v>
      </c>
      <c r="N1668" s="116">
        <v>187.95</v>
      </c>
      <c r="O1668" s="116">
        <v>185.76666666666699</v>
      </c>
      <c r="P1668" s="116">
        <v>186.65</v>
      </c>
      <c r="Q1668" s="116">
        <v>558.75</v>
      </c>
      <c r="R1668">
        <v>30671</v>
      </c>
    </row>
    <row r="1669" spans="1:18" x14ac:dyDescent="0.25">
      <c r="A1669" s="169">
        <v>44949</v>
      </c>
      <c r="B1669" s="116">
        <v>190.833333333333</v>
      </c>
      <c r="C1669" s="116">
        <v>185.816666666667</v>
      </c>
      <c r="D1669" s="116">
        <v>185</v>
      </c>
      <c r="E1669" s="116">
        <v>190.833333333333</v>
      </c>
      <c r="F1669" s="116">
        <v>557.45000000000005</v>
      </c>
      <c r="G1669">
        <v>1325</v>
      </c>
      <c r="H1669" s="116"/>
      <c r="I1669" s="116"/>
      <c r="L1669" s="169">
        <v>44949</v>
      </c>
      <c r="M1669" s="116">
        <v>185.75</v>
      </c>
      <c r="N1669" s="116">
        <v>187.3</v>
      </c>
      <c r="O1669" s="116">
        <v>184.95</v>
      </c>
      <c r="P1669" s="116">
        <v>187.183333333333</v>
      </c>
      <c r="Q1669" s="116">
        <v>557.25</v>
      </c>
      <c r="R1669">
        <v>31142</v>
      </c>
    </row>
    <row r="1670" spans="1:18" x14ac:dyDescent="0.25">
      <c r="A1670" s="169">
        <v>44950</v>
      </c>
      <c r="B1670" s="116">
        <v>187</v>
      </c>
      <c r="C1670" s="116">
        <v>184.26666666666699</v>
      </c>
      <c r="D1670" s="116">
        <v>183.73333333333301</v>
      </c>
      <c r="E1670" s="116">
        <v>186.6</v>
      </c>
      <c r="F1670" s="116">
        <v>552.79999999999995</v>
      </c>
      <c r="G1670">
        <v>4663</v>
      </c>
      <c r="H1670" s="116"/>
      <c r="I1670" s="116"/>
      <c r="L1670" s="169">
        <v>44950</v>
      </c>
      <c r="M1670" s="116">
        <v>184.316666666667</v>
      </c>
      <c r="N1670" s="116">
        <v>187</v>
      </c>
      <c r="O1670" s="116">
        <v>183.71666666666701</v>
      </c>
      <c r="P1670" s="116">
        <v>185.73333333333301</v>
      </c>
      <c r="Q1670" s="116">
        <v>552.95000000000005</v>
      </c>
      <c r="R1670">
        <v>31884</v>
      </c>
    </row>
    <row r="1671" spans="1:18" x14ac:dyDescent="0.25">
      <c r="A1671" s="169">
        <v>44951</v>
      </c>
      <c r="B1671" s="116">
        <v>187</v>
      </c>
      <c r="C1671" s="116">
        <v>182.333333333333</v>
      </c>
      <c r="D1671" s="116">
        <v>181.666666666667</v>
      </c>
      <c r="E1671" s="116">
        <v>186.98333333333301</v>
      </c>
      <c r="F1671" s="116">
        <v>547</v>
      </c>
      <c r="G1671">
        <v>2033</v>
      </c>
      <c r="H1671" s="116"/>
      <c r="I1671" s="116"/>
      <c r="L1671" s="169">
        <v>44951</v>
      </c>
      <c r="M1671" s="116">
        <v>182.683333333333</v>
      </c>
      <c r="N1671" s="116">
        <v>187.316666666667</v>
      </c>
      <c r="O1671" s="116">
        <v>181.666666666667</v>
      </c>
      <c r="P1671" s="116">
        <v>184.316666666667</v>
      </c>
      <c r="Q1671" s="116">
        <v>548.04999999999995</v>
      </c>
      <c r="R1671">
        <v>59705</v>
      </c>
    </row>
    <row r="1672" spans="1:18" x14ac:dyDescent="0.25">
      <c r="A1672" s="169">
        <v>44953</v>
      </c>
      <c r="B1672" s="116">
        <v>183.8</v>
      </c>
      <c r="C1672" s="116">
        <v>178.066666666667</v>
      </c>
      <c r="D1672" s="116">
        <v>175.416666666667</v>
      </c>
      <c r="E1672" s="116">
        <v>180.26666666666699</v>
      </c>
      <c r="F1672" s="116">
        <v>534.20000000000005</v>
      </c>
      <c r="G1672">
        <v>3042</v>
      </c>
      <c r="H1672" s="116"/>
      <c r="I1672" s="116"/>
      <c r="L1672" s="169">
        <v>44953</v>
      </c>
      <c r="M1672" s="116">
        <v>178.4</v>
      </c>
      <c r="N1672" s="116">
        <v>184</v>
      </c>
      <c r="O1672" s="116">
        <v>175.183333333333</v>
      </c>
      <c r="P1672" s="116">
        <v>181.666666666667</v>
      </c>
      <c r="Q1672" s="116">
        <v>535.20000000000005</v>
      </c>
      <c r="R1672">
        <v>50787</v>
      </c>
    </row>
    <row r="1673" spans="1:18" x14ac:dyDescent="0.25">
      <c r="A1673" s="169">
        <v>44956</v>
      </c>
      <c r="B1673" s="116">
        <v>178.683333333333</v>
      </c>
      <c r="C1673" s="116">
        <v>174.13333333333301</v>
      </c>
      <c r="D1673" s="116">
        <v>172.73333333333301</v>
      </c>
      <c r="E1673" s="116">
        <v>175</v>
      </c>
      <c r="F1673" s="116">
        <v>522.4</v>
      </c>
      <c r="G1673">
        <v>2229</v>
      </c>
      <c r="H1673" s="116"/>
      <c r="I1673" s="116"/>
      <c r="L1673" s="169">
        <v>44956</v>
      </c>
      <c r="M1673" s="116">
        <v>174</v>
      </c>
      <c r="N1673" s="116">
        <v>179.333333333333</v>
      </c>
      <c r="O1673" s="116">
        <v>172.166666666667</v>
      </c>
      <c r="P1673" s="116">
        <v>179.3</v>
      </c>
      <c r="Q1673" s="116">
        <v>522</v>
      </c>
      <c r="R1673">
        <v>52039</v>
      </c>
    </row>
    <row r="1674" spans="1:18" x14ac:dyDescent="0.25">
      <c r="A1674" s="169">
        <v>44957</v>
      </c>
      <c r="B1674" s="116">
        <v>193.333333333333</v>
      </c>
      <c r="C1674" s="116">
        <v>185.45</v>
      </c>
      <c r="D1674" s="116">
        <v>172.1</v>
      </c>
      <c r="E1674" s="116">
        <v>173.53333333333299</v>
      </c>
      <c r="F1674" s="116">
        <v>556.35</v>
      </c>
      <c r="G1674">
        <v>9976</v>
      </c>
      <c r="H1674" s="116"/>
      <c r="I1674" s="116"/>
      <c r="L1674" s="169">
        <v>44957</v>
      </c>
      <c r="M1674" s="116">
        <v>185.95</v>
      </c>
      <c r="N1674" s="116">
        <v>194.083333333333</v>
      </c>
      <c r="O1674" s="116">
        <v>172.15</v>
      </c>
      <c r="P1674" s="116">
        <v>174.88333333333301</v>
      </c>
      <c r="Q1674" s="116">
        <v>557.85</v>
      </c>
      <c r="R1674">
        <v>97589</v>
      </c>
    </row>
    <row r="1675" spans="1:18" x14ac:dyDescent="0.25">
      <c r="A1675" s="169">
        <v>44958</v>
      </c>
      <c r="B1675" s="116">
        <v>187.583333333333</v>
      </c>
      <c r="C1675" s="116">
        <v>177.5</v>
      </c>
      <c r="D1675" s="116">
        <v>175.36666666666699</v>
      </c>
      <c r="E1675" s="116">
        <v>185.666666666667</v>
      </c>
      <c r="F1675" s="116">
        <v>532.5</v>
      </c>
      <c r="G1675">
        <v>3532</v>
      </c>
      <c r="H1675" s="116"/>
      <c r="I1675" s="116"/>
      <c r="L1675" s="169">
        <v>44958</v>
      </c>
      <c r="M1675" s="116">
        <v>177.25</v>
      </c>
      <c r="N1675" s="116">
        <v>188.38333333333301</v>
      </c>
      <c r="O1675" s="116">
        <v>175.01666666666699</v>
      </c>
      <c r="P1675" s="116">
        <v>185.95</v>
      </c>
      <c r="Q1675" s="116">
        <v>531.75</v>
      </c>
      <c r="R1675">
        <v>58668</v>
      </c>
    </row>
    <row r="1676" spans="1:18" x14ac:dyDescent="0.25">
      <c r="A1676" s="169">
        <v>44959</v>
      </c>
      <c r="B1676" s="116">
        <v>180.9</v>
      </c>
      <c r="C1676" s="116">
        <v>175.13333333333301</v>
      </c>
      <c r="D1676" s="116">
        <v>173.933333333333</v>
      </c>
      <c r="E1676" s="116">
        <v>179.25</v>
      </c>
      <c r="F1676" s="116">
        <v>525.4</v>
      </c>
      <c r="G1676">
        <v>5094</v>
      </c>
      <c r="H1676" s="116"/>
      <c r="I1676" s="116"/>
      <c r="L1676" s="169">
        <v>44959</v>
      </c>
      <c r="M1676" s="116">
        <v>174.9</v>
      </c>
      <c r="N1676" s="116">
        <v>181.2</v>
      </c>
      <c r="O1676" s="116">
        <v>174.1</v>
      </c>
      <c r="P1676" s="116">
        <v>176.683333333333</v>
      </c>
      <c r="Q1676" s="116">
        <v>524.70000000000005</v>
      </c>
      <c r="R1676">
        <v>42576</v>
      </c>
    </row>
    <row r="1677" spans="1:18" x14ac:dyDescent="0.25">
      <c r="A1677" s="169">
        <v>44960</v>
      </c>
      <c r="B1677" s="116">
        <v>178.86666666666699</v>
      </c>
      <c r="C1677" s="116">
        <v>171.583333333333</v>
      </c>
      <c r="D1677" s="116">
        <v>169</v>
      </c>
      <c r="E1677" s="116">
        <v>175.85</v>
      </c>
      <c r="F1677" s="116">
        <v>514.75</v>
      </c>
      <c r="G1677">
        <v>9504</v>
      </c>
      <c r="H1677" s="116"/>
      <c r="I1677" s="116"/>
      <c r="L1677" s="169">
        <v>44960</v>
      </c>
      <c r="M1677" s="116">
        <v>171.65</v>
      </c>
      <c r="N1677" s="116">
        <v>179.9</v>
      </c>
      <c r="O1677" s="116">
        <v>167</v>
      </c>
      <c r="P1677" s="116">
        <v>176.833333333333</v>
      </c>
      <c r="Q1677" s="116">
        <v>514.95000000000005</v>
      </c>
      <c r="R1677">
        <v>65759</v>
      </c>
    </row>
    <row r="1678" spans="1:18" x14ac:dyDescent="0.25">
      <c r="A1678" s="169">
        <v>44963</v>
      </c>
      <c r="B1678" s="116">
        <v>170.066666666667</v>
      </c>
      <c r="C1678" s="116">
        <v>164.166666666667</v>
      </c>
      <c r="D1678" s="116">
        <v>163.666666666667</v>
      </c>
      <c r="E1678" s="116">
        <v>166.666666666667</v>
      </c>
      <c r="F1678" s="116">
        <v>492.5</v>
      </c>
      <c r="G1678">
        <v>6738</v>
      </c>
      <c r="H1678" s="116"/>
      <c r="I1678" s="116"/>
      <c r="L1678" s="169">
        <v>44963</v>
      </c>
      <c r="M1678" s="116">
        <v>164.03333333333299</v>
      </c>
      <c r="N1678" s="116">
        <v>170.566666666667</v>
      </c>
      <c r="O1678" s="116">
        <v>163.666666666667</v>
      </c>
      <c r="P1678" s="116">
        <v>165</v>
      </c>
      <c r="Q1678" s="116">
        <v>492.1</v>
      </c>
      <c r="R1678">
        <v>172732</v>
      </c>
    </row>
    <row r="1679" spans="1:18" x14ac:dyDescent="0.25">
      <c r="A1679" s="169">
        <v>44964</v>
      </c>
      <c r="B1679" s="116">
        <v>165.65</v>
      </c>
      <c r="C1679" s="116">
        <v>163.1</v>
      </c>
      <c r="D1679" s="116">
        <v>162.666666666667</v>
      </c>
      <c r="E1679" s="116">
        <v>164.35</v>
      </c>
      <c r="F1679" s="116">
        <v>489.3</v>
      </c>
      <c r="G1679">
        <v>7479</v>
      </c>
      <c r="H1679" s="116"/>
      <c r="I1679" s="116"/>
      <c r="L1679" s="169">
        <v>44964</v>
      </c>
      <c r="M1679" s="116">
        <v>163</v>
      </c>
      <c r="N1679" s="116">
        <v>166.666666666667</v>
      </c>
      <c r="O1679" s="116">
        <v>162.69999999999999</v>
      </c>
      <c r="P1679" s="116">
        <v>166.666666666667</v>
      </c>
      <c r="Q1679" s="116">
        <v>489</v>
      </c>
      <c r="R1679">
        <v>58406</v>
      </c>
    </row>
    <row r="1680" spans="1:18" x14ac:dyDescent="0.25">
      <c r="A1680" s="169">
        <v>44965</v>
      </c>
      <c r="B1680" s="116">
        <v>163.583333333333</v>
      </c>
      <c r="C1680" s="116">
        <v>162.94999999999999</v>
      </c>
      <c r="D1680" s="116">
        <v>162.066666666667</v>
      </c>
      <c r="E1680" s="116">
        <v>162.85</v>
      </c>
      <c r="F1680" s="116">
        <v>488.85</v>
      </c>
      <c r="G1680">
        <v>6022</v>
      </c>
      <c r="H1680" s="116"/>
      <c r="I1680" s="116"/>
      <c r="L1680" s="169">
        <v>44965</v>
      </c>
      <c r="M1680" s="116">
        <v>162.80000000000001</v>
      </c>
      <c r="N1680" s="116">
        <v>163.666666666667</v>
      </c>
      <c r="O1680" s="116">
        <v>162.26666666666699</v>
      </c>
      <c r="P1680" s="116">
        <v>163.316666666667</v>
      </c>
      <c r="Q1680" s="116">
        <v>488.4</v>
      </c>
      <c r="R1680">
        <v>32027</v>
      </c>
    </row>
    <row r="1681" spans="1:18" x14ac:dyDescent="0.25">
      <c r="A1681" s="169">
        <v>44966</v>
      </c>
      <c r="B1681" s="116">
        <v>164.11666666666699</v>
      </c>
      <c r="C1681" s="116">
        <v>162.183333333333</v>
      </c>
      <c r="D1681" s="116">
        <v>161.78333333333299</v>
      </c>
      <c r="E1681" s="116">
        <v>162.083333333333</v>
      </c>
      <c r="F1681" s="116">
        <v>486.55</v>
      </c>
      <c r="G1681">
        <v>6104</v>
      </c>
      <c r="H1681" s="116"/>
      <c r="I1681" s="116"/>
      <c r="L1681" s="169">
        <v>44966</v>
      </c>
      <c r="M1681" s="116">
        <v>162.21666666666701</v>
      </c>
      <c r="N1681" s="116">
        <v>164.23333333333301</v>
      </c>
      <c r="O1681" s="116">
        <v>161.76666666666699</v>
      </c>
      <c r="P1681" s="116">
        <v>162.316666666667</v>
      </c>
      <c r="Q1681" s="116">
        <v>486.65</v>
      </c>
      <c r="R1681">
        <v>46921</v>
      </c>
    </row>
    <row r="1682" spans="1:18" x14ac:dyDescent="0.25">
      <c r="A1682" s="169">
        <v>44967</v>
      </c>
      <c r="B1682" s="116">
        <v>163.65</v>
      </c>
      <c r="C1682" s="116">
        <v>162.19999999999999</v>
      </c>
      <c r="D1682" s="116">
        <v>162.01666666666699</v>
      </c>
      <c r="E1682" s="116">
        <v>163.65</v>
      </c>
      <c r="F1682" s="116">
        <v>486.6</v>
      </c>
      <c r="G1682">
        <v>1609</v>
      </c>
      <c r="H1682" s="116"/>
      <c r="I1682" s="116"/>
      <c r="L1682" s="169">
        <v>44967</v>
      </c>
      <c r="M1682" s="116">
        <v>162.28333333333299</v>
      </c>
      <c r="N1682" s="116">
        <v>163.03333333333299</v>
      </c>
      <c r="O1682" s="116">
        <v>162.066666666667</v>
      </c>
      <c r="P1682" s="116">
        <v>163.03333333333299</v>
      </c>
      <c r="Q1682" s="116">
        <v>486.85</v>
      </c>
      <c r="R1682">
        <v>29198</v>
      </c>
    </row>
    <row r="1683" spans="1:18" x14ac:dyDescent="0.25">
      <c r="A1683" s="169">
        <v>44970</v>
      </c>
      <c r="B1683" s="116">
        <v>164.98333333333301</v>
      </c>
      <c r="C1683" s="116">
        <v>162.69999999999999</v>
      </c>
      <c r="D1683" s="116">
        <v>162.13333333333301</v>
      </c>
      <c r="E1683" s="116">
        <v>164.98333333333301</v>
      </c>
      <c r="F1683" s="116">
        <v>488.1</v>
      </c>
      <c r="G1683">
        <v>1783</v>
      </c>
      <c r="H1683" s="116"/>
      <c r="I1683" s="116"/>
      <c r="L1683" s="169">
        <v>44970</v>
      </c>
      <c r="M1683" s="116">
        <v>162.816666666667</v>
      </c>
      <c r="N1683" s="116">
        <v>164.26666666666699</v>
      </c>
      <c r="O1683" s="116">
        <v>162.333333333333</v>
      </c>
      <c r="P1683" s="116">
        <v>163.96666666666701</v>
      </c>
      <c r="Q1683" s="116">
        <v>488.45</v>
      </c>
      <c r="R1683">
        <v>23540</v>
      </c>
    </row>
    <row r="1684" spans="1:18" x14ac:dyDescent="0.25">
      <c r="A1684" s="169">
        <v>44971</v>
      </c>
      <c r="B1684" s="116">
        <v>163.86666666666699</v>
      </c>
      <c r="C1684" s="116">
        <v>158.9</v>
      </c>
      <c r="D1684" s="116">
        <v>158.333333333333</v>
      </c>
      <c r="E1684" s="116">
        <v>162.833333333333</v>
      </c>
      <c r="F1684" s="116">
        <v>476.7</v>
      </c>
      <c r="G1684">
        <v>1487</v>
      </c>
      <c r="H1684" s="116"/>
      <c r="I1684" s="116"/>
      <c r="L1684" s="169">
        <v>44971</v>
      </c>
      <c r="M1684" s="116">
        <v>158.933333333333</v>
      </c>
      <c r="N1684" s="116">
        <v>164</v>
      </c>
      <c r="O1684" s="116">
        <v>158</v>
      </c>
      <c r="P1684" s="116">
        <v>163.63333333333301</v>
      </c>
      <c r="Q1684" s="116">
        <v>476.8</v>
      </c>
      <c r="R1684">
        <v>49682</v>
      </c>
    </row>
    <row r="1685" spans="1:18" x14ac:dyDescent="0.25">
      <c r="A1685" s="169">
        <v>44972</v>
      </c>
      <c r="B1685" s="116">
        <v>159</v>
      </c>
      <c r="C1685" s="116">
        <v>158.316666666667</v>
      </c>
      <c r="D1685" s="116">
        <v>157.80000000000001</v>
      </c>
      <c r="E1685" s="116">
        <v>158.88333333333301</v>
      </c>
      <c r="F1685" s="116">
        <v>474.95</v>
      </c>
      <c r="G1685">
        <v>905</v>
      </c>
      <c r="H1685" s="116"/>
      <c r="I1685" s="116"/>
      <c r="L1685" s="169">
        <v>44972</v>
      </c>
      <c r="M1685" s="116">
        <v>158.26666666666699</v>
      </c>
      <c r="N1685" s="116">
        <v>159.166666666667</v>
      </c>
      <c r="O1685" s="116">
        <v>157.433333333333</v>
      </c>
      <c r="P1685" s="116">
        <v>157.433333333333</v>
      </c>
      <c r="Q1685" s="116">
        <v>474.8</v>
      </c>
      <c r="R1685">
        <v>33282</v>
      </c>
    </row>
    <row r="1686" spans="1:18" x14ac:dyDescent="0.25">
      <c r="A1686" s="169">
        <v>44973</v>
      </c>
      <c r="B1686" s="116">
        <v>160.5</v>
      </c>
      <c r="C1686" s="116">
        <v>158.183333333333</v>
      </c>
      <c r="D1686" s="116">
        <v>157.666666666667</v>
      </c>
      <c r="E1686" s="116">
        <v>159.65</v>
      </c>
      <c r="F1686" s="116">
        <v>474.55</v>
      </c>
      <c r="G1686">
        <v>4926</v>
      </c>
      <c r="H1686" s="116"/>
      <c r="I1686" s="116"/>
      <c r="L1686" s="169">
        <v>44973</v>
      </c>
      <c r="M1686" s="116">
        <v>158.26666666666699</v>
      </c>
      <c r="N1686" s="116">
        <v>160.85</v>
      </c>
      <c r="O1686" s="116">
        <v>157.75</v>
      </c>
      <c r="P1686" s="116">
        <v>159.166666666667</v>
      </c>
      <c r="Q1686" s="116">
        <v>474.8</v>
      </c>
      <c r="R1686">
        <v>35593</v>
      </c>
    </row>
    <row r="1687" spans="1:18" x14ac:dyDescent="0.25">
      <c r="A1687" s="169">
        <v>44974</v>
      </c>
      <c r="B1687" s="116">
        <v>160.083333333333</v>
      </c>
      <c r="C1687" s="116">
        <v>158.1</v>
      </c>
      <c r="D1687" s="116">
        <v>157.433333333333</v>
      </c>
      <c r="E1687" s="116">
        <v>158.166666666667</v>
      </c>
      <c r="F1687" s="116">
        <v>474.3</v>
      </c>
      <c r="G1687">
        <v>1496</v>
      </c>
      <c r="H1687" s="116"/>
      <c r="I1687" s="116"/>
      <c r="L1687" s="169">
        <v>44974</v>
      </c>
      <c r="M1687" s="116">
        <v>158.333333333333</v>
      </c>
      <c r="N1687" s="116">
        <v>160.96666666666701</v>
      </c>
      <c r="O1687" s="116">
        <v>158</v>
      </c>
      <c r="P1687" s="116">
        <v>158.65</v>
      </c>
      <c r="Q1687" s="116">
        <v>475</v>
      </c>
      <c r="R1687">
        <v>28737</v>
      </c>
    </row>
    <row r="1688" spans="1:18" x14ac:dyDescent="0.25">
      <c r="A1688" s="169">
        <v>44977</v>
      </c>
      <c r="B1688" s="116">
        <v>160</v>
      </c>
      <c r="C1688" s="116">
        <v>158.083333333333</v>
      </c>
      <c r="D1688" s="116">
        <v>157.73333333333301</v>
      </c>
      <c r="E1688" s="116">
        <v>158.35</v>
      </c>
      <c r="F1688" s="116">
        <v>474.25</v>
      </c>
      <c r="G1688">
        <v>1621</v>
      </c>
      <c r="H1688" s="116"/>
      <c r="I1688" s="116"/>
      <c r="L1688" s="169">
        <v>44977</v>
      </c>
      <c r="M1688" s="116">
        <v>158.30000000000001</v>
      </c>
      <c r="N1688" s="116">
        <v>159.9</v>
      </c>
      <c r="O1688" s="116">
        <v>157.666666666667</v>
      </c>
      <c r="P1688" s="116">
        <v>158.98333333333301</v>
      </c>
      <c r="Q1688" s="116">
        <v>474.9</v>
      </c>
      <c r="R1688">
        <v>33509</v>
      </c>
    </row>
    <row r="1689" spans="1:18" x14ac:dyDescent="0.25">
      <c r="A1689" s="169">
        <v>44978</v>
      </c>
      <c r="B1689" s="116">
        <v>161.44999999999999</v>
      </c>
      <c r="C1689" s="116">
        <v>159.53333333333299</v>
      </c>
      <c r="D1689" s="116">
        <v>157.5</v>
      </c>
      <c r="E1689" s="116">
        <v>157.5</v>
      </c>
      <c r="F1689" s="116">
        <v>478.6</v>
      </c>
      <c r="G1689">
        <v>13116</v>
      </c>
      <c r="H1689" s="116"/>
      <c r="I1689" s="116"/>
      <c r="L1689" s="169">
        <v>44978</v>
      </c>
      <c r="M1689" s="116">
        <v>159.666666666667</v>
      </c>
      <c r="N1689" s="116">
        <v>161.333333333333</v>
      </c>
      <c r="O1689" s="116">
        <v>158.25</v>
      </c>
      <c r="P1689" s="116">
        <v>159.316666666667</v>
      </c>
      <c r="Q1689" s="116">
        <v>479</v>
      </c>
      <c r="R1689">
        <v>49071</v>
      </c>
    </row>
    <row r="1690" spans="1:18" x14ac:dyDescent="0.25">
      <c r="A1690" s="169">
        <v>44979</v>
      </c>
      <c r="B1690" s="116">
        <v>161.666666666667</v>
      </c>
      <c r="C1690" s="116">
        <v>157.98333333333301</v>
      </c>
      <c r="D1690" s="116">
        <v>157.5</v>
      </c>
      <c r="E1690" s="116">
        <v>161.666666666667</v>
      </c>
      <c r="F1690" s="116">
        <v>473.95</v>
      </c>
      <c r="G1690">
        <v>876</v>
      </c>
      <c r="H1690" s="116"/>
      <c r="I1690" s="116"/>
      <c r="L1690" s="169">
        <v>44979</v>
      </c>
      <c r="M1690" s="116">
        <v>158.066666666667</v>
      </c>
      <c r="N1690" s="116">
        <v>159.5</v>
      </c>
      <c r="O1690" s="116">
        <v>157.53333333333299</v>
      </c>
      <c r="P1690" s="116">
        <v>159.5</v>
      </c>
      <c r="Q1690" s="116">
        <v>474.2</v>
      </c>
      <c r="R1690">
        <v>31117</v>
      </c>
    </row>
    <row r="1691" spans="1:18" x14ac:dyDescent="0.25">
      <c r="A1691" s="169">
        <v>44980</v>
      </c>
      <c r="B1691" s="116">
        <v>158.63333333333301</v>
      </c>
      <c r="C1691" s="116">
        <v>155.71666666666701</v>
      </c>
      <c r="D1691" s="116">
        <v>154.76666666666699</v>
      </c>
      <c r="E1691" s="116">
        <v>158.083333333333</v>
      </c>
      <c r="F1691" s="116">
        <v>467.15</v>
      </c>
      <c r="G1691">
        <v>1973</v>
      </c>
      <c r="H1691" s="116"/>
      <c r="I1691" s="116"/>
      <c r="L1691" s="169">
        <v>44980</v>
      </c>
      <c r="M1691" s="116">
        <v>156.63333333333301</v>
      </c>
      <c r="N1691" s="116">
        <v>158.80000000000001</v>
      </c>
      <c r="O1691" s="116">
        <v>156</v>
      </c>
      <c r="P1691" s="116">
        <v>157.9</v>
      </c>
      <c r="Q1691" s="116">
        <v>469.9</v>
      </c>
      <c r="R1691">
        <v>21691</v>
      </c>
    </row>
    <row r="1692" spans="1:18" x14ac:dyDescent="0.25">
      <c r="A1692" s="169">
        <v>44981</v>
      </c>
      <c r="B1692" s="116">
        <v>159.333333333333</v>
      </c>
      <c r="C1692" s="116">
        <v>154.583333333333</v>
      </c>
      <c r="D1692" s="116">
        <v>154.15</v>
      </c>
      <c r="E1692" s="116">
        <v>159.333333333333</v>
      </c>
      <c r="F1692" s="116">
        <v>463.75</v>
      </c>
      <c r="G1692">
        <v>864</v>
      </c>
      <c r="H1692" s="116"/>
      <c r="I1692" s="116"/>
      <c r="L1692" s="169">
        <v>44981</v>
      </c>
      <c r="M1692" s="116">
        <v>154.73333333333301</v>
      </c>
      <c r="N1692" s="116">
        <v>157.5</v>
      </c>
      <c r="O1692" s="116">
        <v>154</v>
      </c>
      <c r="P1692" s="116">
        <v>157.416666666667</v>
      </c>
      <c r="Q1692" s="116">
        <v>464.2</v>
      </c>
      <c r="R1692">
        <v>26536</v>
      </c>
    </row>
    <row r="1693" spans="1:18" x14ac:dyDescent="0.25">
      <c r="A1693" s="169">
        <v>44984</v>
      </c>
      <c r="B1693" s="116">
        <v>154.13333333333301</v>
      </c>
      <c r="C1693" s="116">
        <v>151.333333333333</v>
      </c>
      <c r="D1693" s="116">
        <v>150.333333333333</v>
      </c>
      <c r="E1693" s="116">
        <v>154.13333333333301</v>
      </c>
      <c r="F1693" s="116">
        <v>454</v>
      </c>
      <c r="G1693">
        <v>1632</v>
      </c>
      <c r="H1693" s="116"/>
      <c r="I1693" s="116"/>
      <c r="L1693" s="169">
        <v>44984</v>
      </c>
      <c r="M1693" s="116">
        <v>151.25</v>
      </c>
      <c r="N1693" s="116">
        <v>154.73333333333301</v>
      </c>
      <c r="O1693" s="116">
        <v>150.066666666667</v>
      </c>
      <c r="P1693" s="116">
        <v>154.73333333333301</v>
      </c>
      <c r="Q1693" s="116">
        <v>453.75</v>
      </c>
      <c r="R1693">
        <v>32547</v>
      </c>
    </row>
    <row r="1694" spans="1:18" x14ac:dyDescent="0.25">
      <c r="A1694" s="169">
        <v>44985</v>
      </c>
      <c r="B1694" s="116">
        <v>153.066666666667</v>
      </c>
      <c r="C1694" s="116">
        <v>150.53333333333299</v>
      </c>
      <c r="D1694" s="116">
        <v>149.6</v>
      </c>
      <c r="E1694" s="116">
        <v>151.333333333333</v>
      </c>
      <c r="F1694" s="116">
        <v>451.6</v>
      </c>
      <c r="G1694">
        <v>4473</v>
      </c>
      <c r="H1694" s="116"/>
      <c r="I1694" s="116"/>
      <c r="L1694" s="169">
        <v>44985</v>
      </c>
      <c r="M1694" s="116">
        <v>150.583333333333</v>
      </c>
      <c r="N1694" s="116">
        <v>153.35</v>
      </c>
      <c r="O1694" s="116">
        <v>149.69999999999999</v>
      </c>
      <c r="P1694" s="116">
        <v>153.333333333333</v>
      </c>
      <c r="Q1694" s="116">
        <v>451.75</v>
      </c>
      <c r="R1694">
        <v>32198</v>
      </c>
    </row>
    <row r="1695" spans="1:18" x14ac:dyDescent="0.25">
      <c r="A1695" s="169">
        <v>44986</v>
      </c>
      <c r="B1695" s="116">
        <v>151.583333333333</v>
      </c>
      <c r="C1695" s="116">
        <v>150.15</v>
      </c>
      <c r="D1695" s="116">
        <v>149.816666666667</v>
      </c>
      <c r="E1695" s="116">
        <v>150.4</v>
      </c>
      <c r="F1695" s="116">
        <v>450.45</v>
      </c>
      <c r="G1695">
        <v>1128</v>
      </c>
      <c r="H1695" s="116"/>
      <c r="I1695" s="116"/>
      <c r="L1695" s="169">
        <v>44986</v>
      </c>
      <c r="M1695" s="116">
        <v>150.25</v>
      </c>
      <c r="N1695" s="116">
        <v>151.35</v>
      </c>
      <c r="O1695" s="116">
        <v>149.69999999999999</v>
      </c>
      <c r="P1695" s="116">
        <v>150.666666666667</v>
      </c>
      <c r="Q1695" s="116">
        <v>450.75</v>
      </c>
      <c r="R1695">
        <v>39924</v>
      </c>
    </row>
    <row r="1696" spans="1:18" x14ac:dyDescent="0.25">
      <c r="A1696" s="169">
        <v>44987</v>
      </c>
      <c r="B1696" s="116">
        <v>150.73333333333301</v>
      </c>
      <c r="C1696" s="116">
        <v>149.80000000000001</v>
      </c>
      <c r="D1696" s="116">
        <v>148.9</v>
      </c>
      <c r="E1696" s="116">
        <v>148.9</v>
      </c>
      <c r="F1696" s="116">
        <v>449.4</v>
      </c>
      <c r="G1696">
        <v>362</v>
      </c>
      <c r="H1696" s="116"/>
      <c r="I1696" s="116"/>
      <c r="L1696" s="169">
        <v>44987</v>
      </c>
      <c r="M1696" s="116">
        <v>149.816666666667</v>
      </c>
      <c r="N1696" s="116">
        <v>151.01666666666699</v>
      </c>
      <c r="O1696" s="116">
        <v>149.5</v>
      </c>
      <c r="P1696" s="116">
        <v>151.01666666666699</v>
      </c>
      <c r="Q1696" s="116">
        <v>449.45</v>
      </c>
      <c r="R1696">
        <v>27584</v>
      </c>
    </row>
    <row r="1697" spans="1:18" x14ac:dyDescent="0.25">
      <c r="A1697" s="169">
        <v>44988</v>
      </c>
      <c r="B1697" s="116">
        <v>153.333333333333</v>
      </c>
      <c r="C1697" s="116">
        <v>150.166666666667</v>
      </c>
      <c r="D1697" s="116">
        <v>149.416666666667</v>
      </c>
      <c r="E1697" s="116">
        <v>153.333333333333</v>
      </c>
      <c r="F1697" s="116">
        <v>450.5</v>
      </c>
      <c r="G1697">
        <v>2006</v>
      </c>
      <c r="H1697" s="116"/>
      <c r="I1697" s="116"/>
      <c r="L1697" s="169">
        <v>44988</v>
      </c>
      <c r="M1697" s="116">
        <v>150.48333333333301</v>
      </c>
      <c r="N1697" s="116">
        <v>151.4</v>
      </c>
      <c r="O1697" s="116">
        <v>149.433333333333</v>
      </c>
      <c r="P1697" s="116">
        <v>149.666666666667</v>
      </c>
      <c r="Q1697" s="116">
        <v>451.45</v>
      </c>
      <c r="R1697">
        <v>47703</v>
      </c>
    </row>
    <row r="1698" spans="1:18" x14ac:dyDescent="0.25">
      <c r="A1698" s="169">
        <v>44991</v>
      </c>
      <c r="B1698" s="116">
        <v>154.933333333333</v>
      </c>
      <c r="C1698" s="116">
        <v>150.61666666666699</v>
      </c>
      <c r="D1698" s="116">
        <v>150</v>
      </c>
      <c r="E1698" s="116">
        <v>154.933333333333</v>
      </c>
      <c r="F1698" s="116">
        <v>451.85</v>
      </c>
      <c r="G1698">
        <v>2406</v>
      </c>
      <c r="H1698" s="116"/>
      <c r="I1698" s="116"/>
      <c r="L1698" s="169">
        <v>44991</v>
      </c>
      <c r="M1698" s="116">
        <v>151.76666666666699</v>
      </c>
      <c r="N1698" s="116">
        <v>153.80000000000001</v>
      </c>
      <c r="O1698" s="116">
        <v>150.816666666667</v>
      </c>
      <c r="P1698" s="116">
        <v>150.98333333333301</v>
      </c>
      <c r="Q1698" s="116">
        <v>455.3</v>
      </c>
      <c r="R1698">
        <v>61279</v>
      </c>
    </row>
    <row r="1699" spans="1:18" x14ac:dyDescent="0.25">
      <c r="A1699" s="169">
        <v>44993</v>
      </c>
      <c r="B1699" s="116">
        <v>159.583333333333</v>
      </c>
      <c r="C1699" s="116">
        <v>156.433333333333</v>
      </c>
      <c r="D1699" s="116">
        <v>150.666666666667</v>
      </c>
      <c r="E1699" s="116">
        <v>150.666666666667</v>
      </c>
      <c r="F1699" s="116">
        <v>469.3</v>
      </c>
      <c r="G1699">
        <v>2860</v>
      </c>
      <c r="H1699" s="116"/>
      <c r="I1699" s="116"/>
      <c r="L1699" s="169">
        <v>44993</v>
      </c>
      <c r="M1699" s="116">
        <v>156.30000000000001</v>
      </c>
      <c r="N1699" s="116">
        <v>158.65</v>
      </c>
      <c r="O1699" s="116">
        <v>150.73333333333301</v>
      </c>
      <c r="P1699" s="116">
        <v>150.73333333333301</v>
      </c>
      <c r="Q1699" s="116">
        <v>468.9</v>
      </c>
      <c r="R1699">
        <v>80043</v>
      </c>
    </row>
    <row r="1700" spans="1:18" x14ac:dyDescent="0.25">
      <c r="A1700" s="169">
        <v>44994</v>
      </c>
      <c r="B1700" s="116">
        <v>166.666666666667</v>
      </c>
      <c r="C1700" s="116">
        <v>157.63333333333301</v>
      </c>
      <c r="D1700" s="116">
        <v>156.03333333333299</v>
      </c>
      <c r="E1700" s="116">
        <v>157.61666666666699</v>
      </c>
      <c r="F1700" s="116">
        <v>472.9</v>
      </c>
      <c r="G1700">
        <v>15502</v>
      </c>
      <c r="H1700" s="116"/>
      <c r="I1700" s="116"/>
      <c r="L1700" s="169">
        <v>44994</v>
      </c>
      <c r="M1700" s="116">
        <v>157.96666666666701</v>
      </c>
      <c r="N1700" s="116">
        <v>167</v>
      </c>
      <c r="O1700" s="116">
        <v>156</v>
      </c>
      <c r="P1700" s="116">
        <v>156.6</v>
      </c>
      <c r="Q1700" s="116">
        <v>473.9</v>
      </c>
      <c r="R1700">
        <v>209718</v>
      </c>
    </row>
    <row r="1701" spans="1:18" x14ac:dyDescent="0.25">
      <c r="A1701" s="169">
        <v>44995</v>
      </c>
      <c r="B1701" s="116">
        <v>160.066666666667</v>
      </c>
      <c r="C1701" s="116">
        <v>159.19999999999999</v>
      </c>
      <c r="D1701" s="116">
        <v>155.666666666667</v>
      </c>
      <c r="E1701" s="116">
        <v>155.9</v>
      </c>
      <c r="F1701" s="116">
        <v>477.6</v>
      </c>
      <c r="G1701">
        <v>1236</v>
      </c>
      <c r="H1701" s="116"/>
      <c r="I1701" s="116"/>
      <c r="L1701" s="169">
        <v>44995</v>
      </c>
      <c r="M1701" s="116">
        <v>158.44999999999999</v>
      </c>
      <c r="N1701" s="116">
        <v>159.94999999999999</v>
      </c>
      <c r="O1701" s="116">
        <v>155.36666666666699</v>
      </c>
      <c r="P1701" s="116">
        <v>155.36666666666699</v>
      </c>
      <c r="Q1701" s="116">
        <v>475.35</v>
      </c>
      <c r="R1701">
        <v>49956</v>
      </c>
    </row>
    <row r="1702" spans="1:18" x14ac:dyDescent="0.25">
      <c r="A1702" s="169">
        <v>44998</v>
      </c>
      <c r="B1702" s="116">
        <v>163</v>
      </c>
      <c r="C1702" s="116">
        <v>157.44999999999999</v>
      </c>
      <c r="D1702" s="116">
        <v>154.666666666667</v>
      </c>
      <c r="E1702" s="116">
        <v>158.666666666667</v>
      </c>
      <c r="F1702" s="116">
        <v>472.35</v>
      </c>
      <c r="G1702">
        <v>8944</v>
      </c>
      <c r="H1702" s="116"/>
      <c r="I1702" s="116"/>
      <c r="L1702" s="169">
        <v>44998</v>
      </c>
      <c r="M1702" s="116">
        <v>156.4</v>
      </c>
      <c r="N1702" s="116">
        <v>163.166666666667</v>
      </c>
      <c r="O1702" s="116">
        <v>154.30000000000001</v>
      </c>
      <c r="P1702" s="116">
        <v>160.65</v>
      </c>
      <c r="Q1702" s="116">
        <v>469.2</v>
      </c>
      <c r="R1702">
        <v>89040</v>
      </c>
    </row>
    <row r="1703" spans="1:18" x14ac:dyDescent="0.25">
      <c r="A1703" s="169">
        <v>44999</v>
      </c>
      <c r="B1703" s="116">
        <v>162.9</v>
      </c>
      <c r="C1703" s="116">
        <v>157.85</v>
      </c>
      <c r="D1703" s="116">
        <v>151.666666666667</v>
      </c>
      <c r="E1703" s="116">
        <v>162.9</v>
      </c>
      <c r="F1703" s="116">
        <v>473.55</v>
      </c>
      <c r="G1703">
        <v>3129</v>
      </c>
      <c r="H1703" s="116"/>
      <c r="I1703" s="116"/>
      <c r="L1703" s="169">
        <v>44999</v>
      </c>
      <c r="M1703" s="116">
        <v>157.38333333333301</v>
      </c>
      <c r="N1703" s="116">
        <v>158.333333333333</v>
      </c>
      <c r="O1703" s="116">
        <v>152.01666666666699</v>
      </c>
      <c r="P1703" s="116">
        <v>156</v>
      </c>
      <c r="Q1703" s="116">
        <v>472.15</v>
      </c>
      <c r="R1703">
        <v>54080</v>
      </c>
    </row>
    <row r="1704" spans="1:18" x14ac:dyDescent="0.25">
      <c r="A1704" s="169">
        <v>45000</v>
      </c>
      <c r="B1704" s="116">
        <v>159.44999999999999</v>
      </c>
      <c r="C1704" s="116">
        <v>156.44999999999999</v>
      </c>
      <c r="D1704" s="116">
        <v>155.65</v>
      </c>
      <c r="E1704" s="116">
        <v>156.01666666666699</v>
      </c>
      <c r="F1704" s="116">
        <v>469.35</v>
      </c>
      <c r="G1704">
        <v>3164</v>
      </c>
      <c r="H1704" s="116"/>
      <c r="I1704" s="116"/>
      <c r="L1704" s="169">
        <v>45000</v>
      </c>
      <c r="M1704" s="116">
        <v>156.73333333333301</v>
      </c>
      <c r="N1704" s="116">
        <v>159.85</v>
      </c>
      <c r="O1704" s="116">
        <v>155.11666666666699</v>
      </c>
      <c r="P1704" s="116">
        <v>158.23333333333301</v>
      </c>
      <c r="Q1704" s="116">
        <v>470.2</v>
      </c>
      <c r="R1704">
        <v>58957</v>
      </c>
    </row>
    <row r="1705" spans="1:18" x14ac:dyDescent="0.25">
      <c r="A1705" s="169">
        <v>45001</v>
      </c>
      <c r="B1705" s="116">
        <v>157.38333333333301</v>
      </c>
      <c r="C1705" s="116">
        <v>155.03333333333299</v>
      </c>
      <c r="D1705" s="116">
        <v>154.36666666666699</v>
      </c>
      <c r="E1705" s="116">
        <v>156.666666666667</v>
      </c>
      <c r="F1705" s="116">
        <v>465.1</v>
      </c>
      <c r="G1705">
        <v>3075</v>
      </c>
      <c r="H1705" s="116"/>
      <c r="I1705" s="116"/>
      <c r="L1705" s="169">
        <v>45001</v>
      </c>
      <c r="M1705" s="116">
        <v>155.36666666666699</v>
      </c>
      <c r="N1705" s="116">
        <v>158.35</v>
      </c>
      <c r="O1705" s="116">
        <v>154.5</v>
      </c>
      <c r="P1705" s="116">
        <v>158.333333333333</v>
      </c>
      <c r="Q1705" s="116">
        <v>466.1</v>
      </c>
      <c r="R1705">
        <v>45085</v>
      </c>
    </row>
    <row r="1706" spans="1:18" x14ac:dyDescent="0.25">
      <c r="A1706" s="169">
        <v>45002</v>
      </c>
      <c r="B1706" s="116">
        <v>157.183333333333</v>
      </c>
      <c r="C1706" s="116">
        <v>153.61666666666699</v>
      </c>
      <c r="D1706" s="116">
        <v>150.416666666667</v>
      </c>
      <c r="E1706" s="116">
        <v>155.78333333333299</v>
      </c>
      <c r="F1706" s="116">
        <v>460.85</v>
      </c>
      <c r="G1706">
        <v>5121</v>
      </c>
      <c r="H1706" s="116"/>
      <c r="I1706" s="116"/>
      <c r="L1706" s="169">
        <v>45002</v>
      </c>
      <c r="M1706" s="116">
        <v>153.333333333333</v>
      </c>
      <c r="N1706" s="116">
        <v>157.35</v>
      </c>
      <c r="O1706" s="116">
        <v>150.6</v>
      </c>
      <c r="P1706" s="116">
        <v>155.4</v>
      </c>
      <c r="Q1706" s="116">
        <v>460</v>
      </c>
      <c r="R1706">
        <v>49271</v>
      </c>
    </row>
    <row r="1707" spans="1:18" x14ac:dyDescent="0.25">
      <c r="A1707" s="169">
        <v>45005</v>
      </c>
      <c r="B1707" s="116">
        <v>152.94999999999999</v>
      </c>
      <c r="C1707" s="116">
        <v>151.19999999999999</v>
      </c>
      <c r="D1707" s="116">
        <v>150.15</v>
      </c>
      <c r="E1707" s="116">
        <v>150.26666666666699</v>
      </c>
      <c r="F1707" s="116">
        <v>453.6</v>
      </c>
      <c r="G1707">
        <v>4938</v>
      </c>
      <c r="H1707" s="116"/>
      <c r="I1707" s="116"/>
      <c r="L1707" s="169">
        <v>45005</v>
      </c>
      <c r="M1707" s="116">
        <v>151.11666666666699</v>
      </c>
      <c r="N1707" s="116">
        <v>153.5</v>
      </c>
      <c r="O1707" s="116">
        <v>150.333333333333</v>
      </c>
      <c r="P1707" s="116">
        <v>153.5</v>
      </c>
      <c r="Q1707" s="116">
        <v>453.35</v>
      </c>
      <c r="R1707">
        <v>27047</v>
      </c>
    </row>
    <row r="1708" spans="1:18" x14ac:dyDescent="0.25">
      <c r="A1708" s="169">
        <v>45006</v>
      </c>
      <c r="B1708" s="116">
        <v>155.183333333333</v>
      </c>
      <c r="C1708" s="116">
        <v>151.683333333333</v>
      </c>
      <c r="D1708" s="116">
        <v>151.13333333333301</v>
      </c>
      <c r="E1708" s="116">
        <v>151.666666666667</v>
      </c>
      <c r="F1708" s="116">
        <v>455.05</v>
      </c>
      <c r="G1708">
        <v>7517</v>
      </c>
      <c r="H1708" s="116"/>
      <c r="I1708" s="116"/>
      <c r="L1708" s="169">
        <v>45006</v>
      </c>
      <c r="M1708" s="116">
        <v>151.916666666667</v>
      </c>
      <c r="N1708" s="116">
        <v>155.35</v>
      </c>
      <c r="O1708" s="116">
        <v>150.666666666667</v>
      </c>
      <c r="P1708" s="116">
        <v>150.666666666667</v>
      </c>
      <c r="Q1708" s="116">
        <v>455.75</v>
      </c>
      <c r="R1708">
        <v>30846</v>
      </c>
    </row>
    <row r="1709" spans="1:18" x14ac:dyDescent="0.25">
      <c r="A1709" s="169">
        <v>45007</v>
      </c>
      <c r="B1709" s="116">
        <v>153.21666666666701</v>
      </c>
      <c r="C1709" s="116">
        <v>147.76666666666699</v>
      </c>
      <c r="D1709" s="116">
        <v>147</v>
      </c>
      <c r="E1709" s="116">
        <v>153.21666666666701</v>
      </c>
      <c r="F1709" s="116">
        <v>443.3</v>
      </c>
      <c r="G1709">
        <v>7089</v>
      </c>
      <c r="H1709" s="116"/>
      <c r="I1709" s="116"/>
      <c r="L1709" s="169">
        <v>45007</v>
      </c>
      <c r="M1709" s="116">
        <v>147.55000000000001</v>
      </c>
      <c r="N1709" s="116">
        <v>153.333333333333</v>
      </c>
      <c r="O1709" s="116">
        <v>147</v>
      </c>
      <c r="P1709" s="116">
        <v>152.683333333333</v>
      </c>
      <c r="Q1709" s="116">
        <v>442.65</v>
      </c>
      <c r="R1709">
        <v>71737</v>
      </c>
    </row>
    <row r="1710" spans="1:18" x14ac:dyDescent="0.25">
      <c r="A1710" s="169">
        <v>45008</v>
      </c>
      <c r="B1710" s="116">
        <v>149.44999999999999</v>
      </c>
      <c r="C1710" s="116">
        <v>146.46666666666701</v>
      </c>
      <c r="D1710" s="116">
        <v>146</v>
      </c>
      <c r="E1710" s="116">
        <v>146.666666666667</v>
      </c>
      <c r="F1710" s="116">
        <v>439.4</v>
      </c>
      <c r="G1710">
        <v>7697</v>
      </c>
      <c r="H1710" s="116"/>
      <c r="I1710" s="116"/>
      <c r="L1710" s="169">
        <v>45008</v>
      </c>
      <c r="M1710" s="116">
        <v>146.666666666667</v>
      </c>
      <c r="N1710" s="116">
        <v>149.48333333333301</v>
      </c>
      <c r="O1710" s="116">
        <v>146</v>
      </c>
      <c r="P1710" s="116">
        <v>148.333333333333</v>
      </c>
      <c r="Q1710" s="116">
        <v>440</v>
      </c>
      <c r="R1710">
        <v>54359</v>
      </c>
    </row>
    <row r="1711" spans="1:18" x14ac:dyDescent="0.25">
      <c r="A1711" s="169">
        <v>45009</v>
      </c>
      <c r="B1711" s="116">
        <v>149.333333333333</v>
      </c>
      <c r="C1711" s="116">
        <v>144.5</v>
      </c>
      <c r="D1711" s="116">
        <v>144</v>
      </c>
      <c r="E1711" s="116">
        <v>149.333333333333</v>
      </c>
      <c r="F1711" s="116">
        <v>433.5</v>
      </c>
      <c r="G1711">
        <v>1497</v>
      </c>
      <c r="H1711" s="116"/>
      <c r="I1711" s="116"/>
      <c r="L1711" s="169">
        <v>45009</v>
      </c>
      <c r="M1711" s="116">
        <v>144.416666666667</v>
      </c>
      <c r="N1711" s="116">
        <v>150</v>
      </c>
      <c r="O1711" s="116">
        <v>143.69999999999999</v>
      </c>
      <c r="P1711" s="116">
        <v>150</v>
      </c>
      <c r="Q1711" s="116">
        <v>433.25</v>
      </c>
      <c r="R1711">
        <v>43332</v>
      </c>
    </row>
    <row r="1712" spans="1:18" x14ac:dyDescent="0.25">
      <c r="A1712" s="169">
        <v>45012</v>
      </c>
      <c r="B1712" s="116">
        <v>153.166666666667</v>
      </c>
      <c r="C1712" s="116">
        <v>141.5</v>
      </c>
      <c r="D1712" s="116">
        <v>140.36666666666699</v>
      </c>
      <c r="E1712" s="116">
        <v>145.15</v>
      </c>
      <c r="F1712" s="116">
        <v>424.5</v>
      </c>
      <c r="G1712">
        <v>19131</v>
      </c>
      <c r="H1712" s="116"/>
      <c r="I1712" s="116"/>
      <c r="L1712" s="169">
        <v>45012</v>
      </c>
      <c r="M1712" s="116">
        <v>141.816666666667</v>
      </c>
      <c r="N1712" s="116">
        <v>153.316666666667</v>
      </c>
      <c r="O1712" s="116">
        <v>140.36666666666699</v>
      </c>
      <c r="P1712" s="116">
        <v>145</v>
      </c>
      <c r="Q1712" s="116">
        <v>425.45</v>
      </c>
      <c r="R1712">
        <v>313882</v>
      </c>
    </row>
    <row r="1713" spans="1:18" x14ac:dyDescent="0.25">
      <c r="A1713" s="169">
        <v>45013</v>
      </c>
      <c r="B1713" s="116">
        <v>143.98333333333301</v>
      </c>
      <c r="C1713" s="116">
        <v>139.80000000000001</v>
      </c>
      <c r="D1713" s="116">
        <v>139</v>
      </c>
      <c r="E1713" s="116">
        <v>141.01666666666699</v>
      </c>
      <c r="F1713" s="116">
        <v>419.4</v>
      </c>
      <c r="G1713">
        <v>4370</v>
      </c>
      <c r="H1713" s="116"/>
      <c r="I1713" s="116"/>
      <c r="L1713" s="169">
        <v>45013</v>
      </c>
      <c r="M1713" s="116">
        <v>139.96666666666701</v>
      </c>
      <c r="N1713" s="116">
        <v>144.26666666666699</v>
      </c>
      <c r="O1713" s="116">
        <v>138.666666666667</v>
      </c>
      <c r="P1713" s="116">
        <v>142.53333333333299</v>
      </c>
      <c r="Q1713" s="116">
        <v>419.9</v>
      </c>
      <c r="R1713">
        <v>137170</v>
      </c>
    </row>
    <row r="1714" spans="1:18" x14ac:dyDescent="0.25">
      <c r="A1714" s="169">
        <v>45014</v>
      </c>
      <c r="B1714" s="116">
        <v>142.083333333333</v>
      </c>
      <c r="C1714" s="116">
        <v>140.51666666666699</v>
      </c>
      <c r="D1714" s="116">
        <v>138.666666666667</v>
      </c>
      <c r="E1714" s="116">
        <v>140.01666666666699</v>
      </c>
      <c r="F1714" s="116">
        <v>421.55</v>
      </c>
      <c r="G1714">
        <v>2020</v>
      </c>
      <c r="H1714" s="116"/>
      <c r="I1714" s="116"/>
      <c r="L1714" s="169">
        <v>45014</v>
      </c>
      <c r="M1714" s="116">
        <v>140.416666666667</v>
      </c>
      <c r="N1714" s="116">
        <v>143.333333333333</v>
      </c>
      <c r="O1714" s="116">
        <v>138.46666666666701</v>
      </c>
      <c r="P1714" s="116">
        <v>141.316666666667</v>
      </c>
      <c r="Q1714" s="116">
        <v>421.25</v>
      </c>
      <c r="R1714">
        <v>129787</v>
      </c>
    </row>
    <row r="1715" spans="1:18" x14ac:dyDescent="0.25">
      <c r="A1715" s="169">
        <v>45016</v>
      </c>
      <c r="B1715" s="116">
        <v>145.166666666667</v>
      </c>
      <c r="C1715" s="116">
        <v>143.23333333333301</v>
      </c>
      <c r="D1715" s="116">
        <v>139.94999999999999</v>
      </c>
      <c r="E1715" s="116">
        <v>141.333333333333</v>
      </c>
      <c r="F1715" s="116">
        <v>429.7</v>
      </c>
      <c r="G1715">
        <v>15668</v>
      </c>
      <c r="H1715" s="116"/>
      <c r="I1715" s="116"/>
      <c r="L1715" s="169">
        <v>45016</v>
      </c>
      <c r="M1715" s="116">
        <v>143.28333333333299</v>
      </c>
      <c r="N1715" s="116">
        <v>145.19999999999999</v>
      </c>
      <c r="O1715" s="116">
        <v>139.03333333333299</v>
      </c>
      <c r="P1715" s="116">
        <v>139.03333333333299</v>
      </c>
      <c r="Q1715" s="116">
        <v>429.85</v>
      </c>
      <c r="R1715">
        <v>84517</v>
      </c>
    </row>
    <row r="1716" spans="1:18" x14ac:dyDescent="0.25">
      <c r="A1716" s="169">
        <v>45019</v>
      </c>
      <c r="B1716" s="116">
        <v>147.30000000000001</v>
      </c>
      <c r="C1716" s="116">
        <v>144.01666666666699</v>
      </c>
      <c r="D1716" s="116">
        <v>143.23333333333301</v>
      </c>
      <c r="E1716" s="116">
        <v>146</v>
      </c>
      <c r="F1716" s="116">
        <v>432.05</v>
      </c>
      <c r="G1716">
        <v>1957</v>
      </c>
      <c r="H1716" s="116"/>
      <c r="I1716" s="116"/>
      <c r="L1716" s="169">
        <v>45019</v>
      </c>
      <c r="M1716" s="116">
        <v>144.23333333333301</v>
      </c>
      <c r="N1716" s="116">
        <v>147.333333333333</v>
      </c>
      <c r="O1716" s="116">
        <v>143.19999999999999</v>
      </c>
      <c r="P1716" s="116">
        <v>145.94999999999999</v>
      </c>
      <c r="Q1716" s="116">
        <v>432.7</v>
      </c>
      <c r="R1716">
        <v>42294</v>
      </c>
    </row>
    <row r="1717" spans="1:18" x14ac:dyDescent="0.25">
      <c r="A1717" s="169">
        <v>45021</v>
      </c>
      <c r="B1717" s="116">
        <v>148</v>
      </c>
      <c r="C1717" s="116">
        <v>147.01666666666699</v>
      </c>
      <c r="D1717" s="116">
        <v>144.35</v>
      </c>
      <c r="E1717" s="116">
        <v>144.35</v>
      </c>
      <c r="F1717" s="116">
        <v>441.05</v>
      </c>
      <c r="G1717">
        <v>1460</v>
      </c>
      <c r="H1717" s="116"/>
      <c r="I1717" s="116"/>
      <c r="L1717" s="169">
        <v>45021</v>
      </c>
      <c r="M1717" s="116">
        <v>146.69999999999999</v>
      </c>
      <c r="N1717" s="116">
        <v>147.94999999999999</v>
      </c>
      <c r="O1717" s="116">
        <v>144.683333333333</v>
      </c>
      <c r="P1717" s="116">
        <v>144.96666666666701</v>
      </c>
      <c r="Q1717" s="116">
        <v>440.1</v>
      </c>
      <c r="R1717">
        <v>35282</v>
      </c>
    </row>
    <row r="1718" spans="1:18" x14ac:dyDescent="0.25">
      <c r="A1718" s="169">
        <v>45022</v>
      </c>
      <c r="B1718" s="116">
        <v>151.416666666667</v>
      </c>
      <c r="C1718" s="116">
        <v>148.73333333333301</v>
      </c>
      <c r="D1718" s="116">
        <v>147.166666666667</v>
      </c>
      <c r="E1718" s="116">
        <v>147.316666666667</v>
      </c>
      <c r="F1718" s="116">
        <v>446.2</v>
      </c>
      <c r="G1718">
        <v>7074</v>
      </c>
      <c r="H1718" s="116"/>
      <c r="I1718" s="116"/>
      <c r="L1718" s="169">
        <v>45022</v>
      </c>
      <c r="M1718" s="116">
        <v>148.94999999999999</v>
      </c>
      <c r="N1718" s="116">
        <v>151.333333333333</v>
      </c>
      <c r="O1718" s="116">
        <v>147.1</v>
      </c>
      <c r="P1718" s="116">
        <v>147.333333333333</v>
      </c>
      <c r="Q1718" s="116">
        <v>446.85</v>
      </c>
      <c r="R1718">
        <v>52461</v>
      </c>
    </row>
    <row r="1719" spans="1:18" x14ac:dyDescent="0.25">
      <c r="A1719" s="169">
        <v>45026</v>
      </c>
      <c r="B1719" s="116">
        <v>161.333333333333</v>
      </c>
      <c r="C1719" s="116">
        <v>158.6</v>
      </c>
      <c r="D1719" s="116">
        <v>152.683333333333</v>
      </c>
      <c r="E1719" s="116">
        <v>152.683333333333</v>
      </c>
      <c r="F1719" s="116">
        <v>475.8</v>
      </c>
      <c r="G1719">
        <v>4122</v>
      </c>
      <c r="H1719" s="116"/>
      <c r="I1719" s="116"/>
      <c r="L1719" s="169">
        <v>45026</v>
      </c>
      <c r="M1719" s="116">
        <v>158.63333333333301</v>
      </c>
      <c r="N1719" s="116">
        <v>161.333333333333</v>
      </c>
      <c r="O1719" s="116">
        <v>152.19999999999999</v>
      </c>
      <c r="P1719" s="116">
        <v>153.333333333333</v>
      </c>
      <c r="Q1719" s="116">
        <v>475.9</v>
      </c>
      <c r="R1719">
        <v>159858</v>
      </c>
    </row>
    <row r="1720" spans="1:18" x14ac:dyDescent="0.25">
      <c r="A1720" s="169">
        <v>45027</v>
      </c>
      <c r="B1720" s="116">
        <v>162.11666666666699</v>
      </c>
      <c r="C1720" s="116">
        <v>160.11666666666699</v>
      </c>
      <c r="D1720" s="116">
        <v>158.80000000000001</v>
      </c>
      <c r="E1720" s="116">
        <v>160.01666666666699</v>
      </c>
      <c r="F1720" s="116">
        <v>480.35</v>
      </c>
      <c r="G1720">
        <v>3686</v>
      </c>
      <c r="H1720" s="116"/>
      <c r="I1720" s="116"/>
      <c r="L1720" s="169">
        <v>45027</v>
      </c>
      <c r="M1720" s="116">
        <v>160.01666666666699</v>
      </c>
      <c r="N1720" s="116">
        <v>162.6</v>
      </c>
      <c r="O1720" s="116">
        <v>158.75</v>
      </c>
      <c r="P1720" s="116">
        <v>160.73333333333301</v>
      </c>
      <c r="Q1720" s="116">
        <v>480.05</v>
      </c>
      <c r="R1720">
        <v>89426</v>
      </c>
    </row>
    <row r="1721" spans="1:18" x14ac:dyDescent="0.25">
      <c r="A1721" s="169">
        <v>45028</v>
      </c>
      <c r="B1721" s="116">
        <v>165</v>
      </c>
      <c r="C1721" s="116">
        <v>160.96666666666701</v>
      </c>
      <c r="D1721" s="116">
        <v>160</v>
      </c>
      <c r="E1721" s="116">
        <v>161.96666666666701</v>
      </c>
      <c r="F1721" s="116">
        <v>482.9</v>
      </c>
      <c r="G1721">
        <v>11192</v>
      </c>
      <c r="H1721" s="116"/>
      <c r="I1721" s="116"/>
      <c r="L1721" s="169">
        <v>45028</v>
      </c>
      <c r="M1721" s="116">
        <v>161.36666666666699</v>
      </c>
      <c r="N1721" s="116">
        <v>165.583333333333</v>
      </c>
      <c r="O1721" s="116">
        <v>160</v>
      </c>
      <c r="P1721" s="116">
        <v>161.916666666667</v>
      </c>
      <c r="Q1721" s="116">
        <v>484.1</v>
      </c>
      <c r="R1721">
        <v>156541</v>
      </c>
    </row>
    <row r="1722" spans="1:18" x14ac:dyDescent="0.25">
      <c r="A1722" s="169">
        <v>45029</v>
      </c>
      <c r="B1722" s="116">
        <v>163.333333333333</v>
      </c>
      <c r="C1722" s="116">
        <v>161.35</v>
      </c>
      <c r="D1722" s="116">
        <v>159.666666666667</v>
      </c>
      <c r="E1722" s="116">
        <v>159.683333333333</v>
      </c>
      <c r="F1722" s="116">
        <v>484.05</v>
      </c>
      <c r="G1722">
        <v>4142</v>
      </c>
      <c r="H1722" s="116"/>
      <c r="I1722" s="116"/>
      <c r="L1722" s="169">
        <v>45029</v>
      </c>
      <c r="M1722" s="116">
        <v>161.066666666667</v>
      </c>
      <c r="N1722" s="116">
        <v>163.333333333333</v>
      </c>
      <c r="O1722" s="116">
        <v>159.666666666667</v>
      </c>
      <c r="P1722" s="116">
        <v>160.9</v>
      </c>
      <c r="Q1722" s="116">
        <v>483.2</v>
      </c>
      <c r="R1722">
        <v>57873</v>
      </c>
    </row>
    <row r="1723" spans="1:18" x14ac:dyDescent="0.25">
      <c r="A1723" s="169">
        <v>45033</v>
      </c>
      <c r="B1723" s="116">
        <v>165</v>
      </c>
      <c r="C1723" s="116">
        <v>163.333333333333</v>
      </c>
      <c r="D1723" s="116">
        <v>161.333333333333</v>
      </c>
      <c r="E1723" s="116">
        <v>161.36666666666699</v>
      </c>
      <c r="F1723" s="116">
        <v>490</v>
      </c>
      <c r="G1723">
        <v>13233</v>
      </c>
      <c r="H1723" s="116"/>
      <c r="I1723" s="116"/>
      <c r="L1723" s="169">
        <v>45033</v>
      </c>
      <c r="M1723" s="116">
        <v>163.13333333333301</v>
      </c>
      <c r="N1723" s="116">
        <v>166.333333333333</v>
      </c>
      <c r="O1723" s="116">
        <v>161.19999999999999</v>
      </c>
      <c r="P1723" s="116">
        <v>162.80000000000001</v>
      </c>
      <c r="Q1723" s="116">
        <v>489.4</v>
      </c>
      <c r="R1723">
        <v>114675</v>
      </c>
    </row>
    <row r="1724" spans="1:18" x14ac:dyDescent="0.25">
      <c r="A1724" s="169">
        <v>45034</v>
      </c>
      <c r="B1724" s="116">
        <v>166.26666666666699</v>
      </c>
      <c r="C1724" s="116">
        <v>165</v>
      </c>
      <c r="D1724" s="116">
        <v>164.28333333333299</v>
      </c>
      <c r="E1724" s="116">
        <v>165</v>
      </c>
      <c r="F1724" s="116">
        <v>495</v>
      </c>
      <c r="G1724">
        <v>9827</v>
      </c>
      <c r="H1724" s="116"/>
      <c r="I1724" s="116"/>
      <c r="L1724" s="169">
        <v>45034</v>
      </c>
      <c r="M1724" s="116">
        <v>164.88333333333301</v>
      </c>
      <c r="N1724" s="116">
        <v>166</v>
      </c>
      <c r="O1724" s="116">
        <v>163.63333333333301</v>
      </c>
      <c r="P1724" s="116">
        <v>163.63333333333301</v>
      </c>
      <c r="Q1724" s="116">
        <v>494.65</v>
      </c>
      <c r="R1724">
        <v>161591</v>
      </c>
    </row>
    <row r="1725" spans="1:18" x14ac:dyDescent="0.25">
      <c r="A1725" s="169">
        <v>45035</v>
      </c>
      <c r="B1725" s="116">
        <v>169.816666666667</v>
      </c>
      <c r="C1725" s="116">
        <v>168.23333333333301</v>
      </c>
      <c r="D1725" s="116">
        <v>165.066666666667</v>
      </c>
      <c r="E1725" s="116">
        <v>166.01666666666699</v>
      </c>
      <c r="F1725" s="116">
        <v>504.7</v>
      </c>
      <c r="G1725">
        <v>22324</v>
      </c>
      <c r="H1725" s="116"/>
      <c r="I1725" s="116"/>
      <c r="L1725" s="169">
        <v>45035</v>
      </c>
      <c r="M1725" s="116">
        <v>168.13333333333301</v>
      </c>
      <c r="N1725" s="116">
        <v>171.2</v>
      </c>
      <c r="O1725" s="116">
        <v>165.35</v>
      </c>
      <c r="P1725" s="116">
        <v>166.583333333333</v>
      </c>
      <c r="Q1725" s="116">
        <v>504.4</v>
      </c>
      <c r="R1725">
        <v>238532</v>
      </c>
    </row>
    <row r="1726" spans="1:18" x14ac:dyDescent="0.25">
      <c r="A1726" s="169">
        <v>45036</v>
      </c>
      <c r="B1726" s="116">
        <v>163.833333333333</v>
      </c>
      <c r="C1726" s="116">
        <v>157.03333333333299</v>
      </c>
      <c r="D1726" s="116">
        <v>155.316666666667</v>
      </c>
      <c r="E1726" s="116">
        <v>163.833333333333</v>
      </c>
      <c r="F1726" s="116">
        <v>471.1</v>
      </c>
      <c r="G1726">
        <v>19643</v>
      </c>
      <c r="H1726" s="116"/>
      <c r="I1726" s="116"/>
      <c r="L1726" s="169">
        <v>45036</v>
      </c>
      <c r="M1726" s="116">
        <v>156.96666666666701</v>
      </c>
      <c r="N1726" s="116">
        <v>162.666666666667</v>
      </c>
      <c r="O1726" s="116">
        <v>155</v>
      </c>
      <c r="P1726" s="116">
        <v>162.666666666667</v>
      </c>
      <c r="Q1726" s="116">
        <v>470.9</v>
      </c>
      <c r="R1726">
        <v>178002</v>
      </c>
    </row>
    <row r="1727" spans="1:18" x14ac:dyDescent="0.25">
      <c r="A1727" s="169">
        <v>45037</v>
      </c>
      <c r="B1727" s="116">
        <v>155.683333333333</v>
      </c>
      <c r="C1727" s="116">
        <v>152.71666666666701</v>
      </c>
      <c r="D1727" s="116">
        <v>152.333333333333</v>
      </c>
      <c r="E1727" s="116">
        <v>155.683333333333</v>
      </c>
      <c r="F1727" s="116">
        <v>458.15</v>
      </c>
      <c r="G1727">
        <v>14979</v>
      </c>
      <c r="H1727" s="116"/>
      <c r="I1727" s="116"/>
      <c r="L1727" s="169">
        <v>45037</v>
      </c>
      <c r="M1727" s="116">
        <v>152.76666666666699</v>
      </c>
      <c r="N1727" s="116">
        <v>156.333333333333</v>
      </c>
      <c r="O1727" s="116">
        <v>152.03333333333299</v>
      </c>
      <c r="P1727" s="116">
        <v>156.333333333333</v>
      </c>
      <c r="Q1727" s="116">
        <v>458.3</v>
      </c>
      <c r="R1727">
        <v>57861</v>
      </c>
    </row>
    <row r="1728" spans="1:18" x14ac:dyDescent="0.25">
      <c r="A1728" s="169">
        <v>45040</v>
      </c>
      <c r="B1728" s="116">
        <v>158.333333333333</v>
      </c>
      <c r="C1728" s="116">
        <v>151.85</v>
      </c>
      <c r="D1728" s="116">
        <v>150.916666666667</v>
      </c>
      <c r="E1728" s="116">
        <v>158.333333333333</v>
      </c>
      <c r="F1728" s="116">
        <v>455.55</v>
      </c>
      <c r="G1728">
        <v>3559</v>
      </c>
      <c r="H1728" s="116"/>
      <c r="I1728" s="116"/>
      <c r="L1728" s="169">
        <v>45040</v>
      </c>
      <c r="M1728" s="116">
        <v>152.1</v>
      </c>
      <c r="N1728" s="116">
        <v>154.23333333333301</v>
      </c>
      <c r="O1728" s="116">
        <v>150.76666666666699</v>
      </c>
      <c r="P1728" s="116">
        <v>152.76666666666699</v>
      </c>
      <c r="Q1728" s="116">
        <v>456.3</v>
      </c>
      <c r="R1728">
        <v>66253</v>
      </c>
    </row>
    <row r="1729" spans="1:18" x14ac:dyDescent="0.25">
      <c r="A1729" s="169">
        <v>45041</v>
      </c>
      <c r="B1729" s="116">
        <v>152.416666666667</v>
      </c>
      <c r="C1729" s="116">
        <v>149.75</v>
      </c>
      <c r="D1729" s="116">
        <v>147.98333333333301</v>
      </c>
      <c r="E1729" s="116">
        <v>152.01666666666699</v>
      </c>
      <c r="F1729" s="116">
        <v>449.25</v>
      </c>
      <c r="G1729">
        <v>4009</v>
      </c>
      <c r="H1729" s="116"/>
      <c r="I1729" s="116"/>
      <c r="L1729" s="169">
        <v>45041</v>
      </c>
      <c r="M1729" s="116">
        <v>149.083333333333</v>
      </c>
      <c r="N1729" s="116">
        <v>152.833333333333</v>
      </c>
      <c r="O1729" s="116">
        <v>148.73333333333301</v>
      </c>
      <c r="P1729" s="116">
        <v>152.03333333333299</v>
      </c>
      <c r="Q1729" s="116">
        <v>447.25</v>
      </c>
      <c r="R1729">
        <v>43926</v>
      </c>
    </row>
    <row r="1730" spans="1:18" x14ac:dyDescent="0.25">
      <c r="A1730" s="169">
        <v>45042</v>
      </c>
      <c r="B1730" s="116">
        <v>149.51666666666699</v>
      </c>
      <c r="C1730" s="116">
        <v>145.30000000000001</v>
      </c>
      <c r="D1730" s="116">
        <v>144.30000000000001</v>
      </c>
      <c r="E1730" s="116">
        <v>146.683333333333</v>
      </c>
      <c r="F1730" s="116">
        <v>435.9</v>
      </c>
      <c r="G1730">
        <v>10672</v>
      </c>
      <c r="H1730" s="116"/>
      <c r="I1730" s="116"/>
      <c r="L1730" s="169">
        <v>45042</v>
      </c>
      <c r="M1730" s="116">
        <v>145.35</v>
      </c>
      <c r="N1730" s="116">
        <v>149.48333333333301</v>
      </c>
      <c r="O1730" s="116">
        <v>144.333333333333</v>
      </c>
      <c r="P1730" s="116">
        <v>149.416666666667</v>
      </c>
      <c r="Q1730" s="116">
        <v>436.05</v>
      </c>
      <c r="R1730">
        <v>71488</v>
      </c>
    </row>
    <row r="1731" spans="1:18" x14ac:dyDescent="0.25">
      <c r="A1731" s="169">
        <v>45043</v>
      </c>
      <c r="B1731" s="116">
        <v>150.916666666667</v>
      </c>
      <c r="C1731" s="116">
        <v>147.51666666666699</v>
      </c>
      <c r="D1731" s="116">
        <v>144.01666666666699</v>
      </c>
      <c r="E1731" s="116">
        <v>144.01666666666699</v>
      </c>
      <c r="F1731" s="116">
        <v>442.55</v>
      </c>
      <c r="G1731">
        <v>2625</v>
      </c>
      <c r="H1731" s="116"/>
      <c r="I1731" s="116"/>
      <c r="L1731" s="169">
        <v>45043</v>
      </c>
      <c r="M1731" s="116">
        <v>147.6</v>
      </c>
      <c r="N1731" s="116">
        <v>151</v>
      </c>
      <c r="O1731" s="116">
        <v>145.35</v>
      </c>
      <c r="P1731" s="116">
        <v>145.35</v>
      </c>
      <c r="Q1731" s="116">
        <v>442.8</v>
      </c>
      <c r="R1731">
        <v>78958</v>
      </c>
    </row>
    <row r="1732" spans="1:18" x14ac:dyDescent="0.25">
      <c r="A1732" s="169">
        <v>45044</v>
      </c>
      <c r="B1732" s="116">
        <v>151</v>
      </c>
      <c r="C1732" s="116">
        <v>147.316666666667</v>
      </c>
      <c r="D1732" s="116">
        <v>146.30000000000001</v>
      </c>
      <c r="E1732" s="116">
        <v>147.53333333333299</v>
      </c>
      <c r="F1732" s="116">
        <v>441.95</v>
      </c>
      <c r="G1732">
        <v>4465</v>
      </c>
      <c r="H1732" s="116"/>
      <c r="I1732" s="116"/>
      <c r="L1732" s="169">
        <v>45044</v>
      </c>
      <c r="M1732" s="116">
        <v>147.26666666666699</v>
      </c>
      <c r="N1732" s="116">
        <v>151.30000000000001</v>
      </c>
      <c r="O1732" s="116">
        <v>146.333333333333</v>
      </c>
      <c r="P1732" s="116">
        <v>148.15</v>
      </c>
      <c r="Q1732" s="116">
        <v>441.8</v>
      </c>
      <c r="R1732">
        <v>73798</v>
      </c>
    </row>
    <row r="1733" spans="1:18" x14ac:dyDescent="0.25">
      <c r="A1733" s="169">
        <v>45048</v>
      </c>
      <c r="B1733" s="116">
        <v>150.666666666667</v>
      </c>
      <c r="C1733" s="116">
        <v>148.96666666666701</v>
      </c>
      <c r="D1733" s="116">
        <v>147.65</v>
      </c>
      <c r="E1733" s="116">
        <v>148.166666666667</v>
      </c>
      <c r="F1733" s="116">
        <v>446.9</v>
      </c>
      <c r="G1733">
        <v>7706</v>
      </c>
      <c r="H1733" s="116"/>
      <c r="I1733" s="116"/>
      <c r="L1733" s="169">
        <v>45048</v>
      </c>
      <c r="M1733" s="116">
        <v>149.066666666667</v>
      </c>
      <c r="N1733" s="116">
        <v>150.61666666666699</v>
      </c>
      <c r="O1733" s="116">
        <v>147.35</v>
      </c>
      <c r="P1733" s="116">
        <v>147.35</v>
      </c>
      <c r="Q1733" s="116">
        <v>447.2</v>
      </c>
      <c r="R1733">
        <v>52009</v>
      </c>
    </row>
    <row r="1734" spans="1:18" x14ac:dyDescent="0.25">
      <c r="A1734" s="169">
        <v>45049</v>
      </c>
      <c r="B1734" s="116">
        <v>151.5</v>
      </c>
      <c r="C1734" s="116">
        <v>151.066666666667</v>
      </c>
      <c r="D1734" s="116">
        <v>148.96666666666701</v>
      </c>
      <c r="E1734" s="116">
        <v>148.96666666666701</v>
      </c>
      <c r="F1734" s="116">
        <v>453.2</v>
      </c>
      <c r="G1734">
        <v>1894</v>
      </c>
      <c r="H1734" s="116"/>
      <c r="I1734" s="116"/>
      <c r="L1734" s="169">
        <v>45049</v>
      </c>
      <c r="M1734" s="116">
        <v>151.26666666666699</v>
      </c>
      <c r="N1734" s="116">
        <v>151.61666666666699</v>
      </c>
      <c r="O1734" s="116">
        <v>148.933333333333</v>
      </c>
      <c r="P1734" s="116">
        <v>149.666666666667</v>
      </c>
      <c r="Q1734" s="116">
        <v>453.8</v>
      </c>
      <c r="R1734">
        <v>49199</v>
      </c>
    </row>
    <row r="1735" spans="1:18" x14ac:dyDescent="0.25">
      <c r="A1735" s="169">
        <v>45050</v>
      </c>
      <c r="B1735" s="116">
        <v>153.666666666667</v>
      </c>
      <c r="C1735" s="116">
        <v>153.44999999999999</v>
      </c>
      <c r="D1735" s="116">
        <v>151.76666666666699</v>
      </c>
      <c r="E1735" s="116">
        <v>151.76666666666699</v>
      </c>
      <c r="F1735" s="116">
        <v>460.35</v>
      </c>
      <c r="G1735">
        <v>1543</v>
      </c>
      <c r="H1735" s="116"/>
      <c r="I1735" s="116"/>
      <c r="L1735" s="169">
        <v>45050</v>
      </c>
      <c r="M1735" s="116">
        <v>153.28333333333299</v>
      </c>
      <c r="N1735" s="116">
        <v>153.9</v>
      </c>
      <c r="O1735" s="116">
        <v>151.76666666666699</v>
      </c>
      <c r="P1735" s="116">
        <v>152</v>
      </c>
      <c r="Q1735" s="116">
        <v>459.85</v>
      </c>
      <c r="R1735">
        <v>53360</v>
      </c>
    </row>
    <row r="1736" spans="1:18" x14ac:dyDescent="0.25">
      <c r="A1736" s="169">
        <v>45051</v>
      </c>
      <c r="B1736" s="116">
        <v>155</v>
      </c>
      <c r="C1736" s="116">
        <v>151</v>
      </c>
      <c r="D1736" s="116">
        <v>150.333333333333</v>
      </c>
      <c r="E1736" s="116">
        <v>155</v>
      </c>
      <c r="F1736" s="116">
        <v>453</v>
      </c>
      <c r="G1736">
        <v>7395</v>
      </c>
      <c r="H1736" s="116"/>
      <c r="I1736" s="116"/>
      <c r="L1736" s="169">
        <v>45051</v>
      </c>
      <c r="M1736" s="116">
        <v>150.94999999999999</v>
      </c>
      <c r="N1736" s="116">
        <v>154.333333333333</v>
      </c>
      <c r="O1736" s="116">
        <v>150.4</v>
      </c>
      <c r="P1736" s="116">
        <v>153.916666666667</v>
      </c>
      <c r="Q1736" s="116">
        <v>452.85</v>
      </c>
      <c r="R1736">
        <v>35430</v>
      </c>
    </row>
    <row r="1737" spans="1:18" x14ac:dyDescent="0.25">
      <c r="A1737" s="169">
        <v>45054</v>
      </c>
      <c r="B1737" s="116">
        <v>152.816666666667</v>
      </c>
      <c r="C1737" s="116">
        <v>151.683333333333</v>
      </c>
      <c r="D1737" s="116">
        <v>150.01666666666699</v>
      </c>
      <c r="E1737" s="116">
        <v>151.01666666666699</v>
      </c>
      <c r="F1737" s="116">
        <v>455.05</v>
      </c>
      <c r="G1737">
        <v>6110</v>
      </c>
      <c r="H1737" s="116"/>
      <c r="I1737" s="116"/>
      <c r="L1737" s="169">
        <v>45054</v>
      </c>
      <c r="M1737" s="116">
        <v>151.63333333333301</v>
      </c>
      <c r="N1737" s="116">
        <v>152.96666666666701</v>
      </c>
      <c r="O1737" s="116">
        <v>150</v>
      </c>
      <c r="P1737" s="116">
        <v>151.333333333333</v>
      </c>
      <c r="Q1737" s="116">
        <v>454.9</v>
      </c>
      <c r="R1737">
        <v>51645</v>
      </c>
    </row>
    <row r="1738" spans="1:18" x14ac:dyDescent="0.25">
      <c r="A1738" s="169">
        <v>45055</v>
      </c>
      <c r="B1738" s="116">
        <v>154.566666666667</v>
      </c>
      <c r="C1738" s="116">
        <v>153.63333333333301</v>
      </c>
      <c r="D1738" s="116">
        <v>151.63333333333301</v>
      </c>
      <c r="E1738" s="116">
        <v>154.44999999999999</v>
      </c>
      <c r="F1738" s="116">
        <v>460.9</v>
      </c>
      <c r="G1738">
        <v>4963</v>
      </c>
      <c r="H1738" s="116"/>
      <c r="I1738" s="116"/>
      <c r="L1738" s="169">
        <v>45055</v>
      </c>
      <c r="M1738" s="116">
        <v>153.683333333333</v>
      </c>
      <c r="N1738" s="116">
        <v>154.5</v>
      </c>
      <c r="O1738" s="116">
        <v>151</v>
      </c>
      <c r="P1738" s="116">
        <v>151.65</v>
      </c>
      <c r="Q1738" s="116">
        <v>461.05</v>
      </c>
      <c r="R1738">
        <v>48585</v>
      </c>
    </row>
    <row r="1739" spans="1:18" x14ac:dyDescent="0.25">
      <c r="A1739" s="169">
        <v>45056</v>
      </c>
      <c r="B1739" s="116">
        <v>156.666666666667</v>
      </c>
      <c r="C1739" s="116">
        <v>153.21666666666701</v>
      </c>
      <c r="D1739" s="116">
        <v>152.5</v>
      </c>
      <c r="E1739" s="116">
        <v>156.666666666667</v>
      </c>
      <c r="F1739" s="116">
        <v>459.65</v>
      </c>
      <c r="G1739">
        <v>1119</v>
      </c>
      <c r="H1739" s="116"/>
      <c r="I1739" s="116"/>
      <c r="L1739" s="169">
        <v>45056</v>
      </c>
      <c r="M1739" s="116">
        <v>153.333333333333</v>
      </c>
      <c r="N1739" s="116">
        <v>154.583333333333</v>
      </c>
      <c r="O1739" s="116">
        <v>152.38333333333301</v>
      </c>
      <c r="P1739" s="116">
        <v>154.46666666666701</v>
      </c>
      <c r="Q1739" s="116">
        <v>460</v>
      </c>
      <c r="R1739">
        <v>34817</v>
      </c>
    </row>
    <row r="1740" spans="1:18" x14ac:dyDescent="0.25">
      <c r="A1740" s="169">
        <v>45057</v>
      </c>
      <c r="B1740" s="116">
        <v>153.85</v>
      </c>
      <c r="C1740" s="116">
        <v>152.86666666666699</v>
      </c>
      <c r="D1740" s="116">
        <v>152.30000000000001</v>
      </c>
      <c r="E1740" s="116">
        <v>153.35</v>
      </c>
      <c r="F1740" s="116">
        <v>458.6</v>
      </c>
      <c r="G1740">
        <v>1264</v>
      </c>
      <c r="H1740" s="116"/>
      <c r="I1740" s="116"/>
      <c r="L1740" s="169">
        <v>45057</v>
      </c>
      <c r="M1740" s="116">
        <v>153.333333333333</v>
      </c>
      <c r="N1740" s="116">
        <v>154.1</v>
      </c>
      <c r="O1740" s="116">
        <v>151.85</v>
      </c>
      <c r="P1740" s="116">
        <v>154.1</v>
      </c>
      <c r="Q1740" s="116">
        <v>460</v>
      </c>
      <c r="R1740">
        <v>49774</v>
      </c>
    </row>
    <row r="1741" spans="1:18" x14ac:dyDescent="0.25">
      <c r="A1741" s="169">
        <v>45058</v>
      </c>
      <c r="B1741" s="116">
        <v>156.25</v>
      </c>
      <c r="C1741" s="116">
        <v>155.333333333333</v>
      </c>
      <c r="D1741" s="116">
        <v>152.15</v>
      </c>
      <c r="E1741" s="116">
        <v>152.433333333333</v>
      </c>
      <c r="F1741" s="116">
        <v>466</v>
      </c>
      <c r="G1741">
        <v>3838</v>
      </c>
      <c r="H1741" s="116"/>
      <c r="I1741" s="116"/>
      <c r="L1741" s="169">
        <v>45058</v>
      </c>
      <c r="M1741" s="116">
        <v>155.316666666667</v>
      </c>
      <c r="N1741" s="116">
        <v>156.333333333333</v>
      </c>
      <c r="O1741" s="116">
        <v>152.066666666667</v>
      </c>
      <c r="P1741" s="116">
        <v>153</v>
      </c>
      <c r="Q1741" s="116">
        <v>465.95</v>
      </c>
      <c r="R1741">
        <v>67007</v>
      </c>
    </row>
    <row r="1742" spans="1:18" x14ac:dyDescent="0.25">
      <c r="A1742" s="169">
        <v>45061</v>
      </c>
      <c r="B1742" s="116">
        <v>155.78333333333299</v>
      </c>
      <c r="C1742" s="116">
        <v>155.61666666666699</v>
      </c>
      <c r="D1742" s="116">
        <v>153.55000000000001</v>
      </c>
      <c r="E1742" s="116">
        <v>155.666666666667</v>
      </c>
      <c r="F1742" s="116">
        <v>466.85</v>
      </c>
      <c r="G1742">
        <v>6701</v>
      </c>
      <c r="H1742" s="116"/>
      <c r="I1742" s="116"/>
      <c r="L1742" s="169">
        <v>45061</v>
      </c>
      <c r="M1742" s="116">
        <v>155.5</v>
      </c>
      <c r="N1742" s="116">
        <v>156</v>
      </c>
      <c r="O1742" s="116">
        <v>153.666666666667</v>
      </c>
      <c r="P1742" s="116">
        <v>156</v>
      </c>
      <c r="Q1742" s="116">
        <v>466.5</v>
      </c>
      <c r="R1742">
        <v>37305</v>
      </c>
    </row>
    <row r="1743" spans="1:18" x14ac:dyDescent="0.25">
      <c r="A1743" s="169">
        <v>45062</v>
      </c>
      <c r="B1743" s="116">
        <v>156.46666666666701</v>
      </c>
      <c r="C1743" s="116">
        <v>153.65</v>
      </c>
      <c r="D1743" s="116">
        <v>153.25</v>
      </c>
      <c r="E1743" s="116">
        <v>153.683333333333</v>
      </c>
      <c r="F1743" s="116">
        <v>460.95</v>
      </c>
      <c r="G1743">
        <v>5149</v>
      </c>
      <c r="H1743" s="116"/>
      <c r="I1743" s="116"/>
      <c r="L1743" s="169">
        <v>45062</v>
      </c>
      <c r="M1743" s="116">
        <v>153.44999999999999</v>
      </c>
      <c r="N1743" s="116">
        <v>156.333333333333</v>
      </c>
      <c r="O1743" s="116">
        <v>153.21666666666701</v>
      </c>
      <c r="P1743" s="116">
        <v>156.28333333333299</v>
      </c>
      <c r="Q1743" s="116">
        <v>460.35</v>
      </c>
      <c r="R1743">
        <v>41303</v>
      </c>
    </row>
    <row r="1744" spans="1:18" x14ac:dyDescent="0.25">
      <c r="A1744" s="169">
        <v>45063</v>
      </c>
      <c r="B1744" s="116">
        <v>155.5</v>
      </c>
      <c r="C1744" s="116">
        <v>154.25</v>
      </c>
      <c r="D1744" s="116">
        <v>151.75</v>
      </c>
      <c r="E1744" s="116">
        <v>153.683333333333</v>
      </c>
      <c r="F1744" s="116">
        <v>462.75</v>
      </c>
      <c r="G1744">
        <v>5062</v>
      </c>
      <c r="H1744" s="116"/>
      <c r="I1744" s="116"/>
      <c r="L1744" s="169">
        <v>45063</v>
      </c>
      <c r="M1744" s="116">
        <v>154.55000000000001</v>
      </c>
      <c r="N1744" s="116">
        <v>155.46666666666701</v>
      </c>
      <c r="O1744" s="116">
        <v>151.833333333333</v>
      </c>
      <c r="P1744" s="116">
        <v>155.316666666667</v>
      </c>
      <c r="Q1744" s="116">
        <v>463.65</v>
      </c>
      <c r="R1744">
        <v>24871</v>
      </c>
    </row>
    <row r="1745" spans="1:18" x14ac:dyDescent="0.25">
      <c r="A1745" s="169">
        <v>45064</v>
      </c>
      <c r="B1745" s="116">
        <v>157.23333333333301</v>
      </c>
      <c r="C1745" s="116">
        <v>153.86666666666699</v>
      </c>
      <c r="D1745" s="116">
        <v>152.35</v>
      </c>
      <c r="E1745" s="116">
        <v>155.183333333333</v>
      </c>
      <c r="F1745" s="116">
        <v>461.6</v>
      </c>
      <c r="G1745">
        <v>2743</v>
      </c>
      <c r="H1745" s="116"/>
      <c r="I1745" s="116"/>
      <c r="L1745" s="169">
        <v>45064</v>
      </c>
      <c r="M1745" s="116">
        <v>153.78333333333299</v>
      </c>
      <c r="N1745" s="116">
        <v>157.5</v>
      </c>
      <c r="O1745" s="116">
        <v>152.333333333333</v>
      </c>
      <c r="P1745" s="116">
        <v>156.21666666666701</v>
      </c>
      <c r="Q1745" s="116">
        <v>461.35</v>
      </c>
      <c r="R1745">
        <v>49097</v>
      </c>
    </row>
    <row r="1746" spans="1:18" x14ac:dyDescent="0.25">
      <c r="A1746" s="169">
        <v>45065</v>
      </c>
      <c r="B1746" s="116">
        <v>156.433333333333</v>
      </c>
      <c r="C1746" s="116">
        <v>155.4</v>
      </c>
      <c r="D1746" s="116">
        <v>152.36666666666699</v>
      </c>
      <c r="E1746" s="116">
        <v>152.36666666666699</v>
      </c>
      <c r="F1746" s="116">
        <v>466.2</v>
      </c>
      <c r="G1746">
        <v>7787</v>
      </c>
      <c r="H1746" s="116"/>
      <c r="I1746" s="116"/>
      <c r="L1746" s="169">
        <v>45065</v>
      </c>
      <c r="M1746" s="116">
        <v>155.6</v>
      </c>
      <c r="N1746" s="116">
        <v>156.4</v>
      </c>
      <c r="O1746" s="116">
        <v>152.933333333333</v>
      </c>
      <c r="P1746" s="116">
        <v>153.666666666667</v>
      </c>
      <c r="Q1746" s="116">
        <v>466.8</v>
      </c>
      <c r="R1746">
        <v>65968</v>
      </c>
    </row>
    <row r="1747" spans="1:18" x14ac:dyDescent="0.25">
      <c r="A1747" s="169">
        <v>45068</v>
      </c>
      <c r="B1747" s="116">
        <v>156.333333333333</v>
      </c>
      <c r="C1747" s="116">
        <v>153.5</v>
      </c>
      <c r="D1747" s="116">
        <v>151.21666666666701</v>
      </c>
      <c r="E1747" s="116">
        <v>156.333333333333</v>
      </c>
      <c r="F1747" s="116">
        <v>460.5</v>
      </c>
      <c r="G1747">
        <v>4662</v>
      </c>
      <c r="H1747" s="116"/>
      <c r="I1747" s="116"/>
      <c r="L1747" s="169">
        <v>45068</v>
      </c>
      <c r="M1747" s="116">
        <v>153.38333333333301</v>
      </c>
      <c r="N1747" s="116">
        <v>156.38333333333301</v>
      </c>
      <c r="O1747" s="116">
        <v>151.333333333333</v>
      </c>
      <c r="P1747" s="116">
        <v>156.38333333333301</v>
      </c>
      <c r="Q1747" s="116">
        <v>460.15</v>
      </c>
      <c r="R1747">
        <v>138499</v>
      </c>
    </row>
    <row r="1748" spans="1:18" x14ac:dyDescent="0.25">
      <c r="A1748" s="169">
        <v>45069</v>
      </c>
      <c r="B1748" s="116">
        <v>158.53333333333299</v>
      </c>
      <c r="C1748" s="116">
        <v>156.65</v>
      </c>
      <c r="D1748" s="116">
        <v>153.083333333333</v>
      </c>
      <c r="E1748" s="116">
        <v>155.28333333333299</v>
      </c>
      <c r="F1748" s="116">
        <v>469.95</v>
      </c>
      <c r="G1748">
        <v>9588</v>
      </c>
      <c r="H1748" s="116"/>
      <c r="I1748" s="116"/>
      <c r="L1748" s="169">
        <v>45069</v>
      </c>
      <c r="M1748" s="116">
        <v>156.71666666666701</v>
      </c>
      <c r="N1748" s="116">
        <v>158.63333333333301</v>
      </c>
      <c r="O1748" s="116">
        <v>153.05000000000001</v>
      </c>
      <c r="P1748" s="116">
        <v>156.19999999999999</v>
      </c>
      <c r="Q1748" s="116">
        <v>470.15</v>
      </c>
      <c r="R1748">
        <v>95048</v>
      </c>
    </row>
    <row r="1749" spans="1:18" x14ac:dyDescent="0.25">
      <c r="A1749" s="169">
        <v>45070</v>
      </c>
      <c r="B1749" s="116">
        <v>157.96666666666701</v>
      </c>
      <c r="C1749" s="116">
        <v>153.816666666667</v>
      </c>
      <c r="D1749" s="116">
        <v>150.61666666666699</v>
      </c>
      <c r="E1749" s="116">
        <v>152</v>
      </c>
      <c r="F1749" s="116">
        <v>461.45</v>
      </c>
      <c r="G1749">
        <v>6303</v>
      </c>
      <c r="H1749" s="116"/>
      <c r="I1749" s="116"/>
      <c r="L1749" s="169">
        <v>45070</v>
      </c>
      <c r="M1749" s="116">
        <v>153.80000000000001</v>
      </c>
      <c r="N1749" s="116">
        <v>158</v>
      </c>
      <c r="O1749" s="116">
        <v>150.01666666666699</v>
      </c>
      <c r="P1749" s="116">
        <v>150.01666666666699</v>
      </c>
      <c r="Q1749" s="116">
        <v>461.4</v>
      </c>
      <c r="R1749">
        <v>180860</v>
      </c>
    </row>
    <row r="1750" spans="1:18" x14ac:dyDescent="0.25">
      <c r="A1750" s="169">
        <v>45071</v>
      </c>
      <c r="B1750" s="116">
        <v>156.333333333333</v>
      </c>
      <c r="C1750" s="116">
        <v>153.15</v>
      </c>
      <c r="D1750" s="116">
        <v>151.666666666667</v>
      </c>
      <c r="E1750" s="116">
        <v>154.63333333333301</v>
      </c>
      <c r="F1750" s="116">
        <v>459.45</v>
      </c>
      <c r="G1750">
        <v>6135</v>
      </c>
      <c r="H1750" s="116"/>
      <c r="I1750" s="116"/>
      <c r="L1750" s="169">
        <v>45071</v>
      </c>
      <c r="M1750" s="116">
        <v>152.69999999999999</v>
      </c>
      <c r="N1750" s="116">
        <v>156.4</v>
      </c>
      <c r="O1750" s="116">
        <v>151.75</v>
      </c>
      <c r="P1750" s="116">
        <v>153.80000000000001</v>
      </c>
      <c r="Q1750" s="116">
        <v>458.1</v>
      </c>
      <c r="R1750">
        <v>45941</v>
      </c>
    </row>
    <row r="1751" spans="1:18" x14ac:dyDescent="0.25">
      <c r="A1751" s="169">
        <v>45072</v>
      </c>
      <c r="B1751" s="116">
        <v>154.44999999999999</v>
      </c>
      <c r="C1751" s="116">
        <v>152.416666666667</v>
      </c>
      <c r="D1751" s="116">
        <v>151.61666666666699</v>
      </c>
      <c r="E1751" s="116">
        <v>152.5</v>
      </c>
      <c r="F1751" s="116">
        <v>457.25</v>
      </c>
      <c r="G1751">
        <v>6796</v>
      </c>
      <c r="H1751" s="116"/>
      <c r="I1751" s="116"/>
      <c r="L1751" s="169">
        <v>45072</v>
      </c>
      <c r="M1751" s="116">
        <v>152.433333333333</v>
      </c>
      <c r="N1751" s="116">
        <v>154.333333333333</v>
      </c>
      <c r="O1751" s="116">
        <v>151.75</v>
      </c>
      <c r="P1751" s="116">
        <v>152.69999999999999</v>
      </c>
      <c r="Q1751" s="116">
        <v>457.3</v>
      </c>
      <c r="R1751">
        <v>46738</v>
      </c>
    </row>
    <row r="1752" spans="1:18" x14ac:dyDescent="0.25">
      <c r="A1752" s="169">
        <v>45075</v>
      </c>
      <c r="B1752" s="116">
        <v>153.333333333333</v>
      </c>
      <c r="C1752" s="116">
        <v>152.01666666666699</v>
      </c>
      <c r="D1752" s="116">
        <v>150.183333333333</v>
      </c>
      <c r="E1752" s="116">
        <v>151.78333333333299</v>
      </c>
      <c r="F1752" s="116">
        <v>456.05</v>
      </c>
      <c r="G1752">
        <v>2733</v>
      </c>
      <c r="H1752" s="116"/>
      <c r="I1752" s="116"/>
      <c r="L1752" s="169">
        <v>45075</v>
      </c>
      <c r="M1752" s="116">
        <v>151.98333333333301</v>
      </c>
      <c r="N1752" s="116">
        <v>153.46666666666701</v>
      </c>
      <c r="O1752" s="116">
        <v>150.28333333333299</v>
      </c>
      <c r="P1752" s="116">
        <v>153.19999999999999</v>
      </c>
      <c r="Q1752" s="116">
        <v>455.95</v>
      </c>
      <c r="R1752">
        <v>77169</v>
      </c>
    </row>
    <row r="1753" spans="1:18" x14ac:dyDescent="0.25">
      <c r="A1753" s="169">
        <v>45076</v>
      </c>
      <c r="B1753" s="116">
        <v>153.333333333333</v>
      </c>
      <c r="C1753" s="116">
        <v>152.61666666666699</v>
      </c>
      <c r="D1753" s="116">
        <v>150.75</v>
      </c>
      <c r="E1753" s="116">
        <v>152.35</v>
      </c>
      <c r="F1753" s="116">
        <v>457.85</v>
      </c>
      <c r="G1753">
        <v>4459</v>
      </c>
      <c r="H1753" s="116"/>
      <c r="I1753" s="116"/>
      <c r="L1753" s="169">
        <v>45076</v>
      </c>
      <c r="M1753" s="116">
        <v>152.71666666666701</v>
      </c>
      <c r="N1753" s="116">
        <v>153.61666666666699</v>
      </c>
      <c r="O1753" s="116">
        <v>150.9</v>
      </c>
      <c r="P1753" s="116">
        <v>152.333333333333</v>
      </c>
      <c r="Q1753" s="116">
        <v>458.15</v>
      </c>
      <c r="R1753">
        <v>259174</v>
      </c>
    </row>
    <row r="1754" spans="1:18" x14ac:dyDescent="0.25">
      <c r="A1754" s="169">
        <v>45077</v>
      </c>
      <c r="B1754" s="116">
        <v>154.44999999999999</v>
      </c>
      <c r="C1754" s="116">
        <v>150.48333333333301</v>
      </c>
      <c r="D1754" s="116">
        <v>150</v>
      </c>
      <c r="E1754" s="116">
        <v>150.36666666666699</v>
      </c>
      <c r="F1754" s="116">
        <v>451.45</v>
      </c>
      <c r="G1754">
        <v>17090</v>
      </c>
      <c r="H1754" s="116"/>
      <c r="I1754" s="116"/>
      <c r="L1754" s="169">
        <v>45077</v>
      </c>
      <c r="M1754" s="116">
        <v>150.76666666666699</v>
      </c>
      <c r="N1754" s="116">
        <v>154.65</v>
      </c>
      <c r="O1754" s="116">
        <v>149.333333333333</v>
      </c>
      <c r="P1754" s="116">
        <v>153.48333333333301</v>
      </c>
      <c r="Q1754" s="116">
        <v>452.3</v>
      </c>
      <c r="R1754">
        <v>364198</v>
      </c>
    </row>
    <row r="1755" spans="1:18" x14ac:dyDescent="0.25">
      <c r="A1755" s="169">
        <v>45078</v>
      </c>
      <c r="B1755" s="116">
        <v>153.666666666667</v>
      </c>
      <c r="C1755" s="116">
        <v>151.833333333333</v>
      </c>
      <c r="D1755" s="116">
        <v>149.98333333333301</v>
      </c>
      <c r="E1755" s="116">
        <v>150.76666666666699</v>
      </c>
      <c r="F1755" s="116">
        <v>455.5</v>
      </c>
      <c r="G1755">
        <v>1784</v>
      </c>
      <c r="H1755" s="116"/>
      <c r="I1755" s="116"/>
      <c r="L1755" s="169">
        <v>45078</v>
      </c>
      <c r="M1755" s="116">
        <v>151.98333333333301</v>
      </c>
      <c r="N1755" s="116">
        <v>153.96666666666701</v>
      </c>
      <c r="O1755" s="116">
        <v>150</v>
      </c>
      <c r="P1755" s="116">
        <v>150.666666666667</v>
      </c>
      <c r="Q1755" s="116">
        <v>455.95</v>
      </c>
      <c r="R1755">
        <v>53289</v>
      </c>
    </row>
    <row r="1756" spans="1:18" x14ac:dyDescent="0.25">
      <c r="A1756" s="169">
        <v>45079</v>
      </c>
      <c r="B1756" s="116">
        <v>162.73333333333301</v>
      </c>
      <c r="C1756" s="116">
        <v>161.30000000000001</v>
      </c>
      <c r="D1756" s="116">
        <v>151.333333333333</v>
      </c>
      <c r="E1756" s="116">
        <v>151.98333333333301</v>
      </c>
      <c r="F1756" s="116">
        <v>483.9</v>
      </c>
      <c r="G1756">
        <v>14380</v>
      </c>
      <c r="H1756" s="116"/>
      <c r="I1756" s="116"/>
      <c r="L1756" s="169">
        <v>45079</v>
      </c>
      <c r="M1756" s="116">
        <v>161.25</v>
      </c>
      <c r="N1756" s="116">
        <v>162.88333333333301</v>
      </c>
      <c r="O1756" s="116">
        <v>151.30000000000001</v>
      </c>
      <c r="P1756" s="116">
        <v>152.75</v>
      </c>
      <c r="Q1756" s="116">
        <v>483.75</v>
      </c>
      <c r="R1756">
        <v>423789</v>
      </c>
    </row>
    <row r="1757" spans="1:18" x14ac:dyDescent="0.25">
      <c r="A1757" s="169">
        <v>45082</v>
      </c>
      <c r="B1757" s="116">
        <v>164.333333333333</v>
      </c>
      <c r="C1757" s="116">
        <v>159.85</v>
      </c>
      <c r="D1757" s="116">
        <v>158</v>
      </c>
      <c r="E1757" s="116">
        <v>164.333333333333</v>
      </c>
      <c r="F1757" s="116">
        <v>479.55</v>
      </c>
      <c r="G1757">
        <v>12035</v>
      </c>
      <c r="H1757" s="116"/>
      <c r="I1757" s="116"/>
      <c r="L1757" s="169">
        <v>45082</v>
      </c>
      <c r="M1757" s="116">
        <v>159.78333333333299</v>
      </c>
      <c r="N1757" s="116">
        <v>163.01666666666699</v>
      </c>
      <c r="O1757" s="116">
        <v>157.916666666667</v>
      </c>
      <c r="P1757" s="116">
        <v>163</v>
      </c>
      <c r="Q1757" s="116">
        <v>479.35</v>
      </c>
      <c r="R1757">
        <v>151507</v>
      </c>
    </row>
    <row r="1758" spans="1:18" x14ac:dyDescent="0.25">
      <c r="A1758" s="169">
        <v>45083</v>
      </c>
      <c r="B1758" s="116">
        <v>160.36666666666699</v>
      </c>
      <c r="C1758" s="116">
        <v>158.86666666666699</v>
      </c>
      <c r="D1758" s="116">
        <v>156.933333333333</v>
      </c>
      <c r="E1758" s="116">
        <v>158.683333333333</v>
      </c>
      <c r="F1758" s="116">
        <v>476.6</v>
      </c>
      <c r="G1758">
        <v>15129</v>
      </c>
      <c r="H1758" s="116"/>
      <c r="I1758" s="116"/>
      <c r="L1758" s="169">
        <v>45083</v>
      </c>
      <c r="M1758" s="116">
        <v>159.03333333333299</v>
      </c>
      <c r="N1758" s="116">
        <v>160.5</v>
      </c>
      <c r="O1758" s="116">
        <v>156.88333333333301</v>
      </c>
      <c r="P1758" s="116">
        <v>159.65</v>
      </c>
      <c r="Q1758" s="116">
        <v>477.1</v>
      </c>
      <c r="R1758">
        <v>67681</v>
      </c>
    </row>
    <row r="1759" spans="1:18" x14ac:dyDescent="0.25">
      <c r="A1759" s="169">
        <v>45084</v>
      </c>
      <c r="B1759" s="116">
        <v>160.166666666667</v>
      </c>
      <c r="C1759" s="116">
        <v>158.46666666666701</v>
      </c>
      <c r="D1759" s="116">
        <v>157.683333333333</v>
      </c>
      <c r="E1759" s="116">
        <v>158.683333333333</v>
      </c>
      <c r="F1759" s="116">
        <v>475.4</v>
      </c>
      <c r="G1759">
        <v>4171</v>
      </c>
      <c r="H1759" s="116"/>
      <c r="I1759" s="116"/>
      <c r="L1759" s="169">
        <v>45084</v>
      </c>
      <c r="M1759" s="116">
        <v>158.26666666666699</v>
      </c>
      <c r="N1759" s="116">
        <v>160.26666666666699</v>
      </c>
      <c r="O1759" s="116">
        <v>157.73333333333301</v>
      </c>
      <c r="P1759" s="116">
        <v>159</v>
      </c>
      <c r="Q1759" s="116">
        <v>474.8</v>
      </c>
      <c r="R1759">
        <v>270839</v>
      </c>
    </row>
    <row r="1760" spans="1:18" x14ac:dyDescent="0.25">
      <c r="A1760" s="169">
        <v>45085</v>
      </c>
      <c r="B1760" s="116">
        <v>159.35</v>
      </c>
      <c r="C1760" s="116">
        <v>157.6</v>
      </c>
      <c r="D1760" s="116">
        <v>157.05000000000001</v>
      </c>
      <c r="E1760" s="116">
        <v>159.333333333333</v>
      </c>
      <c r="F1760" s="116">
        <v>472.8</v>
      </c>
      <c r="G1760">
        <v>4304</v>
      </c>
      <c r="H1760" s="116"/>
      <c r="I1760" s="116"/>
      <c r="L1760" s="169">
        <v>45085</v>
      </c>
      <c r="M1760" s="116">
        <v>157.86666666666699</v>
      </c>
      <c r="N1760" s="116">
        <v>160</v>
      </c>
      <c r="O1760" s="116">
        <v>157.13333333333301</v>
      </c>
      <c r="P1760" s="116">
        <v>160</v>
      </c>
      <c r="Q1760" s="116">
        <v>473.6</v>
      </c>
      <c r="R1760">
        <v>41479</v>
      </c>
    </row>
    <row r="1761" spans="1:18" x14ac:dyDescent="0.25">
      <c r="A1761" s="169">
        <v>45086</v>
      </c>
      <c r="B1761" s="116">
        <v>158.19999999999999</v>
      </c>
      <c r="C1761" s="116">
        <v>156.666666666667</v>
      </c>
      <c r="D1761" s="116">
        <v>155.666666666667</v>
      </c>
      <c r="E1761" s="116">
        <v>158.19999999999999</v>
      </c>
      <c r="F1761" s="116">
        <v>470</v>
      </c>
      <c r="G1761">
        <v>1182</v>
      </c>
      <c r="H1761" s="116"/>
      <c r="I1761" s="116"/>
      <c r="L1761" s="169">
        <v>45086</v>
      </c>
      <c r="M1761" s="116">
        <v>156.583333333333</v>
      </c>
      <c r="N1761" s="116">
        <v>158.76666666666699</v>
      </c>
      <c r="O1761" s="116">
        <v>155.666666666667</v>
      </c>
      <c r="P1761" s="116">
        <v>157.4</v>
      </c>
      <c r="Q1761" s="116">
        <v>469.75</v>
      </c>
      <c r="R1761">
        <v>38571</v>
      </c>
    </row>
    <row r="1762" spans="1:18" x14ac:dyDescent="0.25">
      <c r="A1762" s="169">
        <v>45089</v>
      </c>
      <c r="B1762" s="116">
        <v>156.85</v>
      </c>
      <c r="C1762" s="116">
        <v>155.35</v>
      </c>
      <c r="D1762" s="116">
        <v>154.55000000000001</v>
      </c>
      <c r="E1762" s="116">
        <v>156.666666666667</v>
      </c>
      <c r="F1762" s="116">
        <v>466.05</v>
      </c>
      <c r="G1762">
        <v>7885</v>
      </c>
      <c r="H1762" s="116"/>
      <c r="I1762" s="116"/>
      <c r="L1762" s="169">
        <v>45089</v>
      </c>
      <c r="M1762" s="116">
        <v>155.333333333333</v>
      </c>
      <c r="N1762" s="116">
        <v>157.01666666666699</v>
      </c>
      <c r="O1762" s="116">
        <v>154.63333333333301</v>
      </c>
      <c r="P1762" s="116">
        <v>156.98333333333301</v>
      </c>
      <c r="Q1762" s="116">
        <v>466</v>
      </c>
      <c r="R1762">
        <v>37099</v>
      </c>
    </row>
    <row r="1763" spans="1:18" x14ac:dyDescent="0.25">
      <c r="A1763" s="169">
        <v>45090</v>
      </c>
      <c r="B1763" s="116">
        <v>157.25</v>
      </c>
      <c r="C1763" s="116">
        <v>155.583333333333</v>
      </c>
      <c r="D1763" s="116">
        <v>154.683333333333</v>
      </c>
      <c r="E1763" s="116">
        <v>155.88333333333301</v>
      </c>
      <c r="F1763" s="116">
        <v>466.75</v>
      </c>
      <c r="G1763">
        <v>4768</v>
      </c>
      <c r="H1763" s="116"/>
      <c r="I1763" s="116"/>
      <c r="L1763" s="169">
        <v>45090</v>
      </c>
      <c r="M1763" s="116">
        <v>155.38333333333301</v>
      </c>
      <c r="N1763" s="116">
        <v>157.183333333333</v>
      </c>
      <c r="O1763" s="116">
        <v>154.666666666667</v>
      </c>
      <c r="P1763" s="116">
        <v>155.333333333333</v>
      </c>
      <c r="Q1763" s="116">
        <v>466.15</v>
      </c>
      <c r="R1763">
        <v>35906</v>
      </c>
    </row>
    <row r="1764" spans="1:18" x14ac:dyDescent="0.25">
      <c r="A1764" s="169">
        <v>45091</v>
      </c>
      <c r="B1764" s="116">
        <v>157</v>
      </c>
      <c r="C1764" s="116">
        <v>156.23333333333301</v>
      </c>
      <c r="D1764" s="116">
        <v>154.46666666666701</v>
      </c>
      <c r="E1764" s="116">
        <v>156.666666666667</v>
      </c>
      <c r="F1764" s="116">
        <v>468.7</v>
      </c>
      <c r="G1764">
        <v>6645</v>
      </c>
      <c r="H1764" s="116"/>
      <c r="I1764" s="116"/>
      <c r="L1764" s="169">
        <v>45091</v>
      </c>
      <c r="M1764" s="116">
        <v>156.38333333333301</v>
      </c>
      <c r="N1764" s="116">
        <v>157.13333333333301</v>
      </c>
      <c r="O1764" s="116">
        <v>154.46666666666701</v>
      </c>
      <c r="P1764" s="116">
        <v>156.316666666667</v>
      </c>
      <c r="Q1764" s="116">
        <v>469.15</v>
      </c>
      <c r="R1764">
        <v>31918</v>
      </c>
    </row>
    <row r="1765" spans="1:18" x14ac:dyDescent="0.25">
      <c r="A1765" s="169">
        <v>45092</v>
      </c>
      <c r="B1765" s="116">
        <v>158.53333333333299</v>
      </c>
      <c r="C1765" s="116">
        <v>155.916666666667</v>
      </c>
      <c r="D1765" s="116">
        <v>155.083333333333</v>
      </c>
      <c r="E1765" s="116">
        <v>156</v>
      </c>
      <c r="F1765" s="116">
        <v>467.75</v>
      </c>
      <c r="G1765">
        <v>3490</v>
      </c>
      <c r="H1765" s="116"/>
      <c r="I1765" s="116"/>
      <c r="L1765" s="169">
        <v>45092</v>
      </c>
      <c r="M1765" s="116">
        <v>156.19999999999999</v>
      </c>
      <c r="N1765" s="116">
        <v>158.816666666667</v>
      </c>
      <c r="O1765" s="116">
        <v>153.666666666667</v>
      </c>
      <c r="P1765" s="116">
        <v>153.666666666667</v>
      </c>
      <c r="Q1765" s="116">
        <v>468.6</v>
      </c>
      <c r="R1765">
        <v>51284</v>
      </c>
    </row>
    <row r="1766" spans="1:18" x14ac:dyDescent="0.25">
      <c r="A1766" s="169">
        <v>45093</v>
      </c>
      <c r="B1766" s="116">
        <v>162.78333333333299</v>
      </c>
      <c r="C1766" s="116">
        <v>159.75</v>
      </c>
      <c r="D1766" s="116">
        <v>155.933333333333</v>
      </c>
      <c r="E1766" s="116">
        <v>156.333333333333</v>
      </c>
      <c r="F1766" s="116">
        <v>479.25</v>
      </c>
      <c r="G1766">
        <v>5716</v>
      </c>
      <c r="H1766" s="116"/>
      <c r="I1766" s="116"/>
      <c r="L1766" s="169">
        <v>45093</v>
      </c>
      <c r="M1766" s="116">
        <v>159.38333333333301</v>
      </c>
      <c r="N1766" s="116">
        <v>162.916666666667</v>
      </c>
      <c r="O1766" s="116">
        <v>155.666666666667</v>
      </c>
      <c r="P1766" s="116">
        <v>156.98333333333301</v>
      </c>
      <c r="Q1766" s="116">
        <v>478.15</v>
      </c>
      <c r="R1766">
        <v>192286</v>
      </c>
    </row>
    <row r="1767" spans="1:18" x14ac:dyDescent="0.25">
      <c r="A1767" s="169">
        <v>45096</v>
      </c>
      <c r="B1767" s="116">
        <v>162.65</v>
      </c>
      <c r="C1767" s="116">
        <v>159.23333333333301</v>
      </c>
      <c r="D1767" s="116">
        <v>158</v>
      </c>
      <c r="E1767" s="116">
        <v>162.65</v>
      </c>
      <c r="F1767" s="116">
        <v>477.7</v>
      </c>
      <c r="G1767">
        <v>13449</v>
      </c>
      <c r="H1767" s="116"/>
      <c r="I1767" s="116"/>
      <c r="L1767" s="169">
        <v>45096</v>
      </c>
      <c r="M1767" s="116">
        <v>159.21666666666701</v>
      </c>
      <c r="N1767" s="116">
        <v>161</v>
      </c>
      <c r="O1767" s="116">
        <v>158.03333333333299</v>
      </c>
      <c r="P1767" s="116">
        <v>161</v>
      </c>
      <c r="Q1767" s="116">
        <v>477.65</v>
      </c>
      <c r="R1767">
        <v>70893</v>
      </c>
    </row>
    <row r="1768" spans="1:18" x14ac:dyDescent="0.25">
      <c r="A1768" s="169">
        <v>45097</v>
      </c>
      <c r="B1768" s="116">
        <v>171.95</v>
      </c>
      <c r="C1768" s="116">
        <v>170.316666666667</v>
      </c>
      <c r="D1768" s="116">
        <v>158.333333333333</v>
      </c>
      <c r="E1768" s="116">
        <v>159.166666666667</v>
      </c>
      <c r="F1768" s="116">
        <v>510.95</v>
      </c>
      <c r="G1768">
        <v>3196284</v>
      </c>
      <c r="H1768" s="116"/>
      <c r="I1768" s="116"/>
      <c r="L1768" s="169">
        <v>45097</v>
      </c>
      <c r="M1768" s="116">
        <v>170.13333333333301</v>
      </c>
      <c r="N1768" s="116">
        <v>171.933333333333</v>
      </c>
      <c r="O1768" s="116">
        <v>158.333333333333</v>
      </c>
      <c r="P1768" s="116">
        <v>160</v>
      </c>
      <c r="Q1768" s="116">
        <v>510.4</v>
      </c>
      <c r="R1768">
        <v>1490446</v>
      </c>
    </row>
    <row r="1769" spans="1:18" x14ac:dyDescent="0.25">
      <c r="A1769" s="169">
        <v>45098</v>
      </c>
      <c r="B1769" s="116">
        <v>178.65</v>
      </c>
      <c r="C1769" s="116">
        <v>175.78333333333299</v>
      </c>
      <c r="D1769" s="116">
        <v>171.98333333333301</v>
      </c>
      <c r="E1769" s="116">
        <v>172.01666666666699</v>
      </c>
      <c r="F1769" s="116">
        <v>527.35</v>
      </c>
      <c r="G1769">
        <v>172992</v>
      </c>
      <c r="H1769" s="116"/>
      <c r="I1769" s="116"/>
      <c r="L1769" s="169">
        <v>45098</v>
      </c>
      <c r="M1769" s="116">
        <v>176.11666666666699</v>
      </c>
      <c r="N1769" s="116">
        <v>178.666666666667</v>
      </c>
      <c r="O1769" s="116">
        <v>171.666666666667</v>
      </c>
      <c r="P1769" s="116">
        <v>172.3</v>
      </c>
      <c r="Q1769" s="116">
        <v>528.35</v>
      </c>
      <c r="R1769">
        <v>1431703</v>
      </c>
    </row>
    <row r="1770" spans="1:18" x14ac:dyDescent="0.25">
      <c r="A1770" s="169">
        <v>45099</v>
      </c>
      <c r="B1770" s="116">
        <v>178.63333333333301</v>
      </c>
      <c r="C1770" s="116">
        <v>173.85</v>
      </c>
      <c r="D1770" s="116">
        <v>171.28333333333299</v>
      </c>
      <c r="E1770" s="116">
        <v>177.333333333333</v>
      </c>
      <c r="F1770" s="116">
        <v>521.54999999999995</v>
      </c>
      <c r="G1770">
        <v>19299</v>
      </c>
      <c r="H1770" s="116"/>
      <c r="I1770" s="116"/>
      <c r="L1770" s="169">
        <v>45099</v>
      </c>
      <c r="M1770" s="116">
        <v>173.73333333333301</v>
      </c>
      <c r="N1770" s="116">
        <v>178.9</v>
      </c>
      <c r="O1770" s="116">
        <v>171.45</v>
      </c>
      <c r="P1770" s="116">
        <v>177</v>
      </c>
      <c r="Q1770" s="116">
        <v>521.20000000000005</v>
      </c>
      <c r="R1770">
        <v>284246</v>
      </c>
    </row>
    <row r="1771" spans="1:18" x14ac:dyDescent="0.25">
      <c r="A1771" s="169">
        <v>45100</v>
      </c>
      <c r="B1771" s="116">
        <v>173.55</v>
      </c>
      <c r="C1771" s="116">
        <v>164.3</v>
      </c>
      <c r="D1771" s="116">
        <v>162.666666666667</v>
      </c>
      <c r="E1771" s="116">
        <v>171.666666666667</v>
      </c>
      <c r="F1771" s="116">
        <v>492.9</v>
      </c>
      <c r="G1771">
        <v>32186</v>
      </c>
      <c r="H1771" s="116"/>
      <c r="I1771" s="116"/>
      <c r="L1771" s="169">
        <v>45100</v>
      </c>
      <c r="M1771" s="116">
        <v>163.916666666667</v>
      </c>
      <c r="N1771" s="116">
        <v>173.9</v>
      </c>
      <c r="O1771" s="116">
        <v>162.566666666667</v>
      </c>
      <c r="P1771" s="116">
        <v>172.666666666667</v>
      </c>
      <c r="Q1771" s="116">
        <v>491.75</v>
      </c>
      <c r="R1771">
        <v>283086</v>
      </c>
    </row>
    <row r="1772" spans="1:18" x14ac:dyDescent="0.25">
      <c r="A1772" s="169">
        <v>45103</v>
      </c>
      <c r="B1772" s="116">
        <v>170.03333333333299</v>
      </c>
      <c r="C1772" s="116">
        <v>166.53333333333299</v>
      </c>
      <c r="D1772" s="116">
        <v>162.683333333333</v>
      </c>
      <c r="E1772" s="116">
        <v>162.683333333333</v>
      </c>
      <c r="F1772" s="116">
        <v>499.6</v>
      </c>
      <c r="G1772">
        <v>18775</v>
      </c>
      <c r="H1772" s="116"/>
      <c r="I1772" s="116"/>
      <c r="L1772" s="169">
        <v>45103</v>
      </c>
      <c r="M1772" s="116">
        <v>166.55</v>
      </c>
      <c r="N1772" s="116">
        <v>170</v>
      </c>
      <c r="O1772" s="116">
        <v>163.333333333333</v>
      </c>
      <c r="P1772" s="116">
        <v>163.333333333333</v>
      </c>
      <c r="Q1772" s="116">
        <v>499.65</v>
      </c>
      <c r="R1772">
        <v>309033</v>
      </c>
    </row>
    <row r="1773" spans="1:18" x14ac:dyDescent="0.25">
      <c r="A1773" s="169">
        <v>45104</v>
      </c>
      <c r="B1773" s="116">
        <v>177.98333333333301</v>
      </c>
      <c r="C1773" s="116">
        <v>172.25</v>
      </c>
      <c r="D1773" s="116">
        <v>169.23333333333301</v>
      </c>
      <c r="E1773" s="116">
        <v>171.3</v>
      </c>
      <c r="F1773" s="116">
        <v>516.75</v>
      </c>
      <c r="G1773">
        <v>35287</v>
      </c>
      <c r="H1773" s="116"/>
      <c r="I1773" s="116"/>
      <c r="L1773" s="169">
        <v>45104</v>
      </c>
      <c r="M1773" s="116">
        <v>171.76666666666699</v>
      </c>
      <c r="N1773" s="116">
        <v>178.13333333333301</v>
      </c>
      <c r="O1773" s="116">
        <v>169.03333333333299</v>
      </c>
      <c r="P1773" s="116">
        <v>169.05</v>
      </c>
      <c r="Q1773" s="116">
        <v>515.29999999999995</v>
      </c>
      <c r="R1773">
        <v>1306827</v>
      </c>
    </row>
    <row r="1774" spans="1:18" x14ac:dyDescent="0.25">
      <c r="A1774" s="169">
        <v>45105</v>
      </c>
      <c r="B1774" s="116">
        <v>176.53333333333299</v>
      </c>
      <c r="C1774" s="116">
        <v>174.01666666666699</v>
      </c>
      <c r="D1774" s="116">
        <v>170.36666666666699</v>
      </c>
      <c r="E1774" s="116">
        <v>172.333333333333</v>
      </c>
      <c r="F1774" s="116">
        <v>522.04999999999995</v>
      </c>
      <c r="G1774">
        <v>19629</v>
      </c>
      <c r="H1774" s="116"/>
      <c r="I1774" s="116"/>
      <c r="L1774" s="169">
        <v>45105</v>
      </c>
      <c r="M1774" s="116">
        <v>173.95</v>
      </c>
      <c r="N1774" s="116">
        <v>176.6</v>
      </c>
      <c r="O1774" s="116">
        <v>170.45</v>
      </c>
      <c r="P1774" s="116">
        <v>172.6</v>
      </c>
      <c r="Q1774" s="116">
        <v>521.85</v>
      </c>
      <c r="R1774">
        <v>297953</v>
      </c>
    </row>
    <row r="1775" spans="1:18" x14ac:dyDescent="0.25">
      <c r="A1775" s="169">
        <v>45107</v>
      </c>
      <c r="B1775" s="116">
        <v>178</v>
      </c>
      <c r="C1775" s="116">
        <v>172.63333333333301</v>
      </c>
      <c r="D1775" s="116">
        <v>170.583333333333</v>
      </c>
      <c r="E1775" s="116">
        <v>173.35</v>
      </c>
      <c r="F1775" s="116">
        <v>517.9</v>
      </c>
      <c r="G1775">
        <v>20713</v>
      </c>
      <c r="H1775" s="116"/>
      <c r="I1775" s="116"/>
      <c r="L1775" s="169">
        <v>45107</v>
      </c>
      <c r="M1775" s="116">
        <v>172.65</v>
      </c>
      <c r="N1775" s="116">
        <v>178</v>
      </c>
      <c r="O1775" s="116">
        <v>171.73333333333301</v>
      </c>
      <c r="P1775" s="116">
        <v>173.95</v>
      </c>
      <c r="Q1775" s="116">
        <v>517.95000000000005</v>
      </c>
      <c r="R1775">
        <v>347293</v>
      </c>
    </row>
    <row r="1776" spans="1:18" x14ac:dyDescent="0.25">
      <c r="A1776" s="169">
        <v>45110</v>
      </c>
      <c r="B1776" s="116">
        <v>175.683333333333</v>
      </c>
      <c r="C1776" s="116">
        <v>173.75</v>
      </c>
      <c r="D1776" s="116">
        <v>172.7</v>
      </c>
      <c r="E1776" s="116">
        <v>173.316666666667</v>
      </c>
      <c r="F1776" s="116">
        <v>521.25</v>
      </c>
      <c r="G1776">
        <v>5640</v>
      </c>
      <c r="H1776" s="116"/>
      <c r="I1776" s="116"/>
      <c r="L1776" s="169">
        <v>45110</v>
      </c>
      <c r="M1776" s="116">
        <v>174.3</v>
      </c>
      <c r="N1776" s="116">
        <v>176.46666666666701</v>
      </c>
      <c r="O1776" s="116">
        <v>172.35</v>
      </c>
      <c r="P1776" s="116">
        <v>172.65</v>
      </c>
      <c r="Q1776" s="116">
        <v>522.9</v>
      </c>
      <c r="R1776">
        <v>184396</v>
      </c>
    </row>
    <row r="1777" spans="1:18" x14ac:dyDescent="0.25">
      <c r="A1777" s="169">
        <v>45111</v>
      </c>
      <c r="B1777" s="116">
        <v>175.8</v>
      </c>
      <c r="C1777" s="116">
        <v>173.2</v>
      </c>
      <c r="D1777" s="116">
        <v>170.816666666667</v>
      </c>
      <c r="E1777" s="116">
        <v>170.816666666667</v>
      </c>
      <c r="F1777" s="116">
        <v>519.6</v>
      </c>
      <c r="G1777">
        <v>5063</v>
      </c>
      <c r="H1777" s="116"/>
      <c r="I1777" s="116"/>
      <c r="L1777" s="169">
        <v>45111</v>
      </c>
      <c r="M1777" s="116">
        <v>174.03333333333299</v>
      </c>
      <c r="N1777" s="116">
        <v>175.666666666667</v>
      </c>
      <c r="O1777" s="116">
        <v>172.333333333333</v>
      </c>
      <c r="P1777" s="116">
        <v>174.166666666667</v>
      </c>
      <c r="Q1777" s="116">
        <v>522.1</v>
      </c>
      <c r="R1777">
        <v>93765</v>
      </c>
    </row>
    <row r="1778" spans="1:18" x14ac:dyDescent="0.25">
      <c r="A1778" s="169">
        <v>45112</v>
      </c>
      <c r="B1778" s="116">
        <v>183.666666666667</v>
      </c>
      <c r="C1778" s="116">
        <v>177.333333333333</v>
      </c>
      <c r="D1778" s="116">
        <v>173.2</v>
      </c>
      <c r="E1778" s="116">
        <v>173.2</v>
      </c>
      <c r="F1778" s="116">
        <v>532</v>
      </c>
      <c r="G1778">
        <v>35345</v>
      </c>
      <c r="H1778" s="116"/>
      <c r="I1778" s="116"/>
      <c r="L1778" s="169">
        <v>45112</v>
      </c>
      <c r="M1778" s="116">
        <v>177.51666666666699</v>
      </c>
      <c r="N1778" s="116">
        <v>183.666666666667</v>
      </c>
      <c r="O1778" s="116">
        <v>172.666666666667</v>
      </c>
      <c r="P1778" s="116">
        <v>174</v>
      </c>
      <c r="Q1778" s="116">
        <v>532.54999999999995</v>
      </c>
      <c r="R1778">
        <v>862879</v>
      </c>
    </row>
    <row r="1779" spans="1:18" x14ac:dyDescent="0.25">
      <c r="A1779" s="169">
        <v>45113</v>
      </c>
      <c r="B1779" s="116">
        <v>182.566666666667</v>
      </c>
      <c r="C1779" s="116">
        <v>180.833333333333</v>
      </c>
      <c r="D1779" s="116">
        <v>177.666666666667</v>
      </c>
      <c r="E1779" s="116">
        <v>180</v>
      </c>
      <c r="F1779" s="116">
        <v>542.5</v>
      </c>
      <c r="G1779">
        <v>19853</v>
      </c>
      <c r="H1779" s="116"/>
      <c r="I1779" s="116"/>
      <c r="L1779" s="169">
        <v>45113</v>
      </c>
      <c r="M1779" s="116">
        <v>180.96666666666701</v>
      </c>
      <c r="N1779" s="116">
        <v>182.666666666667</v>
      </c>
      <c r="O1779" s="116">
        <v>178.316666666667</v>
      </c>
      <c r="P1779" s="116">
        <v>178.35</v>
      </c>
      <c r="Q1779" s="116">
        <v>542.9</v>
      </c>
      <c r="R1779">
        <v>283508</v>
      </c>
    </row>
    <row r="1780" spans="1:18" x14ac:dyDescent="0.25">
      <c r="A1780" s="169">
        <v>45114</v>
      </c>
      <c r="B1780" s="116">
        <v>182.333333333333</v>
      </c>
      <c r="C1780" s="116">
        <v>178.083333333333</v>
      </c>
      <c r="D1780" s="116">
        <v>176.35</v>
      </c>
      <c r="E1780" s="116">
        <v>180.666666666667</v>
      </c>
      <c r="F1780" s="116">
        <v>534.25</v>
      </c>
      <c r="G1780">
        <v>7553</v>
      </c>
      <c r="H1780" s="116"/>
      <c r="I1780" s="116"/>
      <c r="L1780" s="169">
        <v>45114</v>
      </c>
      <c r="M1780" s="116">
        <v>177.63333333333301</v>
      </c>
      <c r="N1780" s="116">
        <v>182.8</v>
      </c>
      <c r="O1780" s="116">
        <v>176.46666666666701</v>
      </c>
      <c r="P1780" s="116">
        <v>180.833333333333</v>
      </c>
      <c r="Q1780" s="116">
        <v>532.9</v>
      </c>
      <c r="R1780">
        <v>131375</v>
      </c>
    </row>
    <row r="1781" spans="1:18" x14ac:dyDescent="0.25">
      <c r="A1781" s="169">
        <v>45117</v>
      </c>
      <c r="B1781" s="116">
        <v>180.55</v>
      </c>
      <c r="C1781" s="116">
        <v>175.95</v>
      </c>
      <c r="D1781" s="116">
        <v>175</v>
      </c>
      <c r="E1781" s="116">
        <v>175.2</v>
      </c>
      <c r="F1781" s="116">
        <v>527.85</v>
      </c>
      <c r="G1781">
        <v>10408</v>
      </c>
      <c r="H1781" s="116"/>
      <c r="I1781" s="116"/>
      <c r="L1781" s="169">
        <v>45117</v>
      </c>
      <c r="M1781" s="116">
        <v>176.05</v>
      </c>
      <c r="N1781" s="116">
        <v>180.833333333333</v>
      </c>
      <c r="O1781" s="116">
        <v>175</v>
      </c>
      <c r="P1781" s="116">
        <v>177.63333333333301</v>
      </c>
      <c r="Q1781" s="116">
        <v>528.15</v>
      </c>
      <c r="R1781">
        <v>86883</v>
      </c>
    </row>
    <row r="1782" spans="1:18" x14ac:dyDescent="0.25">
      <c r="A1782" s="169">
        <v>45118</v>
      </c>
      <c r="B1782" s="116">
        <v>180.566666666667</v>
      </c>
      <c r="C1782" s="116">
        <v>176.833333333333</v>
      </c>
      <c r="D1782" s="116">
        <v>175.7</v>
      </c>
      <c r="E1782" s="116">
        <v>176.666666666667</v>
      </c>
      <c r="F1782" s="116">
        <v>530.5</v>
      </c>
      <c r="G1782">
        <v>1640</v>
      </c>
      <c r="H1782" s="116"/>
      <c r="I1782" s="116"/>
      <c r="L1782" s="169">
        <v>45118</v>
      </c>
      <c r="M1782" s="116">
        <v>176.6</v>
      </c>
      <c r="N1782" s="116">
        <v>181</v>
      </c>
      <c r="O1782" s="116">
        <v>175.7</v>
      </c>
      <c r="P1782" s="116">
        <v>176.5</v>
      </c>
      <c r="Q1782" s="116">
        <v>529.79999999999995</v>
      </c>
      <c r="R1782">
        <v>78377</v>
      </c>
    </row>
    <row r="1783" spans="1:18" x14ac:dyDescent="0.25">
      <c r="A1783" s="169">
        <v>45119</v>
      </c>
      <c r="B1783" s="116">
        <v>179.333333333333</v>
      </c>
      <c r="C1783" s="116">
        <v>176.23333333333301</v>
      </c>
      <c r="D1783" s="116">
        <v>174.583333333333</v>
      </c>
      <c r="E1783" s="116">
        <v>177.51666666666699</v>
      </c>
      <c r="F1783" s="116">
        <v>528.70000000000005</v>
      </c>
      <c r="G1783">
        <v>10363</v>
      </c>
      <c r="H1783" s="116"/>
      <c r="I1783" s="116"/>
      <c r="L1783" s="169">
        <v>45119</v>
      </c>
      <c r="M1783" s="116">
        <v>176.1</v>
      </c>
      <c r="N1783" s="116">
        <v>179.666666666667</v>
      </c>
      <c r="O1783" s="116">
        <v>175.166666666667</v>
      </c>
      <c r="P1783" s="116">
        <v>177.88333333333301</v>
      </c>
      <c r="Q1783" s="116">
        <v>528.29999999999995</v>
      </c>
      <c r="R1783">
        <v>67328</v>
      </c>
    </row>
    <row r="1784" spans="1:18" x14ac:dyDescent="0.25">
      <c r="A1784" s="169">
        <v>45120</v>
      </c>
      <c r="B1784" s="116">
        <v>178.316666666667</v>
      </c>
      <c r="C1784" s="116">
        <v>173.36666666666699</v>
      </c>
      <c r="D1784" s="116">
        <v>172.96666666666701</v>
      </c>
      <c r="E1784" s="116">
        <v>176.333333333333</v>
      </c>
      <c r="F1784" s="116">
        <v>520.1</v>
      </c>
      <c r="G1784">
        <v>9541</v>
      </c>
      <c r="H1784" s="116"/>
      <c r="I1784" s="116"/>
      <c r="L1784" s="169">
        <v>45120</v>
      </c>
      <c r="M1784" s="116">
        <v>173.35</v>
      </c>
      <c r="N1784" s="116">
        <v>178.3</v>
      </c>
      <c r="O1784" s="116">
        <v>173.01666666666699</v>
      </c>
      <c r="P1784" s="116">
        <v>176.666666666667</v>
      </c>
      <c r="Q1784" s="116">
        <v>520.04999999999995</v>
      </c>
      <c r="R1784">
        <v>60306</v>
      </c>
    </row>
    <row r="1785" spans="1:18" x14ac:dyDescent="0.25">
      <c r="A1785" s="169">
        <v>45121</v>
      </c>
      <c r="B1785" s="116">
        <v>182.666666666667</v>
      </c>
      <c r="C1785" s="116">
        <v>181.6</v>
      </c>
      <c r="D1785" s="116">
        <v>172.65</v>
      </c>
      <c r="E1785" s="116">
        <v>174.15</v>
      </c>
      <c r="F1785" s="116">
        <v>544.79999999999995</v>
      </c>
      <c r="G1785">
        <v>17696</v>
      </c>
      <c r="H1785" s="116"/>
      <c r="I1785" s="116"/>
      <c r="L1785" s="169">
        <v>45121</v>
      </c>
      <c r="M1785" s="116">
        <v>181.7</v>
      </c>
      <c r="N1785" s="116">
        <v>182.6</v>
      </c>
      <c r="O1785" s="116">
        <v>172.666666666667</v>
      </c>
      <c r="P1785" s="116">
        <v>174.48333333333301</v>
      </c>
      <c r="Q1785" s="116">
        <v>545.1</v>
      </c>
      <c r="R1785">
        <v>238454</v>
      </c>
    </row>
    <row r="1786" spans="1:18" x14ac:dyDescent="0.25">
      <c r="A1786" s="169">
        <v>45124</v>
      </c>
      <c r="B1786" s="116">
        <v>187.96666666666701</v>
      </c>
      <c r="C1786" s="116">
        <v>185.48333333333301</v>
      </c>
      <c r="D1786" s="116">
        <v>181.11666666666699</v>
      </c>
      <c r="E1786" s="116">
        <v>183.15</v>
      </c>
      <c r="F1786" s="116">
        <v>556.45000000000005</v>
      </c>
      <c r="G1786">
        <v>9243</v>
      </c>
      <c r="H1786" s="116"/>
      <c r="I1786" s="116"/>
      <c r="L1786" s="169">
        <v>45124</v>
      </c>
      <c r="M1786" s="116">
        <v>185.61666666666699</v>
      </c>
      <c r="N1786" s="116">
        <v>187.96666666666701</v>
      </c>
      <c r="O1786" s="116">
        <v>181.11666666666699</v>
      </c>
      <c r="P1786" s="116">
        <v>181.65</v>
      </c>
      <c r="Q1786" s="116">
        <v>556.85</v>
      </c>
      <c r="R1786">
        <v>235343</v>
      </c>
    </row>
    <row r="1787" spans="1:18" x14ac:dyDescent="0.25">
      <c r="A1787" s="169">
        <v>45125</v>
      </c>
      <c r="B1787" s="116">
        <v>203.35</v>
      </c>
      <c r="C1787" s="116">
        <v>193.98333333333301</v>
      </c>
      <c r="D1787" s="116">
        <v>187.9</v>
      </c>
      <c r="E1787" s="116">
        <v>188.21666666666701</v>
      </c>
      <c r="F1787" s="116">
        <v>581.95000000000005</v>
      </c>
      <c r="G1787">
        <v>46282</v>
      </c>
      <c r="H1787" s="116"/>
      <c r="I1787" s="116"/>
      <c r="L1787" s="169">
        <v>45125</v>
      </c>
      <c r="M1787" s="116">
        <v>193.98333333333301</v>
      </c>
      <c r="N1787" s="116">
        <v>203.166666666667</v>
      </c>
      <c r="O1787" s="116">
        <v>186.666666666667</v>
      </c>
      <c r="P1787" s="116">
        <v>186.666666666667</v>
      </c>
      <c r="Q1787" s="116">
        <v>581.95000000000005</v>
      </c>
      <c r="R1787">
        <v>1354462</v>
      </c>
    </row>
    <row r="1788" spans="1:18" x14ac:dyDescent="0.25">
      <c r="A1788" s="169">
        <v>45126</v>
      </c>
      <c r="B1788" s="116">
        <v>201.333333333333</v>
      </c>
      <c r="C1788" s="116">
        <v>196.55</v>
      </c>
      <c r="D1788" s="116">
        <v>194.26666666666699</v>
      </c>
      <c r="E1788" s="116">
        <v>195</v>
      </c>
      <c r="F1788" s="116">
        <v>589.65</v>
      </c>
      <c r="G1788">
        <v>26185</v>
      </c>
      <c r="H1788" s="116"/>
      <c r="I1788" s="116"/>
      <c r="L1788" s="169">
        <v>45126</v>
      </c>
      <c r="M1788" s="116">
        <v>196.53333333333299</v>
      </c>
      <c r="N1788" s="116">
        <v>201.4</v>
      </c>
      <c r="O1788" s="116">
        <v>194.416666666667</v>
      </c>
      <c r="P1788" s="116">
        <v>194.833333333333</v>
      </c>
      <c r="Q1788" s="116">
        <v>589.6</v>
      </c>
      <c r="R1788">
        <v>253865</v>
      </c>
    </row>
    <row r="1789" spans="1:18" x14ac:dyDescent="0.25">
      <c r="A1789" s="169">
        <v>45127</v>
      </c>
      <c r="B1789" s="116">
        <v>197.666666666667</v>
      </c>
      <c r="C1789" s="116">
        <v>190.8</v>
      </c>
      <c r="D1789" s="116">
        <v>188.583333333333</v>
      </c>
      <c r="E1789" s="116">
        <v>196.683333333333</v>
      </c>
      <c r="F1789" s="116">
        <v>572.4</v>
      </c>
      <c r="G1789">
        <v>20745</v>
      </c>
      <c r="H1789" s="116"/>
      <c r="I1789" s="116"/>
      <c r="L1789" s="169">
        <v>45127</v>
      </c>
      <c r="M1789" s="116">
        <v>190.2</v>
      </c>
      <c r="N1789" s="116">
        <v>197.48333333333301</v>
      </c>
      <c r="O1789" s="116">
        <v>188.5</v>
      </c>
      <c r="P1789" s="116">
        <v>197.48333333333301</v>
      </c>
      <c r="Q1789" s="116">
        <v>570.6</v>
      </c>
      <c r="R1789">
        <v>117567</v>
      </c>
    </row>
    <row r="1790" spans="1:18" x14ac:dyDescent="0.25">
      <c r="A1790" s="169">
        <v>45128</v>
      </c>
      <c r="B1790" s="116">
        <v>195.666666666667</v>
      </c>
      <c r="C1790" s="116">
        <v>193.63333333333301</v>
      </c>
      <c r="D1790" s="116">
        <v>188.333333333333</v>
      </c>
      <c r="E1790" s="116">
        <v>189.666666666667</v>
      </c>
      <c r="F1790" s="116">
        <v>580.9</v>
      </c>
      <c r="G1790">
        <v>15365</v>
      </c>
      <c r="H1790" s="116"/>
      <c r="I1790" s="116"/>
      <c r="L1790" s="169">
        <v>45128</v>
      </c>
      <c r="M1790" s="116">
        <v>193.73333333333301</v>
      </c>
      <c r="N1790" s="116">
        <v>195.98333333333301</v>
      </c>
      <c r="O1790" s="116">
        <v>188.7</v>
      </c>
      <c r="P1790" s="116">
        <v>189.666666666667</v>
      </c>
      <c r="Q1790" s="116">
        <v>581.20000000000005</v>
      </c>
      <c r="R1790">
        <v>134263</v>
      </c>
    </row>
    <row r="1791" spans="1:18" x14ac:dyDescent="0.25">
      <c r="A1791" s="169">
        <v>45131</v>
      </c>
      <c r="B1791" s="116">
        <v>198.05</v>
      </c>
      <c r="C1791" s="116">
        <v>194.48333333333301</v>
      </c>
      <c r="D1791" s="116">
        <v>193.73333333333301</v>
      </c>
      <c r="E1791" s="116">
        <v>194.333333333333</v>
      </c>
      <c r="F1791" s="116">
        <v>583.45000000000005</v>
      </c>
      <c r="G1791">
        <v>3381</v>
      </c>
      <c r="H1791" s="116"/>
      <c r="I1791" s="116"/>
      <c r="L1791" s="169">
        <v>45131</v>
      </c>
      <c r="M1791" s="116">
        <v>194.566666666667</v>
      </c>
      <c r="N1791" s="116">
        <v>198.066666666667</v>
      </c>
      <c r="O1791" s="116">
        <v>193.7</v>
      </c>
      <c r="P1791" s="116">
        <v>193.7</v>
      </c>
      <c r="Q1791" s="116">
        <v>583.70000000000005</v>
      </c>
      <c r="R1791">
        <v>79381</v>
      </c>
    </row>
    <row r="1792" spans="1:18" x14ac:dyDescent="0.25">
      <c r="A1792" s="169">
        <v>45132</v>
      </c>
      <c r="B1792" s="116">
        <v>197.666666666667</v>
      </c>
      <c r="C1792" s="116">
        <v>195.98333333333301</v>
      </c>
      <c r="D1792" s="116">
        <v>181.25</v>
      </c>
      <c r="E1792" s="116">
        <v>181.25</v>
      </c>
      <c r="F1792" s="116">
        <v>587.95000000000005</v>
      </c>
      <c r="G1792">
        <v>2121</v>
      </c>
      <c r="H1792" s="116"/>
      <c r="I1792" s="116"/>
      <c r="L1792" s="169">
        <v>45132</v>
      </c>
      <c r="M1792" s="116">
        <v>195.683333333333</v>
      </c>
      <c r="N1792" s="116">
        <v>197.85</v>
      </c>
      <c r="O1792" s="116">
        <v>194.333333333333</v>
      </c>
      <c r="P1792" s="116">
        <v>195.666666666667</v>
      </c>
      <c r="Q1792" s="116">
        <v>587.04999999999995</v>
      </c>
      <c r="R1792">
        <v>63448</v>
      </c>
    </row>
    <row r="1793" spans="1:18" x14ac:dyDescent="0.25">
      <c r="A1793" s="169">
        <v>45133</v>
      </c>
      <c r="B1793" s="116">
        <v>197.083333333333</v>
      </c>
      <c r="C1793" s="116">
        <v>194.816666666667</v>
      </c>
      <c r="D1793" s="116">
        <v>194</v>
      </c>
      <c r="E1793" s="116">
        <v>195.55</v>
      </c>
      <c r="F1793" s="116">
        <v>584.45000000000005</v>
      </c>
      <c r="G1793">
        <v>7769</v>
      </c>
      <c r="H1793" s="116"/>
      <c r="I1793" s="116"/>
      <c r="L1793" s="169">
        <v>45133</v>
      </c>
      <c r="M1793" s="116">
        <v>194.95</v>
      </c>
      <c r="N1793" s="116">
        <v>197.15</v>
      </c>
      <c r="O1793" s="116">
        <v>193.51666666666699</v>
      </c>
      <c r="P1793" s="116">
        <v>197.15</v>
      </c>
      <c r="Q1793" s="116">
        <v>584.85</v>
      </c>
      <c r="R1793">
        <v>57977</v>
      </c>
    </row>
    <row r="1794" spans="1:18" x14ac:dyDescent="0.25">
      <c r="A1794" s="169">
        <v>45134</v>
      </c>
      <c r="B1794" s="116">
        <v>196.583333333333</v>
      </c>
      <c r="C1794" s="116">
        <v>196.083333333333</v>
      </c>
      <c r="D1794" s="116">
        <v>191.683333333333</v>
      </c>
      <c r="E1794" s="116">
        <v>191.683333333333</v>
      </c>
      <c r="F1794" s="116">
        <v>588.25</v>
      </c>
      <c r="G1794">
        <v>3662</v>
      </c>
      <c r="H1794" s="116"/>
      <c r="I1794" s="116"/>
      <c r="L1794" s="169">
        <v>45134</v>
      </c>
      <c r="M1794" s="116">
        <v>195.9</v>
      </c>
      <c r="N1794" s="116">
        <v>196.666666666667</v>
      </c>
      <c r="O1794" s="116">
        <v>193.5</v>
      </c>
      <c r="P1794" s="116">
        <v>195</v>
      </c>
      <c r="Q1794" s="116">
        <v>587.70000000000005</v>
      </c>
      <c r="R1794">
        <v>74693</v>
      </c>
    </row>
    <row r="1795" spans="1:18" x14ac:dyDescent="0.25">
      <c r="A1795" s="169">
        <v>45135</v>
      </c>
      <c r="B1795" s="116">
        <v>199.583333333333</v>
      </c>
      <c r="C1795" s="116">
        <v>192.96666666666701</v>
      </c>
      <c r="D1795" s="116">
        <v>191.316666666667</v>
      </c>
      <c r="E1795" s="116">
        <v>192.78333333333299</v>
      </c>
      <c r="F1795" s="116">
        <v>578.9</v>
      </c>
      <c r="G1795">
        <v>19458</v>
      </c>
      <c r="H1795" s="116"/>
      <c r="I1795" s="116"/>
      <c r="L1795" s="169">
        <v>45135</v>
      </c>
      <c r="M1795" s="116">
        <v>193.2</v>
      </c>
      <c r="N1795" s="116">
        <v>199.666666666667</v>
      </c>
      <c r="O1795" s="116">
        <v>190.85</v>
      </c>
      <c r="P1795" s="116">
        <v>196.333333333333</v>
      </c>
      <c r="Q1795" s="116">
        <v>579.6</v>
      </c>
      <c r="R1795">
        <v>263841</v>
      </c>
    </row>
    <row r="1796" spans="1:18" x14ac:dyDescent="0.25">
      <c r="A1796" s="169">
        <v>45138</v>
      </c>
      <c r="B1796" s="116">
        <v>198.53333333333299</v>
      </c>
      <c r="C1796" s="116">
        <v>197.98333333333301</v>
      </c>
      <c r="D1796" s="116">
        <v>191.683333333333</v>
      </c>
      <c r="E1796" s="116">
        <v>191.683333333333</v>
      </c>
      <c r="F1796" s="116">
        <v>593.95000000000005</v>
      </c>
      <c r="G1796">
        <v>4644</v>
      </c>
      <c r="H1796" s="116"/>
      <c r="I1796" s="116"/>
      <c r="L1796" s="169">
        <v>45138</v>
      </c>
      <c r="M1796" s="116">
        <v>197.96666666666701</v>
      </c>
      <c r="N1796" s="116">
        <v>198.8</v>
      </c>
      <c r="O1796" s="116">
        <v>192.666666666667</v>
      </c>
      <c r="P1796" s="116">
        <v>193.2</v>
      </c>
      <c r="Q1796" s="116">
        <v>593.9</v>
      </c>
      <c r="R1796">
        <v>161127</v>
      </c>
    </row>
    <row r="1797" spans="1:18" x14ac:dyDescent="0.25">
      <c r="A1797" s="169">
        <v>45139</v>
      </c>
      <c r="B1797" s="116">
        <v>200</v>
      </c>
      <c r="C1797" s="116">
        <v>196.73333333333301</v>
      </c>
      <c r="D1797" s="116">
        <v>194.666666666667</v>
      </c>
      <c r="E1797" s="116">
        <v>194.666666666667</v>
      </c>
      <c r="F1797" s="116">
        <v>590.20000000000005</v>
      </c>
      <c r="G1797">
        <v>9544</v>
      </c>
      <c r="H1797" s="116"/>
      <c r="I1797" s="116"/>
      <c r="L1797" s="169">
        <v>45139</v>
      </c>
      <c r="M1797" s="116">
        <v>196.8</v>
      </c>
      <c r="N1797" s="116">
        <v>200.98333333333301</v>
      </c>
      <c r="O1797" s="116">
        <v>194.666666666667</v>
      </c>
      <c r="P1797" s="116">
        <v>198.333333333333</v>
      </c>
      <c r="Q1797" s="116">
        <v>590.4</v>
      </c>
      <c r="R1797">
        <v>79333</v>
      </c>
    </row>
    <row r="1798" spans="1:18" x14ac:dyDescent="0.25">
      <c r="A1798" s="169">
        <v>45140</v>
      </c>
      <c r="B1798" s="116">
        <v>196.63333333333301</v>
      </c>
      <c r="C1798" s="116">
        <v>194.15</v>
      </c>
      <c r="D1798" s="116">
        <v>190.333333333333</v>
      </c>
      <c r="E1798" s="116">
        <v>196.63333333333301</v>
      </c>
      <c r="F1798" s="116">
        <v>582.45000000000005</v>
      </c>
      <c r="G1798">
        <v>8886</v>
      </c>
      <c r="H1798" s="116"/>
      <c r="I1798" s="116"/>
      <c r="L1798" s="169">
        <v>45140</v>
      </c>
      <c r="M1798" s="116">
        <v>194.23333333333301</v>
      </c>
      <c r="N1798" s="116">
        <v>195.53333333333299</v>
      </c>
      <c r="O1798" s="116">
        <v>190.01666666666699</v>
      </c>
      <c r="P1798" s="116">
        <v>194.666666666667</v>
      </c>
      <c r="Q1798" s="116">
        <v>582.70000000000005</v>
      </c>
      <c r="R1798">
        <v>233746</v>
      </c>
    </row>
    <row r="1799" spans="1:18" x14ac:dyDescent="0.25">
      <c r="A1799" s="169">
        <v>45141</v>
      </c>
      <c r="B1799" s="116">
        <v>194.2</v>
      </c>
      <c r="C1799" s="116">
        <v>190.26666666666699</v>
      </c>
      <c r="D1799" s="116">
        <v>189.96666666666701</v>
      </c>
      <c r="E1799" s="116">
        <v>191.683333333333</v>
      </c>
      <c r="F1799" s="116">
        <v>570.79999999999995</v>
      </c>
      <c r="G1799">
        <v>3112</v>
      </c>
      <c r="H1799" s="116"/>
      <c r="I1799" s="116"/>
      <c r="L1799" s="169">
        <v>45141</v>
      </c>
      <c r="M1799" s="116">
        <v>190.166666666667</v>
      </c>
      <c r="N1799" s="116">
        <v>194.25</v>
      </c>
      <c r="O1799" s="116">
        <v>190</v>
      </c>
      <c r="P1799" s="116">
        <v>193.2</v>
      </c>
      <c r="Q1799" s="116">
        <v>570.5</v>
      </c>
      <c r="R1799">
        <v>71748</v>
      </c>
    </row>
    <row r="1800" spans="1:18" x14ac:dyDescent="0.25">
      <c r="A1800" s="169">
        <v>45142</v>
      </c>
      <c r="B1800" s="116">
        <v>193.05</v>
      </c>
      <c r="C1800" s="116">
        <v>190.86666666666699</v>
      </c>
      <c r="D1800" s="116">
        <v>188.51666666666699</v>
      </c>
      <c r="E1800" s="116">
        <v>188.51666666666699</v>
      </c>
      <c r="F1800" s="116">
        <v>572.6</v>
      </c>
      <c r="G1800">
        <v>11778</v>
      </c>
      <c r="H1800" s="116"/>
      <c r="I1800" s="116"/>
      <c r="L1800" s="169">
        <v>45142</v>
      </c>
      <c r="M1800" s="116">
        <v>190.95</v>
      </c>
      <c r="N1800" s="116">
        <v>193.333333333333</v>
      </c>
      <c r="O1800" s="116">
        <v>190</v>
      </c>
      <c r="P1800" s="116">
        <v>191.316666666667</v>
      </c>
      <c r="Q1800" s="116">
        <v>572.85</v>
      </c>
      <c r="R1800">
        <v>58784</v>
      </c>
    </row>
    <row r="1801" spans="1:18" x14ac:dyDescent="0.25">
      <c r="A1801" s="169">
        <v>45145</v>
      </c>
      <c r="B1801" s="116">
        <v>195.85</v>
      </c>
      <c r="C1801" s="116">
        <v>191.86666666666699</v>
      </c>
      <c r="D1801" s="116">
        <v>189.45</v>
      </c>
      <c r="E1801" s="116">
        <v>189.45</v>
      </c>
      <c r="F1801" s="116">
        <v>575.6</v>
      </c>
      <c r="G1801">
        <v>2060</v>
      </c>
      <c r="H1801" s="116"/>
      <c r="I1801" s="116"/>
      <c r="L1801" s="169">
        <v>45145</v>
      </c>
      <c r="M1801" s="116">
        <v>191.3</v>
      </c>
      <c r="N1801" s="116">
        <v>195.85</v>
      </c>
      <c r="O1801" s="116">
        <v>190.65</v>
      </c>
      <c r="P1801" s="116">
        <v>190.666666666667</v>
      </c>
      <c r="Q1801" s="116">
        <v>573.9</v>
      </c>
      <c r="R1801">
        <v>61631</v>
      </c>
    </row>
    <row r="1802" spans="1:18" x14ac:dyDescent="0.25">
      <c r="A1802" s="169">
        <v>45146</v>
      </c>
      <c r="B1802" s="116">
        <v>192.85</v>
      </c>
      <c r="C1802" s="116">
        <v>190.23333333333301</v>
      </c>
      <c r="D1802" s="116">
        <v>189.88333333333301</v>
      </c>
      <c r="E1802" s="116">
        <v>191.86666666666699</v>
      </c>
      <c r="F1802" s="116">
        <v>570.70000000000005</v>
      </c>
      <c r="G1802">
        <v>5451</v>
      </c>
      <c r="H1802" s="116"/>
      <c r="I1802" s="116"/>
      <c r="L1802" s="169">
        <v>45146</v>
      </c>
      <c r="M1802" s="116">
        <v>190.166666666667</v>
      </c>
      <c r="N1802" s="116">
        <v>193.25</v>
      </c>
      <c r="O1802" s="116">
        <v>190</v>
      </c>
      <c r="P1802" s="116">
        <v>192.03333333333299</v>
      </c>
      <c r="Q1802" s="116">
        <v>570.5</v>
      </c>
      <c r="R1802">
        <v>27800</v>
      </c>
    </row>
    <row r="1803" spans="1:18" x14ac:dyDescent="0.25">
      <c r="A1803" s="169">
        <v>45147</v>
      </c>
      <c r="B1803" s="116">
        <v>191.85</v>
      </c>
      <c r="C1803" s="116">
        <v>190.55</v>
      </c>
      <c r="D1803" s="116">
        <v>189.2</v>
      </c>
      <c r="E1803" s="116">
        <v>190.333333333333</v>
      </c>
      <c r="F1803" s="116">
        <v>571.65</v>
      </c>
      <c r="G1803">
        <v>6988</v>
      </c>
      <c r="H1803" s="116"/>
      <c r="I1803" s="116"/>
      <c r="L1803" s="169">
        <v>45147</v>
      </c>
      <c r="M1803" s="116">
        <v>190.433333333333</v>
      </c>
      <c r="N1803" s="116">
        <v>191.95</v>
      </c>
      <c r="O1803" s="116">
        <v>190</v>
      </c>
      <c r="P1803" s="116">
        <v>190.36666666666699</v>
      </c>
      <c r="Q1803" s="116">
        <v>571.29999999999995</v>
      </c>
      <c r="R1803">
        <v>32275</v>
      </c>
    </row>
    <row r="1804" spans="1:18" x14ac:dyDescent="0.25">
      <c r="A1804" s="169">
        <v>45148</v>
      </c>
      <c r="B1804" s="116">
        <v>193.333333333333</v>
      </c>
      <c r="C1804" s="116">
        <v>191.03333333333299</v>
      </c>
      <c r="D1804" s="116">
        <v>189.75</v>
      </c>
      <c r="E1804" s="116">
        <v>189.75</v>
      </c>
      <c r="F1804" s="116">
        <v>573.1</v>
      </c>
      <c r="G1804">
        <v>7340</v>
      </c>
      <c r="H1804" s="116"/>
      <c r="I1804" s="116"/>
      <c r="L1804" s="169">
        <v>45148</v>
      </c>
      <c r="M1804" s="116">
        <v>191.083333333333</v>
      </c>
      <c r="N1804" s="116">
        <v>193.816666666667</v>
      </c>
      <c r="O1804" s="116">
        <v>190.083333333333</v>
      </c>
      <c r="P1804" s="116">
        <v>190.083333333333</v>
      </c>
      <c r="Q1804" s="116">
        <v>573.25</v>
      </c>
      <c r="R1804">
        <v>40827</v>
      </c>
    </row>
    <row r="1805" spans="1:18" x14ac:dyDescent="0.25">
      <c r="A1805" s="169">
        <v>45149</v>
      </c>
      <c r="B1805" s="116">
        <v>194.63333333333301</v>
      </c>
      <c r="C1805" s="116">
        <v>189.51666666666699</v>
      </c>
      <c r="D1805" s="116">
        <v>187.45</v>
      </c>
      <c r="E1805" s="116">
        <v>191.333333333333</v>
      </c>
      <c r="F1805" s="116">
        <v>568.54999999999995</v>
      </c>
      <c r="G1805">
        <v>4013</v>
      </c>
      <c r="H1805" s="116"/>
      <c r="I1805" s="116"/>
      <c r="L1805" s="169">
        <v>45149</v>
      </c>
      <c r="M1805" s="116">
        <v>191.11666666666699</v>
      </c>
      <c r="N1805" s="116">
        <v>197.333333333333</v>
      </c>
      <c r="O1805" s="116">
        <v>190</v>
      </c>
      <c r="P1805" s="116">
        <v>191.333333333333</v>
      </c>
      <c r="Q1805" s="116">
        <v>573.35</v>
      </c>
      <c r="R1805">
        <v>41576</v>
      </c>
    </row>
    <row r="1806" spans="1:18" x14ac:dyDescent="0.25">
      <c r="A1806" s="169">
        <v>45152</v>
      </c>
      <c r="B1806" s="116">
        <v>190.683333333333</v>
      </c>
      <c r="C1806" s="116">
        <v>182.98333333333301</v>
      </c>
      <c r="D1806" s="116">
        <v>181.38333333333301</v>
      </c>
      <c r="E1806" s="116">
        <v>189.85</v>
      </c>
      <c r="F1806" s="116">
        <v>548.95000000000005</v>
      </c>
      <c r="G1806">
        <v>3519</v>
      </c>
      <c r="H1806" s="116"/>
      <c r="I1806" s="116"/>
      <c r="L1806" s="169">
        <v>45152</v>
      </c>
      <c r="M1806" s="116">
        <v>183.3</v>
      </c>
      <c r="N1806" s="116">
        <v>191.666666666667</v>
      </c>
      <c r="O1806" s="116">
        <v>181.333333333333</v>
      </c>
      <c r="P1806" s="116">
        <v>191.11666666666699</v>
      </c>
      <c r="Q1806" s="116">
        <v>549.9</v>
      </c>
      <c r="R1806">
        <v>55727</v>
      </c>
    </row>
    <row r="1807" spans="1:18" x14ac:dyDescent="0.25">
      <c r="A1807" s="169">
        <v>45154</v>
      </c>
      <c r="B1807" s="116">
        <v>183.333333333333</v>
      </c>
      <c r="C1807" s="116">
        <v>177.73333333333301</v>
      </c>
      <c r="D1807" s="116">
        <v>176.666666666667</v>
      </c>
      <c r="E1807" s="116">
        <v>183.333333333333</v>
      </c>
      <c r="F1807" s="116">
        <v>533.20000000000005</v>
      </c>
      <c r="G1807">
        <v>10800</v>
      </c>
      <c r="H1807" s="116"/>
      <c r="I1807" s="116"/>
      <c r="L1807" s="169">
        <v>45154</v>
      </c>
      <c r="M1807" s="116">
        <v>178.083333333333</v>
      </c>
      <c r="N1807" s="116">
        <v>183.13333333333301</v>
      </c>
      <c r="O1807" s="116">
        <v>176.333333333333</v>
      </c>
      <c r="P1807" s="116">
        <v>183.13333333333301</v>
      </c>
      <c r="Q1807" s="116">
        <v>534.25</v>
      </c>
      <c r="R1807">
        <v>53017</v>
      </c>
    </row>
    <row r="1808" spans="1:18" x14ac:dyDescent="0.25">
      <c r="A1808" s="169">
        <v>45155</v>
      </c>
      <c r="B1808" s="116">
        <v>181</v>
      </c>
      <c r="C1808" s="116">
        <v>180.13333333333301</v>
      </c>
      <c r="D1808" s="116">
        <v>177.01666666666699</v>
      </c>
      <c r="E1808" s="116">
        <v>177.01666666666699</v>
      </c>
      <c r="F1808" s="116">
        <v>540.4</v>
      </c>
      <c r="G1808">
        <v>1747</v>
      </c>
      <c r="H1808" s="116"/>
      <c r="I1808" s="116"/>
      <c r="L1808" s="169">
        <v>45155</v>
      </c>
      <c r="M1808" s="116">
        <v>180.38333333333301</v>
      </c>
      <c r="N1808" s="116">
        <v>181.2</v>
      </c>
      <c r="O1808" s="116">
        <v>176.666666666667</v>
      </c>
      <c r="P1808" s="116">
        <v>177.333333333333</v>
      </c>
      <c r="Q1808" s="116">
        <v>541.15</v>
      </c>
      <c r="R1808">
        <v>43718</v>
      </c>
    </row>
    <row r="1809" spans="1:18" x14ac:dyDescent="0.25">
      <c r="A1809" s="169">
        <v>45156</v>
      </c>
      <c r="B1809" s="116">
        <v>180.76666666666699</v>
      </c>
      <c r="C1809" s="116">
        <v>177.4</v>
      </c>
      <c r="D1809" s="116">
        <v>176.63333333333301</v>
      </c>
      <c r="E1809" s="116">
        <v>178.48333333333301</v>
      </c>
      <c r="F1809" s="116">
        <v>532.20000000000005</v>
      </c>
      <c r="G1809">
        <v>10271</v>
      </c>
      <c r="H1809" s="116"/>
      <c r="I1809" s="116"/>
      <c r="L1809" s="169">
        <v>45156</v>
      </c>
      <c r="M1809" s="116">
        <v>177.7</v>
      </c>
      <c r="N1809" s="116">
        <v>180.71666666666701</v>
      </c>
      <c r="O1809" s="116">
        <v>176.7</v>
      </c>
      <c r="P1809" s="116">
        <v>179.4</v>
      </c>
      <c r="Q1809" s="116">
        <v>533.1</v>
      </c>
      <c r="R1809">
        <v>25795</v>
      </c>
    </row>
    <row r="1810" spans="1:18" x14ac:dyDescent="0.25">
      <c r="A1810" s="169">
        <v>45159</v>
      </c>
      <c r="B1810" s="116">
        <v>178.916666666667</v>
      </c>
      <c r="C1810" s="116">
        <v>175.96666666666701</v>
      </c>
      <c r="D1810" s="116">
        <v>174.083333333333</v>
      </c>
      <c r="E1810" s="116">
        <v>177.4</v>
      </c>
      <c r="F1810" s="116">
        <v>527.9</v>
      </c>
      <c r="G1810">
        <v>1418</v>
      </c>
      <c r="H1810" s="116"/>
      <c r="I1810" s="116"/>
      <c r="L1810" s="169">
        <v>45159</v>
      </c>
      <c r="M1810" s="116">
        <v>175.65</v>
      </c>
      <c r="N1810" s="116">
        <v>179.6</v>
      </c>
      <c r="O1810" s="116">
        <v>174.11666666666699</v>
      </c>
      <c r="P1810" s="116">
        <v>176.666666666667</v>
      </c>
      <c r="Q1810" s="116">
        <v>526.95000000000005</v>
      </c>
      <c r="R1810">
        <v>25606</v>
      </c>
    </row>
    <row r="1811" spans="1:18" x14ac:dyDescent="0.25">
      <c r="A1811" s="169">
        <v>45160</v>
      </c>
      <c r="B1811" s="116">
        <v>179.36666666666699</v>
      </c>
      <c r="C1811" s="116">
        <v>179.01666666666699</v>
      </c>
      <c r="D1811" s="116">
        <v>175.96666666666701</v>
      </c>
      <c r="E1811" s="116">
        <v>175.96666666666701</v>
      </c>
      <c r="F1811" s="116">
        <v>537.04999999999995</v>
      </c>
      <c r="G1811">
        <v>3225</v>
      </c>
      <c r="H1811" s="116"/>
      <c r="I1811" s="116"/>
      <c r="L1811" s="169">
        <v>45160</v>
      </c>
      <c r="M1811" s="116">
        <v>178.96666666666701</v>
      </c>
      <c r="N1811" s="116">
        <v>179.333333333333</v>
      </c>
      <c r="O1811" s="116">
        <v>175.65</v>
      </c>
      <c r="P1811" s="116">
        <v>175.65</v>
      </c>
      <c r="Q1811" s="116">
        <v>536.9</v>
      </c>
      <c r="R1811">
        <v>21764</v>
      </c>
    </row>
    <row r="1812" spans="1:18" x14ac:dyDescent="0.25">
      <c r="A1812" s="169">
        <v>45161</v>
      </c>
      <c r="B1812" s="116">
        <v>186.35</v>
      </c>
      <c r="C1812" s="116">
        <v>184.48333333333301</v>
      </c>
      <c r="D1812" s="116">
        <v>178.36666666666699</v>
      </c>
      <c r="E1812" s="116">
        <v>178.98333333333301</v>
      </c>
      <c r="F1812" s="116">
        <v>553.45000000000005</v>
      </c>
      <c r="G1812">
        <v>5424</v>
      </c>
      <c r="H1812" s="116"/>
      <c r="I1812" s="116"/>
      <c r="L1812" s="169">
        <v>45161</v>
      </c>
      <c r="M1812" s="116">
        <v>184.35</v>
      </c>
      <c r="N1812" s="116">
        <v>186.333333333333</v>
      </c>
      <c r="O1812" s="116">
        <v>178.666666666667</v>
      </c>
      <c r="P1812" s="116">
        <v>178.666666666667</v>
      </c>
      <c r="Q1812" s="116">
        <v>553.04999999999995</v>
      </c>
      <c r="R1812">
        <v>72852</v>
      </c>
    </row>
    <row r="1813" spans="1:18" x14ac:dyDescent="0.25">
      <c r="A1813" s="169">
        <v>45162</v>
      </c>
      <c r="B1813" s="116">
        <v>186.35</v>
      </c>
      <c r="C1813" s="116">
        <v>181.63333333333301</v>
      </c>
      <c r="D1813" s="116">
        <v>181</v>
      </c>
      <c r="E1813" s="116">
        <v>186.35</v>
      </c>
      <c r="F1813" s="116">
        <v>544.9</v>
      </c>
      <c r="G1813">
        <v>6595</v>
      </c>
      <c r="H1813" s="116"/>
      <c r="I1813" s="116"/>
      <c r="L1813" s="169">
        <v>45162</v>
      </c>
      <c r="M1813" s="116">
        <v>181.8</v>
      </c>
      <c r="N1813" s="116">
        <v>186.666666666667</v>
      </c>
      <c r="O1813" s="116">
        <v>181.25</v>
      </c>
      <c r="P1813" s="116">
        <v>186.23333333333301</v>
      </c>
      <c r="Q1813" s="116">
        <v>545.4</v>
      </c>
      <c r="R1813">
        <v>23121</v>
      </c>
    </row>
    <row r="1814" spans="1:18" x14ac:dyDescent="0.25">
      <c r="A1814" s="169">
        <v>45163</v>
      </c>
      <c r="B1814" s="116">
        <v>186.76666666666699</v>
      </c>
      <c r="C1814" s="116">
        <v>178.6</v>
      </c>
      <c r="D1814" s="116">
        <v>178.2</v>
      </c>
      <c r="E1814" s="116">
        <v>182.65</v>
      </c>
      <c r="F1814" s="116">
        <v>535.79999999999995</v>
      </c>
      <c r="G1814">
        <v>1904</v>
      </c>
      <c r="H1814" s="116"/>
      <c r="I1814" s="116"/>
      <c r="L1814" s="169">
        <v>45163</v>
      </c>
      <c r="M1814" s="116">
        <v>178.71666666666701</v>
      </c>
      <c r="N1814" s="116">
        <v>186.916666666667</v>
      </c>
      <c r="O1814" s="116">
        <v>178</v>
      </c>
      <c r="P1814" s="116">
        <v>182.01666666666699</v>
      </c>
      <c r="Q1814" s="116">
        <v>536.15</v>
      </c>
      <c r="R1814">
        <v>56866</v>
      </c>
    </row>
    <row r="1815" spans="1:18" x14ac:dyDescent="0.25">
      <c r="A1815" s="169">
        <v>45166</v>
      </c>
      <c r="B1815" s="116">
        <v>180</v>
      </c>
      <c r="C1815" s="116">
        <v>179.53333333333299</v>
      </c>
      <c r="D1815" s="116">
        <v>179.03333333333299</v>
      </c>
      <c r="E1815" s="116">
        <v>179.03333333333299</v>
      </c>
      <c r="F1815" s="116">
        <v>538.6</v>
      </c>
      <c r="G1815">
        <v>422</v>
      </c>
      <c r="H1815" s="116"/>
      <c r="I1815" s="116"/>
      <c r="L1815" s="169">
        <v>45166</v>
      </c>
      <c r="M1815" s="116">
        <v>179.65</v>
      </c>
      <c r="N1815" s="116">
        <v>180.316666666667</v>
      </c>
      <c r="O1815" s="116">
        <v>179.316666666667</v>
      </c>
      <c r="P1815" s="116">
        <v>179.333333333333</v>
      </c>
      <c r="Q1815" s="116">
        <v>538.95000000000005</v>
      </c>
      <c r="R1815">
        <v>11409</v>
      </c>
    </row>
    <row r="1816" spans="1:18" x14ac:dyDescent="0.25">
      <c r="A1816" s="169">
        <v>45167</v>
      </c>
      <c r="B1816" s="116">
        <v>184.933333333333</v>
      </c>
      <c r="C1816" s="116">
        <v>184.13333333333301</v>
      </c>
      <c r="D1816" s="116">
        <v>179.65</v>
      </c>
      <c r="E1816" s="116">
        <v>179.65</v>
      </c>
      <c r="F1816" s="116">
        <v>552.4</v>
      </c>
      <c r="G1816">
        <v>4235</v>
      </c>
      <c r="H1816" s="116"/>
      <c r="I1816" s="116"/>
      <c r="L1816" s="169">
        <v>45167</v>
      </c>
      <c r="M1816" s="116">
        <v>184.2</v>
      </c>
      <c r="N1816" s="116">
        <v>184.9</v>
      </c>
      <c r="O1816" s="116">
        <v>180</v>
      </c>
      <c r="P1816" s="116">
        <v>180</v>
      </c>
      <c r="Q1816" s="116">
        <v>552.6</v>
      </c>
      <c r="R1816">
        <v>42719</v>
      </c>
    </row>
    <row r="1817" spans="1:18" x14ac:dyDescent="0.25">
      <c r="A1817" s="169">
        <v>45168</v>
      </c>
      <c r="B1817" s="116">
        <v>187.333333333333</v>
      </c>
      <c r="C1817" s="116">
        <v>181.28333333333299</v>
      </c>
      <c r="D1817" s="116">
        <v>180.03333333333299</v>
      </c>
      <c r="E1817" s="116">
        <v>187.333333333333</v>
      </c>
      <c r="F1817" s="116">
        <v>543.85</v>
      </c>
      <c r="G1817">
        <v>3661</v>
      </c>
      <c r="H1817" s="116"/>
      <c r="I1817" s="116"/>
      <c r="L1817" s="169">
        <v>45168</v>
      </c>
      <c r="M1817" s="116">
        <v>181.38333333333301</v>
      </c>
      <c r="N1817" s="116">
        <v>185.933333333333</v>
      </c>
      <c r="O1817" s="116">
        <v>177.166666666667</v>
      </c>
      <c r="P1817" s="116">
        <v>185</v>
      </c>
      <c r="Q1817" s="116">
        <v>544.15</v>
      </c>
      <c r="R1817">
        <v>48640</v>
      </c>
    </row>
    <row r="1818" spans="1:18" x14ac:dyDescent="0.25">
      <c r="A1818" s="169">
        <v>45169</v>
      </c>
      <c r="B1818" s="116">
        <v>183.26666666666699</v>
      </c>
      <c r="C1818" s="116">
        <v>178.65</v>
      </c>
      <c r="D1818" s="116">
        <v>177.61666666666699</v>
      </c>
      <c r="E1818" s="116">
        <v>182.86666666666699</v>
      </c>
      <c r="F1818" s="116">
        <v>535.95000000000005</v>
      </c>
      <c r="G1818">
        <v>7634</v>
      </c>
      <c r="H1818" s="116"/>
      <c r="I1818" s="116"/>
      <c r="L1818" s="169">
        <v>45169</v>
      </c>
      <c r="M1818" s="116">
        <v>179.333333333333</v>
      </c>
      <c r="N1818" s="116">
        <v>183.316666666667</v>
      </c>
      <c r="O1818" s="116">
        <v>178</v>
      </c>
      <c r="P1818" s="116">
        <v>183</v>
      </c>
      <c r="Q1818" s="116">
        <v>538</v>
      </c>
      <c r="R1818">
        <v>33015</v>
      </c>
    </row>
    <row r="1819" spans="1:18" x14ac:dyDescent="0.25">
      <c r="A1819" s="169">
        <v>45170</v>
      </c>
      <c r="B1819" s="116">
        <v>182.65</v>
      </c>
      <c r="C1819" s="116">
        <v>179.05</v>
      </c>
      <c r="D1819" s="116">
        <v>177.63333333333301</v>
      </c>
      <c r="E1819" s="116">
        <v>177.63333333333301</v>
      </c>
      <c r="F1819" s="116">
        <v>537.15</v>
      </c>
      <c r="G1819">
        <v>2653</v>
      </c>
      <c r="H1819" s="116"/>
      <c r="I1819" s="116"/>
      <c r="L1819" s="169">
        <v>45170</v>
      </c>
      <c r="M1819" s="116">
        <v>179.28333333333299</v>
      </c>
      <c r="N1819" s="116">
        <v>183.46666666666701</v>
      </c>
      <c r="O1819" s="116">
        <v>177.01666666666699</v>
      </c>
      <c r="P1819" s="116">
        <v>179.666666666667</v>
      </c>
      <c r="Q1819" s="116">
        <v>537.85</v>
      </c>
      <c r="R1819">
        <v>46508</v>
      </c>
    </row>
    <row r="1820" spans="1:18" x14ac:dyDescent="0.25">
      <c r="A1820" s="169">
        <v>45173</v>
      </c>
      <c r="B1820" s="116">
        <v>180.78333333333299</v>
      </c>
      <c r="C1820" s="116">
        <v>179.21666666666701</v>
      </c>
      <c r="D1820" s="116">
        <v>178.85</v>
      </c>
      <c r="E1820" s="116">
        <v>179.98333333333301</v>
      </c>
      <c r="F1820" s="116">
        <v>537.65</v>
      </c>
      <c r="G1820">
        <v>703</v>
      </c>
      <c r="H1820" s="116"/>
      <c r="I1820" s="116"/>
      <c r="L1820" s="169">
        <v>45173</v>
      </c>
      <c r="M1820" s="116">
        <v>179.13333333333301</v>
      </c>
      <c r="N1820" s="116">
        <v>182.96666666666701</v>
      </c>
      <c r="O1820" s="116">
        <v>179</v>
      </c>
      <c r="P1820" s="116">
        <v>180.316666666667</v>
      </c>
      <c r="Q1820" s="116">
        <v>537.4</v>
      </c>
      <c r="R1820">
        <v>28133</v>
      </c>
    </row>
    <row r="1821" spans="1:18" x14ac:dyDescent="0.25">
      <c r="A1821" s="169">
        <v>45174</v>
      </c>
      <c r="B1821" s="116">
        <v>184.26666666666699</v>
      </c>
      <c r="C1821" s="116">
        <v>180.73333333333301</v>
      </c>
      <c r="D1821" s="116">
        <v>177.48333333333301</v>
      </c>
      <c r="E1821" s="116">
        <v>179.666666666667</v>
      </c>
      <c r="F1821" s="116">
        <v>542.20000000000005</v>
      </c>
      <c r="G1821">
        <v>7246</v>
      </c>
      <c r="H1821" s="116"/>
      <c r="I1821" s="116"/>
      <c r="L1821" s="169">
        <v>45174</v>
      </c>
      <c r="M1821" s="116">
        <v>181.066666666667</v>
      </c>
      <c r="N1821" s="116">
        <v>182.1</v>
      </c>
      <c r="O1821" s="116">
        <v>179.75</v>
      </c>
      <c r="P1821" s="116">
        <v>180.03333333333299</v>
      </c>
      <c r="Q1821" s="116">
        <v>543.20000000000005</v>
      </c>
      <c r="R1821">
        <v>28850</v>
      </c>
    </row>
    <row r="1822" spans="1:18" x14ac:dyDescent="0.25">
      <c r="A1822" s="169">
        <v>45175</v>
      </c>
      <c r="B1822" s="116">
        <v>188.6</v>
      </c>
      <c r="C1822" s="116">
        <v>185.8</v>
      </c>
      <c r="D1822" s="116">
        <v>180.683333333333</v>
      </c>
      <c r="E1822" s="116">
        <v>180.73333333333301</v>
      </c>
      <c r="F1822" s="116">
        <v>557.4</v>
      </c>
      <c r="G1822">
        <v>8817</v>
      </c>
      <c r="H1822" s="116"/>
      <c r="I1822" s="116"/>
      <c r="L1822" s="169">
        <v>45175</v>
      </c>
      <c r="M1822" s="116">
        <v>185.75</v>
      </c>
      <c r="N1822" s="116">
        <v>188</v>
      </c>
      <c r="O1822" s="116">
        <v>180.13333333333301</v>
      </c>
      <c r="P1822" s="116">
        <v>181</v>
      </c>
      <c r="Q1822" s="116">
        <v>557.25</v>
      </c>
      <c r="R1822">
        <v>103644</v>
      </c>
    </row>
    <row r="1823" spans="1:18" x14ac:dyDescent="0.25">
      <c r="A1823" s="169">
        <v>45176</v>
      </c>
      <c r="B1823" s="116">
        <v>188.833333333333</v>
      </c>
      <c r="C1823" s="116">
        <v>188.46666666666701</v>
      </c>
      <c r="D1823" s="116">
        <v>184.2</v>
      </c>
      <c r="E1823" s="116">
        <v>185.666666666667</v>
      </c>
      <c r="F1823" s="116">
        <v>565.4</v>
      </c>
      <c r="G1823">
        <v>11242</v>
      </c>
      <c r="H1823" s="116"/>
      <c r="I1823" s="116"/>
      <c r="L1823" s="169">
        <v>45176</v>
      </c>
      <c r="M1823" s="116">
        <v>188.46666666666701</v>
      </c>
      <c r="N1823" s="116">
        <v>188.98333333333301</v>
      </c>
      <c r="O1823" s="116">
        <v>186.01666666666699</v>
      </c>
      <c r="P1823" s="116">
        <v>186.683333333333</v>
      </c>
      <c r="Q1823" s="116">
        <v>565.4</v>
      </c>
      <c r="R1823">
        <v>47418</v>
      </c>
    </row>
    <row r="1824" spans="1:18" x14ac:dyDescent="0.25">
      <c r="A1824" s="169">
        <v>45177</v>
      </c>
      <c r="B1824" s="116">
        <v>191.683333333333</v>
      </c>
      <c r="C1824" s="116">
        <v>189.88333333333301</v>
      </c>
      <c r="D1824" s="116">
        <v>186.666666666667</v>
      </c>
      <c r="E1824" s="116">
        <v>188.65</v>
      </c>
      <c r="F1824" s="116">
        <v>569.65</v>
      </c>
      <c r="G1824">
        <v>12530</v>
      </c>
      <c r="H1824" s="116"/>
      <c r="I1824" s="116"/>
      <c r="L1824" s="169">
        <v>45177</v>
      </c>
      <c r="M1824" s="116">
        <v>190.03333333333299</v>
      </c>
      <c r="N1824" s="116">
        <v>190.683333333333</v>
      </c>
      <c r="O1824" s="116">
        <v>186.7</v>
      </c>
      <c r="P1824" s="116">
        <v>187.01666666666699</v>
      </c>
      <c r="Q1824" s="116">
        <v>570.1</v>
      </c>
      <c r="R1824">
        <v>59107</v>
      </c>
    </row>
    <row r="1825" spans="1:18" x14ac:dyDescent="0.25">
      <c r="A1825" s="169">
        <v>45180</v>
      </c>
      <c r="B1825" s="116">
        <v>191.65</v>
      </c>
      <c r="C1825" s="116">
        <v>190.1</v>
      </c>
      <c r="D1825" s="116">
        <v>189.333333333333</v>
      </c>
      <c r="E1825" s="116">
        <v>189.333333333333</v>
      </c>
      <c r="F1825" s="116">
        <v>570.29999999999995</v>
      </c>
      <c r="G1825">
        <v>906</v>
      </c>
      <c r="H1825" s="116"/>
      <c r="I1825" s="116"/>
      <c r="L1825" s="169">
        <v>45180</v>
      </c>
      <c r="M1825" s="116">
        <v>190.066666666667</v>
      </c>
      <c r="N1825" s="116">
        <v>192.333333333333</v>
      </c>
      <c r="O1825" s="116">
        <v>189</v>
      </c>
      <c r="P1825" s="116">
        <v>190.666666666667</v>
      </c>
      <c r="Q1825" s="116">
        <v>570.20000000000005</v>
      </c>
      <c r="R1825">
        <v>43850</v>
      </c>
    </row>
    <row r="1826" spans="1:18" x14ac:dyDescent="0.25">
      <c r="A1826" s="169">
        <v>45181</v>
      </c>
      <c r="B1826" s="116">
        <v>191.166666666667</v>
      </c>
      <c r="C1826" s="116">
        <v>182.11666666666699</v>
      </c>
      <c r="D1826" s="116">
        <v>180.8</v>
      </c>
      <c r="E1826" s="116">
        <v>190.51666666666699</v>
      </c>
      <c r="F1826" s="116">
        <v>546.35</v>
      </c>
      <c r="G1826">
        <v>18023</v>
      </c>
      <c r="H1826" s="116"/>
      <c r="I1826" s="116"/>
      <c r="L1826" s="169">
        <v>45181</v>
      </c>
      <c r="M1826" s="116">
        <v>183.05</v>
      </c>
      <c r="N1826" s="116">
        <v>191.65</v>
      </c>
      <c r="O1826" s="116">
        <v>181.01666666666699</v>
      </c>
      <c r="P1826" s="116">
        <v>188.666666666667</v>
      </c>
      <c r="Q1826" s="116">
        <v>549.15</v>
      </c>
      <c r="R1826">
        <v>146621</v>
      </c>
    </row>
    <row r="1827" spans="1:18" x14ac:dyDescent="0.25">
      <c r="A1827" s="169">
        <v>45182</v>
      </c>
      <c r="B1827" s="116">
        <v>184.333333333333</v>
      </c>
      <c r="C1827" s="116">
        <v>179.433333333333</v>
      </c>
      <c r="D1827" s="116">
        <v>178.38333333333301</v>
      </c>
      <c r="E1827" s="116">
        <v>181.683333333333</v>
      </c>
      <c r="F1827" s="116">
        <v>538.29999999999995</v>
      </c>
      <c r="G1827">
        <v>3914</v>
      </c>
      <c r="H1827" s="116"/>
      <c r="I1827" s="116"/>
      <c r="L1827" s="169">
        <v>45182</v>
      </c>
      <c r="M1827" s="116">
        <v>179.566666666667</v>
      </c>
      <c r="N1827" s="116">
        <v>184.98333333333301</v>
      </c>
      <c r="O1827" s="116">
        <v>178.416666666667</v>
      </c>
      <c r="P1827" s="116">
        <v>182.03333333333299</v>
      </c>
      <c r="Q1827" s="116">
        <v>538.70000000000005</v>
      </c>
      <c r="R1827">
        <v>105709</v>
      </c>
    </row>
    <row r="1828" spans="1:18" x14ac:dyDescent="0.25">
      <c r="A1828" s="169">
        <v>45183</v>
      </c>
      <c r="B1828" s="116">
        <v>182.85</v>
      </c>
      <c r="C1828" s="116">
        <v>181.65</v>
      </c>
      <c r="D1828" s="116">
        <v>181.066666666667</v>
      </c>
      <c r="E1828" s="116">
        <v>182.333333333333</v>
      </c>
      <c r="F1828" s="116">
        <v>544.95000000000005</v>
      </c>
      <c r="G1828">
        <v>1447</v>
      </c>
      <c r="H1828" s="116"/>
      <c r="I1828" s="116"/>
      <c r="L1828" s="169">
        <v>45183</v>
      </c>
      <c r="M1828" s="116">
        <v>181.63333333333301</v>
      </c>
      <c r="N1828" s="116">
        <v>183</v>
      </c>
      <c r="O1828" s="116">
        <v>181</v>
      </c>
      <c r="P1828" s="116">
        <v>181.066666666667</v>
      </c>
      <c r="Q1828" s="116">
        <v>544.9</v>
      </c>
      <c r="R1828">
        <v>38642</v>
      </c>
    </row>
    <row r="1829" spans="1:18" x14ac:dyDescent="0.25">
      <c r="A1829" s="169">
        <v>45184</v>
      </c>
      <c r="B1829" s="116">
        <v>191.666666666667</v>
      </c>
      <c r="C1829" s="116">
        <v>189.76666666666699</v>
      </c>
      <c r="D1829" s="116">
        <v>181.666666666667</v>
      </c>
      <c r="E1829" s="116">
        <v>182.333333333333</v>
      </c>
      <c r="F1829" s="116">
        <v>569.29999999999995</v>
      </c>
      <c r="G1829">
        <v>15340</v>
      </c>
      <c r="H1829" s="116"/>
      <c r="I1829" s="116"/>
      <c r="L1829" s="169">
        <v>45184</v>
      </c>
      <c r="M1829" s="116">
        <v>189.833333333333</v>
      </c>
      <c r="N1829" s="116">
        <v>190.933333333333</v>
      </c>
      <c r="O1829" s="116">
        <v>181.933333333333</v>
      </c>
      <c r="P1829" s="116">
        <v>181.95</v>
      </c>
      <c r="Q1829" s="116">
        <v>569.5</v>
      </c>
      <c r="R1829">
        <v>94327</v>
      </c>
    </row>
    <row r="1830" spans="1:18" x14ac:dyDescent="0.25">
      <c r="A1830" s="169">
        <v>45187</v>
      </c>
      <c r="B1830" s="116">
        <v>202.21666666666701</v>
      </c>
      <c r="C1830" s="116">
        <v>195.2</v>
      </c>
      <c r="D1830" s="116">
        <v>186.73333333333301</v>
      </c>
      <c r="E1830" s="116">
        <v>190</v>
      </c>
      <c r="F1830" s="116">
        <v>585.6</v>
      </c>
      <c r="G1830">
        <v>14412</v>
      </c>
      <c r="H1830" s="116"/>
      <c r="I1830" s="116"/>
      <c r="L1830" s="169">
        <v>45187</v>
      </c>
      <c r="M1830" s="116">
        <v>194.38333333333301</v>
      </c>
      <c r="N1830" s="116">
        <v>202.3</v>
      </c>
      <c r="O1830" s="116">
        <v>186.933333333333</v>
      </c>
      <c r="P1830" s="116">
        <v>190</v>
      </c>
      <c r="Q1830" s="116">
        <v>583.15</v>
      </c>
      <c r="R1830">
        <v>490562</v>
      </c>
    </row>
    <row r="1831" spans="1:18" x14ac:dyDescent="0.25">
      <c r="A1831" s="169">
        <v>45189</v>
      </c>
      <c r="B1831" s="116">
        <v>197.53333333333299</v>
      </c>
      <c r="C1831" s="116">
        <v>191.5</v>
      </c>
      <c r="D1831" s="116">
        <v>190.23333333333301</v>
      </c>
      <c r="E1831" s="116">
        <v>197.53333333333299</v>
      </c>
      <c r="F1831" s="116">
        <v>574.5</v>
      </c>
      <c r="G1831">
        <v>15153</v>
      </c>
      <c r="H1831" s="116"/>
      <c r="I1831" s="116"/>
      <c r="L1831" s="169">
        <v>45189</v>
      </c>
      <c r="M1831" s="116">
        <v>191.433333333333</v>
      </c>
      <c r="N1831" s="116">
        <v>197.45</v>
      </c>
      <c r="O1831" s="116">
        <v>190.15</v>
      </c>
      <c r="P1831" s="116">
        <v>197.45</v>
      </c>
      <c r="Q1831" s="116">
        <v>574.29999999999995</v>
      </c>
      <c r="R1831">
        <v>101339</v>
      </c>
    </row>
    <row r="1832" spans="1:18" x14ac:dyDescent="0.25">
      <c r="A1832" s="169">
        <v>45190</v>
      </c>
      <c r="B1832" s="116">
        <v>193.98333333333301</v>
      </c>
      <c r="C1832" s="116">
        <v>189.53333333333299</v>
      </c>
      <c r="D1832" s="116">
        <v>187.75</v>
      </c>
      <c r="E1832" s="116">
        <v>193.98333333333301</v>
      </c>
      <c r="F1832" s="116">
        <v>568.6</v>
      </c>
      <c r="G1832">
        <v>5671</v>
      </c>
      <c r="H1832" s="116"/>
      <c r="I1832" s="116"/>
      <c r="L1832" s="169">
        <v>45190</v>
      </c>
      <c r="M1832" s="116">
        <v>189.6</v>
      </c>
      <c r="N1832" s="116">
        <v>192.98333333333301</v>
      </c>
      <c r="O1832" s="116">
        <v>188.05</v>
      </c>
      <c r="P1832" s="116">
        <v>192.98333333333301</v>
      </c>
      <c r="Q1832" s="116">
        <v>568.79999999999995</v>
      </c>
      <c r="R1832">
        <v>44882</v>
      </c>
    </row>
    <row r="1833" spans="1:18" x14ac:dyDescent="0.25">
      <c r="A1833" s="169">
        <v>45191</v>
      </c>
      <c r="B1833" s="116">
        <v>190.48333333333301</v>
      </c>
      <c r="C1833" s="116">
        <v>187.96666666666701</v>
      </c>
      <c r="D1833" s="116">
        <v>184.4</v>
      </c>
      <c r="E1833" s="116">
        <v>190.48333333333301</v>
      </c>
      <c r="F1833" s="116">
        <v>563.9</v>
      </c>
      <c r="G1833">
        <v>2572</v>
      </c>
      <c r="H1833" s="116"/>
      <c r="I1833" s="116"/>
      <c r="L1833" s="169">
        <v>45191</v>
      </c>
      <c r="M1833" s="116">
        <v>187.48333333333301</v>
      </c>
      <c r="N1833" s="116">
        <v>191.316666666667</v>
      </c>
      <c r="O1833" s="116">
        <v>184</v>
      </c>
      <c r="P1833" s="116">
        <v>190</v>
      </c>
      <c r="Q1833" s="116">
        <v>562.45000000000005</v>
      </c>
      <c r="R1833">
        <v>42818</v>
      </c>
    </row>
    <row r="1834" spans="1:18" x14ac:dyDescent="0.25">
      <c r="A1834" s="169">
        <v>45194</v>
      </c>
      <c r="B1834" s="116">
        <v>186.683333333333</v>
      </c>
      <c r="C1834" s="116">
        <v>184.833333333333</v>
      </c>
      <c r="D1834" s="116">
        <v>183.88333333333301</v>
      </c>
      <c r="E1834" s="116">
        <v>186.683333333333</v>
      </c>
      <c r="F1834" s="116">
        <v>554.5</v>
      </c>
      <c r="G1834">
        <v>2781</v>
      </c>
      <c r="H1834" s="116"/>
      <c r="I1834" s="116"/>
      <c r="L1834" s="169">
        <v>45194</v>
      </c>
      <c r="M1834" s="116">
        <v>184.7</v>
      </c>
      <c r="N1834" s="116">
        <v>187.48333333333301</v>
      </c>
      <c r="O1834" s="116">
        <v>183.46666666666701</v>
      </c>
      <c r="P1834" s="116">
        <v>187.48333333333301</v>
      </c>
      <c r="Q1834" s="116">
        <v>554.1</v>
      </c>
      <c r="R1834">
        <v>25611</v>
      </c>
    </row>
    <row r="1835" spans="1:18" x14ac:dyDescent="0.25">
      <c r="A1835" s="169">
        <v>45195</v>
      </c>
      <c r="B1835" s="116">
        <v>187</v>
      </c>
      <c r="C1835" s="116">
        <v>184.933333333333</v>
      </c>
      <c r="D1835" s="116">
        <v>183.316666666667</v>
      </c>
      <c r="E1835" s="116">
        <v>187</v>
      </c>
      <c r="F1835" s="116">
        <v>554.79999999999995</v>
      </c>
      <c r="G1835">
        <v>3977</v>
      </c>
      <c r="H1835" s="116"/>
      <c r="I1835" s="116"/>
      <c r="L1835" s="169">
        <v>45195</v>
      </c>
      <c r="M1835" s="116">
        <v>184.71666666666701</v>
      </c>
      <c r="N1835" s="116">
        <v>186.15</v>
      </c>
      <c r="O1835" s="116">
        <v>183.46666666666701</v>
      </c>
      <c r="P1835" s="116">
        <v>185.63333333333301</v>
      </c>
      <c r="Q1835" s="116">
        <v>554.15</v>
      </c>
      <c r="R1835">
        <v>22037</v>
      </c>
    </row>
    <row r="1836" spans="1:18" x14ac:dyDescent="0.25">
      <c r="A1836" s="169">
        <v>45196</v>
      </c>
      <c r="B1836" s="116">
        <v>186</v>
      </c>
      <c r="C1836" s="116">
        <v>184.61666666666699</v>
      </c>
      <c r="D1836" s="116">
        <v>182.48333333333301</v>
      </c>
      <c r="E1836" s="116">
        <v>184.666666666667</v>
      </c>
      <c r="F1836" s="116">
        <v>553.85</v>
      </c>
      <c r="G1836">
        <v>5014</v>
      </c>
      <c r="H1836" s="116"/>
      <c r="I1836" s="116"/>
      <c r="L1836" s="169">
        <v>45196</v>
      </c>
      <c r="M1836" s="116">
        <v>185.066666666667</v>
      </c>
      <c r="N1836" s="116">
        <v>186.066666666667</v>
      </c>
      <c r="O1836" s="116">
        <v>184.48333333333301</v>
      </c>
      <c r="P1836" s="116">
        <v>185.65</v>
      </c>
      <c r="Q1836" s="116">
        <v>555.20000000000005</v>
      </c>
      <c r="R1836">
        <v>15562</v>
      </c>
    </row>
    <row r="1837" spans="1:18" x14ac:dyDescent="0.25">
      <c r="A1837" s="169">
        <v>45197</v>
      </c>
      <c r="B1837" s="116">
        <v>188.26666666666699</v>
      </c>
      <c r="C1837" s="116">
        <v>184.78333333333299</v>
      </c>
      <c r="D1837" s="116">
        <v>183.6</v>
      </c>
      <c r="E1837" s="116">
        <v>188.26666666666699</v>
      </c>
      <c r="F1837" s="116">
        <v>554.35</v>
      </c>
      <c r="G1837">
        <v>821</v>
      </c>
      <c r="H1837" s="116"/>
      <c r="I1837" s="116"/>
      <c r="L1837" s="169">
        <v>45197</v>
      </c>
      <c r="M1837" s="116">
        <v>184.6</v>
      </c>
      <c r="N1837" s="116">
        <v>187.683333333333</v>
      </c>
      <c r="O1837" s="116">
        <v>183.7</v>
      </c>
      <c r="P1837" s="116">
        <v>185.666666666667</v>
      </c>
      <c r="Q1837" s="116">
        <v>553.79999999999995</v>
      </c>
      <c r="R1837">
        <v>22447</v>
      </c>
    </row>
    <row r="1838" spans="1:18" x14ac:dyDescent="0.25">
      <c r="A1838" s="169">
        <v>45198</v>
      </c>
      <c r="B1838" s="116">
        <v>190.666666666667</v>
      </c>
      <c r="C1838" s="116">
        <v>189.78333333333299</v>
      </c>
      <c r="D1838" s="116">
        <v>185</v>
      </c>
      <c r="E1838" s="116">
        <v>185</v>
      </c>
      <c r="F1838" s="116">
        <v>569.35</v>
      </c>
      <c r="G1838">
        <v>8259</v>
      </c>
      <c r="H1838" s="116"/>
      <c r="I1838" s="116"/>
      <c r="L1838" s="169">
        <v>45198</v>
      </c>
      <c r="M1838" s="116">
        <v>189.433333333333</v>
      </c>
      <c r="N1838" s="116">
        <v>191.65</v>
      </c>
      <c r="O1838" s="116">
        <v>184.98333333333301</v>
      </c>
      <c r="P1838" s="116">
        <v>185.53333333333299</v>
      </c>
      <c r="Q1838" s="116">
        <v>568.29999999999995</v>
      </c>
      <c r="R1838">
        <v>70186</v>
      </c>
    </row>
    <row r="1839" spans="1:18" x14ac:dyDescent="0.25">
      <c r="A1839" s="169">
        <v>45202</v>
      </c>
      <c r="B1839" s="116">
        <v>192.666666666667</v>
      </c>
      <c r="C1839" s="116">
        <v>192.26666666666699</v>
      </c>
      <c r="D1839" s="116">
        <v>188.98333333333301</v>
      </c>
      <c r="E1839" s="116">
        <v>189.78333333333299</v>
      </c>
      <c r="F1839" s="116">
        <v>576.79999999999995</v>
      </c>
      <c r="G1839">
        <v>4716</v>
      </c>
      <c r="H1839" s="116"/>
      <c r="I1839" s="116"/>
      <c r="L1839" s="169">
        <v>45202</v>
      </c>
      <c r="M1839" s="116">
        <v>192.333333333333</v>
      </c>
      <c r="N1839" s="116">
        <v>193</v>
      </c>
      <c r="O1839" s="116">
        <v>188.316666666667</v>
      </c>
      <c r="P1839" s="116">
        <v>191.28333333333299</v>
      </c>
      <c r="Q1839" s="116">
        <v>577</v>
      </c>
      <c r="R1839">
        <v>53866</v>
      </c>
    </row>
    <row r="1840" spans="1:18" x14ac:dyDescent="0.25">
      <c r="A1840" s="169">
        <v>45203</v>
      </c>
      <c r="B1840" s="116">
        <v>194.3</v>
      </c>
      <c r="C1840" s="116">
        <v>190.583333333333</v>
      </c>
      <c r="D1840" s="116">
        <v>187.416666666667</v>
      </c>
      <c r="E1840" s="116">
        <v>194.3</v>
      </c>
      <c r="F1840" s="116">
        <v>571.75</v>
      </c>
      <c r="G1840">
        <v>2930</v>
      </c>
      <c r="H1840" s="116"/>
      <c r="I1840" s="116"/>
      <c r="L1840" s="169">
        <v>45203</v>
      </c>
      <c r="M1840" s="116">
        <v>190.51666666666699</v>
      </c>
      <c r="N1840" s="116">
        <v>192.71666666666701</v>
      </c>
      <c r="O1840" s="116">
        <v>187.333333333333</v>
      </c>
      <c r="P1840" s="116">
        <v>192.71666666666701</v>
      </c>
      <c r="Q1840" s="116">
        <v>571.54999999999995</v>
      </c>
      <c r="R1840">
        <v>54486</v>
      </c>
    </row>
    <row r="1841" spans="1:18" x14ac:dyDescent="0.25">
      <c r="A1841" s="169">
        <v>45204</v>
      </c>
      <c r="B1841" s="116">
        <v>192.916666666667</v>
      </c>
      <c r="C1841" s="116">
        <v>189.166666666667</v>
      </c>
      <c r="D1841" s="116">
        <v>188.333333333333</v>
      </c>
      <c r="E1841" s="116">
        <v>190.583333333333</v>
      </c>
      <c r="F1841" s="116">
        <v>567.5</v>
      </c>
      <c r="G1841">
        <v>5443</v>
      </c>
      <c r="H1841" s="116"/>
      <c r="I1841" s="116"/>
      <c r="L1841" s="169">
        <v>45204</v>
      </c>
      <c r="M1841" s="116">
        <v>189.3</v>
      </c>
      <c r="N1841" s="116">
        <v>191.55</v>
      </c>
      <c r="O1841" s="116">
        <v>188.51666666666699</v>
      </c>
      <c r="P1841" s="116">
        <v>191.48333333333301</v>
      </c>
      <c r="Q1841" s="116">
        <v>567.9</v>
      </c>
      <c r="R1841">
        <v>40005</v>
      </c>
    </row>
    <row r="1842" spans="1:18" x14ac:dyDescent="0.25">
      <c r="A1842" s="169">
        <v>45205</v>
      </c>
      <c r="B1842" s="116">
        <v>193.333333333333</v>
      </c>
      <c r="C1842" s="116">
        <v>191.01666666666699</v>
      </c>
      <c r="D1842" s="116">
        <v>189.4</v>
      </c>
      <c r="E1842" s="116">
        <v>192.333333333333</v>
      </c>
      <c r="F1842" s="116">
        <v>573.04999999999995</v>
      </c>
      <c r="G1842">
        <v>1625</v>
      </c>
      <c r="H1842" s="116"/>
      <c r="I1842" s="116"/>
      <c r="L1842" s="169">
        <v>45205</v>
      </c>
      <c r="M1842" s="116">
        <v>191.15</v>
      </c>
      <c r="N1842" s="116">
        <v>192.066666666667</v>
      </c>
      <c r="O1842" s="116">
        <v>189.38333333333301</v>
      </c>
      <c r="P1842" s="116">
        <v>189.666666666667</v>
      </c>
      <c r="Q1842" s="116">
        <v>573.45000000000005</v>
      </c>
      <c r="R1842">
        <v>55558</v>
      </c>
    </row>
    <row r="1843" spans="1:18" x14ac:dyDescent="0.25">
      <c r="A1843" s="169">
        <v>45208</v>
      </c>
      <c r="B1843" s="116">
        <v>191.88333333333301</v>
      </c>
      <c r="C1843" s="116">
        <v>187.38333333333301</v>
      </c>
      <c r="D1843" s="116">
        <v>185.316666666667</v>
      </c>
      <c r="E1843" s="116">
        <v>187.35</v>
      </c>
      <c r="F1843" s="116">
        <v>562.15</v>
      </c>
      <c r="G1843">
        <v>2213</v>
      </c>
      <c r="H1843" s="116"/>
      <c r="I1843" s="116"/>
      <c r="L1843" s="169">
        <v>45208</v>
      </c>
      <c r="M1843" s="116">
        <v>188.25</v>
      </c>
      <c r="N1843" s="116">
        <v>192.11666666666699</v>
      </c>
      <c r="O1843" s="116">
        <v>185.45</v>
      </c>
      <c r="P1843" s="116">
        <v>190</v>
      </c>
      <c r="Q1843" s="116">
        <v>564.75</v>
      </c>
      <c r="R1843">
        <v>64675</v>
      </c>
    </row>
    <row r="1844" spans="1:18" x14ac:dyDescent="0.25">
      <c r="A1844" s="169">
        <v>45209</v>
      </c>
      <c r="B1844" s="116">
        <v>194.5</v>
      </c>
      <c r="C1844" s="116">
        <v>191.78333333333299</v>
      </c>
      <c r="D1844" s="116">
        <v>187.7</v>
      </c>
      <c r="E1844" s="116">
        <v>188.48333333333301</v>
      </c>
      <c r="F1844" s="116">
        <v>575.35</v>
      </c>
      <c r="G1844">
        <v>2510</v>
      </c>
      <c r="H1844" s="116"/>
      <c r="I1844" s="116"/>
      <c r="L1844" s="169">
        <v>45209</v>
      </c>
      <c r="M1844" s="116">
        <v>192.1</v>
      </c>
      <c r="N1844" s="116">
        <v>194.666666666667</v>
      </c>
      <c r="O1844" s="116">
        <v>187.01666666666699</v>
      </c>
      <c r="P1844" s="116">
        <v>188.583333333333</v>
      </c>
      <c r="Q1844" s="116">
        <v>576.29999999999995</v>
      </c>
      <c r="R1844">
        <v>73927</v>
      </c>
    </row>
    <row r="1845" spans="1:18" x14ac:dyDescent="0.25">
      <c r="A1845" s="169">
        <v>45210</v>
      </c>
      <c r="B1845" s="116">
        <v>194.98333333333301</v>
      </c>
      <c r="C1845" s="116">
        <v>189.76666666666699</v>
      </c>
      <c r="D1845" s="116">
        <v>188.816666666667</v>
      </c>
      <c r="E1845" s="116">
        <v>194.98333333333301</v>
      </c>
      <c r="F1845" s="116">
        <v>569.29999999999995</v>
      </c>
      <c r="G1845">
        <v>3010</v>
      </c>
      <c r="H1845" s="116"/>
      <c r="I1845" s="116"/>
      <c r="L1845" s="169">
        <v>45210</v>
      </c>
      <c r="M1845" s="116">
        <v>190.3</v>
      </c>
      <c r="N1845" s="116">
        <v>195.333333333333</v>
      </c>
      <c r="O1845" s="116">
        <v>188.78333333333299</v>
      </c>
      <c r="P1845" s="116">
        <v>193.65</v>
      </c>
      <c r="Q1845" s="116">
        <v>570.9</v>
      </c>
      <c r="R1845">
        <v>48448</v>
      </c>
    </row>
    <row r="1846" spans="1:18" x14ac:dyDescent="0.25">
      <c r="A1846" s="169">
        <v>45211</v>
      </c>
      <c r="B1846" s="116">
        <v>191.63333333333301</v>
      </c>
      <c r="C1846" s="116">
        <v>187.4</v>
      </c>
      <c r="D1846" s="116">
        <v>186.416666666667</v>
      </c>
      <c r="E1846" s="116">
        <v>189.01666666666699</v>
      </c>
      <c r="F1846" s="116">
        <v>562.20000000000005</v>
      </c>
      <c r="G1846">
        <v>3006</v>
      </c>
      <c r="H1846" s="116"/>
      <c r="I1846" s="116"/>
      <c r="L1846" s="169">
        <v>45211</v>
      </c>
      <c r="M1846" s="116">
        <v>188.683333333333</v>
      </c>
      <c r="N1846" s="116">
        <v>191.88333333333301</v>
      </c>
      <c r="O1846" s="116">
        <v>187.71666666666701</v>
      </c>
      <c r="P1846" s="116">
        <v>191.666666666667</v>
      </c>
      <c r="Q1846" s="116">
        <v>566.04999999999995</v>
      </c>
      <c r="R1846">
        <v>54229</v>
      </c>
    </row>
    <row r="1847" spans="1:18" x14ac:dyDescent="0.25">
      <c r="A1847" s="169">
        <v>45212</v>
      </c>
      <c r="B1847" s="116">
        <v>192.2</v>
      </c>
      <c r="C1847" s="116">
        <v>190.666666666667</v>
      </c>
      <c r="D1847" s="116">
        <v>187.65</v>
      </c>
      <c r="E1847" s="116">
        <v>189.683333333333</v>
      </c>
      <c r="F1847" s="116">
        <v>572</v>
      </c>
      <c r="G1847">
        <v>1750</v>
      </c>
      <c r="H1847" s="116"/>
      <c r="I1847" s="116"/>
      <c r="L1847" s="169">
        <v>45212</v>
      </c>
      <c r="M1847" s="116">
        <v>190.78333333333299</v>
      </c>
      <c r="N1847" s="116">
        <v>192</v>
      </c>
      <c r="O1847" s="116">
        <v>187.55</v>
      </c>
      <c r="P1847" s="116">
        <v>188.03333333333299</v>
      </c>
      <c r="Q1847" s="116">
        <v>572.35</v>
      </c>
      <c r="R1847">
        <v>65496</v>
      </c>
    </row>
    <row r="1848" spans="1:18" x14ac:dyDescent="0.25">
      <c r="A1848" s="169">
        <v>45215</v>
      </c>
      <c r="B1848" s="116">
        <v>192.3</v>
      </c>
      <c r="C1848" s="116">
        <v>190.083333333333</v>
      </c>
      <c r="D1848" s="116">
        <v>188.566666666667</v>
      </c>
      <c r="E1848" s="116">
        <v>190.78333333333299</v>
      </c>
      <c r="F1848" s="116">
        <v>570.25</v>
      </c>
      <c r="G1848">
        <v>1228</v>
      </c>
      <c r="H1848" s="116"/>
      <c r="I1848" s="116"/>
      <c r="L1848" s="169">
        <v>45215</v>
      </c>
      <c r="M1848" s="116">
        <v>190.11666666666699</v>
      </c>
      <c r="N1848" s="116">
        <v>192.03333333333299</v>
      </c>
      <c r="O1848" s="116">
        <v>188.35</v>
      </c>
      <c r="P1848" s="116">
        <v>190</v>
      </c>
      <c r="Q1848" s="116">
        <v>570.35</v>
      </c>
      <c r="R1848">
        <v>44696</v>
      </c>
    </row>
    <row r="1849" spans="1:18" x14ac:dyDescent="0.25">
      <c r="A1849" s="169">
        <v>45216</v>
      </c>
      <c r="B1849" s="116">
        <v>190.416666666667</v>
      </c>
      <c r="C1849" s="116">
        <v>190.05</v>
      </c>
      <c r="D1849" s="116">
        <v>186.666666666667</v>
      </c>
      <c r="E1849" s="116">
        <v>186.666666666667</v>
      </c>
      <c r="F1849" s="116">
        <v>570.15</v>
      </c>
      <c r="G1849">
        <v>1299</v>
      </c>
      <c r="H1849" s="116"/>
      <c r="I1849" s="116"/>
      <c r="L1849" s="169">
        <v>45216</v>
      </c>
      <c r="M1849" s="116">
        <v>190.11666666666699</v>
      </c>
      <c r="N1849" s="116">
        <v>191.28333333333299</v>
      </c>
      <c r="O1849" s="116">
        <v>187.683333333333</v>
      </c>
      <c r="P1849" s="116">
        <v>190.11666666666699</v>
      </c>
      <c r="Q1849" s="116">
        <v>570.35</v>
      </c>
      <c r="R1849">
        <v>47297</v>
      </c>
    </row>
    <row r="1850" spans="1:18" x14ac:dyDescent="0.25">
      <c r="A1850" s="169">
        <v>45217</v>
      </c>
      <c r="B1850" s="116">
        <v>192.25</v>
      </c>
      <c r="C1850" s="116">
        <v>191.46666666666701</v>
      </c>
      <c r="D1850" s="116">
        <v>180.55</v>
      </c>
      <c r="E1850" s="116">
        <v>188.666666666667</v>
      </c>
      <c r="F1850" s="116">
        <v>574.4</v>
      </c>
      <c r="G1850">
        <v>4332</v>
      </c>
      <c r="H1850" s="116"/>
      <c r="I1850" s="116"/>
      <c r="L1850" s="169">
        <v>45217</v>
      </c>
      <c r="M1850" s="116">
        <v>190.01666666666699</v>
      </c>
      <c r="N1850" s="116">
        <v>192.45</v>
      </c>
      <c r="O1850" s="116">
        <v>180</v>
      </c>
      <c r="P1850" s="116">
        <v>191.666666666667</v>
      </c>
      <c r="Q1850" s="116">
        <v>570.04999999999995</v>
      </c>
      <c r="R1850">
        <v>155233</v>
      </c>
    </row>
    <row r="1851" spans="1:18" x14ac:dyDescent="0.25">
      <c r="A1851" s="169">
        <v>45218</v>
      </c>
      <c r="B1851" s="116">
        <v>192.333333333333</v>
      </c>
      <c r="C1851" s="116">
        <v>186.9</v>
      </c>
      <c r="D1851" s="116">
        <v>186.13333333333301</v>
      </c>
      <c r="E1851" s="116">
        <v>191.46666666666701</v>
      </c>
      <c r="F1851" s="116">
        <v>560.70000000000005</v>
      </c>
      <c r="G1851">
        <v>5766</v>
      </c>
      <c r="H1851" s="116"/>
      <c r="I1851" s="116"/>
      <c r="L1851" s="169">
        <v>45218</v>
      </c>
      <c r="M1851" s="116">
        <v>187.35</v>
      </c>
      <c r="N1851" s="116">
        <v>190.933333333333</v>
      </c>
      <c r="O1851" s="116">
        <v>186.666666666667</v>
      </c>
      <c r="P1851" s="116">
        <v>190.01666666666699</v>
      </c>
      <c r="Q1851" s="116">
        <v>562.04999999999995</v>
      </c>
      <c r="R1851">
        <v>27807</v>
      </c>
    </row>
    <row r="1852" spans="1:18" x14ac:dyDescent="0.25">
      <c r="A1852" s="169">
        <v>45219</v>
      </c>
      <c r="B1852" s="116">
        <v>190.46666666666701</v>
      </c>
      <c r="C1852" s="116">
        <v>184.55</v>
      </c>
      <c r="D1852" s="116">
        <v>183.86666666666699</v>
      </c>
      <c r="E1852" s="116">
        <v>188.183333333333</v>
      </c>
      <c r="F1852" s="116">
        <v>553.65</v>
      </c>
      <c r="G1852">
        <v>2417</v>
      </c>
      <c r="H1852" s="116"/>
      <c r="I1852" s="116"/>
      <c r="L1852" s="169">
        <v>45219</v>
      </c>
      <c r="M1852" s="116">
        <v>184.316666666667</v>
      </c>
      <c r="N1852" s="116">
        <v>190.61666666666699</v>
      </c>
      <c r="O1852" s="116">
        <v>184</v>
      </c>
      <c r="P1852" s="116">
        <v>187.35</v>
      </c>
      <c r="Q1852" s="116">
        <v>552.95000000000005</v>
      </c>
      <c r="R1852">
        <v>33786</v>
      </c>
    </row>
    <row r="1853" spans="1:18" x14ac:dyDescent="0.25">
      <c r="A1853" s="169">
        <v>45222</v>
      </c>
      <c r="B1853" s="116">
        <v>184.666666666667</v>
      </c>
      <c r="C1853" s="116">
        <v>179.5</v>
      </c>
      <c r="D1853" s="116">
        <v>178</v>
      </c>
      <c r="E1853" s="116">
        <v>182.35</v>
      </c>
      <c r="F1853" s="116">
        <v>538.5</v>
      </c>
      <c r="G1853">
        <v>6138</v>
      </c>
      <c r="H1853" s="116"/>
      <c r="I1853" s="116"/>
      <c r="L1853" s="169">
        <v>45222</v>
      </c>
      <c r="M1853" s="116">
        <v>178.96666666666701</v>
      </c>
      <c r="N1853" s="116">
        <v>185.183333333333</v>
      </c>
      <c r="O1853" s="116">
        <v>178</v>
      </c>
      <c r="P1853" s="116">
        <v>184.36666666666699</v>
      </c>
      <c r="Q1853" s="116">
        <v>536.9</v>
      </c>
      <c r="R1853">
        <v>44272</v>
      </c>
    </row>
    <row r="1854" spans="1:18" x14ac:dyDescent="0.25">
      <c r="A1854" s="169">
        <v>45224</v>
      </c>
      <c r="B1854" s="116">
        <v>179.98333333333301</v>
      </c>
      <c r="C1854" s="116">
        <v>171.816666666667</v>
      </c>
      <c r="D1854" s="116">
        <v>170.35</v>
      </c>
      <c r="E1854" s="116">
        <v>178.2</v>
      </c>
      <c r="F1854" s="116">
        <v>515.45000000000005</v>
      </c>
      <c r="G1854">
        <v>6019</v>
      </c>
      <c r="H1854" s="116"/>
      <c r="I1854" s="116"/>
      <c r="L1854" s="169">
        <v>45224</v>
      </c>
      <c r="M1854" s="116">
        <v>172.53333333333299</v>
      </c>
      <c r="N1854" s="116">
        <v>180</v>
      </c>
      <c r="O1854" s="116">
        <v>170.7</v>
      </c>
      <c r="P1854" s="116">
        <v>177.53333333333299</v>
      </c>
      <c r="Q1854" s="116">
        <v>517.6</v>
      </c>
      <c r="R1854">
        <v>54216</v>
      </c>
    </row>
    <row r="1855" spans="1:18" x14ac:dyDescent="0.25">
      <c r="A1855" s="169">
        <v>45225</v>
      </c>
      <c r="B1855" s="116">
        <v>175.4</v>
      </c>
      <c r="C1855" s="116">
        <v>174.98333333333301</v>
      </c>
      <c r="D1855" s="116">
        <v>170.333333333333</v>
      </c>
      <c r="E1855" s="116">
        <v>170.95</v>
      </c>
      <c r="F1855" s="116">
        <v>524.95000000000005</v>
      </c>
      <c r="G1855">
        <v>2537</v>
      </c>
      <c r="H1855" s="116"/>
      <c r="I1855" s="116"/>
      <c r="L1855" s="169">
        <v>45225</v>
      </c>
      <c r="M1855" s="116">
        <v>175.166666666667</v>
      </c>
      <c r="N1855" s="116">
        <v>175.666666666667</v>
      </c>
      <c r="O1855" s="116">
        <v>168.933333333333</v>
      </c>
      <c r="P1855" s="116">
        <v>172.65</v>
      </c>
      <c r="Q1855" s="116">
        <v>525.5</v>
      </c>
      <c r="R1855">
        <v>51316</v>
      </c>
    </row>
    <row r="1856" spans="1:18" x14ac:dyDescent="0.25">
      <c r="A1856" s="169">
        <v>45226</v>
      </c>
      <c r="B1856" s="116">
        <v>180.03333333333299</v>
      </c>
      <c r="C1856" s="116">
        <v>179.7</v>
      </c>
      <c r="D1856" s="116">
        <v>176.28333333333299</v>
      </c>
      <c r="E1856" s="116">
        <v>176.28333333333299</v>
      </c>
      <c r="F1856" s="116">
        <v>539.1</v>
      </c>
      <c r="G1856">
        <v>1292</v>
      </c>
      <c r="H1856" s="116"/>
      <c r="I1856" s="116"/>
      <c r="L1856" s="169">
        <v>45226</v>
      </c>
      <c r="M1856" s="116">
        <v>179.46666666666701</v>
      </c>
      <c r="N1856" s="116">
        <v>180.45</v>
      </c>
      <c r="O1856" s="116">
        <v>176.03333333333299</v>
      </c>
      <c r="P1856" s="116">
        <v>176.05</v>
      </c>
      <c r="Q1856" s="116">
        <v>538.4</v>
      </c>
      <c r="R1856">
        <v>20493</v>
      </c>
    </row>
    <row r="1857" spans="1:18" x14ac:dyDescent="0.25">
      <c r="A1857" s="169">
        <v>45229</v>
      </c>
      <c r="B1857" s="116">
        <v>182.75</v>
      </c>
      <c r="C1857" s="116">
        <v>178.76666666666699</v>
      </c>
      <c r="D1857" s="116">
        <v>177.3</v>
      </c>
      <c r="E1857" s="116">
        <v>179.78333333333299</v>
      </c>
      <c r="F1857" s="116">
        <v>536.29999999999995</v>
      </c>
      <c r="G1857">
        <v>3600</v>
      </c>
      <c r="H1857" s="116"/>
      <c r="I1857" s="116"/>
      <c r="L1857" s="169">
        <v>45229</v>
      </c>
      <c r="M1857" s="116">
        <v>179.35</v>
      </c>
      <c r="N1857" s="116">
        <v>182.566666666667</v>
      </c>
      <c r="O1857" s="116">
        <v>176.85</v>
      </c>
      <c r="P1857" s="116">
        <v>179.46666666666701</v>
      </c>
      <c r="Q1857" s="116">
        <v>538.04999999999995</v>
      </c>
      <c r="R1857">
        <v>16559</v>
      </c>
    </row>
    <row r="1858" spans="1:18" x14ac:dyDescent="0.25">
      <c r="A1858" s="169">
        <v>45230</v>
      </c>
      <c r="B1858" s="116">
        <v>188.85</v>
      </c>
      <c r="C1858" s="116">
        <v>182.86666666666699</v>
      </c>
      <c r="D1858" s="116">
        <v>177.183333333333</v>
      </c>
      <c r="E1858" s="116">
        <v>179.35</v>
      </c>
      <c r="F1858" s="116">
        <v>548.6</v>
      </c>
      <c r="G1858">
        <v>2309</v>
      </c>
      <c r="H1858" s="116"/>
      <c r="I1858" s="116"/>
      <c r="L1858" s="169">
        <v>45230</v>
      </c>
      <c r="M1858" s="116">
        <v>183.1</v>
      </c>
      <c r="N1858" s="116">
        <v>189.666666666667</v>
      </c>
      <c r="O1858" s="116">
        <v>177.333333333333</v>
      </c>
      <c r="P1858" s="116">
        <v>179.98333333333301</v>
      </c>
      <c r="Q1858" s="116">
        <v>549.29999999999995</v>
      </c>
      <c r="R1858">
        <v>67521</v>
      </c>
    </row>
    <row r="1859" spans="1:18" x14ac:dyDescent="0.25">
      <c r="A1859" s="169">
        <v>45231</v>
      </c>
      <c r="B1859" s="116">
        <v>186.38333333333301</v>
      </c>
      <c r="C1859" s="116">
        <v>181.85</v>
      </c>
      <c r="D1859" s="116">
        <v>181.13333333333301</v>
      </c>
      <c r="E1859" s="116">
        <v>185.583333333333</v>
      </c>
      <c r="F1859" s="116">
        <v>545.54999999999995</v>
      </c>
      <c r="G1859">
        <v>4854</v>
      </c>
      <c r="H1859" s="116"/>
      <c r="I1859" s="116"/>
      <c r="L1859" s="169">
        <v>45231</v>
      </c>
      <c r="M1859" s="116">
        <v>182.21666666666701</v>
      </c>
      <c r="N1859" s="116">
        <v>186.333333333333</v>
      </c>
      <c r="O1859" s="116">
        <v>180.85</v>
      </c>
      <c r="P1859" s="116">
        <v>186.333333333333</v>
      </c>
      <c r="Q1859" s="116">
        <v>546.65</v>
      </c>
      <c r="R1859">
        <v>50496</v>
      </c>
    </row>
    <row r="1860" spans="1:18" x14ac:dyDescent="0.25">
      <c r="A1860" s="169">
        <v>45232</v>
      </c>
      <c r="B1860" s="116">
        <v>184.666666666667</v>
      </c>
      <c r="C1860" s="116">
        <v>182.53333333333299</v>
      </c>
      <c r="D1860" s="116">
        <v>181.88333333333301</v>
      </c>
      <c r="E1860" s="116">
        <v>181.933333333333</v>
      </c>
      <c r="F1860" s="116">
        <v>547.6</v>
      </c>
      <c r="G1860">
        <v>2760</v>
      </c>
      <c r="H1860" s="116"/>
      <c r="I1860" s="116"/>
      <c r="L1860" s="169">
        <v>45232</v>
      </c>
      <c r="M1860" s="116">
        <v>182.416666666667</v>
      </c>
      <c r="N1860" s="116">
        <v>184.88333333333301</v>
      </c>
      <c r="O1860" s="116">
        <v>181.433333333333</v>
      </c>
      <c r="P1860" s="116">
        <v>182.333333333333</v>
      </c>
      <c r="Q1860" s="116">
        <v>547.25</v>
      </c>
      <c r="R1860">
        <v>29204</v>
      </c>
    </row>
    <row r="1861" spans="1:18" x14ac:dyDescent="0.25">
      <c r="A1861" s="169">
        <v>45233</v>
      </c>
      <c r="B1861" s="116">
        <v>187.933333333333</v>
      </c>
      <c r="C1861" s="116">
        <v>183.01666666666699</v>
      </c>
      <c r="D1861" s="116">
        <v>181.666666666667</v>
      </c>
      <c r="E1861" s="116">
        <v>181.666666666667</v>
      </c>
      <c r="F1861" s="116">
        <v>549.04999999999995</v>
      </c>
      <c r="G1861">
        <v>3930</v>
      </c>
      <c r="H1861" s="116"/>
      <c r="I1861" s="116"/>
      <c r="L1861" s="169">
        <v>45233</v>
      </c>
      <c r="M1861" s="116">
        <v>183.166666666667</v>
      </c>
      <c r="N1861" s="116">
        <v>187.933333333333</v>
      </c>
      <c r="O1861" s="116">
        <v>180.666666666667</v>
      </c>
      <c r="P1861" s="116">
        <v>183.316666666667</v>
      </c>
      <c r="Q1861" s="116">
        <v>549.5</v>
      </c>
      <c r="R1861">
        <v>36074</v>
      </c>
    </row>
    <row r="1862" spans="1:18" x14ac:dyDescent="0.25">
      <c r="A1862" s="169">
        <v>45236</v>
      </c>
      <c r="B1862" s="116">
        <v>186.566666666667</v>
      </c>
      <c r="C1862" s="116">
        <v>182.8</v>
      </c>
      <c r="D1862" s="116">
        <v>180.01666666666699</v>
      </c>
      <c r="E1862" s="116">
        <v>180.01666666666699</v>
      </c>
      <c r="F1862" s="116">
        <v>548.4</v>
      </c>
      <c r="G1862">
        <v>1101</v>
      </c>
      <c r="H1862" s="116"/>
      <c r="I1862" s="116"/>
      <c r="L1862" s="169">
        <v>45236</v>
      </c>
      <c r="M1862" s="116">
        <v>182.9</v>
      </c>
      <c r="N1862" s="116">
        <v>186.73333333333301</v>
      </c>
      <c r="O1862" s="116">
        <v>182.316666666667</v>
      </c>
      <c r="P1862" s="116">
        <v>185.666666666667</v>
      </c>
      <c r="Q1862" s="116">
        <v>548.70000000000005</v>
      </c>
      <c r="R1862">
        <v>32503</v>
      </c>
    </row>
    <row r="1863" spans="1:18" x14ac:dyDescent="0.25">
      <c r="A1863" s="169">
        <v>45237</v>
      </c>
      <c r="B1863" s="116">
        <v>184.36666666666699</v>
      </c>
      <c r="C1863" s="116">
        <v>181.933333333333</v>
      </c>
      <c r="D1863" s="116">
        <v>181.36666666666699</v>
      </c>
      <c r="E1863" s="116">
        <v>182.15</v>
      </c>
      <c r="F1863" s="116">
        <v>545.79999999999995</v>
      </c>
      <c r="G1863">
        <v>782</v>
      </c>
      <c r="H1863" s="116"/>
      <c r="I1863" s="116"/>
      <c r="L1863" s="169">
        <v>45237</v>
      </c>
      <c r="M1863" s="116">
        <v>182.1</v>
      </c>
      <c r="N1863" s="116">
        <v>185</v>
      </c>
      <c r="O1863" s="116">
        <v>181.333333333333</v>
      </c>
      <c r="P1863" s="116">
        <v>183</v>
      </c>
      <c r="Q1863" s="116">
        <v>546.29999999999995</v>
      </c>
      <c r="R1863">
        <v>18083</v>
      </c>
    </row>
    <row r="1864" spans="1:18" x14ac:dyDescent="0.25">
      <c r="A1864" s="169">
        <v>45238</v>
      </c>
      <c r="B1864" s="116">
        <v>184.833333333333</v>
      </c>
      <c r="C1864" s="116">
        <v>181.166666666667</v>
      </c>
      <c r="D1864" s="116">
        <v>180.01666666666699</v>
      </c>
      <c r="E1864" s="116">
        <v>182.38333333333301</v>
      </c>
      <c r="F1864" s="116">
        <v>543.5</v>
      </c>
      <c r="G1864">
        <v>798</v>
      </c>
      <c r="H1864" s="116"/>
      <c r="I1864" s="116"/>
      <c r="L1864" s="169">
        <v>45238</v>
      </c>
      <c r="M1864" s="116">
        <v>180.85</v>
      </c>
      <c r="N1864" s="116">
        <v>184.96666666666701</v>
      </c>
      <c r="O1864" s="116">
        <v>180</v>
      </c>
      <c r="P1864" s="116">
        <v>182.316666666667</v>
      </c>
      <c r="Q1864" s="116">
        <v>542.54999999999995</v>
      </c>
      <c r="R1864">
        <v>27087</v>
      </c>
    </row>
    <row r="1865" spans="1:18" x14ac:dyDescent="0.25">
      <c r="A1865" s="169">
        <v>45239</v>
      </c>
      <c r="B1865" s="116">
        <v>183.35</v>
      </c>
      <c r="C1865" s="116">
        <v>182.2</v>
      </c>
      <c r="D1865" s="116">
        <v>179.25</v>
      </c>
      <c r="E1865" s="116">
        <v>182.166666666667</v>
      </c>
      <c r="F1865" s="116">
        <v>546.6</v>
      </c>
      <c r="G1865">
        <v>1748</v>
      </c>
      <c r="H1865" s="116"/>
      <c r="I1865" s="116"/>
      <c r="L1865" s="169">
        <v>45239</v>
      </c>
      <c r="M1865" s="116">
        <v>182.583333333333</v>
      </c>
      <c r="N1865" s="116">
        <v>183.35</v>
      </c>
      <c r="O1865" s="116">
        <v>180.01666666666699</v>
      </c>
      <c r="P1865" s="116">
        <v>183.316666666667</v>
      </c>
      <c r="Q1865" s="116">
        <v>547.75</v>
      </c>
      <c r="R1865">
        <v>21050</v>
      </c>
    </row>
    <row r="1866" spans="1:18" x14ac:dyDescent="0.25">
      <c r="A1866" s="169">
        <v>45240</v>
      </c>
      <c r="B1866" s="116">
        <v>185.75</v>
      </c>
      <c r="C1866" s="116">
        <v>183.816666666667</v>
      </c>
      <c r="D1866" s="116">
        <v>181.21666666666701</v>
      </c>
      <c r="E1866" s="116">
        <v>182.566666666667</v>
      </c>
      <c r="F1866" s="116">
        <v>551.45000000000005</v>
      </c>
      <c r="G1866">
        <v>4175</v>
      </c>
      <c r="H1866" s="116"/>
      <c r="I1866" s="116"/>
      <c r="L1866" s="169">
        <v>45240</v>
      </c>
      <c r="M1866" s="116">
        <v>183.78333333333299</v>
      </c>
      <c r="N1866" s="116">
        <v>186.333333333333</v>
      </c>
      <c r="O1866" s="116">
        <v>181.183333333333</v>
      </c>
      <c r="P1866" s="116">
        <v>182.583333333333</v>
      </c>
      <c r="Q1866" s="116">
        <v>551.35</v>
      </c>
      <c r="R1866">
        <v>27191</v>
      </c>
    </row>
    <row r="1867" spans="1:18" x14ac:dyDescent="0.25">
      <c r="A1867" s="169">
        <v>45242</v>
      </c>
      <c r="B1867" s="116">
        <v>184.15</v>
      </c>
      <c r="C1867" s="116">
        <v>183.26666666666699</v>
      </c>
      <c r="D1867" s="116">
        <v>180.183333333333</v>
      </c>
      <c r="E1867" s="116">
        <v>180.183333333333</v>
      </c>
      <c r="F1867" s="116">
        <v>549.79999999999995</v>
      </c>
      <c r="G1867">
        <v>1408</v>
      </c>
      <c r="H1867" s="116"/>
      <c r="I1867" s="116"/>
      <c r="L1867" s="169">
        <v>45242</v>
      </c>
      <c r="M1867" s="116">
        <v>183.15</v>
      </c>
      <c r="N1867" s="116">
        <v>183.9</v>
      </c>
      <c r="O1867" s="116">
        <v>182.666666666667</v>
      </c>
      <c r="P1867" s="116">
        <v>183.78333333333299</v>
      </c>
      <c r="Q1867" s="116">
        <v>549.45000000000005</v>
      </c>
      <c r="R1867">
        <v>8339</v>
      </c>
    </row>
    <row r="1868" spans="1:18" x14ac:dyDescent="0.25">
      <c r="A1868" s="169">
        <v>45243</v>
      </c>
      <c r="B1868" s="116">
        <v>183.28333333333299</v>
      </c>
      <c r="C1868" s="116">
        <v>180.7</v>
      </c>
      <c r="D1868" s="116">
        <v>180.066666666667</v>
      </c>
      <c r="E1868" s="116">
        <v>182.03333333333299</v>
      </c>
      <c r="F1868" s="116">
        <v>542.1</v>
      </c>
      <c r="G1868">
        <v>4073</v>
      </c>
      <c r="H1868" s="116"/>
      <c r="I1868" s="116"/>
      <c r="L1868" s="169">
        <v>45243</v>
      </c>
      <c r="M1868" s="116">
        <v>180.666666666667</v>
      </c>
      <c r="N1868" s="116">
        <v>183.6</v>
      </c>
      <c r="O1868" s="116">
        <v>180.01666666666699</v>
      </c>
      <c r="P1868" s="116">
        <v>183.15</v>
      </c>
      <c r="Q1868" s="116">
        <v>542</v>
      </c>
      <c r="R1868">
        <v>16919</v>
      </c>
    </row>
    <row r="1869" spans="1:18" x14ac:dyDescent="0.25">
      <c r="A1869" s="169">
        <v>45245</v>
      </c>
      <c r="B1869" s="116">
        <v>182.63333333333301</v>
      </c>
      <c r="C1869" s="116">
        <v>179.433333333333</v>
      </c>
      <c r="D1869" s="116">
        <v>177.65</v>
      </c>
      <c r="E1869" s="116">
        <v>180.65</v>
      </c>
      <c r="F1869" s="116">
        <v>538.29999999999995</v>
      </c>
      <c r="G1869">
        <v>4932</v>
      </c>
      <c r="H1869" s="116"/>
      <c r="I1869" s="116"/>
      <c r="L1869" s="169">
        <v>45245</v>
      </c>
      <c r="M1869" s="116">
        <v>179.53333333333299</v>
      </c>
      <c r="N1869" s="116">
        <v>181.78333333333299</v>
      </c>
      <c r="O1869" s="116">
        <v>178.666666666667</v>
      </c>
      <c r="P1869" s="116">
        <v>180</v>
      </c>
      <c r="Q1869" s="116">
        <v>538.6</v>
      </c>
      <c r="R1869">
        <v>36889</v>
      </c>
    </row>
    <row r="1870" spans="1:18" x14ac:dyDescent="0.25">
      <c r="A1870" s="169">
        <v>45246</v>
      </c>
      <c r="B1870" s="116">
        <v>182.416666666667</v>
      </c>
      <c r="C1870" s="116">
        <v>180.53333333333299</v>
      </c>
      <c r="D1870" s="116">
        <v>180</v>
      </c>
      <c r="E1870" s="116">
        <v>181.333333333333</v>
      </c>
      <c r="F1870" s="116">
        <v>541.6</v>
      </c>
      <c r="G1870">
        <v>868</v>
      </c>
      <c r="H1870" s="116"/>
      <c r="I1870" s="116"/>
      <c r="L1870" s="169">
        <v>45246</v>
      </c>
      <c r="M1870" s="116">
        <v>180.816666666667</v>
      </c>
      <c r="N1870" s="116">
        <v>182.8</v>
      </c>
      <c r="O1870" s="116">
        <v>179</v>
      </c>
      <c r="P1870" s="116">
        <v>181.6</v>
      </c>
      <c r="Q1870" s="116">
        <v>542.45000000000005</v>
      </c>
      <c r="R1870">
        <v>30032</v>
      </c>
    </row>
    <row r="1871" spans="1:18" x14ac:dyDescent="0.25">
      <c r="A1871" s="169">
        <v>45247</v>
      </c>
      <c r="B1871" s="116">
        <v>182.083333333333</v>
      </c>
      <c r="C1871" s="116">
        <v>178.36666666666699</v>
      </c>
      <c r="D1871" s="116">
        <v>177.65</v>
      </c>
      <c r="E1871" s="116">
        <v>181.88333333333301</v>
      </c>
      <c r="F1871" s="116">
        <v>535.1</v>
      </c>
      <c r="G1871">
        <v>1176</v>
      </c>
      <c r="H1871" s="116"/>
      <c r="I1871" s="116"/>
      <c r="L1871" s="169">
        <v>45247</v>
      </c>
      <c r="M1871" s="116">
        <v>178.583333333333</v>
      </c>
      <c r="N1871" s="116">
        <v>182.083333333333</v>
      </c>
      <c r="O1871" s="116">
        <v>177.833333333333</v>
      </c>
      <c r="P1871" s="116">
        <v>180.816666666667</v>
      </c>
      <c r="Q1871" s="116">
        <v>535.75</v>
      </c>
      <c r="R1871">
        <v>32887</v>
      </c>
    </row>
    <row r="1872" spans="1:18" x14ac:dyDescent="0.25">
      <c r="A1872" s="169">
        <v>45250</v>
      </c>
      <c r="B1872" s="116">
        <v>180.48333333333301</v>
      </c>
      <c r="C1872" s="116">
        <v>179.46666666666701</v>
      </c>
      <c r="D1872" s="116">
        <v>178.35</v>
      </c>
      <c r="E1872" s="116">
        <v>178.6</v>
      </c>
      <c r="F1872" s="116">
        <v>538.4</v>
      </c>
      <c r="G1872">
        <v>930</v>
      </c>
      <c r="H1872" s="116"/>
      <c r="I1872" s="116"/>
      <c r="L1872" s="169">
        <v>45250</v>
      </c>
      <c r="M1872" s="116">
        <v>178.7</v>
      </c>
      <c r="N1872" s="116">
        <v>180.65</v>
      </c>
      <c r="O1872" s="116">
        <v>178.35</v>
      </c>
      <c r="P1872" s="116">
        <v>179.316666666667</v>
      </c>
      <c r="Q1872" s="116">
        <v>536.1</v>
      </c>
      <c r="R1872">
        <v>18161</v>
      </c>
    </row>
    <row r="1873" spans="1:18" x14ac:dyDescent="0.25">
      <c r="A1873" s="169">
        <v>45251</v>
      </c>
      <c r="B1873" s="116">
        <v>183.333333333333</v>
      </c>
      <c r="C1873" s="116">
        <v>181.55</v>
      </c>
      <c r="D1873" s="116">
        <v>178.51666666666699</v>
      </c>
      <c r="E1873" s="116">
        <v>178.51666666666699</v>
      </c>
      <c r="F1873" s="116">
        <v>544.65</v>
      </c>
      <c r="G1873">
        <v>4949</v>
      </c>
      <c r="H1873" s="116"/>
      <c r="I1873" s="116"/>
      <c r="L1873" s="169">
        <v>45251</v>
      </c>
      <c r="M1873" s="116">
        <v>181.76666666666699</v>
      </c>
      <c r="N1873" s="116">
        <v>182.96666666666701</v>
      </c>
      <c r="O1873" s="116">
        <v>178.85</v>
      </c>
      <c r="P1873" s="116">
        <v>179.6</v>
      </c>
      <c r="Q1873" s="116">
        <v>545.29999999999995</v>
      </c>
      <c r="R1873">
        <v>35707</v>
      </c>
    </row>
    <row r="1874" spans="1:18" x14ac:dyDescent="0.25">
      <c r="A1874" s="169">
        <v>45252</v>
      </c>
      <c r="B1874" s="116">
        <v>188</v>
      </c>
      <c r="C1874" s="116">
        <v>186.38333333333301</v>
      </c>
      <c r="D1874" s="116">
        <v>181.683333333333</v>
      </c>
      <c r="E1874" s="116">
        <v>182.083333333333</v>
      </c>
      <c r="F1874" s="116">
        <v>559.15</v>
      </c>
      <c r="G1874">
        <v>2425</v>
      </c>
      <c r="H1874" s="116"/>
      <c r="I1874" s="116"/>
      <c r="L1874" s="169">
        <v>45252</v>
      </c>
      <c r="M1874" s="116">
        <v>186.8</v>
      </c>
      <c r="N1874" s="116">
        <v>188.333333333333</v>
      </c>
      <c r="O1874" s="116">
        <v>181.433333333333</v>
      </c>
      <c r="P1874" s="116">
        <v>181.933333333333</v>
      </c>
      <c r="Q1874" s="116">
        <v>560.4</v>
      </c>
      <c r="R1874">
        <v>86387</v>
      </c>
    </row>
    <row r="1875" spans="1:18" x14ac:dyDescent="0.25">
      <c r="A1875" s="169">
        <v>45253</v>
      </c>
      <c r="B1875" s="116">
        <v>190.11666666666699</v>
      </c>
      <c r="C1875" s="116">
        <v>183.63333333333301</v>
      </c>
      <c r="D1875" s="116">
        <v>182.53333333333299</v>
      </c>
      <c r="E1875" s="116">
        <v>190.11666666666699</v>
      </c>
      <c r="F1875" s="116">
        <v>550.9</v>
      </c>
      <c r="G1875">
        <v>1632</v>
      </c>
      <c r="H1875" s="116"/>
      <c r="I1875" s="116"/>
      <c r="L1875" s="169">
        <v>45253</v>
      </c>
      <c r="M1875" s="116">
        <v>183.48333333333301</v>
      </c>
      <c r="N1875" s="116">
        <v>188.88333333333301</v>
      </c>
      <c r="O1875" s="116">
        <v>182.7</v>
      </c>
      <c r="P1875" s="116">
        <v>188.333333333333</v>
      </c>
      <c r="Q1875" s="116">
        <v>550.45000000000005</v>
      </c>
      <c r="R1875">
        <v>34017</v>
      </c>
    </row>
    <row r="1876" spans="1:18" x14ac:dyDescent="0.25">
      <c r="A1876" s="169">
        <v>45254</v>
      </c>
      <c r="B1876" s="116">
        <v>190.666666666667</v>
      </c>
      <c r="C1876" s="116">
        <v>189.65</v>
      </c>
      <c r="D1876" s="116">
        <v>184.03333333333299</v>
      </c>
      <c r="E1876" s="116">
        <v>186.63333333333301</v>
      </c>
      <c r="F1876" s="116">
        <v>568.95000000000005</v>
      </c>
      <c r="G1876">
        <v>9673</v>
      </c>
      <c r="H1876" s="116"/>
      <c r="I1876" s="116"/>
      <c r="L1876" s="169">
        <v>45254</v>
      </c>
      <c r="M1876" s="116">
        <v>189.88333333333301</v>
      </c>
      <c r="N1876" s="116">
        <v>191.21666666666701</v>
      </c>
      <c r="O1876" s="116">
        <v>184.25</v>
      </c>
      <c r="P1876" s="116">
        <v>184.416666666667</v>
      </c>
      <c r="Q1876" s="116">
        <v>569.65</v>
      </c>
      <c r="R1876">
        <v>96631</v>
      </c>
    </row>
    <row r="1877" spans="1:18" x14ac:dyDescent="0.25">
      <c r="A1877" s="169">
        <v>45258</v>
      </c>
      <c r="B1877" s="116">
        <v>194.1</v>
      </c>
      <c r="C1877" s="116">
        <v>189.88333333333301</v>
      </c>
      <c r="D1877" s="116">
        <v>188.28333333333299</v>
      </c>
      <c r="E1877" s="116">
        <v>190</v>
      </c>
      <c r="F1877" s="116">
        <v>569.65</v>
      </c>
      <c r="G1877">
        <v>1415</v>
      </c>
      <c r="H1877" s="116"/>
      <c r="I1877" s="116"/>
      <c r="L1877" s="169">
        <v>45258</v>
      </c>
      <c r="M1877" s="116">
        <v>189.816666666667</v>
      </c>
      <c r="N1877" s="116">
        <v>192.21666666666701</v>
      </c>
      <c r="O1877" s="116">
        <v>188</v>
      </c>
      <c r="P1877" s="116">
        <v>189.933333333333</v>
      </c>
      <c r="Q1877" s="116">
        <v>569.45000000000005</v>
      </c>
      <c r="R1877">
        <v>40784</v>
      </c>
    </row>
    <row r="1878" spans="1:18" x14ac:dyDescent="0.25">
      <c r="A1878" s="169">
        <v>45259</v>
      </c>
      <c r="B1878" s="116">
        <v>190.166666666667</v>
      </c>
      <c r="C1878" s="116">
        <v>187.98333333333301</v>
      </c>
      <c r="D1878" s="116">
        <v>184.75</v>
      </c>
      <c r="E1878" s="116">
        <v>184.75</v>
      </c>
      <c r="F1878" s="116">
        <v>563.95000000000005</v>
      </c>
      <c r="G1878">
        <v>3183</v>
      </c>
      <c r="H1878" s="116"/>
      <c r="I1878" s="116"/>
      <c r="L1878" s="169">
        <v>45259</v>
      </c>
      <c r="M1878" s="116">
        <v>187.95</v>
      </c>
      <c r="N1878" s="116">
        <v>189.9</v>
      </c>
      <c r="O1878" s="116">
        <v>186.7</v>
      </c>
      <c r="P1878" s="116">
        <v>187.183333333333</v>
      </c>
      <c r="Q1878" s="116">
        <v>563.85</v>
      </c>
      <c r="R1878">
        <v>47903</v>
      </c>
    </row>
    <row r="1879" spans="1:18" x14ac:dyDescent="0.25">
      <c r="A1879" s="169">
        <v>45260</v>
      </c>
      <c r="B1879" s="116">
        <v>188.98333333333301</v>
      </c>
      <c r="C1879" s="116">
        <v>185.683333333333</v>
      </c>
      <c r="D1879" s="116">
        <v>184.65</v>
      </c>
      <c r="E1879" s="116">
        <v>187.46666666666701</v>
      </c>
      <c r="F1879" s="116">
        <v>557.04999999999995</v>
      </c>
      <c r="G1879">
        <v>5149</v>
      </c>
      <c r="H1879" s="116"/>
      <c r="I1879" s="116"/>
      <c r="L1879" s="169">
        <v>45260</v>
      </c>
      <c r="M1879" s="116">
        <v>186.65</v>
      </c>
      <c r="N1879" s="116">
        <v>188.9</v>
      </c>
      <c r="O1879" s="116">
        <v>184.1</v>
      </c>
      <c r="P1879" s="116">
        <v>188.9</v>
      </c>
      <c r="Q1879" s="116">
        <v>559.95000000000005</v>
      </c>
      <c r="R1879">
        <v>52635</v>
      </c>
    </row>
    <row r="1880" spans="1:18" x14ac:dyDescent="0.25">
      <c r="A1880" s="169">
        <v>45261</v>
      </c>
      <c r="B1880" s="116">
        <v>189.183333333333</v>
      </c>
      <c r="C1880" s="116">
        <v>188.45</v>
      </c>
      <c r="D1880" s="116">
        <v>185.78333333333299</v>
      </c>
      <c r="E1880" s="116">
        <v>186.88333333333301</v>
      </c>
      <c r="F1880" s="116">
        <v>565.35</v>
      </c>
      <c r="G1880">
        <v>659</v>
      </c>
      <c r="H1880" s="116"/>
      <c r="I1880" s="116"/>
      <c r="L1880" s="169">
        <v>45261</v>
      </c>
      <c r="M1880" s="116">
        <v>188.78333333333299</v>
      </c>
      <c r="N1880" s="116">
        <v>189.333333333333</v>
      </c>
      <c r="O1880" s="116">
        <v>185.316666666667</v>
      </c>
      <c r="P1880" s="116">
        <v>187</v>
      </c>
      <c r="Q1880" s="116">
        <v>566.35</v>
      </c>
      <c r="R1880">
        <v>52532</v>
      </c>
    </row>
    <row r="1881" spans="1:18" x14ac:dyDescent="0.25">
      <c r="A1881" s="169">
        <v>45264</v>
      </c>
      <c r="B1881" s="116">
        <v>194</v>
      </c>
      <c r="C1881" s="116">
        <v>193.23333333333301</v>
      </c>
      <c r="D1881" s="116">
        <v>188.3</v>
      </c>
      <c r="E1881" s="116">
        <v>193.85</v>
      </c>
      <c r="F1881" s="116">
        <v>579.70000000000005</v>
      </c>
      <c r="G1881">
        <v>3682</v>
      </c>
      <c r="H1881" s="116"/>
      <c r="I1881" s="116"/>
      <c r="L1881" s="169">
        <v>45264</v>
      </c>
      <c r="M1881" s="116">
        <v>193.416666666667</v>
      </c>
      <c r="N1881" s="116">
        <v>194.5</v>
      </c>
      <c r="O1881" s="116">
        <v>188.46666666666701</v>
      </c>
      <c r="P1881" s="116">
        <v>190</v>
      </c>
      <c r="Q1881" s="116">
        <v>580.25</v>
      </c>
      <c r="R1881">
        <v>81052</v>
      </c>
    </row>
    <row r="1882" spans="1:18" x14ac:dyDescent="0.25">
      <c r="A1882" s="169">
        <v>45265</v>
      </c>
      <c r="B1882" s="116">
        <v>196.38333333333301</v>
      </c>
      <c r="C1882" s="116">
        <v>195.26666666666699</v>
      </c>
      <c r="D1882" s="116">
        <v>191.05</v>
      </c>
      <c r="E1882" s="116">
        <v>191.05</v>
      </c>
      <c r="F1882" s="116">
        <v>585.79999999999995</v>
      </c>
      <c r="G1882">
        <v>4536</v>
      </c>
      <c r="H1882" s="116"/>
      <c r="I1882" s="116"/>
      <c r="L1882" s="169">
        <v>45265</v>
      </c>
      <c r="M1882" s="116">
        <v>195.15</v>
      </c>
      <c r="N1882" s="116">
        <v>196.316666666667</v>
      </c>
      <c r="O1882" s="116">
        <v>192.28333333333299</v>
      </c>
      <c r="P1882" s="116">
        <v>195</v>
      </c>
      <c r="Q1882" s="116">
        <v>585.45000000000005</v>
      </c>
      <c r="R1882">
        <v>126718</v>
      </c>
    </row>
    <row r="1883" spans="1:18" x14ac:dyDescent="0.25">
      <c r="A1883" s="169">
        <v>45266</v>
      </c>
      <c r="B1883" s="116">
        <v>209.666666666667</v>
      </c>
      <c r="C1883" s="116">
        <v>205.98333333333301</v>
      </c>
      <c r="D1883" s="116">
        <v>199.28333333333299</v>
      </c>
      <c r="E1883" s="116">
        <v>201</v>
      </c>
      <c r="F1883" s="116">
        <v>617.95000000000005</v>
      </c>
      <c r="G1883">
        <v>74215</v>
      </c>
      <c r="H1883" s="116"/>
      <c r="I1883" s="116"/>
      <c r="L1883" s="169">
        <v>45266</v>
      </c>
      <c r="M1883" s="116">
        <v>205.933333333333</v>
      </c>
      <c r="N1883" s="116">
        <v>209.98333333333301</v>
      </c>
      <c r="O1883" s="116">
        <v>199.666666666667</v>
      </c>
      <c r="P1883" s="116">
        <v>204.45</v>
      </c>
      <c r="Q1883" s="116">
        <v>617.79999999999995</v>
      </c>
      <c r="R1883">
        <v>729286</v>
      </c>
    </row>
    <row r="1884" spans="1:18" x14ac:dyDescent="0.25">
      <c r="A1884" s="169">
        <v>45267</v>
      </c>
      <c r="B1884" s="116">
        <v>211.666666666667</v>
      </c>
      <c r="C1884" s="116">
        <v>206.75</v>
      </c>
      <c r="D1884" s="116">
        <v>204.916666666667</v>
      </c>
      <c r="E1884" s="116">
        <v>206.01666666666699</v>
      </c>
      <c r="F1884" s="116">
        <v>620.25</v>
      </c>
      <c r="G1884">
        <v>22230</v>
      </c>
      <c r="H1884" s="116"/>
      <c r="I1884" s="116"/>
      <c r="L1884" s="169">
        <v>45267</v>
      </c>
      <c r="M1884" s="116">
        <v>206.75</v>
      </c>
      <c r="N1884" s="116">
        <v>211.8</v>
      </c>
      <c r="O1884" s="116">
        <v>205.11666666666699</v>
      </c>
      <c r="P1884" s="116">
        <v>206.55</v>
      </c>
      <c r="Q1884" s="116">
        <v>620.25</v>
      </c>
      <c r="R1884">
        <v>135679</v>
      </c>
    </row>
    <row r="1885" spans="1:18" x14ac:dyDescent="0.25">
      <c r="A1885" s="169">
        <v>45268</v>
      </c>
      <c r="B1885" s="116">
        <v>210.5</v>
      </c>
      <c r="C1885" s="116">
        <v>202.933333333333</v>
      </c>
      <c r="D1885" s="116">
        <v>201.11666666666699</v>
      </c>
      <c r="E1885" s="116">
        <v>206.316666666667</v>
      </c>
      <c r="F1885" s="116">
        <v>608.79999999999995</v>
      </c>
      <c r="G1885">
        <v>19858</v>
      </c>
      <c r="H1885" s="116"/>
      <c r="I1885" s="116"/>
      <c r="L1885" s="169">
        <v>45268</v>
      </c>
      <c r="M1885" s="116">
        <v>203.15</v>
      </c>
      <c r="N1885" s="116">
        <v>211</v>
      </c>
      <c r="O1885" s="116">
        <v>201.333333333333</v>
      </c>
      <c r="P1885" s="116">
        <v>205</v>
      </c>
      <c r="Q1885" s="116">
        <v>609.45000000000005</v>
      </c>
      <c r="R1885">
        <v>111170</v>
      </c>
    </row>
    <row r="1886" spans="1:18" x14ac:dyDescent="0.25">
      <c r="A1886" s="169">
        <v>45271</v>
      </c>
      <c r="B1886" s="116">
        <v>205.683333333333</v>
      </c>
      <c r="C1886" s="116">
        <v>204.333333333333</v>
      </c>
      <c r="D1886" s="116">
        <v>200.333333333333</v>
      </c>
      <c r="E1886" s="116">
        <v>203.35</v>
      </c>
      <c r="F1886" s="116">
        <v>613</v>
      </c>
      <c r="G1886">
        <v>5721</v>
      </c>
      <c r="H1886" s="116"/>
      <c r="I1886" s="116"/>
      <c r="L1886" s="169">
        <v>45271</v>
      </c>
      <c r="M1886" s="116">
        <v>204.45</v>
      </c>
      <c r="N1886" s="116">
        <v>205.683333333333</v>
      </c>
      <c r="O1886" s="116">
        <v>200.166666666667</v>
      </c>
      <c r="P1886" s="116">
        <v>204.316666666667</v>
      </c>
      <c r="Q1886" s="116">
        <v>613.35</v>
      </c>
      <c r="R1886">
        <v>73884</v>
      </c>
    </row>
    <row r="1887" spans="1:18" x14ac:dyDescent="0.25">
      <c r="A1887" s="169">
        <v>45272</v>
      </c>
      <c r="B1887" s="116">
        <v>208.333333333333</v>
      </c>
      <c r="C1887" s="116">
        <v>204.25</v>
      </c>
      <c r="D1887" s="116">
        <v>203</v>
      </c>
      <c r="E1887" s="116">
        <v>204.333333333333</v>
      </c>
      <c r="F1887" s="116">
        <v>612.75</v>
      </c>
      <c r="G1887">
        <v>2821</v>
      </c>
      <c r="H1887" s="116"/>
      <c r="I1887" s="116"/>
      <c r="L1887" s="169">
        <v>45272</v>
      </c>
      <c r="M1887" s="116">
        <v>204.26666666666699</v>
      </c>
      <c r="N1887" s="116">
        <v>208.85</v>
      </c>
      <c r="O1887" s="116">
        <v>202.833333333333</v>
      </c>
      <c r="P1887" s="116">
        <v>203.6</v>
      </c>
      <c r="Q1887" s="116">
        <v>612.79999999999995</v>
      </c>
      <c r="R1887">
        <v>40476</v>
      </c>
    </row>
    <row r="1888" spans="1:18" x14ac:dyDescent="0.25">
      <c r="A1888" s="169">
        <v>45273</v>
      </c>
      <c r="B1888" s="116">
        <v>208.5</v>
      </c>
      <c r="C1888" s="116">
        <v>207.03333333333299</v>
      </c>
      <c r="D1888" s="116">
        <v>201.9</v>
      </c>
      <c r="E1888" s="116">
        <v>204.5</v>
      </c>
      <c r="F1888" s="116">
        <v>621.1</v>
      </c>
      <c r="G1888">
        <v>4134</v>
      </c>
      <c r="H1888" s="116"/>
      <c r="I1888" s="116"/>
      <c r="L1888" s="169">
        <v>45273</v>
      </c>
      <c r="M1888" s="116">
        <v>206.7</v>
      </c>
      <c r="N1888" s="116">
        <v>208.3</v>
      </c>
      <c r="O1888" s="116">
        <v>202</v>
      </c>
      <c r="P1888" s="116">
        <v>205.3</v>
      </c>
      <c r="Q1888" s="116">
        <v>620.1</v>
      </c>
      <c r="R1888">
        <v>64816</v>
      </c>
    </row>
    <row r="1889" spans="1:18" x14ac:dyDescent="0.25">
      <c r="A1889" s="169">
        <v>45274</v>
      </c>
      <c r="B1889" s="116">
        <v>210.98333333333301</v>
      </c>
      <c r="C1889" s="116">
        <v>207.75</v>
      </c>
      <c r="D1889" s="116">
        <v>203.48333333333301</v>
      </c>
      <c r="E1889" s="116">
        <v>210</v>
      </c>
      <c r="F1889" s="116">
        <v>623.25</v>
      </c>
      <c r="G1889">
        <v>10952</v>
      </c>
      <c r="H1889" s="116"/>
      <c r="I1889" s="116"/>
      <c r="L1889" s="169">
        <v>45274</v>
      </c>
      <c r="M1889" s="116">
        <v>208.61666666666699</v>
      </c>
      <c r="N1889" s="116">
        <v>211.333333333333</v>
      </c>
      <c r="O1889" s="116">
        <v>203.38333333333301</v>
      </c>
      <c r="P1889" s="116">
        <v>210</v>
      </c>
      <c r="Q1889" s="116">
        <v>625.85</v>
      </c>
      <c r="R1889">
        <v>72022</v>
      </c>
    </row>
    <row r="1890" spans="1:18" x14ac:dyDescent="0.25">
      <c r="A1890" s="169">
        <v>45275</v>
      </c>
      <c r="B1890" s="116">
        <v>209.98333333333301</v>
      </c>
      <c r="C1890" s="116">
        <v>208.666666666667</v>
      </c>
      <c r="D1890" s="116">
        <v>206.933333333333</v>
      </c>
      <c r="E1890" s="116">
        <v>209.98333333333301</v>
      </c>
      <c r="F1890" s="116">
        <v>626</v>
      </c>
      <c r="G1890">
        <v>2943</v>
      </c>
      <c r="H1890" s="116"/>
      <c r="I1890" s="116"/>
      <c r="L1890" s="169">
        <v>45275</v>
      </c>
      <c r="M1890" s="116">
        <v>208.51666666666699</v>
      </c>
      <c r="N1890" s="116">
        <v>209.666666666667</v>
      </c>
      <c r="O1890" s="116">
        <v>206.666666666667</v>
      </c>
      <c r="P1890" s="116">
        <v>208.95</v>
      </c>
      <c r="Q1890" s="116">
        <v>625.54999999999995</v>
      </c>
      <c r="R1890">
        <v>47718</v>
      </c>
    </row>
    <row r="1891" spans="1:18" x14ac:dyDescent="0.25">
      <c r="A1891" s="169">
        <v>45278</v>
      </c>
      <c r="B1891" s="116">
        <v>209.48333333333301</v>
      </c>
      <c r="C1891" s="116">
        <v>205.13333333333301</v>
      </c>
      <c r="D1891" s="116">
        <v>202.433333333333</v>
      </c>
      <c r="E1891" s="116">
        <v>208.03333333333299</v>
      </c>
      <c r="F1891" s="116">
        <v>615.4</v>
      </c>
      <c r="G1891">
        <v>12634</v>
      </c>
      <c r="H1891" s="116"/>
      <c r="I1891" s="116"/>
      <c r="L1891" s="169">
        <v>45278</v>
      </c>
      <c r="M1891" s="116">
        <v>205.23333333333301</v>
      </c>
      <c r="N1891" s="116">
        <v>209.65</v>
      </c>
      <c r="O1891" s="116">
        <v>204.333333333333</v>
      </c>
      <c r="P1891" s="116">
        <v>209.65</v>
      </c>
      <c r="Q1891" s="116">
        <v>615.70000000000005</v>
      </c>
      <c r="R1891">
        <v>48538</v>
      </c>
    </row>
    <row r="1892" spans="1:18" x14ac:dyDescent="0.25">
      <c r="A1892" s="169">
        <v>45279</v>
      </c>
      <c r="B1892" s="116">
        <v>216.333333333333</v>
      </c>
      <c r="C1892" s="116">
        <v>212.21666666666701</v>
      </c>
      <c r="D1892" s="116">
        <v>207.45</v>
      </c>
      <c r="E1892" s="116">
        <v>208.46666666666701</v>
      </c>
      <c r="F1892" s="116">
        <v>636.65</v>
      </c>
      <c r="G1892">
        <v>9251</v>
      </c>
      <c r="H1892" s="116"/>
      <c r="I1892" s="116"/>
      <c r="L1892" s="169">
        <v>45279</v>
      </c>
      <c r="M1892" s="116">
        <v>212.53333333333299</v>
      </c>
      <c r="N1892" s="116">
        <v>216.666666666667</v>
      </c>
      <c r="O1892" s="116">
        <v>206.3</v>
      </c>
      <c r="P1892" s="116">
        <v>209.9</v>
      </c>
      <c r="Q1892" s="116">
        <v>637.6</v>
      </c>
      <c r="R1892">
        <v>252454</v>
      </c>
    </row>
    <row r="1893" spans="1:18" x14ac:dyDescent="0.25">
      <c r="A1893" s="169">
        <v>45280</v>
      </c>
      <c r="B1893" s="116">
        <v>221.8</v>
      </c>
      <c r="C1893" s="116">
        <v>204.8</v>
      </c>
      <c r="D1893" s="116">
        <v>203.5</v>
      </c>
      <c r="E1893" s="116">
        <v>214.316666666667</v>
      </c>
      <c r="F1893" s="116">
        <v>614.4</v>
      </c>
      <c r="G1893">
        <v>18509</v>
      </c>
      <c r="H1893" s="116"/>
      <c r="I1893" s="116"/>
      <c r="L1893" s="169">
        <v>45280</v>
      </c>
      <c r="M1893" s="116">
        <v>204.666666666667</v>
      </c>
      <c r="N1893" s="116">
        <v>222.15</v>
      </c>
      <c r="O1893" s="116">
        <v>203.35</v>
      </c>
      <c r="P1893" s="116">
        <v>216</v>
      </c>
      <c r="Q1893" s="116">
        <v>614</v>
      </c>
      <c r="R1893">
        <v>210824</v>
      </c>
    </row>
    <row r="1894" spans="1:18" x14ac:dyDescent="0.25">
      <c r="A1894" s="169">
        <v>45281</v>
      </c>
      <c r="B1894" s="116">
        <v>224.666666666667</v>
      </c>
      <c r="C1894" s="116">
        <v>219.566666666667</v>
      </c>
      <c r="D1894" s="116">
        <v>201.28333333333299</v>
      </c>
      <c r="E1894" s="116">
        <v>202.45</v>
      </c>
      <c r="F1894" s="116">
        <v>658.7</v>
      </c>
      <c r="G1894">
        <v>72584</v>
      </c>
      <c r="H1894" s="116"/>
      <c r="I1894" s="116"/>
      <c r="L1894" s="169">
        <v>45281</v>
      </c>
      <c r="M1894" s="116">
        <v>219.55</v>
      </c>
      <c r="N1894" s="116">
        <v>225</v>
      </c>
      <c r="O1894" s="116">
        <v>201.71666666666701</v>
      </c>
      <c r="P1894" s="116">
        <v>202.666666666667</v>
      </c>
      <c r="Q1894" s="116">
        <v>658.65</v>
      </c>
      <c r="R1894">
        <v>840574</v>
      </c>
    </row>
    <row r="1895" spans="1:18" x14ac:dyDescent="0.25">
      <c r="A1895" s="169">
        <v>45282</v>
      </c>
      <c r="B1895" s="116">
        <v>229.4</v>
      </c>
      <c r="C1895" s="116">
        <v>225.13333333333301</v>
      </c>
      <c r="D1895" s="116">
        <v>222.666666666667</v>
      </c>
      <c r="E1895" s="116">
        <v>226.46666666666701</v>
      </c>
      <c r="F1895" s="116">
        <v>675.4</v>
      </c>
      <c r="G1895">
        <v>60079</v>
      </c>
      <c r="H1895" s="116"/>
      <c r="I1895" s="116"/>
      <c r="L1895" s="169">
        <v>45282</v>
      </c>
      <c r="M1895" s="116">
        <v>225.25</v>
      </c>
      <c r="N1895" s="116">
        <v>229.98333333333301</v>
      </c>
      <c r="O1895" s="116">
        <v>222.666666666667</v>
      </c>
      <c r="P1895" s="116">
        <v>226.35</v>
      </c>
      <c r="Q1895" s="116">
        <v>675.75</v>
      </c>
      <c r="R1895">
        <v>368068</v>
      </c>
    </row>
    <row r="1896" spans="1:18" x14ac:dyDescent="0.25">
      <c r="A1896" s="169">
        <v>45286</v>
      </c>
      <c r="B1896" s="116">
        <v>228.11666666666699</v>
      </c>
      <c r="C1896" s="116">
        <v>222.066666666667</v>
      </c>
      <c r="D1896" s="116">
        <v>220.3</v>
      </c>
      <c r="E1896" s="116">
        <v>228.11666666666699</v>
      </c>
      <c r="F1896" s="116">
        <v>666.2</v>
      </c>
      <c r="G1896">
        <v>9442</v>
      </c>
      <c r="H1896" s="116"/>
      <c r="I1896" s="116"/>
      <c r="L1896" s="169">
        <v>45286</v>
      </c>
      <c r="M1896" s="116">
        <v>221.85</v>
      </c>
      <c r="N1896" s="116">
        <v>227.333333333333</v>
      </c>
      <c r="O1896" s="116">
        <v>220.45</v>
      </c>
      <c r="P1896" s="116">
        <v>227.333333333333</v>
      </c>
      <c r="Q1896" s="116">
        <v>665.55</v>
      </c>
      <c r="R1896">
        <v>116257</v>
      </c>
    </row>
    <row r="1897" spans="1:18" x14ac:dyDescent="0.25">
      <c r="A1897" s="169">
        <v>45287</v>
      </c>
      <c r="B1897" s="116">
        <v>224.01666666666699</v>
      </c>
      <c r="C1897" s="116">
        <v>217.433333333333</v>
      </c>
      <c r="D1897" s="116">
        <v>216.2</v>
      </c>
      <c r="E1897" s="116">
        <v>223.583333333333</v>
      </c>
      <c r="F1897" s="116">
        <v>652.29999999999995</v>
      </c>
      <c r="G1897">
        <v>28672</v>
      </c>
      <c r="H1897" s="116"/>
      <c r="I1897" s="116"/>
      <c r="L1897" s="169">
        <v>45287</v>
      </c>
      <c r="M1897" s="116">
        <v>217.13333333333301</v>
      </c>
      <c r="N1897" s="116">
        <v>223.95</v>
      </c>
      <c r="O1897" s="116">
        <v>216.083333333333</v>
      </c>
      <c r="P1897" s="116">
        <v>223.333333333333</v>
      </c>
      <c r="Q1897" s="116">
        <v>651.4</v>
      </c>
      <c r="R1897">
        <v>97833</v>
      </c>
    </row>
    <row r="1898" spans="1:18" x14ac:dyDescent="0.25">
      <c r="A1898" s="169">
        <v>45288</v>
      </c>
      <c r="B1898" s="116">
        <v>220.78333333333299</v>
      </c>
      <c r="C1898" s="116">
        <v>218.88333333333301</v>
      </c>
      <c r="D1898" s="116">
        <v>217.666666666667</v>
      </c>
      <c r="E1898" s="116">
        <v>218.98333333333301</v>
      </c>
      <c r="F1898" s="116">
        <v>656.65</v>
      </c>
      <c r="G1898">
        <v>11465</v>
      </c>
      <c r="H1898" s="116"/>
      <c r="I1898" s="116"/>
      <c r="L1898" s="169">
        <v>45288</v>
      </c>
      <c r="M1898" s="116">
        <v>218.666666666667</v>
      </c>
      <c r="N1898" s="116">
        <v>220.65</v>
      </c>
      <c r="O1898" s="116">
        <v>217.13333333333301</v>
      </c>
      <c r="P1898" s="116">
        <v>218</v>
      </c>
      <c r="Q1898" s="116">
        <v>656</v>
      </c>
      <c r="R1898">
        <v>42228</v>
      </c>
    </row>
    <row r="1899" spans="1:18" x14ac:dyDescent="0.25">
      <c r="A1899" s="169">
        <v>45289</v>
      </c>
      <c r="B1899" s="116">
        <v>219.433333333333</v>
      </c>
      <c r="C1899" s="116">
        <v>214.5</v>
      </c>
      <c r="D1899" s="116">
        <v>213.35</v>
      </c>
      <c r="E1899" s="116">
        <v>219.433333333333</v>
      </c>
      <c r="F1899" s="116">
        <v>643.5</v>
      </c>
      <c r="G1899">
        <v>14508</v>
      </c>
      <c r="H1899" s="116"/>
      <c r="I1899" s="116"/>
      <c r="L1899" s="169">
        <v>45289</v>
      </c>
      <c r="M1899" s="116">
        <v>214.51666666666699</v>
      </c>
      <c r="N1899" s="116">
        <v>219.2</v>
      </c>
      <c r="O1899" s="116">
        <v>213.38333333333301</v>
      </c>
      <c r="P1899" s="116">
        <v>219.2</v>
      </c>
      <c r="Q1899" s="116">
        <v>643.54999999999995</v>
      </c>
      <c r="R1899">
        <v>65578</v>
      </c>
    </row>
    <row r="1900" spans="1:18" x14ac:dyDescent="0.25">
      <c r="A1900" s="169">
        <v>45292</v>
      </c>
      <c r="B1900" s="116">
        <v>218.333333333333</v>
      </c>
      <c r="C1900" s="116">
        <v>216.71666666666701</v>
      </c>
      <c r="D1900" s="116">
        <v>214.45</v>
      </c>
      <c r="E1900" s="116">
        <v>214.5</v>
      </c>
      <c r="F1900" s="116">
        <v>650.15</v>
      </c>
      <c r="G1900">
        <v>4718</v>
      </c>
      <c r="H1900" s="116"/>
      <c r="I1900" s="116"/>
      <c r="L1900" s="169">
        <v>45292</v>
      </c>
      <c r="M1900" s="116">
        <v>217.45</v>
      </c>
      <c r="N1900" s="116">
        <v>218.666666666667</v>
      </c>
      <c r="O1900" s="116">
        <v>214.46666666666701</v>
      </c>
      <c r="P1900" s="116">
        <v>214.73333333333301</v>
      </c>
      <c r="Q1900" s="116">
        <v>652.35</v>
      </c>
      <c r="R1900">
        <v>47712</v>
      </c>
    </row>
    <row r="1901" spans="1:18" x14ac:dyDescent="0.25">
      <c r="A1901" s="169">
        <v>45293</v>
      </c>
      <c r="B1901" s="116">
        <v>222.15</v>
      </c>
      <c r="C1901" s="116">
        <v>220.88333333333301</v>
      </c>
      <c r="D1901" s="116">
        <v>212.53333333333299</v>
      </c>
      <c r="E1901" s="116">
        <v>216.683333333333</v>
      </c>
      <c r="F1901" s="116">
        <v>662.65</v>
      </c>
      <c r="G1901">
        <v>7797</v>
      </c>
      <c r="H1901" s="116"/>
      <c r="I1901" s="116"/>
      <c r="L1901" s="169">
        <v>45293</v>
      </c>
      <c r="M1901" s="116">
        <v>220.76666666666699</v>
      </c>
      <c r="N1901" s="116">
        <v>222.48333333333301</v>
      </c>
      <c r="O1901" s="116">
        <v>212.35</v>
      </c>
      <c r="P1901" s="116">
        <v>217.45</v>
      </c>
      <c r="Q1901" s="116">
        <v>662.3</v>
      </c>
      <c r="R1901">
        <v>108486</v>
      </c>
    </row>
    <row r="1902" spans="1:18" x14ac:dyDescent="0.25">
      <c r="A1902" s="169">
        <v>45294</v>
      </c>
      <c r="B1902" s="116">
        <v>224.03333333333299</v>
      </c>
      <c r="C1902" s="116">
        <v>220.7</v>
      </c>
      <c r="D1902" s="116">
        <v>219.13333333333301</v>
      </c>
      <c r="E1902" s="116">
        <v>221.75</v>
      </c>
      <c r="F1902" s="116">
        <v>662.1</v>
      </c>
      <c r="G1902">
        <v>15415</v>
      </c>
      <c r="H1902" s="116"/>
      <c r="I1902" s="116"/>
      <c r="L1902" s="169">
        <v>45294</v>
      </c>
      <c r="M1902" s="116">
        <v>220.65</v>
      </c>
      <c r="N1902" s="116">
        <v>223.98333333333301</v>
      </c>
      <c r="O1902" s="116">
        <v>218.96666666666701</v>
      </c>
      <c r="P1902" s="116">
        <v>221.5</v>
      </c>
      <c r="Q1902" s="116">
        <v>661.95</v>
      </c>
      <c r="R1902">
        <v>77852</v>
      </c>
    </row>
    <row r="1903" spans="1:18" x14ac:dyDescent="0.25">
      <c r="A1903" s="169">
        <v>45295</v>
      </c>
      <c r="B1903" s="116">
        <v>222.25</v>
      </c>
      <c r="C1903" s="116">
        <v>217.9</v>
      </c>
      <c r="D1903" s="116">
        <v>216.666666666667</v>
      </c>
      <c r="E1903" s="116">
        <v>221.333333333333</v>
      </c>
      <c r="F1903" s="116">
        <v>653.70000000000005</v>
      </c>
      <c r="G1903">
        <v>9563</v>
      </c>
      <c r="H1903" s="116"/>
      <c r="I1903" s="116"/>
      <c r="L1903" s="169">
        <v>45295</v>
      </c>
      <c r="M1903" s="116">
        <v>217.86666666666699</v>
      </c>
      <c r="N1903" s="116">
        <v>222.333333333333</v>
      </c>
      <c r="O1903" s="116">
        <v>216.566666666667</v>
      </c>
      <c r="P1903" s="116">
        <v>221.6</v>
      </c>
      <c r="Q1903" s="116">
        <v>653.6</v>
      </c>
      <c r="R1903">
        <v>44570</v>
      </c>
    </row>
    <row r="1904" spans="1:18" x14ac:dyDescent="0.25">
      <c r="A1904" s="169">
        <v>45296</v>
      </c>
      <c r="B1904" s="116">
        <v>222.416666666667</v>
      </c>
      <c r="C1904" s="116">
        <v>219.25</v>
      </c>
      <c r="D1904" s="116">
        <v>215.25</v>
      </c>
      <c r="E1904" s="116">
        <v>217.26666666666699</v>
      </c>
      <c r="F1904" s="116">
        <v>657.75</v>
      </c>
      <c r="G1904">
        <v>16460</v>
      </c>
      <c r="H1904" s="116"/>
      <c r="I1904" s="116"/>
      <c r="L1904" s="169">
        <v>45296</v>
      </c>
      <c r="M1904" s="116">
        <v>219.566666666667</v>
      </c>
      <c r="N1904" s="116">
        <v>222.51666666666699</v>
      </c>
      <c r="O1904" s="116">
        <v>215.35</v>
      </c>
      <c r="P1904" s="116">
        <v>217.01666666666699</v>
      </c>
      <c r="Q1904" s="116">
        <v>658.7</v>
      </c>
      <c r="R1904">
        <v>94446</v>
      </c>
    </row>
    <row r="1905" spans="1:18" x14ac:dyDescent="0.25">
      <c r="A1905" s="169">
        <v>45299</v>
      </c>
      <c r="B1905" s="116">
        <v>223.01666666666699</v>
      </c>
      <c r="C1905" s="116">
        <v>222.01666666666699</v>
      </c>
      <c r="D1905" s="116">
        <v>217.4</v>
      </c>
      <c r="E1905" s="116">
        <v>217.4</v>
      </c>
      <c r="F1905" s="116">
        <v>666.05</v>
      </c>
      <c r="G1905">
        <v>4434</v>
      </c>
      <c r="H1905" s="116"/>
      <c r="I1905" s="116"/>
      <c r="L1905" s="169">
        <v>45299</v>
      </c>
      <c r="M1905" s="116">
        <v>221.96666666666701</v>
      </c>
      <c r="N1905" s="116">
        <v>223.21666666666701</v>
      </c>
      <c r="O1905" s="116">
        <v>217.03333333333299</v>
      </c>
      <c r="P1905" s="116">
        <v>219.566666666667</v>
      </c>
      <c r="Q1905" s="116">
        <v>665.9</v>
      </c>
      <c r="R1905">
        <v>78678</v>
      </c>
    </row>
    <row r="1906" spans="1:18" x14ac:dyDescent="0.25">
      <c r="A1906" s="169">
        <v>45300</v>
      </c>
      <c r="B1906" s="116">
        <v>225.95</v>
      </c>
      <c r="C1906" s="116">
        <v>222.45</v>
      </c>
      <c r="D1906" s="116">
        <v>219.26666666666699</v>
      </c>
      <c r="E1906" s="116">
        <v>225.95</v>
      </c>
      <c r="F1906" s="116">
        <v>667.35</v>
      </c>
      <c r="G1906">
        <v>14953</v>
      </c>
      <c r="H1906" s="116"/>
      <c r="I1906" s="116"/>
      <c r="L1906" s="169">
        <v>45300</v>
      </c>
      <c r="M1906" s="116">
        <v>222.916666666667</v>
      </c>
      <c r="N1906" s="116">
        <v>224.96666666666701</v>
      </c>
      <c r="O1906" s="116">
        <v>219.35</v>
      </c>
      <c r="P1906" s="116">
        <v>224.066666666667</v>
      </c>
      <c r="Q1906" s="116">
        <v>668.75</v>
      </c>
      <c r="R1906">
        <v>87948</v>
      </c>
    </row>
    <row r="1907" spans="1:18" x14ac:dyDescent="0.25">
      <c r="A1907" s="169">
        <v>45301</v>
      </c>
      <c r="B1907" s="116">
        <v>229</v>
      </c>
      <c r="C1907" s="116">
        <v>226.55</v>
      </c>
      <c r="D1907" s="116">
        <v>224.433333333333</v>
      </c>
      <c r="E1907" s="116">
        <v>225.71666666666701</v>
      </c>
      <c r="F1907" s="116">
        <v>679.65</v>
      </c>
      <c r="G1907">
        <v>7101</v>
      </c>
      <c r="H1907" s="116"/>
      <c r="I1907" s="116"/>
      <c r="L1907" s="169">
        <v>45301</v>
      </c>
      <c r="M1907" s="116">
        <v>226.53333333333299</v>
      </c>
      <c r="N1907" s="116">
        <v>229.63333333333301</v>
      </c>
      <c r="O1907" s="116">
        <v>224.51666666666699</v>
      </c>
      <c r="P1907" s="116">
        <v>224.666666666667</v>
      </c>
      <c r="Q1907" s="116">
        <v>679.6</v>
      </c>
      <c r="R1907">
        <v>119437</v>
      </c>
    </row>
    <row r="1908" spans="1:18" x14ac:dyDescent="0.25">
      <c r="A1908" s="169">
        <v>45302</v>
      </c>
      <c r="B1908" s="116">
        <v>229.03333333333299</v>
      </c>
      <c r="C1908" s="116">
        <v>225.45</v>
      </c>
      <c r="D1908" s="116">
        <v>224.88333333333301</v>
      </c>
      <c r="E1908" s="116">
        <v>226.55</v>
      </c>
      <c r="F1908" s="116">
        <v>676.35</v>
      </c>
      <c r="G1908">
        <v>11738</v>
      </c>
      <c r="H1908" s="116"/>
      <c r="I1908" s="116"/>
      <c r="L1908" s="169">
        <v>45302</v>
      </c>
      <c r="M1908" s="116">
        <v>225.5</v>
      </c>
      <c r="N1908" s="116">
        <v>228.98333333333301</v>
      </c>
      <c r="O1908" s="116">
        <v>224.7</v>
      </c>
      <c r="P1908" s="116">
        <v>226.666666666667</v>
      </c>
      <c r="Q1908" s="116">
        <v>676.5</v>
      </c>
      <c r="R1908">
        <v>46533</v>
      </c>
    </row>
    <row r="1909" spans="1:18" x14ac:dyDescent="0.25">
      <c r="A1909" s="169">
        <v>45303</v>
      </c>
      <c r="B1909" s="116">
        <v>230.1</v>
      </c>
      <c r="C1909" s="116">
        <v>223.583333333333</v>
      </c>
      <c r="D1909" s="116">
        <v>223.23333333333301</v>
      </c>
      <c r="E1909" s="116">
        <v>228.316666666667</v>
      </c>
      <c r="F1909" s="116">
        <v>670.75</v>
      </c>
      <c r="G1909">
        <v>6153</v>
      </c>
      <c r="H1909" s="116"/>
      <c r="I1909" s="116"/>
      <c r="L1909" s="169">
        <v>45303</v>
      </c>
      <c r="M1909" s="116">
        <v>223.55</v>
      </c>
      <c r="N1909" s="116">
        <v>231.666666666667</v>
      </c>
      <c r="O1909" s="116">
        <v>222.683333333333</v>
      </c>
      <c r="P1909" s="116">
        <v>226.63333333333301</v>
      </c>
      <c r="Q1909" s="116">
        <v>670.65</v>
      </c>
      <c r="R1909">
        <v>66324</v>
      </c>
    </row>
    <row r="1910" spans="1:18" x14ac:dyDescent="0.25">
      <c r="A1910" s="169">
        <v>45306</v>
      </c>
      <c r="B1910" s="116">
        <v>226</v>
      </c>
      <c r="C1910" s="116">
        <v>217.433333333333</v>
      </c>
      <c r="D1910" s="116">
        <v>216.51666666666699</v>
      </c>
      <c r="E1910" s="116">
        <v>225.666666666667</v>
      </c>
      <c r="F1910" s="116">
        <v>652.29999999999995</v>
      </c>
      <c r="G1910">
        <v>12634</v>
      </c>
      <c r="H1910" s="116"/>
      <c r="I1910" s="116"/>
      <c r="L1910" s="169">
        <v>45306</v>
      </c>
      <c r="M1910" s="116">
        <v>217.78333333333299</v>
      </c>
      <c r="N1910" s="116">
        <v>225.7</v>
      </c>
      <c r="O1910" s="116">
        <v>216.71666666666701</v>
      </c>
      <c r="P1910" s="116">
        <v>225.7</v>
      </c>
      <c r="Q1910" s="116">
        <v>653.35</v>
      </c>
      <c r="R1910">
        <v>71006</v>
      </c>
    </row>
    <row r="1911" spans="1:18" x14ac:dyDescent="0.25">
      <c r="A1911" s="169">
        <v>45307</v>
      </c>
      <c r="B1911" s="116">
        <v>217.98333333333301</v>
      </c>
      <c r="C1911" s="116">
        <v>213.03333333333299</v>
      </c>
      <c r="D1911" s="116">
        <v>210.45</v>
      </c>
      <c r="E1911" s="116">
        <v>217.433333333333</v>
      </c>
      <c r="F1911" s="116">
        <v>639.1</v>
      </c>
      <c r="G1911">
        <v>25068</v>
      </c>
      <c r="H1911" s="116"/>
      <c r="I1911" s="116"/>
      <c r="L1911" s="169">
        <v>45307</v>
      </c>
      <c r="M1911" s="116">
        <v>213.183333333333</v>
      </c>
      <c r="N1911" s="116">
        <v>218.88333333333301</v>
      </c>
      <c r="O1911" s="116">
        <v>210.333333333333</v>
      </c>
      <c r="P1911" s="116">
        <v>217.35</v>
      </c>
      <c r="Q1911" s="116">
        <v>639.54999999999995</v>
      </c>
      <c r="R1911">
        <v>73236</v>
      </c>
    </row>
    <row r="1912" spans="1:18" x14ac:dyDescent="0.25">
      <c r="A1912" s="169">
        <v>45308</v>
      </c>
      <c r="B1912" s="116">
        <v>213.333333333333</v>
      </c>
      <c r="C1912" s="116">
        <v>211.666666666667</v>
      </c>
      <c r="D1912" s="116">
        <v>210.666666666667</v>
      </c>
      <c r="E1912" s="116">
        <v>213.28333333333299</v>
      </c>
      <c r="F1912" s="116">
        <v>635</v>
      </c>
      <c r="G1912">
        <v>1988</v>
      </c>
      <c r="H1912" s="116"/>
      <c r="I1912" s="116"/>
      <c r="L1912" s="169">
        <v>45308</v>
      </c>
      <c r="M1912" s="116">
        <v>211.73333333333301</v>
      </c>
      <c r="N1912" s="116">
        <v>213.183333333333</v>
      </c>
      <c r="O1912" s="116">
        <v>210.5</v>
      </c>
      <c r="P1912" s="116">
        <v>213</v>
      </c>
      <c r="Q1912" s="116">
        <v>635.20000000000005</v>
      </c>
      <c r="R1912">
        <v>56608</v>
      </c>
    </row>
    <row r="1913" spans="1:18" x14ac:dyDescent="0.25">
      <c r="A1913" s="169">
        <v>45309</v>
      </c>
      <c r="B1913" s="116">
        <v>218.71666666666701</v>
      </c>
      <c r="C1913" s="116">
        <v>208.166666666667</v>
      </c>
      <c r="D1913" s="116">
        <v>206.96666666666701</v>
      </c>
      <c r="E1913" s="116">
        <v>210.73333333333301</v>
      </c>
      <c r="F1913" s="116">
        <v>624.5</v>
      </c>
      <c r="G1913">
        <v>48601</v>
      </c>
      <c r="H1913" s="116"/>
      <c r="I1913" s="116"/>
      <c r="L1913" s="169">
        <v>45309</v>
      </c>
      <c r="M1913" s="116">
        <v>208.4</v>
      </c>
      <c r="N1913" s="116">
        <v>215.933333333333</v>
      </c>
      <c r="O1913" s="116">
        <v>206.38333333333301</v>
      </c>
      <c r="P1913" s="116">
        <v>211.666666666667</v>
      </c>
      <c r="Q1913" s="116">
        <v>625.20000000000005</v>
      </c>
      <c r="R1913">
        <v>91701</v>
      </c>
    </row>
    <row r="1914" spans="1:18" x14ac:dyDescent="0.25">
      <c r="A1914" s="169">
        <v>45310</v>
      </c>
      <c r="B1914" s="116">
        <v>213.416666666667</v>
      </c>
      <c r="C1914" s="116">
        <v>208.86666666666699</v>
      </c>
      <c r="D1914" s="116">
        <v>207.683333333333</v>
      </c>
      <c r="E1914" s="116">
        <v>207.683333333333</v>
      </c>
      <c r="F1914" s="116">
        <v>626.6</v>
      </c>
      <c r="G1914">
        <v>34304</v>
      </c>
      <c r="H1914" s="116"/>
      <c r="I1914" s="116"/>
      <c r="L1914" s="169">
        <v>45310</v>
      </c>
      <c r="M1914" s="116">
        <v>208.96666666666701</v>
      </c>
      <c r="N1914" s="116">
        <v>213.63333333333301</v>
      </c>
      <c r="O1914" s="116">
        <v>207.433333333333</v>
      </c>
      <c r="P1914" s="116">
        <v>209.45</v>
      </c>
      <c r="Q1914" s="116">
        <v>626.9</v>
      </c>
      <c r="R1914">
        <v>51792</v>
      </c>
    </row>
    <row r="1915" spans="1:18" x14ac:dyDescent="0.25">
      <c r="A1915" s="169">
        <v>45311</v>
      </c>
      <c r="B1915" s="116">
        <v>210.88333333333301</v>
      </c>
      <c r="C1915" s="116">
        <v>209.5</v>
      </c>
      <c r="D1915" s="116">
        <v>207.666666666667</v>
      </c>
      <c r="E1915" s="116">
        <v>210.11666666666699</v>
      </c>
      <c r="F1915" s="116">
        <v>628.5</v>
      </c>
      <c r="G1915">
        <v>54052</v>
      </c>
      <c r="H1915" s="116"/>
      <c r="I1915" s="116"/>
      <c r="L1915" s="169">
        <v>45311</v>
      </c>
      <c r="M1915" s="116">
        <v>209.1</v>
      </c>
      <c r="N1915" s="116">
        <v>211.05</v>
      </c>
      <c r="O1915" s="116">
        <v>207.5</v>
      </c>
      <c r="P1915" s="116">
        <v>208.333333333333</v>
      </c>
      <c r="Q1915" s="116">
        <v>627.29999999999995</v>
      </c>
      <c r="R1915">
        <v>47050</v>
      </c>
    </row>
    <row r="1916" spans="1:18" x14ac:dyDescent="0.25">
      <c r="A1916" s="169">
        <v>45314</v>
      </c>
      <c r="B1916" s="116">
        <v>211.566666666667</v>
      </c>
      <c r="C1916" s="116">
        <v>208.26666666666699</v>
      </c>
      <c r="D1916" s="116">
        <v>206.666666666667</v>
      </c>
      <c r="E1916" s="116">
        <v>209.9</v>
      </c>
      <c r="F1916" s="116">
        <v>624.79999999999995</v>
      </c>
      <c r="G1916">
        <v>43635</v>
      </c>
      <c r="H1916" s="116"/>
      <c r="I1916" s="116"/>
      <c r="L1916" s="169">
        <v>45314</v>
      </c>
      <c r="M1916" s="116">
        <v>208.23333333333301</v>
      </c>
      <c r="N1916" s="116">
        <v>211.61666666666699</v>
      </c>
      <c r="O1916" s="116">
        <v>206.666666666667</v>
      </c>
      <c r="P1916" s="116">
        <v>208.55</v>
      </c>
      <c r="Q1916" s="116">
        <v>624.70000000000005</v>
      </c>
      <c r="R1916">
        <v>54007</v>
      </c>
    </row>
    <row r="1917" spans="1:18" x14ac:dyDescent="0.25">
      <c r="A1917" s="169">
        <v>45315</v>
      </c>
      <c r="B1917" s="116">
        <v>209.316666666667</v>
      </c>
      <c r="C1917" s="116">
        <v>207.083333333333</v>
      </c>
      <c r="D1917" s="116">
        <v>203.61666666666699</v>
      </c>
      <c r="E1917" s="116">
        <v>206.4</v>
      </c>
      <c r="F1917" s="116">
        <v>621.25</v>
      </c>
      <c r="G1917">
        <v>46280</v>
      </c>
      <c r="H1917" s="116"/>
      <c r="I1917" s="116"/>
      <c r="L1917" s="169">
        <v>45315</v>
      </c>
      <c r="M1917" s="116">
        <v>207.4</v>
      </c>
      <c r="N1917" s="116">
        <v>209.333333333333</v>
      </c>
      <c r="O1917" s="116">
        <v>203.5</v>
      </c>
      <c r="P1917" s="116">
        <v>206.683333333333</v>
      </c>
      <c r="Q1917" s="116">
        <v>622.20000000000005</v>
      </c>
      <c r="R1917">
        <v>55653</v>
      </c>
    </row>
    <row r="1918" spans="1:18" x14ac:dyDescent="0.25">
      <c r="A1918" s="169">
        <v>45316</v>
      </c>
      <c r="B1918" s="116">
        <v>208.85</v>
      </c>
      <c r="C1918" s="116">
        <v>208.48333333333301</v>
      </c>
      <c r="D1918" s="116">
        <v>205.03333333333299</v>
      </c>
      <c r="E1918" s="116">
        <v>205.683333333333</v>
      </c>
      <c r="F1918" s="116">
        <v>625.45000000000005</v>
      </c>
      <c r="G1918">
        <v>40297</v>
      </c>
      <c r="H1918" s="116"/>
      <c r="I1918" s="116"/>
      <c r="L1918" s="169">
        <v>45316</v>
      </c>
      <c r="M1918" s="116">
        <v>208.45</v>
      </c>
      <c r="N1918" s="116">
        <v>209.333333333333</v>
      </c>
      <c r="O1918" s="116">
        <v>205.03333333333299</v>
      </c>
      <c r="P1918" s="116">
        <v>207.76666666666699</v>
      </c>
      <c r="Q1918" s="116">
        <v>625.35</v>
      </c>
      <c r="R1918">
        <v>54272</v>
      </c>
    </row>
    <row r="1919" spans="1:18" x14ac:dyDescent="0.25">
      <c r="A1919" s="169">
        <v>45320</v>
      </c>
      <c r="B1919" s="116">
        <v>211.63333333333301</v>
      </c>
      <c r="C1919" s="116">
        <v>206.63333333333301</v>
      </c>
      <c r="D1919" s="116">
        <v>205.566666666667</v>
      </c>
      <c r="E1919" s="116">
        <v>206.666666666667</v>
      </c>
      <c r="F1919" s="116">
        <v>619.9</v>
      </c>
      <c r="G1919">
        <v>6154</v>
      </c>
      <c r="H1919" s="116"/>
      <c r="I1919" s="116"/>
      <c r="L1919" s="169">
        <v>45320</v>
      </c>
      <c r="M1919" s="116">
        <v>206.61666666666699</v>
      </c>
      <c r="N1919" s="116">
        <v>211.666666666667</v>
      </c>
      <c r="O1919" s="116">
        <v>205.73333333333301</v>
      </c>
      <c r="P1919" s="116">
        <v>206.833333333333</v>
      </c>
      <c r="Q1919" s="116">
        <v>619.85</v>
      </c>
      <c r="R1919">
        <v>36501</v>
      </c>
    </row>
    <row r="1920" spans="1:18" x14ac:dyDescent="0.25">
      <c r="A1920" s="169">
        <v>45321</v>
      </c>
      <c r="B1920" s="116">
        <v>210.98333333333301</v>
      </c>
      <c r="C1920" s="116">
        <v>205.75</v>
      </c>
      <c r="D1920" s="116">
        <v>204.083333333333</v>
      </c>
      <c r="E1920" s="116">
        <v>206.65</v>
      </c>
      <c r="F1920" s="116">
        <v>617.25</v>
      </c>
      <c r="G1920">
        <v>6368</v>
      </c>
      <c r="H1920" s="116"/>
      <c r="I1920" s="116"/>
      <c r="L1920" s="169">
        <v>45321</v>
      </c>
      <c r="M1920" s="116">
        <v>205.916666666667</v>
      </c>
      <c r="N1920" s="116">
        <v>211.333333333333</v>
      </c>
      <c r="O1920" s="116">
        <v>204.73333333333301</v>
      </c>
      <c r="P1920" s="116">
        <v>208.333333333333</v>
      </c>
      <c r="Q1920" s="116">
        <v>617.75</v>
      </c>
      <c r="R1920">
        <v>164586</v>
      </c>
    </row>
    <row r="1921" spans="1:18" x14ac:dyDescent="0.25">
      <c r="A1921" s="169">
        <v>45322</v>
      </c>
      <c r="B1921" s="116">
        <v>204.51666666666699</v>
      </c>
      <c r="C1921" s="116">
        <v>203.11666666666699</v>
      </c>
      <c r="D1921" s="116">
        <v>202</v>
      </c>
      <c r="E1921" s="116">
        <v>203.05</v>
      </c>
      <c r="F1921" s="116">
        <v>609.35</v>
      </c>
      <c r="G1921">
        <v>4198</v>
      </c>
      <c r="H1921" s="116"/>
      <c r="I1921" s="116"/>
      <c r="L1921" s="169">
        <v>45322</v>
      </c>
      <c r="M1921" s="116">
        <v>203.38333333333301</v>
      </c>
      <c r="N1921" s="116">
        <v>204.5</v>
      </c>
      <c r="O1921" s="116">
        <v>201.9</v>
      </c>
      <c r="P1921" s="116">
        <v>203.333333333333</v>
      </c>
      <c r="Q1921" s="116">
        <v>610.15</v>
      </c>
      <c r="R1921">
        <v>155650</v>
      </c>
    </row>
    <row r="1922" spans="1:18" x14ac:dyDescent="0.25">
      <c r="A1922" s="169">
        <v>45323</v>
      </c>
      <c r="B1922" s="116">
        <v>207.35</v>
      </c>
      <c r="C1922" s="116">
        <v>205.36666666666699</v>
      </c>
      <c r="D1922" s="116">
        <v>204.333333333333</v>
      </c>
      <c r="E1922" s="116">
        <v>206.583333333333</v>
      </c>
      <c r="F1922" s="116">
        <v>616.1</v>
      </c>
      <c r="G1922">
        <v>2978</v>
      </c>
      <c r="H1922" s="116"/>
      <c r="I1922" s="116"/>
      <c r="L1922" s="169">
        <v>45323</v>
      </c>
      <c r="M1922" s="116">
        <v>205.51666666666699</v>
      </c>
      <c r="N1922" s="116">
        <v>207.316666666667</v>
      </c>
      <c r="O1922" s="116">
        <v>203.666666666667</v>
      </c>
      <c r="P1922" s="116">
        <v>204.416666666667</v>
      </c>
      <c r="Q1922" s="116">
        <v>616.54999999999995</v>
      </c>
      <c r="R1922">
        <v>61045</v>
      </c>
    </row>
    <row r="1923" spans="1:18" x14ac:dyDescent="0.25">
      <c r="A1923" s="169">
        <v>45324</v>
      </c>
      <c r="B1923" s="116">
        <v>215.333333333333</v>
      </c>
      <c r="C1923" s="116">
        <v>207.9</v>
      </c>
      <c r="D1923" s="116">
        <v>201.166666666667</v>
      </c>
      <c r="E1923" s="116">
        <v>204.96666666666701</v>
      </c>
      <c r="F1923" s="116">
        <v>623.70000000000005</v>
      </c>
      <c r="G1923">
        <v>6349</v>
      </c>
      <c r="H1923" s="116"/>
      <c r="I1923" s="116"/>
      <c r="L1923" s="169">
        <v>45324</v>
      </c>
      <c r="M1923" s="116">
        <v>207.8</v>
      </c>
      <c r="N1923" s="116">
        <v>215.416666666667</v>
      </c>
      <c r="O1923" s="116">
        <v>200.76666666666699</v>
      </c>
      <c r="P1923" s="116">
        <v>203.35</v>
      </c>
      <c r="Q1923" s="116">
        <v>623.4</v>
      </c>
      <c r="R1923">
        <v>180064</v>
      </c>
    </row>
    <row r="1924" spans="1:18" x14ac:dyDescent="0.25">
      <c r="A1924" s="169">
        <v>45327</v>
      </c>
      <c r="B1924" s="116">
        <v>213.416666666667</v>
      </c>
      <c r="C1924" s="116">
        <v>205.01666666666699</v>
      </c>
      <c r="D1924" s="116">
        <v>203.23333333333301</v>
      </c>
      <c r="E1924" s="116">
        <v>203.23333333333301</v>
      </c>
      <c r="F1924" s="116">
        <v>615.04999999999995</v>
      </c>
      <c r="G1924">
        <v>14445</v>
      </c>
      <c r="H1924" s="116"/>
      <c r="I1924" s="116"/>
      <c r="L1924" s="169">
        <v>45327</v>
      </c>
      <c r="M1924" s="116">
        <v>205.166666666667</v>
      </c>
      <c r="N1924" s="116">
        <v>216</v>
      </c>
      <c r="O1924" s="116">
        <v>204.333333333333</v>
      </c>
      <c r="P1924" s="116">
        <v>206.833333333333</v>
      </c>
      <c r="Q1924" s="116">
        <v>615.5</v>
      </c>
      <c r="R1924">
        <v>90651</v>
      </c>
    </row>
    <row r="1925" spans="1:18" x14ac:dyDescent="0.25">
      <c r="A1925" s="169">
        <v>45328</v>
      </c>
      <c r="B1925" s="116">
        <v>209.666666666667</v>
      </c>
      <c r="C1925" s="116">
        <v>203.46666666666701</v>
      </c>
      <c r="D1925" s="116">
        <v>202.95</v>
      </c>
      <c r="E1925" s="116">
        <v>206.816666666667</v>
      </c>
      <c r="F1925" s="116">
        <v>610.4</v>
      </c>
      <c r="G1925">
        <v>4897</v>
      </c>
      <c r="H1925" s="116"/>
      <c r="I1925" s="116"/>
      <c r="L1925" s="169">
        <v>45328</v>
      </c>
      <c r="M1925" s="116">
        <v>203.7</v>
      </c>
      <c r="N1925" s="116">
        <v>211</v>
      </c>
      <c r="O1925" s="116">
        <v>203.1</v>
      </c>
      <c r="P1925" s="116">
        <v>207.63333333333301</v>
      </c>
      <c r="Q1925" s="116">
        <v>611.1</v>
      </c>
      <c r="R1925">
        <v>96633</v>
      </c>
    </row>
    <row r="1926" spans="1:18" x14ac:dyDescent="0.25">
      <c r="A1926" s="169">
        <v>45329</v>
      </c>
      <c r="B1926" s="116">
        <v>204.666666666667</v>
      </c>
      <c r="C1926" s="116">
        <v>202.3</v>
      </c>
      <c r="D1926" s="116">
        <v>201.01666666666699</v>
      </c>
      <c r="E1926" s="116">
        <v>204.666666666667</v>
      </c>
      <c r="F1926" s="116">
        <v>606.9</v>
      </c>
      <c r="G1926">
        <v>2401</v>
      </c>
      <c r="H1926" s="116"/>
      <c r="I1926" s="116"/>
      <c r="L1926" s="169">
        <v>45329</v>
      </c>
      <c r="M1926" s="116">
        <v>202.416666666667</v>
      </c>
      <c r="N1926" s="116">
        <v>204.76666666666699</v>
      </c>
      <c r="O1926" s="116">
        <v>200.9</v>
      </c>
      <c r="P1926" s="116">
        <v>204.73333333333301</v>
      </c>
      <c r="Q1926" s="116">
        <v>607.25</v>
      </c>
      <c r="R1926">
        <v>55343</v>
      </c>
    </row>
    <row r="1927" spans="1:18" x14ac:dyDescent="0.25">
      <c r="A1927" s="169">
        <v>45330</v>
      </c>
      <c r="B1927" s="116">
        <v>202.9</v>
      </c>
      <c r="C1927" s="116">
        <v>202.15</v>
      </c>
      <c r="D1927" s="116">
        <v>200.88333333333301</v>
      </c>
      <c r="E1927" s="116">
        <v>201.01666666666699</v>
      </c>
      <c r="F1927" s="116">
        <v>606.45000000000005</v>
      </c>
      <c r="G1927">
        <v>816</v>
      </c>
      <c r="H1927" s="116"/>
      <c r="I1927" s="116"/>
      <c r="L1927" s="169">
        <v>45330</v>
      </c>
      <c r="M1927" s="116">
        <v>202.28333333333299</v>
      </c>
      <c r="N1927" s="116">
        <v>202.98333333333301</v>
      </c>
      <c r="O1927" s="116">
        <v>201.083333333333</v>
      </c>
      <c r="P1927" s="116">
        <v>201.71666666666701</v>
      </c>
      <c r="Q1927" s="116">
        <v>606.85</v>
      </c>
      <c r="R1927">
        <v>40116</v>
      </c>
    </row>
    <row r="1928" spans="1:18" x14ac:dyDescent="0.25">
      <c r="A1928" s="169">
        <v>45331</v>
      </c>
      <c r="B1928" s="116">
        <v>203.166666666667</v>
      </c>
      <c r="C1928" s="116">
        <v>202.2</v>
      </c>
      <c r="D1928" s="116">
        <v>200.583333333333</v>
      </c>
      <c r="E1928" s="116">
        <v>200.583333333333</v>
      </c>
      <c r="F1928" s="116">
        <v>606.6</v>
      </c>
      <c r="G1928">
        <v>1473</v>
      </c>
      <c r="H1928" s="116"/>
      <c r="I1928" s="116"/>
      <c r="L1928" s="169">
        <v>45331</v>
      </c>
      <c r="M1928" s="116">
        <v>202.583333333333</v>
      </c>
      <c r="N1928" s="116">
        <v>203</v>
      </c>
      <c r="O1928" s="116">
        <v>200.333333333333</v>
      </c>
      <c r="P1928" s="116">
        <v>200.333333333333</v>
      </c>
      <c r="Q1928" s="116">
        <v>607.75</v>
      </c>
      <c r="R1928">
        <v>27597</v>
      </c>
    </row>
    <row r="1929" spans="1:18" x14ac:dyDescent="0.25">
      <c r="A1929" s="169">
        <v>45334</v>
      </c>
      <c r="B1929" s="116">
        <v>202.816666666667</v>
      </c>
      <c r="C1929" s="116">
        <v>193.566666666667</v>
      </c>
      <c r="D1929" s="116">
        <v>189.46666666666701</v>
      </c>
      <c r="E1929" s="116">
        <v>202.2</v>
      </c>
      <c r="F1929" s="116">
        <v>580.70000000000005</v>
      </c>
      <c r="G1929">
        <v>2748</v>
      </c>
      <c r="H1929" s="116"/>
      <c r="I1929" s="116"/>
      <c r="L1929" s="169">
        <v>45334</v>
      </c>
      <c r="M1929" s="116">
        <v>192.933333333333</v>
      </c>
      <c r="N1929" s="116">
        <v>203.6</v>
      </c>
      <c r="O1929" s="116">
        <v>189.35</v>
      </c>
      <c r="P1929" s="116">
        <v>203.6</v>
      </c>
      <c r="Q1929" s="116">
        <v>578.79999999999995</v>
      </c>
      <c r="R1929">
        <v>48959</v>
      </c>
    </row>
    <row r="1930" spans="1:18" x14ac:dyDescent="0.25">
      <c r="A1930" s="169">
        <v>45335</v>
      </c>
      <c r="B1930" s="116">
        <v>198.333333333333</v>
      </c>
      <c r="C1930" s="116">
        <v>192.1</v>
      </c>
      <c r="D1930" s="116">
        <v>190.11666666666699</v>
      </c>
      <c r="E1930" s="116">
        <v>198.333333333333</v>
      </c>
      <c r="F1930" s="116">
        <v>576.29999999999995</v>
      </c>
      <c r="G1930">
        <v>7231</v>
      </c>
      <c r="H1930" s="116"/>
      <c r="I1930" s="116"/>
      <c r="L1930" s="169">
        <v>45335</v>
      </c>
      <c r="M1930" s="116">
        <v>192.23333333333301</v>
      </c>
      <c r="N1930" s="116">
        <v>197.71666666666701</v>
      </c>
      <c r="O1930" s="116">
        <v>189.333333333333</v>
      </c>
      <c r="P1930" s="116">
        <v>196.316666666667</v>
      </c>
      <c r="Q1930" s="116">
        <v>576.70000000000005</v>
      </c>
      <c r="R1930">
        <v>36167</v>
      </c>
    </row>
    <row r="1931" spans="1:18" x14ac:dyDescent="0.25">
      <c r="A1931" s="169">
        <v>45336</v>
      </c>
      <c r="B1931" s="116">
        <v>199.46666666666701</v>
      </c>
      <c r="C1931" s="116">
        <v>198.78333333333299</v>
      </c>
      <c r="D1931" s="116">
        <v>191</v>
      </c>
      <c r="E1931" s="116">
        <v>191</v>
      </c>
      <c r="F1931" s="116">
        <v>596.35</v>
      </c>
      <c r="G1931">
        <v>1083</v>
      </c>
      <c r="H1931" s="116"/>
      <c r="I1931" s="116"/>
      <c r="L1931" s="169">
        <v>45336</v>
      </c>
      <c r="M1931" s="116">
        <v>198.95</v>
      </c>
      <c r="N1931" s="116">
        <v>199.63333333333301</v>
      </c>
      <c r="O1931" s="116">
        <v>191.6</v>
      </c>
      <c r="P1931" s="116">
        <v>191.666666666667</v>
      </c>
      <c r="Q1931" s="116">
        <v>596.85</v>
      </c>
      <c r="R1931">
        <v>27706</v>
      </c>
    </row>
    <row r="1932" spans="1:18" x14ac:dyDescent="0.25">
      <c r="A1932" s="169">
        <v>45337</v>
      </c>
      <c r="B1932" s="116">
        <v>202.933333333333</v>
      </c>
      <c r="C1932" s="116">
        <v>202.066666666667</v>
      </c>
      <c r="D1932" s="116">
        <v>198.916666666667</v>
      </c>
      <c r="E1932" s="116">
        <v>199.13333333333301</v>
      </c>
      <c r="F1932" s="116">
        <v>606.20000000000005</v>
      </c>
      <c r="G1932">
        <v>847</v>
      </c>
      <c r="H1932" s="116"/>
      <c r="I1932" s="116"/>
      <c r="L1932" s="169">
        <v>45337</v>
      </c>
      <c r="M1932" s="116">
        <v>201.8</v>
      </c>
      <c r="N1932" s="116">
        <v>202.666666666667</v>
      </c>
      <c r="O1932" s="116">
        <v>198.166666666667</v>
      </c>
      <c r="P1932" s="116">
        <v>198.96666666666701</v>
      </c>
      <c r="Q1932" s="116">
        <v>605.4</v>
      </c>
      <c r="R1932">
        <v>18336</v>
      </c>
    </row>
    <row r="1933" spans="1:18" x14ac:dyDescent="0.25">
      <c r="A1933" s="169">
        <v>45338</v>
      </c>
      <c r="B1933" s="116">
        <v>203</v>
      </c>
      <c r="C1933" s="116">
        <v>198.98333333333301</v>
      </c>
      <c r="D1933" s="116">
        <v>198.333333333333</v>
      </c>
      <c r="E1933" s="116">
        <v>200</v>
      </c>
      <c r="F1933" s="116">
        <v>596.95000000000005</v>
      </c>
      <c r="G1933">
        <v>3148</v>
      </c>
      <c r="H1933" s="116"/>
      <c r="I1933" s="116"/>
      <c r="L1933" s="169">
        <v>45338</v>
      </c>
      <c r="M1933" s="116">
        <v>198.816666666667</v>
      </c>
      <c r="N1933" s="116">
        <v>203.03333333333299</v>
      </c>
      <c r="O1933" s="116">
        <v>198.566666666667</v>
      </c>
      <c r="P1933" s="116">
        <v>200.01666666666699</v>
      </c>
      <c r="Q1933" s="116">
        <v>596.45000000000005</v>
      </c>
      <c r="R1933">
        <v>15441</v>
      </c>
    </row>
    <row r="1934" spans="1:18" x14ac:dyDescent="0.25">
      <c r="A1934" s="169">
        <v>45341</v>
      </c>
      <c r="B1934" s="116">
        <v>205</v>
      </c>
      <c r="C1934" s="116">
        <v>201.9</v>
      </c>
      <c r="D1934" s="116">
        <v>198.48333333333301</v>
      </c>
      <c r="E1934" s="116">
        <v>198.48333333333301</v>
      </c>
      <c r="F1934" s="116">
        <v>605.70000000000005</v>
      </c>
      <c r="G1934">
        <v>4725</v>
      </c>
      <c r="H1934" s="116"/>
      <c r="I1934" s="116"/>
      <c r="L1934" s="169">
        <v>45341</v>
      </c>
      <c r="M1934" s="116">
        <v>201.98333333333301</v>
      </c>
      <c r="N1934" s="116">
        <v>205.083333333333</v>
      </c>
      <c r="O1934" s="116">
        <v>198.833333333333</v>
      </c>
      <c r="P1934" s="116">
        <v>198.833333333333</v>
      </c>
      <c r="Q1934" s="116">
        <v>605.95000000000005</v>
      </c>
      <c r="R1934">
        <v>36953</v>
      </c>
    </row>
    <row r="1935" spans="1:18" x14ac:dyDescent="0.25">
      <c r="A1935" s="169">
        <v>45342</v>
      </c>
      <c r="B1935" s="116">
        <v>204.666666666667</v>
      </c>
      <c r="C1935" s="116">
        <v>204.53333333333299</v>
      </c>
      <c r="D1935" s="116">
        <v>201.9</v>
      </c>
      <c r="E1935" s="116">
        <v>203.316666666667</v>
      </c>
      <c r="F1935" s="116">
        <v>613.6</v>
      </c>
      <c r="G1935">
        <v>1221</v>
      </c>
      <c r="H1935" s="116"/>
      <c r="I1935" s="116"/>
      <c r="L1935" s="169">
        <v>45342</v>
      </c>
      <c r="M1935" s="116">
        <v>204.2</v>
      </c>
      <c r="N1935" s="116">
        <v>205</v>
      </c>
      <c r="O1935" s="116">
        <v>201.36666666666699</v>
      </c>
      <c r="P1935" s="116">
        <v>202.333333333333</v>
      </c>
      <c r="Q1935" s="116">
        <v>612.6</v>
      </c>
      <c r="R1935">
        <v>63002</v>
      </c>
    </row>
    <row r="1936" spans="1:18" x14ac:dyDescent="0.25">
      <c r="A1936" s="169">
        <v>45343</v>
      </c>
      <c r="B1936" s="116">
        <v>205.35</v>
      </c>
      <c r="C1936" s="116">
        <v>204.86666666666699</v>
      </c>
      <c r="D1936" s="116">
        <v>202.35</v>
      </c>
      <c r="E1936" s="116">
        <v>204.45</v>
      </c>
      <c r="F1936" s="116">
        <v>614.6</v>
      </c>
      <c r="G1936">
        <v>5746</v>
      </c>
      <c r="H1936" s="116"/>
      <c r="I1936" s="116"/>
      <c r="L1936" s="169">
        <v>45343</v>
      </c>
      <c r="M1936" s="116">
        <v>204.85</v>
      </c>
      <c r="N1936" s="116">
        <v>206</v>
      </c>
      <c r="O1936" s="116">
        <v>203.28333333333299</v>
      </c>
      <c r="P1936" s="116">
        <v>204.2</v>
      </c>
      <c r="Q1936" s="116">
        <v>614.54999999999995</v>
      </c>
      <c r="R1936">
        <v>23636</v>
      </c>
    </row>
    <row r="1937" spans="1:18" x14ac:dyDescent="0.25">
      <c r="A1937" s="169">
        <v>45344</v>
      </c>
      <c r="B1937" s="116">
        <v>206.316666666667</v>
      </c>
      <c r="C1937" s="116">
        <v>205.333333333333</v>
      </c>
      <c r="D1937" s="116">
        <v>200.36666666666699</v>
      </c>
      <c r="E1937" s="116">
        <v>204.15</v>
      </c>
      <c r="F1937" s="116">
        <v>616</v>
      </c>
      <c r="G1937">
        <v>3902</v>
      </c>
      <c r="H1937" s="116"/>
      <c r="I1937" s="116"/>
      <c r="L1937" s="169">
        <v>45344</v>
      </c>
      <c r="M1937" s="116">
        <v>205.63333333333301</v>
      </c>
      <c r="N1937" s="116">
        <v>206.666666666667</v>
      </c>
      <c r="O1937" s="116">
        <v>200.416666666667</v>
      </c>
      <c r="P1937" s="116">
        <v>203.666666666667</v>
      </c>
      <c r="Q1937" s="116">
        <v>616.9</v>
      </c>
      <c r="R1937">
        <v>24972</v>
      </c>
    </row>
    <row r="1938" spans="1:18" x14ac:dyDescent="0.25">
      <c r="A1938" s="169">
        <v>45345</v>
      </c>
      <c r="B1938" s="116">
        <v>207.333333333333</v>
      </c>
      <c r="C1938" s="116">
        <v>207.166666666667</v>
      </c>
      <c r="D1938" s="116">
        <v>203.98333333333301</v>
      </c>
      <c r="E1938" s="116">
        <v>204.433333333333</v>
      </c>
      <c r="F1938" s="116">
        <v>621.5</v>
      </c>
      <c r="G1938">
        <v>865</v>
      </c>
      <c r="H1938" s="116"/>
      <c r="I1938" s="116"/>
      <c r="L1938" s="169">
        <v>45345</v>
      </c>
      <c r="M1938" s="116">
        <v>206.76666666666699</v>
      </c>
      <c r="N1938" s="116">
        <v>207.65</v>
      </c>
      <c r="O1938" s="116">
        <v>204.3</v>
      </c>
      <c r="P1938" s="116">
        <v>204.7</v>
      </c>
      <c r="Q1938" s="116">
        <v>620.29999999999995</v>
      </c>
      <c r="R1938">
        <v>27492</v>
      </c>
    </row>
    <row r="1939" spans="1:18" x14ac:dyDescent="0.25">
      <c r="A1939" s="169">
        <v>45348</v>
      </c>
      <c r="B1939" s="116">
        <v>212.7</v>
      </c>
      <c r="C1939" s="116">
        <v>209.85</v>
      </c>
      <c r="D1939" s="116">
        <v>207.01666666666699</v>
      </c>
      <c r="E1939" s="116">
        <v>208.85</v>
      </c>
      <c r="F1939" s="116">
        <v>629.54999999999995</v>
      </c>
      <c r="G1939">
        <v>7587</v>
      </c>
      <c r="H1939" s="116"/>
      <c r="I1939" s="116"/>
      <c r="L1939" s="169">
        <v>45348</v>
      </c>
      <c r="M1939" s="116">
        <v>210.35</v>
      </c>
      <c r="N1939" s="116">
        <v>212.666666666667</v>
      </c>
      <c r="O1939" s="116">
        <v>205.98333333333301</v>
      </c>
      <c r="P1939" s="116">
        <v>206.8</v>
      </c>
      <c r="Q1939" s="116">
        <v>631.04999999999995</v>
      </c>
      <c r="R1939">
        <v>67973</v>
      </c>
    </row>
    <row r="1940" spans="1:18" x14ac:dyDescent="0.25">
      <c r="A1940" s="169">
        <v>45349</v>
      </c>
      <c r="B1940" s="116">
        <v>215</v>
      </c>
      <c r="C1940" s="116">
        <v>213.933333333333</v>
      </c>
      <c r="D1940" s="116">
        <v>206.76666666666699</v>
      </c>
      <c r="E1940" s="116">
        <v>206.76666666666699</v>
      </c>
      <c r="F1940" s="116">
        <v>641.79999999999995</v>
      </c>
      <c r="G1940">
        <v>6864</v>
      </c>
      <c r="H1940" s="116"/>
      <c r="I1940" s="116"/>
      <c r="L1940" s="169">
        <v>45349</v>
      </c>
      <c r="M1940" s="116">
        <v>213.73333333333301</v>
      </c>
      <c r="N1940" s="116">
        <v>215</v>
      </c>
      <c r="O1940" s="116">
        <v>208.333333333333</v>
      </c>
      <c r="P1940" s="116">
        <v>208.333333333333</v>
      </c>
      <c r="Q1940" s="116">
        <v>641.20000000000005</v>
      </c>
      <c r="R1940">
        <v>70712</v>
      </c>
    </row>
    <row r="1941" spans="1:18" x14ac:dyDescent="0.25">
      <c r="A1941" s="169">
        <v>45350</v>
      </c>
      <c r="B1941" s="116">
        <v>240.666666666667</v>
      </c>
      <c r="C1941" s="116">
        <v>227.03333333333299</v>
      </c>
      <c r="D1941" s="116">
        <v>214.333333333333</v>
      </c>
      <c r="E1941" s="116">
        <v>215.333333333333</v>
      </c>
      <c r="F1941" s="116">
        <v>681.1</v>
      </c>
      <c r="G1941">
        <v>104436</v>
      </c>
      <c r="H1941" s="116"/>
      <c r="I1941" s="116"/>
      <c r="L1941" s="169">
        <v>45350</v>
      </c>
      <c r="M1941" s="116">
        <v>227</v>
      </c>
      <c r="N1941" s="116">
        <v>240.88333333333301</v>
      </c>
      <c r="O1941" s="116">
        <v>214.2</v>
      </c>
      <c r="P1941" s="116">
        <v>216.65</v>
      </c>
      <c r="Q1941" s="116">
        <v>681</v>
      </c>
      <c r="R1941">
        <v>1856113</v>
      </c>
    </row>
    <row r="1942" spans="1:18" x14ac:dyDescent="0.25">
      <c r="A1942" s="169">
        <v>45351</v>
      </c>
      <c r="B1942" s="116">
        <v>235</v>
      </c>
      <c r="C1942" s="116">
        <v>231.01666666666699</v>
      </c>
      <c r="D1942" s="116">
        <v>225.98333333333301</v>
      </c>
      <c r="E1942" s="116">
        <v>229.36666666666699</v>
      </c>
      <c r="F1942" s="116">
        <v>693.05</v>
      </c>
      <c r="G1942">
        <v>31285</v>
      </c>
      <c r="H1942" s="116"/>
      <c r="I1942" s="116"/>
      <c r="L1942" s="169">
        <v>45351</v>
      </c>
      <c r="M1942" s="116">
        <v>230.166666666667</v>
      </c>
      <c r="N1942" s="116">
        <v>235.28333333333299</v>
      </c>
      <c r="O1942" s="116">
        <v>226</v>
      </c>
      <c r="P1942" s="116">
        <v>231</v>
      </c>
      <c r="Q1942" s="116">
        <v>690.5</v>
      </c>
      <c r="R1942">
        <v>556975</v>
      </c>
    </row>
    <row r="1943" spans="1:18" x14ac:dyDescent="0.25">
      <c r="A1943" s="169">
        <v>45352</v>
      </c>
      <c r="B1943" s="116">
        <v>232.85</v>
      </c>
      <c r="C1943" s="116">
        <v>227.083333333333</v>
      </c>
      <c r="D1943" s="116">
        <v>225.65</v>
      </c>
      <c r="E1943" s="116">
        <v>232.65</v>
      </c>
      <c r="F1943" s="116">
        <v>681.25</v>
      </c>
      <c r="G1943">
        <v>12617</v>
      </c>
      <c r="H1943" s="116"/>
      <c r="I1943" s="116"/>
      <c r="L1943" s="169">
        <v>45352</v>
      </c>
      <c r="M1943" s="116">
        <v>227.15</v>
      </c>
      <c r="N1943" s="116">
        <v>233.46666666666701</v>
      </c>
      <c r="O1943" s="116">
        <v>226.666666666667</v>
      </c>
      <c r="P1943" s="116">
        <v>230.28333333333299</v>
      </c>
      <c r="Q1943" s="116">
        <v>681.45</v>
      </c>
      <c r="R1943">
        <v>93244</v>
      </c>
    </row>
    <row r="1944" spans="1:18" x14ac:dyDescent="0.25">
      <c r="A1944" s="169">
        <v>45353</v>
      </c>
      <c r="B1944" s="116">
        <v>229.2</v>
      </c>
      <c r="C1944" s="116">
        <v>226.666666666667</v>
      </c>
      <c r="D1944" s="116">
        <v>225.45</v>
      </c>
      <c r="E1944" s="116">
        <v>226.666666666667</v>
      </c>
      <c r="F1944" s="116">
        <v>680</v>
      </c>
      <c r="G1944">
        <v>895</v>
      </c>
      <c r="H1944" s="116"/>
      <c r="I1944" s="116"/>
      <c r="L1944" s="169">
        <v>45353</v>
      </c>
      <c r="M1944" s="116">
        <v>226.833333333333</v>
      </c>
      <c r="N1944" s="116">
        <v>233.316666666667</v>
      </c>
      <c r="O1944" s="116">
        <v>225.36666666666699</v>
      </c>
      <c r="P1944" s="116">
        <v>225.53333333333299</v>
      </c>
      <c r="Q1944" s="116">
        <v>680.5</v>
      </c>
      <c r="R1944">
        <v>11916</v>
      </c>
    </row>
    <row r="1945" spans="1:18" x14ac:dyDescent="0.25">
      <c r="A1945" s="169">
        <v>45355</v>
      </c>
      <c r="B1945" s="116">
        <v>229.35</v>
      </c>
      <c r="C1945" s="116">
        <v>222.6</v>
      </c>
      <c r="D1945" s="116">
        <v>219.76666666666699</v>
      </c>
      <c r="E1945" s="116">
        <v>227.666666666667</v>
      </c>
      <c r="F1945" s="116">
        <v>667.8</v>
      </c>
      <c r="G1945">
        <v>5123</v>
      </c>
      <c r="H1945" s="116"/>
      <c r="I1945" s="116"/>
      <c r="L1945" s="169">
        <v>45355</v>
      </c>
      <c r="M1945" s="116">
        <v>222.683333333333</v>
      </c>
      <c r="N1945" s="116">
        <v>229.11666666666699</v>
      </c>
      <c r="O1945" s="116">
        <v>220.01666666666699</v>
      </c>
      <c r="P1945" s="116">
        <v>226.85</v>
      </c>
      <c r="Q1945" s="116">
        <v>668.05</v>
      </c>
      <c r="R1945">
        <v>77248</v>
      </c>
    </row>
    <row r="1946" spans="1:18" x14ac:dyDescent="0.25">
      <c r="A1946" s="169">
        <v>45356</v>
      </c>
      <c r="B1946" s="116">
        <v>228.166666666667</v>
      </c>
      <c r="C1946" s="116">
        <v>225.3</v>
      </c>
      <c r="D1946" s="116">
        <v>220.13333333333301</v>
      </c>
      <c r="E1946" s="116">
        <v>221.666666666667</v>
      </c>
      <c r="F1946" s="116">
        <v>675.9</v>
      </c>
      <c r="G1946">
        <v>1627</v>
      </c>
      <c r="H1946" s="116"/>
      <c r="I1946" s="116"/>
      <c r="L1946" s="169">
        <v>45356</v>
      </c>
      <c r="M1946" s="116">
        <v>225.46666666666701</v>
      </c>
      <c r="N1946" s="116">
        <v>228.36666666666699</v>
      </c>
      <c r="O1946" s="116">
        <v>220</v>
      </c>
      <c r="P1946" s="116">
        <v>220</v>
      </c>
      <c r="Q1946" s="116">
        <v>676.4</v>
      </c>
      <c r="R1946">
        <v>83083</v>
      </c>
    </row>
    <row r="1947" spans="1:18" x14ac:dyDescent="0.25">
      <c r="A1947" s="169">
        <v>45357</v>
      </c>
      <c r="B1947" s="116">
        <v>226.53333333333299</v>
      </c>
      <c r="C1947" s="116">
        <v>220.75</v>
      </c>
      <c r="D1947" s="116">
        <v>217.666666666667</v>
      </c>
      <c r="E1947" s="116">
        <v>224.933333333333</v>
      </c>
      <c r="F1947" s="116">
        <v>662.25</v>
      </c>
      <c r="G1947">
        <v>4648</v>
      </c>
      <c r="H1947" s="116"/>
      <c r="I1947" s="116"/>
      <c r="L1947" s="169">
        <v>45357</v>
      </c>
      <c r="M1947" s="116">
        <v>221.86666666666699</v>
      </c>
      <c r="N1947" s="116">
        <v>227.416666666667</v>
      </c>
      <c r="O1947" s="116">
        <v>217.666666666667</v>
      </c>
      <c r="P1947" s="116">
        <v>225.01666666666699</v>
      </c>
      <c r="Q1947" s="116">
        <v>665.6</v>
      </c>
      <c r="R1947">
        <v>64298</v>
      </c>
    </row>
    <row r="1948" spans="1:18" x14ac:dyDescent="0.25">
      <c r="A1948" s="169">
        <v>45358</v>
      </c>
      <c r="B1948" s="116">
        <v>223</v>
      </c>
      <c r="C1948" s="116">
        <v>218.28333333333299</v>
      </c>
      <c r="D1948" s="116">
        <v>216.46666666666701</v>
      </c>
      <c r="E1948" s="116">
        <v>220.38333333333301</v>
      </c>
      <c r="F1948" s="116">
        <v>654.85</v>
      </c>
      <c r="G1948">
        <v>803</v>
      </c>
      <c r="H1948" s="116"/>
      <c r="I1948" s="116"/>
      <c r="L1948" s="169">
        <v>45358</v>
      </c>
      <c r="M1948" s="116">
        <v>218.38333333333301</v>
      </c>
      <c r="N1948" s="116">
        <v>224.566666666667</v>
      </c>
      <c r="O1948" s="116">
        <v>216.666666666667</v>
      </c>
      <c r="P1948" s="116">
        <v>220.666666666667</v>
      </c>
      <c r="Q1948" s="116">
        <v>655.15</v>
      </c>
      <c r="R1948">
        <v>49053</v>
      </c>
    </row>
    <row r="1949" spans="1:18" x14ac:dyDescent="0.25">
      <c r="A1949" s="169">
        <v>45362</v>
      </c>
      <c r="B1949" s="116">
        <v>220.666666666667</v>
      </c>
      <c r="C1949" s="116">
        <v>214.63333333333301</v>
      </c>
      <c r="D1949" s="116">
        <v>213.333333333333</v>
      </c>
      <c r="E1949" s="116">
        <v>218.333333333333</v>
      </c>
      <c r="F1949" s="116">
        <v>643.9</v>
      </c>
      <c r="G1949">
        <v>3097</v>
      </c>
      <c r="H1949" s="116"/>
      <c r="I1949" s="116"/>
      <c r="L1949" s="169">
        <v>45362</v>
      </c>
      <c r="M1949" s="116">
        <v>216.01666666666699</v>
      </c>
      <c r="N1949" s="116">
        <v>220.816666666667</v>
      </c>
      <c r="O1949" s="116">
        <v>213.166666666667</v>
      </c>
      <c r="P1949" s="116">
        <v>218.333333333333</v>
      </c>
      <c r="Q1949" s="116">
        <v>648.04999999999995</v>
      </c>
      <c r="R1949">
        <v>106703</v>
      </c>
    </row>
    <row r="1950" spans="1:18" x14ac:dyDescent="0.25">
      <c r="A1950" s="169">
        <v>45363</v>
      </c>
      <c r="B1950" s="116">
        <v>217.63333333333301</v>
      </c>
      <c r="C1950" s="116">
        <v>216.35</v>
      </c>
      <c r="D1950" s="116">
        <v>208.683333333333</v>
      </c>
      <c r="E1950" s="116">
        <v>215.63333333333301</v>
      </c>
      <c r="F1950" s="116">
        <v>649.04999999999995</v>
      </c>
      <c r="G1950">
        <v>7949</v>
      </c>
      <c r="H1950" s="116"/>
      <c r="I1950" s="116"/>
      <c r="L1950" s="169">
        <v>45363</v>
      </c>
      <c r="M1950" s="116">
        <v>216.583333333333</v>
      </c>
      <c r="N1950" s="116">
        <v>217.666666666667</v>
      </c>
      <c r="O1950" s="116">
        <v>208.35</v>
      </c>
      <c r="P1950" s="116">
        <v>215.916666666667</v>
      </c>
      <c r="Q1950" s="116">
        <v>649.75</v>
      </c>
      <c r="R1950">
        <v>133188</v>
      </c>
    </row>
    <row r="1951" spans="1:18" x14ac:dyDescent="0.25">
      <c r="A1951" s="169">
        <v>45364</v>
      </c>
      <c r="B1951" s="116">
        <v>221.666666666667</v>
      </c>
      <c r="C1951" s="116">
        <v>204.96666666666701</v>
      </c>
      <c r="D1951" s="116">
        <v>200.03333333333299</v>
      </c>
      <c r="E1951" s="116">
        <v>216.666666666667</v>
      </c>
      <c r="F1951" s="116">
        <v>614.9</v>
      </c>
      <c r="G1951">
        <v>12124</v>
      </c>
      <c r="H1951" s="116"/>
      <c r="I1951" s="116"/>
      <c r="L1951" s="169">
        <v>45364</v>
      </c>
      <c r="M1951" s="116">
        <v>205.066666666667</v>
      </c>
      <c r="N1951" s="116">
        <v>221.76666666666699</v>
      </c>
      <c r="O1951" s="116">
        <v>200</v>
      </c>
      <c r="P1951" s="116">
        <v>216.666666666667</v>
      </c>
      <c r="Q1951" s="116">
        <v>615.20000000000005</v>
      </c>
      <c r="R1951">
        <v>168659</v>
      </c>
    </row>
    <row r="1952" spans="1:18" x14ac:dyDescent="0.25">
      <c r="A1952" s="169">
        <v>45365</v>
      </c>
      <c r="B1952" s="116">
        <v>214.666666666667</v>
      </c>
      <c r="C1952" s="116">
        <v>212.2</v>
      </c>
      <c r="D1952" s="116">
        <v>198.666666666667</v>
      </c>
      <c r="E1952" s="116">
        <v>201.833333333333</v>
      </c>
      <c r="F1952" s="116">
        <v>636.6</v>
      </c>
      <c r="G1952">
        <v>6936</v>
      </c>
      <c r="H1952" s="116"/>
      <c r="I1952" s="116"/>
      <c r="L1952" s="169">
        <v>45365</v>
      </c>
      <c r="M1952" s="116">
        <v>212.95</v>
      </c>
      <c r="N1952" s="116">
        <v>215</v>
      </c>
      <c r="O1952" s="116">
        <v>197.066666666667</v>
      </c>
      <c r="P1952" s="116">
        <v>197.066666666667</v>
      </c>
      <c r="Q1952" s="116">
        <v>638.85</v>
      </c>
      <c r="R1952">
        <v>135146</v>
      </c>
    </row>
    <row r="1953" spans="1:18" x14ac:dyDescent="0.25">
      <c r="A1953" s="169">
        <v>45366</v>
      </c>
      <c r="B1953" s="116">
        <v>215.566666666667</v>
      </c>
      <c r="C1953" s="116">
        <v>211.9</v>
      </c>
      <c r="D1953" s="116">
        <v>206.13333333333301</v>
      </c>
      <c r="E1953" s="116">
        <v>210.9</v>
      </c>
      <c r="F1953" s="116">
        <v>635.70000000000005</v>
      </c>
      <c r="G1953">
        <v>4627</v>
      </c>
      <c r="H1953" s="116"/>
      <c r="I1953" s="116"/>
      <c r="L1953" s="169">
        <v>45366</v>
      </c>
      <c r="M1953" s="116">
        <v>212.63333333333301</v>
      </c>
      <c r="N1953" s="116">
        <v>215.916666666667</v>
      </c>
      <c r="O1953" s="116">
        <v>206</v>
      </c>
      <c r="P1953" s="116">
        <v>210.333333333333</v>
      </c>
      <c r="Q1953" s="116">
        <v>637.9</v>
      </c>
      <c r="R1953">
        <v>56239</v>
      </c>
    </row>
    <row r="1954" spans="1:18" x14ac:dyDescent="0.25">
      <c r="A1954" s="169">
        <v>45369</v>
      </c>
      <c r="B1954" s="116">
        <v>216.63333333333301</v>
      </c>
      <c r="C1954" s="116">
        <v>210.38333333333301</v>
      </c>
      <c r="D1954" s="116">
        <v>205</v>
      </c>
      <c r="E1954" s="116">
        <v>212.316666666667</v>
      </c>
      <c r="F1954" s="116">
        <v>631.15</v>
      </c>
      <c r="G1954">
        <v>8242</v>
      </c>
      <c r="H1954" s="116"/>
      <c r="I1954" s="116"/>
      <c r="L1954" s="169">
        <v>45369</v>
      </c>
      <c r="M1954" s="116">
        <v>210.166666666667</v>
      </c>
      <c r="N1954" s="116">
        <v>216.566666666667</v>
      </c>
      <c r="O1954" s="116">
        <v>202</v>
      </c>
      <c r="P1954" s="116">
        <v>213.7</v>
      </c>
      <c r="Q1954" s="116">
        <v>630.5</v>
      </c>
      <c r="R1954">
        <v>143012</v>
      </c>
    </row>
    <row r="1955" spans="1:18" x14ac:dyDescent="0.25">
      <c r="A1955" s="169">
        <v>45370</v>
      </c>
      <c r="B1955" s="116">
        <v>213.86666666666699</v>
      </c>
      <c r="C1955" s="116">
        <v>208.3</v>
      </c>
      <c r="D1955" s="116">
        <v>206.2</v>
      </c>
      <c r="E1955" s="116">
        <v>206.2</v>
      </c>
      <c r="F1955" s="116">
        <v>624.9</v>
      </c>
      <c r="G1955">
        <v>4673</v>
      </c>
      <c r="H1955" s="116"/>
      <c r="I1955" s="116"/>
      <c r="L1955" s="169">
        <v>45370</v>
      </c>
      <c r="M1955" s="116">
        <v>208.433333333333</v>
      </c>
      <c r="N1955" s="116">
        <v>214</v>
      </c>
      <c r="O1955" s="116">
        <v>207.066666666667</v>
      </c>
      <c r="P1955" s="116">
        <v>210.45</v>
      </c>
      <c r="Q1955" s="116">
        <v>625.29999999999995</v>
      </c>
      <c r="R1955">
        <v>70134</v>
      </c>
    </row>
    <row r="1956" spans="1:18" x14ac:dyDescent="0.25">
      <c r="A1956" s="169">
        <v>45371</v>
      </c>
      <c r="B1956" s="116">
        <v>209.38333333333301</v>
      </c>
      <c r="C1956" s="116">
        <v>205.683333333333</v>
      </c>
      <c r="D1956" s="116">
        <v>202.333333333333</v>
      </c>
      <c r="E1956" s="116">
        <v>208.96666666666701</v>
      </c>
      <c r="F1956" s="116">
        <v>617.04999999999995</v>
      </c>
      <c r="G1956">
        <v>3599</v>
      </c>
      <c r="H1956" s="116"/>
      <c r="I1956" s="116"/>
      <c r="L1956" s="169">
        <v>45371</v>
      </c>
      <c r="M1956" s="116">
        <v>205.5</v>
      </c>
      <c r="N1956" s="116">
        <v>210</v>
      </c>
      <c r="O1956" s="116">
        <v>201.73333333333301</v>
      </c>
      <c r="P1956" s="116">
        <v>209.95</v>
      </c>
      <c r="Q1956" s="116">
        <v>616.5</v>
      </c>
      <c r="R1956">
        <v>55864</v>
      </c>
    </row>
    <row r="1957" spans="1:18" x14ac:dyDescent="0.25">
      <c r="A1957" s="169">
        <v>45372</v>
      </c>
      <c r="B1957" s="116">
        <v>207.73333333333301</v>
      </c>
      <c r="C1957" s="116">
        <v>202.8</v>
      </c>
      <c r="D1957" s="116">
        <v>201.85</v>
      </c>
      <c r="E1957" s="116">
        <v>206.88333333333301</v>
      </c>
      <c r="F1957" s="116">
        <v>608.4</v>
      </c>
      <c r="G1957">
        <v>7184</v>
      </c>
      <c r="H1957" s="116"/>
      <c r="I1957" s="116"/>
      <c r="L1957" s="169">
        <v>45372</v>
      </c>
      <c r="M1957" s="116">
        <v>203.166666666667</v>
      </c>
      <c r="N1957" s="116">
        <v>207.166666666667</v>
      </c>
      <c r="O1957" s="116">
        <v>202.36666666666699</v>
      </c>
      <c r="P1957" s="116">
        <v>206.666666666667</v>
      </c>
      <c r="Q1957" s="116">
        <v>609.5</v>
      </c>
      <c r="R1957">
        <v>43434</v>
      </c>
    </row>
    <row r="1958" spans="1:18" x14ac:dyDescent="0.25">
      <c r="A1958" s="169">
        <v>45373</v>
      </c>
      <c r="B1958" s="116">
        <v>205.666666666667</v>
      </c>
      <c r="C1958" s="116">
        <v>203.5</v>
      </c>
      <c r="D1958" s="116">
        <v>201</v>
      </c>
      <c r="E1958" s="116">
        <v>205.666666666667</v>
      </c>
      <c r="F1958" s="116">
        <v>610.5</v>
      </c>
      <c r="G1958">
        <v>3704</v>
      </c>
      <c r="H1958" s="116"/>
      <c r="I1958" s="116"/>
      <c r="L1958" s="169">
        <v>45373</v>
      </c>
      <c r="M1958" s="116">
        <v>203.61666666666699</v>
      </c>
      <c r="N1958" s="116">
        <v>205.683333333333</v>
      </c>
      <c r="O1958" s="116">
        <v>201.03333333333299</v>
      </c>
      <c r="P1958" s="116">
        <v>204.566666666667</v>
      </c>
      <c r="Q1958" s="116">
        <v>610.85</v>
      </c>
      <c r="R1958">
        <v>52102</v>
      </c>
    </row>
    <row r="1959" spans="1:18" x14ac:dyDescent="0.25">
      <c r="A1959" s="169">
        <v>45377</v>
      </c>
      <c r="B1959" s="116">
        <v>203.5</v>
      </c>
      <c r="C1959" s="116">
        <v>194.48333333333301</v>
      </c>
      <c r="D1959" s="116">
        <v>193.38333333333301</v>
      </c>
      <c r="E1959" s="116">
        <v>203.083333333333</v>
      </c>
      <c r="F1959" s="116">
        <v>583.45000000000005</v>
      </c>
      <c r="G1959">
        <v>7305</v>
      </c>
      <c r="H1959" s="116"/>
      <c r="I1959" s="116"/>
      <c r="L1959" s="169">
        <v>45377</v>
      </c>
      <c r="M1959" s="116">
        <v>194.6</v>
      </c>
      <c r="N1959" s="116">
        <v>203.61666666666699</v>
      </c>
      <c r="O1959" s="116">
        <v>193.36666666666699</v>
      </c>
      <c r="P1959" s="116">
        <v>203.333333333333</v>
      </c>
      <c r="Q1959" s="116">
        <v>583.79999999999995</v>
      </c>
      <c r="R1959">
        <v>131879</v>
      </c>
    </row>
    <row r="1960" spans="1:18" x14ac:dyDescent="0.25">
      <c r="A1960" s="169">
        <v>45378</v>
      </c>
      <c r="B1960" s="116">
        <v>208.03333333333299</v>
      </c>
      <c r="C1960" s="116">
        <v>187.15</v>
      </c>
      <c r="D1960" s="116">
        <v>185.28333333333299</v>
      </c>
      <c r="E1960" s="116">
        <v>208.03333333333299</v>
      </c>
      <c r="F1960" s="116">
        <v>561.45000000000005</v>
      </c>
      <c r="G1960">
        <v>12255</v>
      </c>
      <c r="H1960" s="116"/>
      <c r="I1960" s="116"/>
      <c r="L1960" s="169">
        <v>45378</v>
      </c>
      <c r="M1960" s="116">
        <v>187.86666666666699</v>
      </c>
      <c r="N1960" s="116">
        <v>198.45</v>
      </c>
      <c r="O1960" s="116">
        <v>184.7</v>
      </c>
      <c r="P1960" s="116">
        <v>195.76666666666699</v>
      </c>
      <c r="Q1960" s="116">
        <v>563.6</v>
      </c>
      <c r="R1960">
        <v>145662</v>
      </c>
    </row>
    <row r="1961" spans="1:18" x14ac:dyDescent="0.25">
      <c r="A1961" s="169">
        <v>45379</v>
      </c>
      <c r="B1961" s="116">
        <v>198.316666666667</v>
      </c>
      <c r="C1961" s="116">
        <v>197.4</v>
      </c>
      <c r="D1961" s="116">
        <v>187.38333333333301</v>
      </c>
      <c r="E1961" s="116">
        <v>187.38333333333301</v>
      </c>
      <c r="F1961" s="116">
        <v>592.20000000000005</v>
      </c>
      <c r="G1961">
        <v>16686</v>
      </c>
      <c r="H1961" s="116"/>
      <c r="I1961" s="116"/>
      <c r="L1961" s="169">
        <v>45379</v>
      </c>
      <c r="M1961" s="116">
        <v>196.65</v>
      </c>
      <c r="N1961" s="116">
        <v>197.7</v>
      </c>
      <c r="O1961" s="116">
        <v>186.666666666667</v>
      </c>
      <c r="P1961" s="116">
        <v>188.066666666667</v>
      </c>
      <c r="Q1961" s="116">
        <v>589.95000000000005</v>
      </c>
      <c r="R1961">
        <v>215509</v>
      </c>
    </row>
    <row r="1962" spans="1:18" x14ac:dyDescent="0.25">
      <c r="A1962" s="169">
        <v>45383</v>
      </c>
      <c r="B1962" s="116">
        <v>203.11666666666699</v>
      </c>
      <c r="C1962" s="116">
        <v>201.95</v>
      </c>
      <c r="D1962" s="116">
        <v>196.066666666667</v>
      </c>
      <c r="E1962" s="116">
        <v>196.066666666667</v>
      </c>
      <c r="F1962" s="116">
        <v>605.85</v>
      </c>
      <c r="G1962">
        <v>6128</v>
      </c>
      <c r="H1962" s="116"/>
      <c r="I1962" s="116"/>
      <c r="L1962" s="169">
        <v>45383</v>
      </c>
      <c r="M1962" s="116">
        <v>202.333333333333</v>
      </c>
      <c r="N1962" s="116">
        <v>203</v>
      </c>
      <c r="O1962" s="116">
        <v>197.3</v>
      </c>
      <c r="P1962" s="116">
        <v>197.3</v>
      </c>
      <c r="Q1962" s="116">
        <v>607</v>
      </c>
      <c r="R1962">
        <v>57658</v>
      </c>
    </row>
    <row r="1963" spans="1:18" x14ac:dyDescent="0.25">
      <c r="A1963" s="169">
        <v>45384</v>
      </c>
      <c r="B1963" s="116">
        <v>204.76666666666699</v>
      </c>
      <c r="C1963" s="116">
        <v>204.566666666667</v>
      </c>
      <c r="D1963" s="116">
        <v>200.9</v>
      </c>
      <c r="E1963" s="116">
        <v>202.75</v>
      </c>
      <c r="F1963" s="116">
        <v>613.70000000000005</v>
      </c>
      <c r="G1963">
        <v>684</v>
      </c>
      <c r="H1963" s="116"/>
      <c r="I1963" s="116"/>
      <c r="L1963" s="169">
        <v>45384</v>
      </c>
      <c r="M1963" s="116">
        <v>204.833333333333</v>
      </c>
      <c r="N1963" s="116">
        <v>205.316666666667</v>
      </c>
      <c r="O1963" s="116">
        <v>200.36666666666699</v>
      </c>
      <c r="P1963" s="116">
        <v>202.333333333333</v>
      </c>
      <c r="Q1963" s="116">
        <v>614.5</v>
      </c>
      <c r="R1963">
        <v>37232</v>
      </c>
    </row>
    <row r="1964" spans="1:18" x14ac:dyDescent="0.25">
      <c r="A1964" s="169">
        <v>45385</v>
      </c>
      <c r="B1964" s="116">
        <v>206.2</v>
      </c>
      <c r="C1964" s="116">
        <v>205.01666666666699</v>
      </c>
      <c r="D1964" s="116">
        <v>200.88333333333301</v>
      </c>
      <c r="E1964" s="116">
        <v>204.53333333333299</v>
      </c>
      <c r="F1964" s="116">
        <v>615.04999999999995</v>
      </c>
      <c r="G1964">
        <v>1668</v>
      </c>
      <c r="H1964" s="116"/>
      <c r="I1964" s="116"/>
      <c r="L1964" s="169">
        <v>45385</v>
      </c>
      <c r="M1964" s="116">
        <v>205.23333333333301</v>
      </c>
      <c r="N1964" s="116">
        <v>206.21666666666701</v>
      </c>
      <c r="O1964" s="116">
        <v>200.666666666667</v>
      </c>
      <c r="P1964" s="116">
        <v>202.35</v>
      </c>
      <c r="Q1964" s="116">
        <v>615.70000000000005</v>
      </c>
      <c r="R1964">
        <v>37538</v>
      </c>
    </row>
    <row r="1965" spans="1:18" x14ac:dyDescent="0.25">
      <c r="A1965" s="169">
        <v>45386</v>
      </c>
      <c r="B1965" s="116">
        <v>208.666666666667</v>
      </c>
      <c r="C1965" s="116">
        <v>205.55</v>
      </c>
      <c r="D1965" s="116">
        <v>204</v>
      </c>
      <c r="E1965" s="116">
        <v>207.316666666667</v>
      </c>
      <c r="F1965" s="116">
        <v>616.65</v>
      </c>
      <c r="G1965">
        <v>2464</v>
      </c>
      <c r="H1965" s="116"/>
      <c r="I1965" s="116"/>
      <c r="L1965" s="169">
        <v>45386</v>
      </c>
      <c r="M1965" s="116">
        <v>205.683333333333</v>
      </c>
      <c r="N1965" s="116">
        <v>209.23333333333301</v>
      </c>
      <c r="O1965" s="116">
        <v>203.76666666666699</v>
      </c>
      <c r="P1965" s="116">
        <v>206.26666666666699</v>
      </c>
      <c r="Q1965" s="116">
        <v>617.04999999999995</v>
      </c>
      <c r="R1965">
        <v>38953</v>
      </c>
    </row>
    <row r="1966" spans="1:18" x14ac:dyDescent="0.25">
      <c r="A1966" s="169">
        <v>45387</v>
      </c>
      <c r="B1966" s="116">
        <v>214.9</v>
      </c>
      <c r="C1966" s="116">
        <v>213.03333333333299</v>
      </c>
      <c r="D1966" s="116">
        <v>204.73333333333301</v>
      </c>
      <c r="E1966" s="116">
        <v>209.25</v>
      </c>
      <c r="F1966" s="116">
        <v>639.1</v>
      </c>
      <c r="G1966">
        <v>11019</v>
      </c>
      <c r="H1966" s="116"/>
      <c r="I1966" s="116"/>
      <c r="L1966" s="169">
        <v>45387</v>
      </c>
      <c r="M1966" s="116">
        <v>212.46666666666701</v>
      </c>
      <c r="N1966" s="116">
        <v>214.98333333333301</v>
      </c>
      <c r="O1966" s="116">
        <v>204.833333333333</v>
      </c>
      <c r="P1966" s="116">
        <v>205.71666666666701</v>
      </c>
      <c r="Q1966" s="116">
        <v>637.4</v>
      </c>
      <c r="R1966">
        <v>84250</v>
      </c>
    </row>
    <row r="1967" spans="1:18" x14ac:dyDescent="0.25">
      <c r="A1967" s="169">
        <v>45390</v>
      </c>
      <c r="B1967" s="116">
        <v>213.03333333333299</v>
      </c>
      <c r="C1967" s="116">
        <v>208.083333333333</v>
      </c>
      <c r="D1967" s="116">
        <v>207.51666666666699</v>
      </c>
      <c r="E1967" s="116">
        <v>210.48333333333301</v>
      </c>
      <c r="F1967" s="116">
        <v>624.25</v>
      </c>
      <c r="G1967">
        <v>4565</v>
      </c>
      <c r="H1967" s="116"/>
      <c r="I1967" s="116"/>
      <c r="L1967" s="169">
        <v>45390</v>
      </c>
      <c r="M1967" s="116">
        <v>208.23333333333301</v>
      </c>
      <c r="N1967" s="116">
        <v>213</v>
      </c>
      <c r="O1967" s="116">
        <v>207.333333333333</v>
      </c>
      <c r="P1967" s="116">
        <v>212.6</v>
      </c>
      <c r="Q1967" s="116">
        <v>624.70000000000005</v>
      </c>
      <c r="R1967">
        <v>31717</v>
      </c>
    </row>
    <row r="1968" spans="1:18" x14ac:dyDescent="0.25">
      <c r="A1968" s="169">
        <v>45391</v>
      </c>
      <c r="B1968" s="116">
        <v>208.71666666666701</v>
      </c>
      <c r="C1968" s="116">
        <v>207.28333333333299</v>
      </c>
      <c r="D1968" s="116">
        <v>205</v>
      </c>
      <c r="E1968" s="116">
        <v>208.71666666666701</v>
      </c>
      <c r="F1968" s="116">
        <v>621.85</v>
      </c>
      <c r="G1968">
        <v>1483</v>
      </c>
      <c r="H1968" s="116"/>
      <c r="I1968" s="116"/>
      <c r="L1968" s="169">
        <v>45391</v>
      </c>
      <c r="M1968" s="116">
        <v>207.433333333333</v>
      </c>
      <c r="N1968" s="116">
        <v>209.63333333333301</v>
      </c>
      <c r="O1968" s="116">
        <v>205</v>
      </c>
      <c r="P1968" s="116">
        <v>209.63333333333301</v>
      </c>
      <c r="Q1968" s="116">
        <v>622.29999999999995</v>
      </c>
      <c r="R1968">
        <v>34173</v>
      </c>
    </row>
    <row r="1969" spans="1:18" x14ac:dyDescent="0.25">
      <c r="A1969" s="169">
        <v>45392</v>
      </c>
      <c r="B1969" s="116">
        <v>209</v>
      </c>
      <c r="C1969" s="116">
        <v>206.666666666667</v>
      </c>
      <c r="D1969" s="116">
        <v>205.38333333333301</v>
      </c>
      <c r="E1969" s="116">
        <v>207.333333333333</v>
      </c>
      <c r="F1969" s="116">
        <v>620</v>
      </c>
      <c r="G1969">
        <v>550</v>
      </c>
      <c r="H1969" s="116"/>
      <c r="I1969" s="116"/>
      <c r="L1969" s="169">
        <v>45392</v>
      </c>
      <c r="M1969" s="116">
        <v>207.35</v>
      </c>
      <c r="N1969" s="116">
        <v>209.96666666666701</v>
      </c>
      <c r="O1969" s="116">
        <v>205.2</v>
      </c>
      <c r="P1969" s="116">
        <v>207.96666666666701</v>
      </c>
      <c r="Q1969" s="116">
        <v>622.04999999999995</v>
      </c>
      <c r="R1969">
        <v>29397</v>
      </c>
    </row>
    <row r="1970" spans="1:18" x14ac:dyDescent="0.25">
      <c r="A1970" s="169">
        <v>45394</v>
      </c>
      <c r="B1970" s="116">
        <v>211.2</v>
      </c>
      <c r="C1970" s="116">
        <v>207.53333333333299</v>
      </c>
      <c r="D1970" s="116">
        <v>207</v>
      </c>
      <c r="E1970" s="116">
        <v>207.38333333333301</v>
      </c>
      <c r="F1970" s="116">
        <v>622.6</v>
      </c>
      <c r="G1970">
        <v>2280</v>
      </c>
      <c r="H1970" s="116"/>
      <c r="I1970" s="116"/>
      <c r="L1970" s="169">
        <v>45394</v>
      </c>
      <c r="M1970" s="116">
        <v>207.55</v>
      </c>
      <c r="N1970" s="116">
        <v>212.01666666666699</v>
      </c>
      <c r="O1970" s="116">
        <v>206.933333333333</v>
      </c>
      <c r="P1970" s="116">
        <v>209</v>
      </c>
      <c r="Q1970" s="116">
        <v>622.65</v>
      </c>
      <c r="R1970">
        <v>56392</v>
      </c>
    </row>
    <row r="1971" spans="1:18" x14ac:dyDescent="0.25">
      <c r="A1971" s="169">
        <v>45397</v>
      </c>
      <c r="B1971" s="116">
        <v>209.333333333333</v>
      </c>
      <c r="C1971" s="116">
        <v>209.01666666666699</v>
      </c>
      <c r="D1971" s="116">
        <v>201</v>
      </c>
      <c r="E1971" s="116">
        <v>201.01666666666699</v>
      </c>
      <c r="F1971" s="116">
        <v>627.04999999999995</v>
      </c>
      <c r="G1971">
        <v>3372</v>
      </c>
      <c r="H1971" s="116"/>
      <c r="I1971" s="116"/>
      <c r="L1971" s="169">
        <v>45397</v>
      </c>
      <c r="M1971" s="116">
        <v>208.666666666667</v>
      </c>
      <c r="N1971" s="116">
        <v>209.98333333333301</v>
      </c>
      <c r="O1971" s="116">
        <v>201.7</v>
      </c>
      <c r="P1971" s="116">
        <v>201.7</v>
      </c>
      <c r="Q1971" s="116">
        <v>626</v>
      </c>
      <c r="R1971">
        <v>126313</v>
      </c>
    </row>
    <row r="1972" spans="1:18" x14ac:dyDescent="0.25">
      <c r="A1972" s="169">
        <v>45398</v>
      </c>
      <c r="B1972" s="116">
        <v>208.96666666666701</v>
      </c>
      <c r="C1972" s="116">
        <v>207.25</v>
      </c>
      <c r="D1972" s="116">
        <v>206.35</v>
      </c>
      <c r="E1972" s="116">
        <v>208.96666666666701</v>
      </c>
      <c r="F1972" s="116">
        <v>621.75</v>
      </c>
      <c r="G1972">
        <v>2567</v>
      </c>
      <c r="H1972" s="116"/>
      <c r="I1972" s="116"/>
      <c r="L1972" s="169">
        <v>45398</v>
      </c>
      <c r="M1972" s="116">
        <v>207.38333333333301</v>
      </c>
      <c r="N1972" s="116">
        <v>208.65</v>
      </c>
      <c r="O1972" s="116">
        <v>206.066666666667</v>
      </c>
      <c r="P1972" s="116">
        <v>208.65</v>
      </c>
      <c r="Q1972" s="116">
        <v>622.15</v>
      </c>
      <c r="R1972">
        <v>28307</v>
      </c>
    </row>
    <row r="1973" spans="1:18" x14ac:dyDescent="0.25">
      <c r="A1973" s="169">
        <v>45400</v>
      </c>
      <c r="B1973" s="116">
        <v>208.55</v>
      </c>
      <c r="C1973" s="116">
        <v>205.46666666666701</v>
      </c>
      <c r="D1973" s="116">
        <v>203.333333333333</v>
      </c>
      <c r="E1973" s="116">
        <v>206.78333333333299</v>
      </c>
      <c r="F1973" s="116">
        <v>616.4</v>
      </c>
      <c r="G1973">
        <v>862</v>
      </c>
      <c r="H1973" s="116"/>
      <c r="I1973" s="116"/>
      <c r="L1973" s="169">
        <v>45400</v>
      </c>
      <c r="M1973" s="116">
        <v>205.53333333333299</v>
      </c>
      <c r="N1973" s="116">
        <v>208.63333333333301</v>
      </c>
      <c r="O1973" s="116">
        <v>203.36666666666699</v>
      </c>
      <c r="P1973" s="116">
        <v>207.38333333333301</v>
      </c>
      <c r="Q1973" s="116">
        <v>616.6</v>
      </c>
      <c r="R1973">
        <v>32937</v>
      </c>
    </row>
    <row r="1974" spans="1:18" x14ac:dyDescent="0.25">
      <c r="A1974" s="169">
        <v>45401</v>
      </c>
      <c r="B1974" s="116">
        <v>215.25</v>
      </c>
      <c r="C1974" s="116">
        <v>211.61666666666699</v>
      </c>
      <c r="D1974" s="116">
        <v>201.666666666667</v>
      </c>
      <c r="E1974" s="116">
        <v>204.13333333333301</v>
      </c>
      <c r="F1974" s="116">
        <v>634.85</v>
      </c>
      <c r="G1974">
        <v>9300</v>
      </c>
      <c r="H1974" s="116"/>
      <c r="I1974" s="116"/>
      <c r="L1974" s="169">
        <v>45401</v>
      </c>
      <c r="M1974" s="116">
        <v>210.8</v>
      </c>
      <c r="N1974" s="116">
        <v>215.666666666667</v>
      </c>
      <c r="O1974" s="116">
        <v>201.26666666666699</v>
      </c>
      <c r="P1974" s="116">
        <v>205.53333333333299</v>
      </c>
      <c r="Q1974" s="116">
        <v>632.4</v>
      </c>
      <c r="R1974">
        <v>357735</v>
      </c>
    </row>
    <row r="1975" spans="1:18" x14ac:dyDescent="0.25">
      <c r="A1975" s="169">
        <v>45404</v>
      </c>
      <c r="B1975" s="116">
        <v>217.666666666667</v>
      </c>
      <c r="C1975" s="116">
        <v>214.98333333333301</v>
      </c>
      <c r="D1975" s="116">
        <v>209.75</v>
      </c>
      <c r="E1975" s="116">
        <v>210.96666666666701</v>
      </c>
      <c r="F1975" s="116">
        <v>644.95000000000005</v>
      </c>
      <c r="G1975">
        <v>9346</v>
      </c>
      <c r="H1975" s="116"/>
      <c r="I1975" s="116"/>
      <c r="L1975" s="169">
        <v>45404</v>
      </c>
      <c r="M1975" s="116">
        <v>214.76666666666699</v>
      </c>
      <c r="N1975" s="116">
        <v>217.98333333333301</v>
      </c>
      <c r="O1975" s="116">
        <v>209.28333333333299</v>
      </c>
      <c r="P1975" s="116">
        <v>210.833333333333</v>
      </c>
      <c r="Q1975" s="116">
        <v>644.29999999999995</v>
      </c>
      <c r="R1975">
        <v>68369</v>
      </c>
    </row>
    <row r="1976" spans="1:18" x14ac:dyDescent="0.25">
      <c r="A1976" s="169">
        <v>45405</v>
      </c>
      <c r="B1976" s="116">
        <v>217.15</v>
      </c>
      <c r="C1976" s="116">
        <v>214.6</v>
      </c>
      <c r="D1976" s="116">
        <v>212.46666666666701</v>
      </c>
      <c r="E1976" s="116">
        <v>216</v>
      </c>
      <c r="F1976" s="116">
        <v>643.79999999999995</v>
      </c>
      <c r="G1976">
        <v>3647</v>
      </c>
      <c r="H1976" s="116"/>
      <c r="I1976" s="116"/>
      <c r="L1976" s="169">
        <v>45405</v>
      </c>
      <c r="M1976" s="116">
        <v>214.78333333333299</v>
      </c>
      <c r="N1976" s="116">
        <v>217.333333333333</v>
      </c>
      <c r="O1976" s="116">
        <v>212.333333333333</v>
      </c>
      <c r="P1976" s="116">
        <v>215.816666666667</v>
      </c>
      <c r="Q1976" s="116">
        <v>644.35</v>
      </c>
      <c r="R1976">
        <v>39106</v>
      </c>
    </row>
    <row r="1977" spans="1:18" x14ac:dyDescent="0.25">
      <c r="A1977" s="169">
        <v>45406</v>
      </c>
      <c r="B1977" s="116">
        <v>227.23333333333301</v>
      </c>
      <c r="C1977" s="116">
        <v>219.88333333333301</v>
      </c>
      <c r="D1977" s="116">
        <v>215.2</v>
      </c>
      <c r="E1977" s="116">
        <v>216.61666666666699</v>
      </c>
      <c r="F1977" s="116">
        <v>659.65</v>
      </c>
      <c r="G1977">
        <v>4997</v>
      </c>
      <c r="H1977" s="116"/>
      <c r="I1977" s="116"/>
      <c r="L1977" s="169">
        <v>45406</v>
      </c>
      <c r="M1977" s="116">
        <v>219.98333333333301</v>
      </c>
      <c r="N1977" s="116">
        <v>227.36666666666699</v>
      </c>
      <c r="O1977" s="116">
        <v>215.083333333333</v>
      </c>
      <c r="P1977" s="116">
        <v>215.833333333333</v>
      </c>
      <c r="Q1977" s="116">
        <v>659.95</v>
      </c>
      <c r="R1977">
        <v>106905</v>
      </c>
    </row>
    <row r="1978" spans="1:18" x14ac:dyDescent="0.25">
      <c r="A1978" s="169">
        <v>45407</v>
      </c>
      <c r="B1978" s="116">
        <v>220.666666666667</v>
      </c>
      <c r="C1978" s="116">
        <v>219.98333333333301</v>
      </c>
      <c r="D1978" s="116">
        <v>215.9</v>
      </c>
      <c r="E1978" s="116">
        <v>219.98333333333301</v>
      </c>
      <c r="F1978" s="116">
        <v>659.95</v>
      </c>
      <c r="G1978">
        <v>2686</v>
      </c>
      <c r="H1978" s="116"/>
      <c r="I1978" s="116"/>
      <c r="L1978" s="169">
        <v>45407</v>
      </c>
      <c r="M1978" s="116">
        <v>219.933333333333</v>
      </c>
      <c r="N1978" s="116">
        <v>221.933333333333</v>
      </c>
      <c r="O1978" s="116">
        <v>216.166666666667</v>
      </c>
      <c r="P1978" s="116">
        <v>219.76666666666699</v>
      </c>
      <c r="Q1978" s="116">
        <v>659.8</v>
      </c>
      <c r="R1978">
        <v>39007</v>
      </c>
    </row>
    <row r="1979" spans="1:18" x14ac:dyDescent="0.25">
      <c r="A1979" s="169">
        <v>45408</v>
      </c>
      <c r="B1979" s="116">
        <v>222.066666666667</v>
      </c>
      <c r="C1979" s="116">
        <v>217.23333333333301</v>
      </c>
      <c r="D1979" s="116">
        <v>216.316666666667</v>
      </c>
      <c r="E1979" s="116">
        <v>220.03333333333299</v>
      </c>
      <c r="F1979" s="116">
        <v>651.70000000000005</v>
      </c>
      <c r="G1979">
        <v>5033</v>
      </c>
      <c r="H1979" s="116"/>
      <c r="I1979" s="116"/>
      <c r="L1979" s="169">
        <v>45408</v>
      </c>
      <c r="M1979" s="116">
        <v>218.333333333333</v>
      </c>
      <c r="N1979" s="116">
        <v>221.316666666667</v>
      </c>
      <c r="O1979" s="116">
        <v>216.36666666666699</v>
      </c>
      <c r="P1979" s="116">
        <v>220.3</v>
      </c>
      <c r="Q1979" s="116">
        <v>655</v>
      </c>
      <c r="R1979">
        <v>48931</v>
      </c>
    </row>
    <row r="1980" spans="1:18" x14ac:dyDescent="0.25">
      <c r="A1980" s="169">
        <v>45411</v>
      </c>
      <c r="B1980" s="116">
        <v>219.25</v>
      </c>
      <c r="C1980" s="116">
        <v>216.8</v>
      </c>
      <c r="D1980" s="116">
        <v>216.45</v>
      </c>
      <c r="E1980" s="116">
        <v>218.333333333333</v>
      </c>
      <c r="F1980" s="116">
        <v>650.4</v>
      </c>
      <c r="G1980">
        <v>1299</v>
      </c>
      <c r="H1980" s="116"/>
      <c r="I1980" s="116"/>
      <c r="L1980" s="169">
        <v>45411</v>
      </c>
      <c r="M1980" s="116">
        <v>216.88333333333301</v>
      </c>
      <c r="N1980" s="116">
        <v>219.65</v>
      </c>
      <c r="O1980" s="116">
        <v>216.666666666667</v>
      </c>
      <c r="P1980" s="116">
        <v>219.65</v>
      </c>
      <c r="Q1980" s="116">
        <v>650.65</v>
      </c>
      <c r="R1980">
        <v>20767</v>
      </c>
    </row>
    <row r="1981" spans="1:18" x14ac:dyDescent="0.25">
      <c r="A1981" s="169">
        <v>45412</v>
      </c>
      <c r="B1981" s="116">
        <v>217.35</v>
      </c>
      <c r="C1981" s="116">
        <v>214.6</v>
      </c>
      <c r="D1981" s="116">
        <v>210.03333333333299</v>
      </c>
      <c r="E1981" s="116">
        <v>216.666666666667</v>
      </c>
      <c r="F1981" s="116">
        <v>643.79999999999995</v>
      </c>
      <c r="G1981">
        <v>2081</v>
      </c>
      <c r="H1981" s="116"/>
      <c r="I1981" s="116"/>
      <c r="L1981" s="169">
        <v>45412</v>
      </c>
      <c r="M1981" s="116">
        <v>214.98333333333301</v>
      </c>
      <c r="N1981" s="116">
        <v>217.98333333333301</v>
      </c>
      <c r="O1981" s="116">
        <v>210.666666666667</v>
      </c>
      <c r="P1981" s="116">
        <v>216.666666666667</v>
      </c>
      <c r="Q1981" s="116">
        <v>644.95000000000005</v>
      </c>
      <c r="R1981">
        <v>51358</v>
      </c>
    </row>
    <row r="1982" spans="1:18" x14ac:dyDescent="0.25">
      <c r="A1982" s="169">
        <v>45414</v>
      </c>
      <c r="B1982" s="116">
        <v>217.316666666667</v>
      </c>
      <c r="C1982" s="116">
        <v>213.833333333333</v>
      </c>
      <c r="D1982" s="116">
        <v>211.816666666667</v>
      </c>
      <c r="E1982" s="116">
        <v>214.98333333333301</v>
      </c>
      <c r="F1982" s="116">
        <v>641.5</v>
      </c>
      <c r="G1982">
        <v>1233</v>
      </c>
      <c r="H1982" s="116"/>
      <c r="I1982" s="116"/>
      <c r="L1982" s="169">
        <v>45414</v>
      </c>
      <c r="M1982" s="116">
        <v>214.71666666666701</v>
      </c>
      <c r="N1982" s="116">
        <v>217.666666666667</v>
      </c>
      <c r="O1982" s="116">
        <v>212.01666666666699</v>
      </c>
      <c r="P1982" s="116">
        <v>214.96666666666701</v>
      </c>
      <c r="Q1982" s="116">
        <v>644.15</v>
      </c>
      <c r="R1982">
        <v>24202</v>
      </c>
    </row>
    <row r="1983" spans="1:18" x14ac:dyDescent="0.25">
      <c r="A1983" s="169">
        <v>45415</v>
      </c>
      <c r="B1983" s="116">
        <v>214.666666666667</v>
      </c>
      <c r="C1983" s="116">
        <v>210.6</v>
      </c>
      <c r="D1983" s="116">
        <v>205</v>
      </c>
      <c r="E1983" s="116">
        <v>209.05</v>
      </c>
      <c r="F1983" s="116">
        <v>631.79999999999995</v>
      </c>
      <c r="G1983">
        <v>2338</v>
      </c>
      <c r="H1983" s="116"/>
      <c r="I1983" s="116"/>
      <c r="L1983" s="169">
        <v>45415</v>
      </c>
      <c r="M1983" s="116">
        <v>210.35</v>
      </c>
      <c r="N1983" s="116">
        <v>215.26666666666699</v>
      </c>
      <c r="O1983" s="116">
        <v>205</v>
      </c>
      <c r="P1983" s="116">
        <v>214.71666666666701</v>
      </c>
      <c r="Q1983" s="116">
        <v>631.04999999999995</v>
      </c>
      <c r="R1983">
        <v>48167</v>
      </c>
    </row>
    <row r="1984" spans="1:18" x14ac:dyDescent="0.25">
      <c r="A1984" s="169">
        <v>45418</v>
      </c>
      <c r="B1984" s="116">
        <v>213.3</v>
      </c>
      <c r="C1984" s="116">
        <v>206.933333333333</v>
      </c>
      <c r="D1984" s="116">
        <v>205.48333333333301</v>
      </c>
      <c r="E1984" s="116">
        <v>213.3</v>
      </c>
      <c r="F1984" s="116">
        <v>620.79999999999995</v>
      </c>
      <c r="G1984">
        <v>4242</v>
      </c>
      <c r="H1984" s="116"/>
      <c r="I1984" s="116"/>
      <c r="L1984" s="169">
        <v>45418</v>
      </c>
      <c r="M1984" s="116">
        <v>207.03333333333299</v>
      </c>
      <c r="N1984" s="116">
        <v>212.15</v>
      </c>
      <c r="O1984" s="116">
        <v>205.6</v>
      </c>
      <c r="P1984" s="116">
        <v>212.15</v>
      </c>
      <c r="Q1984" s="116">
        <v>621.1</v>
      </c>
      <c r="R1984">
        <v>19754</v>
      </c>
    </row>
    <row r="1985" spans="1:18" x14ac:dyDescent="0.25">
      <c r="A1985" s="169">
        <v>45419</v>
      </c>
      <c r="B1985" s="116">
        <v>208.71666666666701</v>
      </c>
      <c r="C1985" s="116">
        <v>206.63333333333301</v>
      </c>
      <c r="D1985" s="116">
        <v>203.7</v>
      </c>
      <c r="E1985" s="116">
        <v>206.816666666667</v>
      </c>
      <c r="F1985" s="116">
        <v>619.9</v>
      </c>
      <c r="G1985">
        <v>826</v>
      </c>
      <c r="H1985" s="116"/>
      <c r="I1985" s="116"/>
      <c r="L1985" s="169">
        <v>45419</v>
      </c>
      <c r="M1985" s="116">
        <v>206.816666666667</v>
      </c>
      <c r="N1985" s="116">
        <v>209.26666666666699</v>
      </c>
      <c r="O1985" s="116">
        <v>203.7</v>
      </c>
      <c r="P1985" s="116">
        <v>206.45</v>
      </c>
      <c r="Q1985" s="116">
        <v>620.45000000000005</v>
      </c>
      <c r="R1985">
        <v>15869</v>
      </c>
    </row>
    <row r="1986" spans="1:18" x14ac:dyDescent="0.25">
      <c r="A1986" s="169">
        <v>45420</v>
      </c>
      <c r="B1986" s="116">
        <v>207.13333333333301</v>
      </c>
      <c r="C1986" s="116">
        <v>205.48333333333301</v>
      </c>
      <c r="D1986" s="116">
        <v>204</v>
      </c>
      <c r="E1986" s="116">
        <v>206.666666666667</v>
      </c>
      <c r="F1986" s="116">
        <v>616.45000000000005</v>
      </c>
      <c r="G1986">
        <v>1357</v>
      </c>
      <c r="H1986" s="116"/>
      <c r="I1986" s="116"/>
      <c r="L1986" s="169">
        <v>45420</v>
      </c>
      <c r="M1986" s="116">
        <v>205.416666666667</v>
      </c>
      <c r="N1986" s="116">
        <v>207.86666666666699</v>
      </c>
      <c r="O1986" s="116">
        <v>203.85</v>
      </c>
      <c r="P1986" s="116">
        <v>206.666666666667</v>
      </c>
      <c r="Q1986" s="116">
        <v>616.25</v>
      </c>
      <c r="R1986">
        <v>18561</v>
      </c>
    </row>
    <row r="1987" spans="1:18" x14ac:dyDescent="0.25">
      <c r="A1987" s="169">
        <v>45421</v>
      </c>
      <c r="B1987" s="116">
        <v>210</v>
      </c>
      <c r="C1987" s="116">
        <v>207.433333333333</v>
      </c>
      <c r="D1987" s="116">
        <v>199.48333333333301</v>
      </c>
      <c r="E1987" s="116">
        <v>206.01666666666699</v>
      </c>
      <c r="F1987" s="116">
        <v>622.29999999999995</v>
      </c>
      <c r="G1987">
        <v>5762</v>
      </c>
      <c r="H1987" s="116"/>
      <c r="I1987" s="116"/>
      <c r="L1987" s="169">
        <v>45421</v>
      </c>
      <c r="M1987" s="116">
        <v>207.5</v>
      </c>
      <c r="N1987" s="116">
        <v>210.333333333333</v>
      </c>
      <c r="O1987" s="116">
        <v>199.066666666667</v>
      </c>
      <c r="P1987" s="116">
        <v>206.666666666667</v>
      </c>
      <c r="Q1987" s="116">
        <v>622.5</v>
      </c>
      <c r="R1987">
        <v>61762</v>
      </c>
    </row>
    <row r="1988" spans="1:18" x14ac:dyDescent="0.25">
      <c r="A1988" s="169">
        <v>45422</v>
      </c>
      <c r="B1988" s="116">
        <v>219.45</v>
      </c>
      <c r="C1988" s="116">
        <v>208.566666666667</v>
      </c>
      <c r="D1988" s="116">
        <v>206.63333333333301</v>
      </c>
      <c r="E1988" s="116">
        <v>209.65</v>
      </c>
      <c r="F1988" s="116">
        <v>625.70000000000005</v>
      </c>
      <c r="G1988">
        <v>268360</v>
      </c>
      <c r="H1988" s="116"/>
      <c r="I1988" s="116"/>
      <c r="L1988" s="169">
        <v>45422</v>
      </c>
      <c r="M1988" s="116">
        <v>208.7</v>
      </c>
      <c r="N1988" s="116">
        <v>219.98333333333301</v>
      </c>
      <c r="O1988" s="116">
        <v>206.85</v>
      </c>
      <c r="P1988" s="116">
        <v>208.333333333333</v>
      </c>
      <c r="Q1988" s="116">
        <v>626.1</v>
      </c>
      <c r="R1988">
        <v>881123</v>
      </c>
    </row>
    <row r="1989" spans="1:18" x14ac:dyDescent="0.25">
      <c r="A1989" s="169">
        <v>45425</v>
      </c>
      <c r="B1989" s="116">
        <v>215.2</v>
      </c>
      <c r="C1989" s="116">
        <v>206.416666666667</v>
      </c>
      <c r="D1989" s="116">
        <v>205.26666666666699</v>
      </c>
      <c r="E1989" s="116">
        <v>211.98333333333301</v>
      </c>
      <c r="F1989" s="116">
        <v>619.25</v>
      </c>
      <c r="G1989">
        <v>4048</v>
      </c>
      <c r="H1989" s="116"/>
      <c r="I1989" s="116"/>
      <c r="L1989" s="169">
        <v>45425</v>
      </c>
      <c r="M1989" s="116">
        <v>206.433333333333</v>
      </c>
      <c r="N1989" s="116">
        <v>215.88333333333301</v>
      </c>
      <c r="O1989" s="116">
        <v>204.683333333333</v>
      </c>
      <c r="P1989" s="116">
        <v>209.96666666666701</v>
      </c>
      <c r="Q1989" s="116">
        <v>619.29999999999995</v>
      </c>
      <c r="R1989">
        <v>89566</v>
      </c>
    </row>
    <row r="1990" spans="1:18" x14ac:dyDescent="0.25">
      <c r="A1990" s="169">
        <v>45426</v>
      </c>
      <c r="B1990" s="116">
        <v>218.166666666667</v>
      </c>
      <c r="C1990" s="116">
        <v>215.95</v>
      </c>
      <c r="D1990" s="116">
        <v>206.51666666666699</v>
      </c>
      <c r="E1990" s="116">
        <v>206.51666666666699</v>
      </c>
      <c r="F1990" s="116">
        <v>647.85</v>
      </c>
      <c r="G1990">
        <v>2465</v>
      </c>
      <c r="H1990" s="116"/>
      <c r="I1990" s="116"/>
      <c r="L1990" s="169">
        <v>45426</v>
      </c>
      <c r="M1990" s="116">
        <v>215.75</v>
      </c>
      <c r="N1990" s="116">
        <v>219.666666666667</v>
      </c>
      <c r="O1990" s="116">
        <v>207.26666666666699</v>
      </c>
      <c r="P1990" s="116">
        <v>207.28333333333299</v>
      </c>
      <c r="Q1990" s="116">
        <v>647.25</v>
      </c>
      <c r="R1990">
        <v>87537</v>
      </c>
    </row>
    <row r="1991" spans="1:18" x14ac:dyDescent="0.25">
      <c r="A1991" s="169">
        <v>45427</v>
      </c>
      <c r="B1991" s="116">
        <v>226.96666666666701</v>
      </c>
      <c r="C1991" s="116">
        <v>216.96666666666701</v>
      </c>
      <c r="D1991" s="116">
        <v>215.28333333333299</v>
      </c>
      <c r="E1991" s="116">
        <v>219.78333333333299</v>
      </c>
      <c r="F1991" s="116">
        <v>650.9</v>
      </c>
      <c r="G1991">
        <v>17904</v>
      </c>
      <c r="H1991" s="116"/>
      <c r="I1991" s="116"/>
      <c r="L1991" s="169">
        <v>45427</v>
      </c>
      <c r="M1991" s="116">
        <v>216.933333333333</v>
      </c>
      <c r="N1991" s="116">
        <v>227.333333333333</v>
      </c>
      <c r="O1991" s="116">
        <v>215.48333333333301</v>
      </c>
      <c r="P1991" s="116">
        <v>220</v>
      </c>
      <c r="Q1991" s="116">
        <v>650.79999999999995</v>
      </c>
      <c r="R1991">
        <v>251026</v>
      </c>
    </row>
    <row r="1992" spans="1:18" x14ac:dyDescent="0.25">
      <c r="A1992" s="169">
        <v>45428</v>
      </c>
      <c r="B1992" s="116">
        <v>220.65</v>
      </c>
      <c r="C1992" s="116">
        <v>216.433333333333</v>
      </c>
      <c r="D1992" s="116">
        <v>216.01666666666699</v>
      </c>
      <c r="E1992" s="116">
        <v>220.65</v>
      </c>
      <c r="F1992" s="116">
        <v>649.29999999999995</v>
      </c>
      <c r="G1992">
        <v>4108</v>
      </c>
      <c r="H1992" s="116"/>
      <c r="I1992" s="116"/>
      <c r="L1992" s="169">
        <v>45428</v>
      </c>
      <c r="M1992" s="116">
        <v>216.96666666666701</v>
      </c>
      <c r="N1992" s="116">
        <v>219.833333333333</v>
      </c>
      <c r="O1992" s="116">
        <v>216.13333333333301</v>
      </c>
      <c r="P1992" s="116">
        <v>217.916666666667</v>
      </c>
      <c r="Q1992" s="116">
        <v>650.9</v>
      </c>
      <c r="R1992">
        <v>41372</v>
      </c>
    </row>
    <row r="1993" spans="1:18" x14ac:dyDescent="0.25">
      <c r="A1993" s="169">
        <v>45429</v>
      </c>
      <c r="B1993" s="116">
        <v>218.416666666667</v>
      </c>
      <c r="C1993" s="116">
        <v>216.35</v>
      </c>
      <c r="D1993" s="116">
        <v>215.683333333333</v>
      </c>
      <c r="E1993" s="116">
        <v>217.666666666667</v>
      </c>
      <c r="F1993" s="116">
        <v>649.04999999999995</v>
      </c>
      <c r="G1993">
        <v>632</v>
      </c>
      <c r="H1993" s="116"/>
      <c r="I1993" s="116"/>
      <c r="L1993" s="169">
        <v>45429</v>
      </c>
      <c r="M1993" s="116">
        <v>216.6</v>
      </c>
      <c r="N1993" s="116">
        <v>218.7</v>
      </c>
      <c r="O1993" s="116">
        <v>215.4</v>
      </c>
      <c r="P1993" s="116">
        <v>218.083333333333</v>
      </c>
      <c r="Q1993" s="116">
        <v>649.79999999999995</v>
      </c>
      <c r="R1993">
        <v>41428</v>
      </c>
    </row>
    <row r="1994" spans="1:18" x14ac:dyDescent="0.25">
      <c r="A1994" s="169">
        <v>45430</v>
      </c>
      <c r="B1994" s="116">
        <v>217.666666666667</v>
      </c>
      <c r="C1994" s="116">
        <v>214.46666666666701</v>
      </c>
      <c r="D1994" s="116">
        <v>213.53333333333299</v>
      </c>
      <c r="E1994" s="116">
        <v>215.65</v>
      </c>
      <c r="F1994" s="116">
        <v>643.4</v>
      </c>
      <c r="G1994">
        <v>397</v>
      </c>
      <c r="H1994" s="116"/>
      <c r="I1994" s="116"/>
      <c r="L1994" s="169">
        <v>45430</v>
      </c>
      <c r="M1994" s="116">
        <v>214.566666666667</v>
      </c>
      <c r="N1994" s="116">
        <v>218</v>
      </c>
      <c r="O1994" s="116">
        <v>213.333333333333</v>
      </c>
      <c r="P1994" s="116">
        <v>214.433333333333</v>
      </c>
      <c r="Q1994" s="116">
        <v>643.70000000000005</v>
      </c>
      <c r="R1994">
        <v>6175</v>
      </c>
    </row>
    <row r="1995" spans="1:18" x14ac:dyDescent="0.25">
      <c r="A1995" s="169">
        <v>45433</v>
      </c>
      <c r="B1995" s="116">
        <v>214.71666666666701</v>
      </c>
      <c r="C1995" s="116">
        <v>211.416666666667</v>
      </c>
      <c r="D1995" s="116">
        <v>208.73333333333301</v>
      </c>
      <c r="E1995" s="116">
        <v>208.73333333333301</v>
      </c>
      <c r="F1995" s="116">
        <v>634.25</v>
      </c>
      <c r="G1995">
        <v>1666</v>
      </c>
      <c r="H1995" s="116"/>
      <c r="I1995" s="116"/>
      <c r="L1995" s="169">
        <v>45433</v>
      </c>
      <c r="M1995" s="116">
        <v>211.63333333333301</v>
      </c>
      <c r="N1995" s="116">
        <v>215.316666666667</v>
      </c>
      <c r="O1995" s="116">
        <v>210.7</v>
      </c>
      <c r="P1995" s="116">
        <v>213.36666666666699</v>
      </c>
      <c r="Q1995" s="116">
        <v>634.9</v>
      </c>
      <c r="R1995">
        <v>30174</v>
      </c>
    </row>
    <row r="1996" spans="1:18" x14ac:dyDescent="0.25">
      <c r="A1996" s="169">
        <v>45434</v>
      </c>
      <c r="B1996" s="116">
        <v>215.65</v>
      </c>
      <c r="C1996" s="116">
        <v>209.583333333333</v>
      </c>
      <c r="D1996" s="116">
        <v>208.35</v>
      </c>
      <c r="E1996" s="116">
        <v>215.65</v>
      </c>
      <c r="F1996" s="116">
        <v>628.75</v>
      </c>
      <c r="G1996">
        <v>821</v>
      </c>
      <c r="H1996" s="116"/>
      <c r="I1996" s="116"/>
      <c r="L1996" s="169">
        <v>45434</v>
      </c>
      <c r="M1996" s="116">
        <v>208.933333333333</v>
      </c>
      <c r="N1996" s="116">
        <v>212.7</v>
      </c>
      <c r="O1996" s="116">
        <v>208.333333333333</v>
      </c>
      <c r="P1996" s="116">
        <v>212.7</v>
      </c>
      <c r="Q1996" s="116">
        <v>626.79999999999995</v>
      </c>
      <c r="R1996">
        <v>33057</v>
      </c>
    </row>
    <row r="1997" spans="1:18" x14ac:dyDescent="0.25">
      <c r="A1997" s="169">
        <v>45435</v>
      </c>
      <c r="B1997" s="116">
        <v>211.316666666667</v>
      </c>
      <c r="C1997" s="116">
        <v>209.65</v>
      </c>
      <c r="D1997" s="116">
        <v>206.666666666667</v>
      </c>
      <c r="E1997" s="116">
        <v>209.88333333333301</v>
      </c>
      <c r="F1997" s="116">
        <v>628.95000000000005</v>
      </c>
      <c r="G1997">
        <v>3615</v>
      </c>
      <c r="H1997" s="116"/>
      <c r="I1997" s="116"/>
      <c r="L1997" s="169">
        <v>45435</v>
      </c>
      <c r="M1997" s="116">
        <v>209.75</v>
      </c>
      <c r="N1997" s="116">
        <v>211.666666666667</v>
      </c>
      <c r="O1997" s="116">
        <v>206.2</v>
      </c>
      <c r="P1997" s="116">
        <v>210.28333333333299</v>
      </c>
      <c r="Q1997" s="116">
        <v>629.25</v>
      </c>
      <c r="R1997">
        <v>27804</v>
      </c>
    </row>
    <row r="1998" spans="1:18" x14ac:dyDescent="0.25">
      <c r="A1998" s="169">
        <v>45436</v>
      </c>
      <c r="B1998" s="116">
        <v>211</v>
      </c>
      <c r="C1998" s="116">
        <v>209.333333333333</v>
      </c>
      <c r="D1998" s="116">
        <v>208.38333333333301</v>
      </c>
      <c r="E1998" s="116">
        <v>211</v>
      </c>
      <c r="F1998" s="116">
        <v>628</v>
      </c>
      <c r="G1998">
        <v>611</v>
      </c>
      <c r="H1998" s="116"/>
      <c r="I1998" s="116"/>
      <c r="L1998" s="169">
        <v>45436</v>
      </c>
      <c r="M1998" s="116">
        <v>209.3</v>
      </c>
      <c r="N1998" s="116">
        <v>210.666666666667</v>
      </c>
      <c r="O1998" s="116">
        <v>208</v>
      </c>
      <c r="P1998" s="116">
        <v>210.666666666667</v>
      </c>
      <c r="Q1998" s="116">
        <v>627.9</v>
      </c>
      <c r="R1998">
        <v>15461</v>
      </c>
    </row>
    <row r="1999" spans="1:18" x14ac:dyDescent="0.25">
      <c r="A1999" s="169">
        <v>45439</v>
      </c>
      <c r="B1999" s="116">
        <v>211.666666666667</v>
      </c>
      <c r="C1999" s="116">
        <v>206.6</v>
      </c>
      <c r="D1999" s="116">
        <v>206.35</v>
      </c>
      <c r="E1999" s="116">
        <v>210.15</v>
      </c>
      <c r="F1999" s="116">
        <v>619.79999999999995</v>
      </c>
      <c r="G1999">
        <v>4226</v>
      </c>
      <c r="H1999" s="116"/>
      <c r="I1999" s="116"/>
      <c r="L1999" s="169">
        <v>45439</v>
      </c>
      <c r="M1999" s="116">
        <v>206.8</v>
      </c>
      <c r="N1999" s="116">
        <v>211.71666666666701</v>
      </c>
      <c r="O1999" s="116">
        <v>206.666666666667</v>
      </c>
      <c r="P1999" s="116">
        <v>210.6</v>
      </c>
      <c r="Q1999" s="116">
        <v>620.4</v>
      </c>
      <c r="R1999">
        <v>20080</v>
      </c>
    </row>
    <row r="2000" spans="1:18" x14ac:dyDescent="0.25">
      <c r="A2000" s="169">
        <v>45440</v>
      </c>
      <c r="B2000" s="116">
        <v>209.25</v>
      </c>
      <c r="C2000" s="116">
        <v>206.666666666667</v>
      </c>
      <c r="D2000" s="116">
        <v>206.46666666666701</v>
      </c>
      <c r="E2000" s="116">
        <v>206.683333333333</v>
      </c>
      <c r="F2000" s="116">
        <v>620</v>
      </c>
      <c r="G2000">
        <v>5666</v>
      </c>
      <c r="H2000" s="116"/>
      <c r="I2000" s="116"/>
      <c r="L2000" s="169">
        <v>45440</v>
      </c>
      <c r="M2000" s="116">
        <v>207.066666666667</v>
      </c>
      <c r="N2000" s="116">
        <v>209.65</v>
      </c>
      <c r="O2000" s="116">
        <v>206.333333333333</v>
      </c>
      <c r="P2000" s="116">
        <v>207</v>
      </c>
      <c r="Q2000" s="116">
        <v>621.20000000000005</v>
      </c>
      <c r="R2000">
        <v>30867</v>
      </c>
    </row>
    <row r="2001" spans="1:18" x14ac:dyDescent="0.25">
      <c r="A2001" s="169">
        <v>45441</v>
      </c>
      <c r="B2001" s="116">
        <v>209.23333333333301</v>
      </c>
      <c r="C2001" s="116">
        <v>204.88333333333301</v>
      </c>
      <c r="D2001" s="116">
        <v>203.86666666666699</v>
      </c>
      <c r="E2001" s="116">
        <v>206</v>
      </c>
      <c r="F2001" s="116">
        <v>614.65</v>
      </c>
      <c r="G2001">
        <v>1620</v>
      </c>
      <c r="H2001" s="116"/>
      <c r="I2001" s="116"/>
      <c r="L2001" s="169">
        <v>45441</v>
      </c>
      <c r="M2001" s="116">
        <v>204.95</v>
      </c>
      <c r="N2001" s="116">
        <v>208.316666666667</v>
      </c>
      <c r="O2001" s="116">
        <v>204.11666666666699</v>
      </c>
      <c r="P2001" s="116">
        <v>207.066666666667</v>
      </c>
      <c r="Q2001" s="116">
        <v>614.85</v>
      </c>
      <c r="R2001">
        <v>20781</v>
      </c>
    </row>
    <row r="2002" spans="1:18" x14ac:dyDescent="0.25">
      <c r="A2002" s="169">
        <v>45442</v>
      </c>
      <c r="B2002" s="116">
        <v>207.28333333333299</v>
      </c>
      <c r="C2002" s="116">
        <v>206.9</v>
      </c>
      <c r="D2002" s="116">
        <v>201.55</v>
      </c>
      <c r="E2002" s="116">
        <v>203</v>
      </c>
      <c r="F2002" s="116">
        <v>620.70000000000005</v>
      </c>
      <c r="G2002">
        <v>1804</v>
      </c>
      <c r="H2002" s="116"/>
      <c r="I2002" s="116"/>
      <c r="L2002" s="169">
        <v>45442</v>
      </c>
      <c r="M2002" s="116">
        <v>206.8</v>
      </c>
      <c r="N2002" s="116">
        <v>207.65</v>
      </c>
      <c r="O2002" s="116">
        <v>201.666666666667</v>
      </c>
      <c r="P2002" s="116">
        <v>204</v>
      </c>
      <c r="Q2002" s="116">
        <v>620.4</v>
      </c>
      <c r="R2002">
        <v>41767</v>
      </c>
    </row>
    <row r="2003" spans="1:18" x14ac:dyDescent="0.25">
      <c r="A2003" s="169">
        <v>45443</v>
      </c>
      <c r="B2003" s="116">
        <v>208.666666666667</v>
      </c>
      <c r="C2003" s="116">
        <v>204.083333333333</v>
      </c>
      <c r="D2003" s="116">
        <v>202.666666666667</v>
      </c>
      <c r="E2003" s="116">
        <v>206.88333333333301</v>
      </c>
      <c r="F2003" s="116">
        <v>612.25</v>
      </c>
      <c r="G2003">
        <v>2643</v>
      </c>
      <c r="H2003" s="116"/>
      <c r="I2003" s="116"/>
      <c r="L2003" s="169">
        <v>45443</v>
      </c>
      <c r="M2003" s="116">
        <v>204.066666666667</v>
      </c>
      <c r="N2003" s="116">
        <v>209</v>
      </c>
      <c r="O2003" s="116">
        <v>202.8</v>
      </c>
      <c r="P2003" s="116">
        <v>209</v>
      </c>
      <c r="Q2003" s="116">
        <v>612.20000000000005</v>
      </c>
      <c r="R2003">
        <v>28688</v>
      </c>
    </row>
    <row r="2004" spans="1:18" x14ac:dyDescent="0.25">
      <c r="A2004" s="169">
        <v>45446</v>
      </c>
      <c r="B2004" s="116">
        <v>206.5</v>
      </c>
      <c r="C2004" s="116">
        <v>202.01666666666699</v>
      </c>
      <c r="D2004" s="116">
        <v>200.683333333333</v>
      </c>
      <c r="E2004" s="116">
        <v>204.5</v>
      </c>
      <c r="F2004" s="116">
        <v>606.04999999999995</v>
      </c>
      <c r="G2004">
        <v>8057</v>
      </c>
      <c r="H2004" s="116"/>
      <c r="I2004" s="116"/>
      <c r="L2004" s="169">
        <v>45446</v>
      </c>
      <c r="M2004" s="116">
        <v>202</v>
      </c>
      <c r="N2004" s="116">
        <v>209.333333333333</v>
      </c>
      <c r="O2004" s="116">
        <v>200.4</v>
      </c>
      <c r="P2004" s="116">
        <v>205.4</v>
      </c>
      <c r="Q2004" s="116">
        <v>606</v>
      </c>
      <c r="R2004">
        <v>38809</v>
      </c>
    </row>
    <row r="2005" spans="1:18" x14ac:dyDescent="0.25">
      <c r="A2005" s="169">
        <v>45447</v>
      </c>
      <c r="B2005" s="116">
        <v>202.01666666666699</v>
      </c>
      <c r="C2005" s="116">
        <v>194.48333333333301</v>
      </c>
      <c r="D2005" s="116">
        <v>190.25</v>
      </c>
      <c r="E2005" s="116">
        <v>202.01666666666699</v>
      </c>
      <c r="F2005" s="116">
        <v>583.45000000000005</v>
      </c>
      <c r="G2005">
        <v>12621</v>
      </c>
      <c r="H2005" s="116"/>
      <c r="I2005" s="116"/>
      <c r="L2005" s="169">
        <v>45447</v>
      </c>
      <c r="M2005" s="116">
        <v>194.25</v>
      </c>
      <c r="N2005" s="116">
        <v>204.3</v>
      </c>
      <c r="O2005" s="116">
        <v>190.46666666666701</v>
      </c>
      <c r="P2005" s="116">
        <v>202</v>
      </c>
      <c r="Q2005" s="116">
        <v>582.75</v>
      </c>
      <c r="R2005">
        <v>51536</v>
      </c>
    </row>
    <row r="2006" spans="1:18" x14ac:dyDescent="0.25">
      <c r="A2006" s="169">
        <v>45448</v>
      </c>
      <c r="B2006" s="116">
        <v>203.6</v>
      </c>
      <c r="C2006" s="116">
        <v>198.85</v>
      </c>
      <c r="D2006" s="116">
        <v>191</v>
      </c>
      <c r="E2006" s="116">
        <v>193.333333333333</v>
      </c>
      <c r="F2006" s="116">
        <v>596.54999999999995</v>
      </c>
      <c r="G2006">
        <v>3974</v>
      </c>
      <c r="H2006" s="116"/>
      <c r="I2006" s="116"/>
      <c r="L2006" s="169">
        <v>45448</v>
      </c>
      <c r="M2006" s="116">
        <v>200.46666666666701</v>
      </c>
      <c r="N2006" s="116">
        <v>203.666666666667</v>
      </c>
      <c r="O2006" s="116">
        <v>190.666666666667</v>
      </c>
      <c r="P2006" s="116">
        <v>194.25</v>
      </c>
      <c r="Q2006" s="116">
        <v>601.4</v>
      </c>
      <c r="R2006">
        <v>16845</v>
      </c>
    </row>
    <row r="2007" spans="1:18" x14ac:dyDescent="0.25">
      <c r="A2007" s="169">
        <v>45449</v>
      </c>
      <c r="B2007" s="116">
        <v>204.6</v>
      </c>
      <c r="C2007" s="116">
        <v>203.416666666667</v>
      </c>
      <c r="D2007" s="116">
        <v>200.683333333333</v>
      </c>
      <c r="E2007" s="116">
        <v>200.683333333333</v>
      </c>
      <c r="F2007" s="116">
        <v>610.25</v>
      </c>
      <c r="G2007">
        <v>835</v>
      </c>
      <c r="H2007" s="116"/>
      <c r="I2007" s="116"/>
      <c r="L2007" s="169">
        <v>45449</v>
      </c>
      <c r="M2007" s="116">
        <v>203.13333333333301</v>
      </c>
      <c r="N2007" s="116">
        <v>204.666666666667</v>
      </c>
      <c r="O2007" s="116">
        <v>200.7</v>
      </c>
      <c r="P2007" s="116">
        <v>201.23333333333301</v>
      </c>
      <c r="Q2007" s="116">
        <v>609.4</v>
      </c>
      <c r="R2007">
        <v>15408</v>
      </c>
    </row>
    <row r="2008" spans="1:18" x14ac:dyDescent="0.25">
      <c r="A2008" s="169">
        <v>45450</v>
      </c>
      <c r="B2008" s="116">
        <v>207.333333333333</v>
      </c>
      <c r="C2008" s="116">
        <v>205.38333333333301</v>
      </c>
      <c r="D2008" s="116">
        <v>202.53333333333299</v>
      </c>
      <c r="E2008" s="116">
        <v>203.166666666667</v>
      </c>
      <c r="F2008" s="116">
        <v>616.15</v>
      </c>
      <c r="G2008">
        <v>4083</v>
      </c>
      <c r="H2008" s="116"/>
      <c r="I2008" s="116"/>
      <c r="L2008" s="169">
        <v>45450</v>
      </c>
      <c r="M2008" s="116">
        <v>204.85</v>
      </c>
      <c r="N2008" s="116">
        <v>207.75</v>
      </c>
      <c r="O2008" s="116">
        <v>202.35</v>
      </c>
      <c r="P2008" s="116">
        <v>203.8</v>
      </c>
      <c r="Q2008" s="116">
        <v>614.54999999999995</v>
      </c>
      <c r="R2008">
        <v>29762</v>
      </c>
    </row>
    <row r="2009" spans="1:18" x14ac:dyDescent="0.25">
      <c r="A2009" s="169">
        <v>45453</v>
      </c>
      <c r="B2009" s="116">
        <v>211.333333333333</v>
      </c>
      <c r="C2009" s="116">
        <v>210.583333333333</v>
      </c>
      <c r="D2009" s="116">
        <v>205.35</v>
      </c>
      <c r="E2009" s="116">
        <v>208.316666666667</v>
      </c>
      <c r="F2009" s="116">
        <v>631.75</v>
      </c>
      <c r="G2009">
        <v>5032</v>
      </c>
      <c r="H2009" s="116"/>
      <c r="I2009" s="116"/>
      <c r="L2009" s="169">
        <v>45453</v>
      </c>
      <c r="M2009" s="116">
        <v>210.51666666666699</v>
      </c>
      <c r="N2009" s="116">
        <v>211.666666666667</v>
      </c>
      <c r="O2009" s="116">
        <v>205.5</v>
      </c>
      <c r="P2009" s="116">
        <v>208.23333333333301</v>
      </c>
      <c r="Q2009" s="116">
        <v>631.54999999999995</v>
      </c>
      <c r="R2009">
        <v>37527</v>
      </c>
    </row>
    <row r="2010" spans="1:18" x14ac:dyDescent="0.25">
      <c r="A2010" s="169">
        <v>45454</v>
      </c>
      <c r="B2010" s="116">
        <v>214.98333333333301</v>
      </c>
      <c r="C2010" s="116">
        <v>213.26666666666699</v>
      </c>
      <c r="D2010" s="116">
        <v>209.11666666666699</v>
      </c>
      <c r="E2010" s="116">
        <v>210.333333333333</v>
      </c>
      <c r="F2010" s="116">
        <v>639.79999999999995</v>
      </c>
      <c r="G2010">
        <v>10484</v>
      </c>
      <c r="H2010" s="116"/>
      <c r="I2010" s="116"/>
      <c r="L2010" s="169">
        <v>45454</v>
      </c>
      <c r="M2010" s="116">
        <v>213.78333333333299</v>
      </c>
      <c r="N2010" s="116">
        <v>215.083333333333</v>
      </c>
      <c r="O2010" s="116">
        <v>209.13333333333301</v>
      </c>
      <c r="P2010" s="116">
        <v>211.98333333333301</v>
      </c>
      <c r="Q2010" s="116">
        <v>641.35</v>
      </c>
      <c r="R2010">
        <v>51439</v>
      </c>
    </row>
    <row r="2011" spans="1:18" x14ac:dyDescent="0.25">
      <c r="A2011" s="169">
        <v>45455</v>
      </c>
      <c r="B2011" s="116">
        <v>225.85</v>
      </c>
      <c r="C2011" s="116">
        <v>220.51666666666699</v>
      </c>
      <c r="D2011" s="116">
        <v>216.833333333333</v>
      </c>
      <c r="E2011" s="116">
        <v>219.666666666667</v>
      </c>
      <c r="F2011" s="116">
        <v>661.55</v>
      </c>
      <c r="G2011">
        <v>6280</v>
      </c>
      <c r="H2011" s="116"/>
      <c r="I2011" s="116"/>
      <c r="L2011" s="169">
        <v>45455</v>
      </c>
      <c r="M2011" s="116">
        <v>220.583333333333</v>
      </c>
      <c r="N2011" s="116">
        <v>226.666666666667</v>
      </c>
      <c r="O2011" s="116">
        <v>216.666666666667</v>
      </c>
      <c r="P2011" s="116">
        <v>218.01666666666699</v>
      </c>
      <c r="Q2011" s="116">
        <v>661.75</v>
      </c>
      <c r="R2011">
        <v>158720</v>
      </c>
    </row>
    <row r="2012" spans="1:18" x14ac:dyDescent="0.25">
      <c r="A2012" s="169">
        <v>45456</v>
      </c>
      <c r="B2012" s="116">
        <v>222.05</v>
      </c>
      <c r="C2012" s="116">
        <v>218.26666666666699</v>
      </c>
      <c r="D2012" s="116">
        <v>217.4</v>
      </c>
      <c r="E2012" s="116">
        <v>221</v>
      </c>
      <c r="F2012" s="116">
        <v>654.79999999999995</v>
      </c>
      <c r="G2012">
        <v>1129</v>
      </c>
      <c r="H2012" s="116"/>
      <c r="I2012" s="116"/>
      <c r="L2012" s="169">
        <v>45456</v>
      </c>
      <c r="M2012" s="116">
        <v>218.35</v>
      </c>
      <c r="N2012" s="116">
        <v>222.75</v>
      </c>
      <c r="O2012" s="116">
        <v>217.53333333333299</v>
      </c>
      <c r="P2012" s="116">
        <v>220.916666666667</v>
      </c>
      <c r="Q2012" s="116">
        <v>655.04999999999995</v>
      </c>
      <c r="R2012">
        <v>25131</v>
      </c>
    </row>
    <row r="2013" spans="1:18" x14ac:dyDescent="0.25">
      <c r="A2013" s="169">
        <v>45457</v>
      </c>
      <c r="B2013" s="116">
        <v>219.48333333333301</v>
      </c>
      <c r="C2013" s="116">
        <v>217.65</v>
      </c>
      <c r="D2013" s="116">
        <v>216.333333333333</v>
      </c>
      <c r="E2013" s="116">
        <v>218</v>
      </c>
      <c r="F2013" s="116">
        <v>652.95000000000005</v>
      </c>
      <c r="G2013">
        <v>6117</v>
      </c>
      <c r="H2013" s="116"/>
      <c r="I2013" s="116"/>
      <c r="L2013" s="169">
        <v>45457</v>
      </c>
      <c r="M2013" s="116">
        <v>217.71666666666701</v>
      </c>
      <c r="N2013" s="116">
        <v>219.15</v>
      </c>
      <c r="O2013" s="116">
        <v>216.316666666667</v>
      </c>
      <c r="P2013" s="116">
        <v>218</v>
      </c>
      <c r="Q2013" s="116">
        <v>653.15</v>
      </c>
      <c r="R2013">
        <v>42676</v>
      </c>
    </row>
    <row r="2014" spans="1:18" x14ac:dyDescent="0.25">
      <c r="A2014" s="169">
        <v>45461</v>
      </c>
      <c r="B2014" s="116">
        <v>218.433333333333</v>
      </c>
      <c r="C2014" s="116">
        <v>216.95</v>
      </c>
      <c r="D2014" s="116">
        <v>213.61666666666699</v>
      </c>
      <c r="E2014" s="116">
        <v>216.666666666667</v>
      </c>
      <c r="F2014" s="116">
        <v>650.85</v>
      </c>
      <c r="G2014">
        <v>1767</v>
      </c>
      <c r="H2014" s="116"/>
      <c r="I2014" s="116"/>
      <c r="L2014" s="169">
        <v>45461</v>
      </c>
      <c r="M2014" s="116">
        <v>216.933333333333</v>
      </c>
      <c r="N2014" s="116">
        <v>218.333333333333</v>
      </c>
      <c r="O2014" s="116">
        <v>213.5</v>
      </c>
      <c r="P2014" s="116">
        <v>217.75</v>
      </c>
      <c r="Q2014" s="116">
        <v>650.79999999999995</v>
      </c>
      <c r="R2014">
        <v>37968</v>
      </c>
    </row>
    <row r="2015" spans="1:18" x14ac:dyDescent="0.25">
      <c r="A2015" s="169">
        <v>45462</v>
      </c>
      <c r="B2015" s="116">
        <v>218.1</v>
      </c>
      <c r="C2015" s="116">
        <v>212.63333333333301</v>
      </c>
      <c r="D2015" s="116">
        <v>210.23333333333301</v>
      </c>
      <c r="E2015" s="116">
        <v>217</v>
      </c>
      <c r="F2015" s="116">
        <v>637.9</v>
      </c>
      <c r="G2015">
        <v>7010</v>
      </c>
      <c r="H2015" s="116"/>
      <c r="I2015" s="116"/>
      <c r="L2015" s="169">
        <v>45462</v>
      </c>
      <c r="M2015" s="116">
        <v>212.566666666667</v>
      </c>
      <c r="N2015" s="116">
        <v>218.333333333333</v>
      </c>
      <c r="O2015" s="116">
        <v>210</v>
      </c>
      <c r="P2015" s="116">
        <v>218.316666666667</v>
      </c>
      <c r="Q2015" s="116">
        <v>637.70000000000005</v>
      </c>
      <c r="R2015">
        <v>41710</v>
      </c>
    </row>
    <row r="2016" spans="1:18" x14ac:dyDescent="0.25">
      <c r="A2016" s="169">
        <v>45463</v>
      </c>
      <c r="B2016" s="116">
        <v>221.066666666667</v>
      </c>
      <c r="C2016" s="116">
        <v>215.98333333333301</v>
      </c>
      <c r="D2016" s="116">
        <v>211.25</v>
      </c>
      <c r="E2016" s="116">
        <v>212.63333333333301</v>
      </c>
      <c r="F2016" s="116">
        <v>647.95000000000005</v>
      </c>
      <c r="G2016">
        <v>13741</v>
      </c>
      <c r="H2016" s="116"/>
      <c r="I2016" s="116"/>
      <c r="L2016" s="169">
        <v>45463</v>
      </c>
      <c r="M2016" s="116">
        <v>216.23333333333301</v>
      </c>
      <c r="N2016" s="116">
        <v>220</v>
      </c>
      <c r="O2016" s="116">
        <v>210.95</v>
      </c>
      <c r="P2016" s="116">
        <v>212.566666666667</v>
      </c>
      <c r="Q2016" s="116">
        <v>648.70000000000005</v>
      </c>
      <c r="R2016">
        <v>47226</v>
      </c>
    </row>
    <row r="2017" spans="1:18" x14ac:dyDescent="0.25">
      <c r="A2017" s="169">
        <v>45464</v>
      </c>
      <c r="B2017" s="116">
        <v>217.066666666667</v>
      </c>
      <c r="C2017" s="116">
        <v>212.21666666666701</v>
      </c>
      <c r="D2017" s="116">
        <v>211.6</v>
      </c>
      <c r="E2017" s="116">
        <v>216.23333333333301</v>
      </c>
      <c r="F2017" s="116">
        <v>636.65</v>
      </c>
      <c r="G2017">
        <v>1458</v>
      </c>
      <c r="H2017" s="116"/>
      <c r="I2017" s="116"/>
      <c r="L2017" s="169">
        <v>45464</v>
      </c>
      <c r="M2017" s="116">
        <v>212.11666666666699</v>
      </c>
      <c r="N2017" s="116">
        <v>217.98333333333301</v>
      </c>
      <c r="O2017" s="116">
        <v>211.666666666667</v>
      </c>
      <c r="P2017" s="116">
        <v>217.98333333333301</v>
      </c>
      <c r="Q2017" s="116">
        <v>636.35</v>
      </c>
      <c r="R2017">
        <v>31793</v>
      </c>
    </row>
    <row r="2018" spans="1:18" x14ac:dyDescent="0.25">
      <c r="A2018" s="169">
        <v>45467</v>
      </c>
      <c r="B2018" s="116">
        <v>215.183333333333</v>
      </c>
      <c r="C2018" s="116">
        <v>209.23333333333301</v>
      </c>
      <c r="D2018" s="116">
        <v>208.25</v>
      </c>
      <c r="E2018" s="116">
        <v>213.333333333333</v>
      </c>
      <c r="F2018" s="116">
        <v>627.70000000000005</v>
      </c>
      <c r="G2018">
        <v>6121</v>
      </c>
      <c r="H2018" s="116"/>
      <c r="I2018" s="116"/>
      <c r="L2018" s="169">
        <v>45467</v>
      </c>
      <c r="M2018" s="116">
        <v>209.3</v>
      </c>
      <c r="N2018" s="116">
        <v>214.86666666666699</v>
      </c>
      <c r="O2018" s="116">
        <v>208.75</v>
      </c>
      <c r="P2018" s="116">
        <v>213.15</v>
      </c>
      <c r="Q2018" s="116">
        <v>627.9</v>
      </c>
      <c r="R2018">
        <v>32215</v>
      </c>
    </row>
    <row r="2019" spans="1:18" x14ac:dyDescent="0.25">
      <c r="A2019" s="169">
        <v>45468</v>
      </c>
      <c r="B2019" s="116">
        <v>212</v>
      </c>
      <c r="C2019" s="116">
        <v>210.61666666666699</v>
      </c>
      <c r="D2019" s="116">
        <v>208</v>
      </c>
      <c r="E2019" s="116">
        <v>208</v>
      </c>
      <c r="F2019" s="116">
        <v>631.85</v>
      </c>
      <c r="G2019">
        <v>2158</v>
      </c>
      <c r="H2019" s="116"/>
      <c r="I2019" s="116"/>
      <c r="L2019" s="169">
        <v>45468</v>
      </c>
      <c r="M2019" s="116">
        <v>210.71666666666701</v>
      </c>
      <c r="N2019" s="116">
        <v>212.316666666667</v>
      </c>
      <c r="O2019" s="116">
        <v>208.666666666667</v>
      </c>
      <c r="P2019" s="116">
        <v>209.333333333333</v>
      </c>
      <c r="Q2019" s="116">
        <v>632.15</v>
      </c>
      <c r="R2019">
        <v>17165</v>
      </c>
    </row>
    <row r="2020" spans="1:18" x14ac:dyDescent="0.25">
      <c r="A2020" s="169">
        <v>45469</v>
      </c>
      <c r="B2020" s="116">
        <v>212</v>
      </c>
      <c r="C2020" s="116">
        <v>209.1</v>
      </c>
      <c r="D2020" s="116">
        <v>207.833333333333</v>
      </c>
      <c r="E2020" s="116">
        <v>210.61666666666699</v>
      </c>
      <c r="F2020" s="116">
        <v>627.29999999999995</v>
      </c>
      <c r="G2020">
        <v>601</v>
      </c>
      <c r="H2020" s="116"/>
      <c r="I2020" s="116"/>
      <c r="L2020" s="169">
        <v>45469</v>
      </c>
      <c r="M2020" s="116">
        <v>208.9</v>
      </c>
      <c r="N2020" s="116">
        <v>211.96666666666701</v>
      </c>
      <c r="O2020" s="116">
        <v>207.35</v>
      </c>
      <c r="P2020" s="116">
        <v>211.96666666666701</v>
      </c>
      <c r="Q2020" s="116">
        <v>626.70000000000005</v>
      </c>
      <c r="R2020">
        <v>26041</v>
      </c>
    </row>
    <row r="2021" spans="1:18" x14ac:dyDescent="0.25">
      <c r="A2021" s="169">
        <v>45470</v>
      </c>
      <c r="B2021" s="116">
        <v>210</v>
      </c>
      <c r="C2021" s="116">
        <v>208.53333333333299</v>
      </c>
      <c r="D2021" s="116">
        <v>207.35</v>
      </c>
      <c r="E2021" s="116">
        <v>209.333333333333</v>
      </c>
      <c r="F2021" s="116">
        <v>625.6</v>
      </c>
      <c r="G2021">
        <v>8162</v>
      </c>
      <c r="H2021" s="116"/>
      <c r="I2021" s="116"/>
      <c r="L2021" s="169">
        <v>45470</v>
      </c>
      <c r="M2021" s="116">
        <v>208.166666666667</v>
      </c>
      <c r="N2021" s="116">
        <v>210.13333333333301</v>
      </c>
      <c r="O2021" s="116">
        <v>206.666666666667</v>
      </c>
      <c r="P2021" s="116">
        <v>209.95</v>
      </c>
      <c r="Q2021" s="116">
        <v>624.5</v>
      </c>
      <c r="R2021">
        <v>37146</v>
      </c>
    </row>
    <row r="2022" spans="1:18" x14ac:dyDescent="0.25">
      <c r="A2022" s="169">
        <v>45471</v>
      </c>
      <c r="B2022" s="116">
        <v>214.53333333333299</v>
      </c>
      <c r="C2022" s="116">
        <v>211.38333333333301</v>
      </c>
      <c r="D2022" s="116">
        <v>201.683333333333</v>
      </c>
      <c r="E2022" s="116">
        <v>201.683333333333</v>
      </c>
      <c r="F2022" s="116">
        <v>634.15</v>
      </c>
      <c r="G2022">
        <v>8544</v>
      </c>
      <c r="H2022" s="116"/>
      <c r="I2022" s="116"/>
      <c r="L2022" s="169">
        <v>45471</v>
      </c>
      <c r="M2022" s="116">
        <v>212.433333333333</v>
      </c>
      <c r="N2022" s="116">
        <v>215</v>
      </c>
      <c r="O2022" s="116">
        <v>208.166666666667</v>
      </c>
      <c r="P2022" s="116">
        <v>208.166666666667</v>
      </c>
      <c r="Q2022" s="116">
        <v>637.29999999999995</v>
      </c>
      <c r="R2022">
        <v>152377</v>
      </c>
    </row>
    <row r="2023" spans="1:18" x14ac:dyDescent="0.25">
      <c r="A2023" s="169">
        <v>45474</v>
      </c>
      <c r="B2023" s="116">
        <v>228.933333333333</v>
      </c>
      <c r="C2023" s="116">
        <v>216.86666666666699</v>
      </c>
      <c r="D2023" s="116">
        <v>216.03333333333299</v>
      </c>
      <c r="E2023" s="116">
        <v>220.6</v>
      </c>
      <c r="F2023" s="116">
        <v>650.6</v>
      </c>
      <c r="G2023">
        <v>38084</v>
      </c>
      <c r="H2023" s="116"/>
      <c r="I2023" s="116"/>
      <c r="L2023" s="169">
        <v>45474</v>
      </c>
      <c r="M2023" s="116">
        <v>216.916666666667</v>
      </c>
      <c r="N2023" s="116">
        <v>229.9</v>
      </c>
      <c r="O2023" s="116">
        <v>215.666666666667</v>
      </c>
      <c r="P2023" s="116">
        <v>218</v>
      </c>
      <c r="Q2023" s="116">
        <v>650.75</v>
      </c>
      <c r="R2023">
        <v>454497</v>
      </c>
    </row>
    <row r="2024" spans="1:18" x14ac:dyDescent="0.25">
      <c r="A2024" s="169">
        <v>45475</v>
      </c>
      <c r="B2024" s="116">
        <v>225.316666666667</v>
      </c>
      <c r="C2024" s="116">
        <v>216.4</v>
      </c>
      <c r="D2024" s="116">
        <v>215.066666666667</v>
      </c>
      <c r="E2024" s="116">
        <v>220.88333333333301</v>
      </c>
      <c r="F2024" s="116">
        <v>649.20000000000005</v>
      </c>
      <c r="G2024">
        <v>7271</v>
      </c>
      <c r="H2024" s="116"/>
      <c r="I2024" s="116"/>
      <c r="L2024" s="169">
        <v>45475</v>
      </c>
      <c r="M2024" s="116">
        <v>216.38333333333301</v>
      </c>
      <c r="N2024" s="116">
        <v>226</v>
      </c>
      <c r="O2024" s="116">
        <v>215.066666666667</v>
      </c>
      <c r="P2024" s="116">
        <v>219.63333333333301</v>
      </c>
      <c r="Q2024" s="116">
        <v>649.15</v>
      </c>
      <c r="R2024">
        <v>214983</v>
      </c>
    </row>
    <row r="2025" spans="1:18" x14ac:dyDescent="0.25">
      <c r="A2025" s="169">
        <v>45476</v>
      </c>
      <c r="B2025" s="116">
        <v>219.85</v>
      </c>
      <c r="C2025" s="116">
        <v>213.55</v>
      </c>
      <c r="D2025" s="116">
        <v>212.15</v>
      </c>
      <c r="E2025" s="116">
        <v>219.85</v>
      </c>
      <c r="F2025" s="116">
        <v>640.65</v>
      </c>
      <c r="G2025">
        <v>15236</v>
      </c>
      <c r="H2025" s="116"/>
      <c r="I2025" s="116"/>
      <c r="L2025" s="169">
        <v>45476</v>
      </c>
      <c r="M2025" s="116">
        <v>213.583333333333</v>
      </c>
      <c r="N2025" s="116">
        <v>218.48333333333301</v>
      </c>
      <c r="O2025" s="116">
        <v>212.2</v>
      </c>
      <c r="P2025" s="116">
        <v>218.23333333333301</v>
      </c>
      <c r="Q2025" s="116">
        <v>640.75</v>
      </c>
      <c r="R2025">
        <v>86360</v>
      </c>
    </row>
    <row r="2026" spans="1:18" x14ac:dyDescent="0.25">
      <c r="A2026" s="169">
        <v>45477</v>
      </c>
      <c r="B2026" s="116">
        <v>218.51666666666699</v>
      </c>
      <c r="C2026" s="116">
        <v>214.933333333333</v>
      </c>
      <c r="D2026" s="116">
        <v>212.61666666666699</v>
      </c>
      <c r="E2026" s="116">
        <v>217.3</v>
      </c>
      <c r="F2026" s="116">
        <v>644.79999999999995</v>
      </c>
      <c r="G2026">
        <v>7133</v>
      </c>
      <c r="H2026" s="116"/>
      <c r="I2026" s="116"/>
      <c r="L2026" s="169">
        <v>45477</v>
      </c>
      <c r="M2026" s="116">
        <v>215.03333333333299</v>
      </c>
      <c r="N2026" s="116">
        <v>218.333333333333</v>
      </c>
      <c r="O2026" s="116">
        <v>212.583333333333</v>
      </c>
      <c r="P2026" s="116">
        <v>214.666666666667</v>
      </c>
      <c r="Q2026" s="116">
        <v>645.1</v>
      </c>
      <c r="R2026">
        <v>148772</v>
      </c>
    </row>
    <row r="2027" spans="1:18" x14ac:dyDescent="0.25">
      <c r="A2027" s="169">
        <v>45478</v>
      </c>
      <c r="B2027" s="116">
        <v>220.46666666666701</v>
      </c>
      <c r="C2027" s="116">
        <v>214.7</v>
      </c>
      <c r="D2027" s="116">
        <v>213.46666666666701</v>
      </c>
      <c r="E2027" s="116">
        <v>215</v>
      </c>
      <c r="F2027" s="116">
        <v>644.1</v>
      </c>
      <c r="G2027">
        <v>6050</v>
      </c>
      <c r="H2027" s="116"/>
      <c r="I2027" s="116"/>
      <c r="L2027" s="169">
        <v>45478</v>
      </c>
      <c r="M2027" s="116">
        <v>214.833333333333</v>
      </c>
      <c r="N2027" s="116">
        <v>221</v>
      </c>
      <c r="O2027" s="116">
        <v>213.45</v>
      </c>
      <c r="P2027" s="116">
        <v>215.78333333333299</v>
      </c>
      <c r="Q2027" s="116">
        <v>644.5</v>
      </c>
      <c r="R2027">
        <v>166613</v>
      </c>
    </row>
    <row r="2028" spans="1:18" x14ac:dyDescent="0.25">
      <c r="A2028" s="169">
        <v>45481</v>
      </c>
      <c r="B2028" s="116">
        <v>214.833333333333</v>
      </c>
      <c r="C2028" s="116">
        <v>212.03333333333299</v>
      </c>
      <c r="D2028" s="116">
        <v>208.98333333333301</v>
      </c>
      <c r="E2028" s="116">
        <v>212.666666666667</v>
      </c>
      <c r="F2028" s="116">
        <v>636.1</v>
      </c>
      <c r="G2028">
        <v>4210</v>
      </c>
      <c r="H2028" s="116"/>
      <c r="I2028" s="116"/>
      <c r="L2028" s="169">
        <v>45481</v>
      </c>
      <c r="M2028" s="116">
        <v>212.13333333333301</v>
      </c>
      <c r="N2028" s="116">
        <v>215.583333333333</v>
      </c>
      <c r="O2028" s="116">
        <v>210.73333333333301</v>
      </c>
      <c r="P2028" s="116">
        <v>215.583333333333</v>
      </c>
      <c r="Q2028" s="116">
        <v>636.4</v>
      </c>
      <c r="R2028">
        <v>188955</v>
      </c>
    </row>
    <row r="2029" spans="1:18" x14ac:dyDescent="0.25">
      <c r="A2029" s="169">
        <v>45482</v>
      </c>
      <c r="B2029" s="116">
        <v>214.2</v>
      </c>
      <c r="C2029" s="116">
        <v>212.76666666666699</v>
      </c>
      <c r="D2029" s="116">
        <v>210.51666666666699</v>
      </c>
      <c r="E2029" s="116">
        <v>212.28333333333299</v>
      </c>
      <c r="F2029" s="116">
        <v>638.29999999999995</v>
      </c>
      <c r="G2029">
        <v>1755</v>
      </c>
      <c r="H2029" s="116"/>
      <c r="I2029" s="116"/>
      <c r="L2029" s="169">
        <v>45482</v>
      </c>
      <c r="M2029" s="116">
        <v>212.86666666666699</v>
      </c>
      <c r="N2029" s="116">
        <v>214.23333333333301</v>
      </c>
      <c r="O2029" s="116">
        <v>210.333333333333</v>
      </c>
      <c r="P2029" s="116">
        <v>211.78333333333299</v>
      </c>
      <c r="Q2029" s="116">
        <v>638.6</v>
      </c>
      <c r="R2029">
        <v>99726</v>
      </c>
    </row>
    <row r="2030" spans="1:18" x14ac:dyDescent="0.25">
      <c r="A2030" s="169">
        <v>45483</v>
      </c>
      <c r="B2030" s="116">
        <v>217.65</v>
      </c>
      <c r="C2030" s="116">
        <v>212.46666666666701</v>
      </c>
      <c r="D2030" s="116">
        <v>206.95</v>
      </c>
      <c r="E2030" s="116">
        <v>211.7</v>
      </c>
      <c r="F2030" s="116">
        <v>637.4</v>
      </c>
      <c r="G2030">
        <v>5456</v>
      </c>
      <c r="H2030" s="116"/>
      <c r="I2030" s="116"/>
      <c r="L2030" s="169">
        <v>45483</v>
      </c>
      <c r="M2030" s="116">
        <v>212.46666666666701</v>
      </c>
      <c r="N2030" s="116">
        <v>218.083333333333</v>
      </c>
      <c r="O2030" s="116">
        <v>207</v>
      </c>
      <c r="P2030" s="116">
        <v>212.86666666666699</v>
      </c>
      <c r="Q2030" s="116">
        <v>637.4</v>
      </c>
      <c r="R2030">
        <v>255945</v>
      </c>
    </row>
    <row r="2031" spans="1:18" x14ac:dyDescent="0.25">
      <c r="A2031" s="169">
        <v>45484</v>
      </c>
      <c r="B2031" s="116">
        <v>217</v>
      </c>
      <c r="C2031" s="116">
        <v>215.85</v>
      </c>
      <c r="D2031" s="116">
        <v>211.666666666667</v>
      </c>
      <c r="E2031" s="116">
        <v>212.46666666666701</v>
      </c>
      <c r="F2031" s="116">
        <v>647.54999999999995</v>
      </c>
      <c r="G2031">
        <v>7267</v>
      </c>
      <c r="H2031" s="116"/>
      <c r="I2031" s="116"/>
      <c r="L2031" s="169">
        <v>45484</v>
      </c>
      <c r="M2031" s="116">
        <v>215.63333333333301</v>
      </c>
      <c r="N2031" s="116">
        <v>217.333333333333</v>
      </c>
      <c r="O2031" s="116">
        <v>211.45</v>
      </c>
      <c r="P2031" s="116">
        <v>213.333333333333</v>
      </c>
      <c r="Q2031" s="116">
        <v>646.9</v>
      </c>
      <c r="R2031">
        <v>134922</v>
      </c>
    </row>
    <row r="2032" spans="1:18" x14ac:dyDescent="0.25">
      <c r="A2032" s="169">
        <v>45485</v>
      </c>
      <c r="B2032" s="116">
        <v>216.98333333333301</v>
      </c>
      <c r="C2032" s="116">
        <v>212.933333333333</v>
      </c>
      <c r="D2032" s="116">
        <v>208.666666666667</v>
      </c>
      <c r="E2032" s="116">
        <v>208.666666666667</v>
      </c>
      <c r="F2032" s="116">
        <v>638.79999999999995</v>
      </c>
      <c r="G2032">
        <v>6196</v>
      </c>
      <c r="H2032" s="116"/>
      <c r="I2032" s="116"/>
      <c r="L2032" s="169">
        <v>45485</v>
      </c>
      <c r="M2032" s="116">
        <v>212.6</v>
      </c>
      <c r="N2032" s="116">
        <v>217.083333333333</v>
      </c>
      <c r="O2032" s="116">
        <v>210.7</v>
      </c>
      <c r="P2032" s="116">
        <v>215.63333333333301</v>
      </c>
      <c r="Q2032" s="116">
        <v>637.79999999999995</v>
      </c>
      <c r="R2032">
        <v>29394</v>
      </c>
    </row>
    <row r="2033" spans="1:18" x14ac:dyDescent="0.25">
      <c r="A2033" s="169">
        <v>45488</v>
      </c>
      <c r="B2033" s="116">
        <v>214.71666666666701</v>
      </c>
      <c r="C2033" s="116">
        <v>213.35</v>
      </c>
      <c r="D2033" s="116">
        <v>212.433333333333</v>
      </c>
      <c r="E2033" s="116">
        <v>213</v>
      </c>
      <c r="F2033" s="116">
        <v>640.04999999999995</v>
      </c>
      <c r="G2033">
        <v>4578</v>
      </c>
      <c r="H2033" s="116"/>
      <c r="I2033" s="116"/>
      <c r="L2033" s="169">
        <v>45488</v>
      </c>
      <c r="M2033" s="116">
        <v>213.53333333333299</v>
      </c>
      <c r="N2033" s="116">
        <v>215.25</v>
      </c>
      <c r="O2033" s="116">
        <v>212.333333333333</v>
      </c>
      <c r="P2033" s="116">
        <v>213.65</v>
      </c>
      <c r="Q2033" s="116">
        <v>640.6</v>
      </c>
      <c r="R2033">
        <v>38489</v>
      </c>
    </row>
    <row r="2034" spans="1:18" x14ac:dyDescent="0.25">
      <c r="A2034" s="169">
        <v>45489</v>
      </c>
      <c r="B2034" s="116">
        <v>215.65</v>
      </c>
      <c r="C2034" s="116">
        <v>214.1</v>
      </c>
      <c r="D2034" s="116">
        <v>213.2</v>
      </c>
      <c r="E2034" s="116">
        <v>215.65</v>
      </c>
      <c r="F2034" s="116">
        <v>642.29999999999995</v>
      </c>
      <c r="G2034">
        <v>1098</v>
      </c>
      <c r="H2034" s="116"/>
      <c r="I2034" s="116"/>
      <c r="L2034" s="169">
        <v>45489</v>
      </c>
      <c r="M2034" s="116">
        <v>213.9</v>
      </c>
      <c r="N2034" s="116">
        <v>215.666666666667</v>
      </c>
      <c r="O2034" s="116">
        <v>212.98333333333301</v>
      </c>
      <c r="P2034" s="116">
        <v>214.61666666666699</v>
      </c>
      <c r="Q2034" s="116">
        <v>641.70000000000005</v>
      </c>
      <c r="R2034">
        <v>33848</v>
      </c>
    </row>
    <row r="2035" spans="1:18" x14ac:dyDescent="0.25">
      <c r="A2035" s="169">
        <v>45491</v>
      </c>
      <c r="B2035" s="116">
        <v>221.55</v>
      </c>
      <c r="C2035" s="116">
        <v>213.916666666667</v>
      </c>
      <c r="D2035" s="116">
        <v>212.933333333333</v>
      </c>
      <c r="E2035" s="116">
        <v>214.98333333333301</v>
      </c>
      <c r="F2035" s="116">
        <v>641.75</v>
      </c>
      <c r="G2035">
        <v>16404</v>
      </c>
      <c r="H2035" s="116"/>
      <c r="I2035" s="116"/>
      <c r="L2035" s="169">
        <v>45491</v>
      </c>
      <c r="M2035" s="116">
        <v>214.63333333333301</v>
      </c>
      <c r="N2035" s="116">
        <v>221.666666666667</v>
      </c>
      <c r="O2035" s="116">
        <v>212.9</v>
      </c>
      <c r="P2035" s="116">
        <v>214.666666666667</v>
      </c>
      <c r="Q2035" s="116">
        <v>643.9</v>
      </c>
      <c r="R2035">
        <v>74271</v>
      </c>
    </row>
    <row r="2036" spans="1:18" x14ac:dyDescent="0.25">
      <c r="A2036" s="169">
        <v>45492</v>
      </c>
      <c r="B2036" s="116">
        <v>215.816666666667</v>
      </c>
      <c r="C2036" s="116">
        <v>212.1</v>
      </c>
      <c r="D2036" s="116">
        <v>211</v>
      </c>
      <c r="E2036" s="116">
        <v>214.63333333333301</v>
      </c>
      <c r="F2036" s="116">
        <v>636.29999999999995</v>
      </c>
      <c r="G2036">
        <v>1430</v>
      </c>
      <c r="H2036" s="116"/>
      <c r="I2036" s="116"/>
      <c r="L2036" s="169">
        <v>45492</v>
      </c>
      <c r="M2036" s="116">
        <v>212.11666666666699</v>
      </c>
      <c r="N2036" s="116">
        <v>216.333333333333</v>
      </c>
      <c r="O2036" s="116">
        <v>210</v>
      </c>
      <c r="P2036" s="116">
        <v>216.333333333333</v>
      </c>
      <c r="Q2036" s="116">
        <v>636.35</v>
      </c>
      <c r="R2036">
        <v>45545</v>
      </c>
    </row>
    <row r="2037" spans="1:18" x14ac:dyDescent="0.25">
      <c r="A2037" s="169">
        <v>45495</v>
      </c>
      <c r="B2037" s="116">
        <v>216.316666666667</v>
      </c>
      <c r="C2037" s="116">
        <v>214.166666666667</v>
      </c>
      <c r="D2037" s="116">
        <v>210.36666666666699</v>
      </c>
      <c r="E2037" s="116">
        <v>213.333333333333</v>
      </c>
      <c r="F2037" s="116">
        <v>642.5</v>
      </c>
      <c r="G2037">
        <v>1791</v>
      </c>
      <c r="H2037" s="116"/>
      <c r="I2037" s="116"/>
      <c r="L2037" s="169">
        <v>45495</v>
      </c>
      <c r="M2037" s="116">
        <v>214.5</v>
      </c>
      <c r="N2037" s="116">
        <v>216.333333333333</v>
      </c>
      <c r="O2037" s="116">
        <v>210.183333333333</v>
      </c>
      <c r="P2037" s="116">
        <v>211.36666666666699</v>
      </c>
      <c r="Q2037" s="116">
        <v>643.5</v>
      </c>
      <c r="R2037">
        <v>54457</v>
      </c>
    </row>
    <row r="2038" spans="1:18" x14ac:dyDescent="0.25">
      <c r="A2038" s="169">
        <v>45496</v>
      </c>
      <c r="B2038" s="116">
        <v>219.98333333333301</v>
      </c>
      <c r="C2038" s="116">
        <v>216.7</v>
      </c>
      <c r="D2038" s="116">
        <v>212.98333333333301</v>
      </c>
      <c r="E2038" s="116">
        <v>217.65</v>
      </c>
      <c r="F2038" s="116">
        <v>650.1</v>
      </c>
      <c r="G2038">
        <v>2930</v>
      </c>
      <c r="H2038" s="116"/>
      <c r="I2038" s="116"/>
      <c r="L2038" s="169">
        <v>45496</v>
      </c>
      <c r="M2038" s="116">
        <v>216.316666666667</v>
      </c>
      <c r="N2038" s="116">
        <v>220.25</v>
      </c>
      <c r="O2038" s="116">
        <v>211.88333333333301</v>
      </c>
      <c r="P2038" s="116">
        <v>216</v>
      </c>
      <c r="Q2038" s="116">
        <v>648.95000000000005</v>
      </c>
      <c r="R2038">
        <v>100396</v>
      </c>
    </row>
    <row r="2039" spans="1:18" x14ac:dyDescent="0.25">
      <c r="A2039" s="169">
        <v>45497</v>
      </c>
      <c r="B2039" s="116">
        <v>260.03333333333302</v>
      </c>
      <c r="C2039" s="116">
        <v>256.98333333333301</v>
      </c>
      <c r="D2039" s="116">
        <v>225.683333333333</v>
      </c>
      <c r="E2039" s="116">
        <v>225.683333333333</v>
      </c>
      <c r="F2039" s="116">
        <v>770.95</v>
      </c>
      <c r="G2039">
        <v>227025</v>
      </c>
      <c r="H2039" s="116"/>
      <c r="I2039" s="116"/>
      <c r="L2039" s="169">
        <v>45497</v>
      </c>
      <c r="M2039" s="116">
        <v>255.1</v>
      </c>
      <c r="N2039" s="116">
        <v>259.566666666667</v>
      </c>
      <c r="O2039" s="116">
        <v>226.666666666667</v>
      </c>
      <c r="P2039" s="116">
        <v>228.53333333333299</v>
      </c>
      <c r="Q2039" s="116">
        <v>765.3</v>
      </c>
      <c r="R2039">
        <v>2482754</v>
      </c>
    </row>
    <row r="2040" spans="1:18" x14ac:dyDescent="0.25">
      <c r="A2040" s="169">
        <v>45498</v>
      </c>
      <c r="B2040" s="116">
        <v>270.60000000000002</v>
      </c>
      <c r="C2040" s="116">
        <v>257.61666666666702</v>
      </c>
      <c r="D2040" s="116">
        <v>250.1</v>
      </c>
      <c r="E2040" s="116">
        <v>250.816666666667</v>
      </c>
      <c r="F2040" s="116">
        <v>772.85</v>
      </c>
      <c r="G2040">
        <v>77772</v>
      </c>
      <c r="H2040" s="116"/>
      <c r="I2040" s="116"/>
      <c r="L2040" s="169">
        <v>45498</v>
      </c>
      <c r="M2040" s="116">
        <v>257.83333333333297</v>
      </c>
      <c r="N2040" s="116">
        <v>270.66666666666703</v>
      </c>
      <c r="O2040" s="116">
        <v>250.88333333333301</v>
      </c>
      <c r="P2040" s="116">
        <v>250.88333333333301</v>
      </c>
      <c r="Q2040" s="116">
        <v>773.5</v>
      </c>
      <c r="R2040">
        <v>1571820</v>
      </c>
    </row>
    <row r="2041" spans="1:18" x14ac:dyDescent="0.25">
      <c r="A2041" s="169">
        <v>45499</v>
      </c>
      <c r="B2041" s="116">
        <v>263.75</v>
      </c>
      <c r="C2041" s="116">
        <v>259.63333333333298</v>
      </c>
      <c r="D2041" s="116">
        <v>255.833333333333</v>
      </c>
      <c r="E2041" s="116">
        <v>258</v>
      </c>
      <c r="F2041" s="116">
        <v>778.9</v>
      </c>
      <c r="G2041">
        <v>15867</v>
      </c>
      <c r="H2041" s="116"/>
      <c r="I2041" s="116"/>
      <c r="L2041" s="169">
        <v>45499</v>
      </c>
      <c r="M2041" s="116">
        <v>259.28333333333302</v>
      </c>
      <c r="N2041" s="116">
        <v>263.66666666666703</v>
      </c>
      <c r="O2041" s="116">
        <v>255.96666666666701</v>
      </c>
      <c r="P2041" s="116">
        <v>256.66666666666703</v>
      </c>
      <c r="Q2041" s="116">
        <v>777.85</v>
      </c>
      <c r="R2041">
        <v>230643</v>
      </c>
    </row>
    <row r="2042" spans="1:18" x14ac:dyDescent="0.25">
      <c r="A2042" s="169">
        <v>45502</v>
      </c>
      <c r="B2042" s="116">
        <v>266.33333333333297</v>
      </c>
      <c r="C2042" s="116">
        <v>259.61666666666702</v>
      </c>
      <c r="D2042" s="116">
        <v>247.9</v>
      </c>
      <c r="E2042" s="116">
        <v>259.98333333333301</v>
      </c>
      <c r="F2042" s="116">
        <v>778.85</v>
      </c>
      <c r="G2042">
        <v>29530</v>
      </c>
      <c r="H2042" s="116"/>
      <c r="I2042" s="116"/>
      <c r="L2042" s="169">
        <v>45502</v>
      </c>
      <c r="M2042" s="116">
        <v>259.566666666667</v>
      </c>
      <c r="N2042" s="116">
        <v>266.5</v>
      </c>
      <c r="O2042" s="116">
        <v>258.33333333333297</v>
      </c>
      <c r="P2042" s="116">
        <v>261.66666666666703</v>
      </c>
      <c r="Q2042" s="116">
        <v>778.7</v>
      </c>
      <c r="R2042">
        <v>165714</v>
      </c>
    </row>
    <row r="2043" spans="1:18" x14ac:dyDescent="0.25">
      <c r="A2043" s="169">
        <v>45503</v>
      </c>
      <c r="B2043" s="116">
        <v>262.5</v>
      </c>
      <c r="C2043" s="116">
        <v>258.683333333333</v>
      </c>
      <c r="D2043" s="116">
        <v>256.78333333333302</v>
      </c>
      <c r="E2043" s="116">
        <v>260</v>
      </c>
      <c r="F2043" s="116">
        <v>776.05</v>
      </c>
      <c r="G2043">
        <v>13902</v>
      </c>
      <c r="H2043" s="116"/>
      <c r="I2043" s="116"/>
      <c r="L2043" s="169">
        <v>45503</v>
      </c>
      <c r="M2043" s="116">
        <v>258.73333333333301</v>
      </c>
      <c r="N2043" s="116">
        <v>262.60000000000002</v>
      </c>
      <c r="O2043" s="116">
        <v>257.01666666666699</v>
      </c>
      <c r="P2043" s="116">
        <v>259.7</v>
      </c>
      <c r="Q2043" s="116">
        <v>776.2</v>
      </c>
      <c r="R2043">
        <v>108071</v>
      </c>
    </row>
    <row r="2044" spans="1:18" x14ac:dyDescent="0.25">
      <c r="A2044" s="169">
        <v>45504</v>
      </c>
      <c r="B2044" s="116">
        <v>280</v>
      </c>
      <c r="C2044" s="116">
        <v>272.73333333333301</v>
      </c>
      <c r="D2044" s="116">
        <v>259</v>
      </c>
      <c r="E2044" s="116">
        <v>261.64999999999998</v>
      </c>
      <c r="F2044" s="116">
        <v>818.2</v>
      </c>
      <c r="G2044">
        <v>46961</v>
      </c>
      <c r="H2044" s="116"/>
      <c r="I2044" s="116"/>
      <c r="L2044" s="169">
        <v>45504</v>
      </c>
      <c r="M2044" s="116">
        <v>272.48333333333301</v>
      </c>
      <c r="N2044" s="116">
        <v>280.13333333333298</v>
      </c>
      <c r="O2044" s="116">
        <v>256.66666666666703</v>
      </c>
      <c r="P2044" s="116">
        <v>256.66666666666703</v>
      </c>
      <c r="Q2044" s="116">
        <v>817.45</v>
      </c>
      <c r="R2044">
        <v>882028</v>
      </c>
    </row>
    <row r="2045" spans="1:18" x14ac:dyDescent="0.25">
      <c r="A2045" s="169">
        <v>45505</v>
      </c>
      <c r="B2045" s="116">
        <v>280.66666666666703</v>
      </c>
      <c r="C2045" s="116">
        <v>272.683333333333</v>
      </c>
      <c r="D2045" s="116">
        <v>271.75</v>
      </c>
      <c r="E2045" s="116">
        <v>273.95</v>
      </c>
      <c r="F2045" s="116">
        <v>818.05</v>
      </c>
      <c r="G2045">
        <v>51784</v>
      </c>
      <c r="H2045" s="116"/>
      <c r="I2045" s="116"/>
      <c r="L2045" s="169">
        <v>45505</v>
      </c>
      <c r="M2045" s="116">
        <v>272.66666666666703</v>
      </c>
      <c r="N2045" s="116">
        <v>280.60000000000002</v>
      </c>
      <c r="O2045" s="116">
        <v>271.7</v>
      </c>
      <c r="P2045" s="116">
        <v>274.316666666667</v>
      </c>
      <c r="Q2045" s="116">
        <v>818</v>
      </c>
      <c r="R2045">
        <v>258715</v>
      </c>
    </row>
    <row r="2046" spans="1:18" x14ac:dyDescent="0.25">
      <c r="A2046" s="169">
        <v>45506</v>
      </c>
      <c r="B2046" s="116">
        <v>279.11666666666702</v>
      </c>
      <c r="C2046" s="116">
        <v>270.51666666666699</v>
      </c>
      <c r="D2046" s="116">
        <v>265.183333333333</v>
      </c>
      <c r="E2046" s="116">
        <v>271.66666666666703</v>
      </c>
      <c r="F2046" s="116">
        <v>811.55</v>
      </c>
      <c r="G2046">
        <v>23404</v>
      </c>
      <c r="H2046" s="116"/>
      <c r="I2046" s="116"/>
      <c r="L2046" s="169">
        <v>45506</v>
      </c>
      <c r="M2046" s="116">
        <v>270.26666666666699</v>
      </c>
      <c r="N2046" s="116">
        <v>279.01666666666699</v>
      </c>
      <c r="O2046" s="116">
        <v>266.45</v>
      </c>
      <c r="P2046" s="116">
        <v>270</v>
      </c>
      <c r="Q2046" s="116">
        <v>810.8</v>
      </c>
      <c r="R2046">
        <v>166794</v>
      </c>
    </row>
    <row r="2047" spans="1:18" x14ac:dyDescent="0.25">
      <c r="A2047" s="169">
        <v>45509</v>
      </c>
      <c r="B2047" s="116">
        <v>267.25</v>
      </c>
      <c r="C2047" s="116">
        <v>258</v>
      </c>
      <c r="D2047" s="116">
        <v>256.26666666666699</v>
      </c>
      <c r="E2047" s="116">
        <v>257.33333333333297</v>
      </c>
      <c r="F2047" s="116">
        <v>774</v>
      </c>
      <c r="G2047">
        <v>37183</v>
      </c>
      <c r="H2047" s="116"/>
      <c r="I2047" s="116"/>
      <c r="L2047" s="169">
        <v>45509</v>
      </c>
      <c r="M2047" s="116">
        <v>258.60000000000002</v>
      </c>
      <c r="N2047" s="116">
        <v>268.01666666666699</v>
      </c>
      <c r="O2047" s="116">
        <v>256.66666666666703</v>
      </c>
      <c r="P2047" s="116">
        <v>266.64999999999998</v>
      </c>
      <c r="Q2047" s="116">
        <v>775.8</v>
      </c>
      <c r="R2047">
        <v>215327</v>
      </c>
    </row>
    <row r="2048" spans="1:18" x14ac:dyDescent="0.25">
      <c r="A2048" s="169">
        <v>45510</v>
      </c>
      <c r="B2048" s="116">
        <v>276.85000000000002</v>
      </c>
      <c r="C2048" s="116">
        <v>250.316666666667</v>
      </c>
      <c r="D2048" s="116">
        <v>248.51666666666699</v>
      </c>
      <c r="E2048" s="116">
        <v>270</v>
      </c>
      <c r="F2048" s="116">
        <v>750.95</v>
      </c>
      <c r="G2048">
        <v>17176</v>
      </c>
      <c r="H2048" s="116"/>
      <c r="I2048" s="116"/>
      <c r="L2048" s="169">
        <v>45510</v>
      </c>
      <c r="M2048" s="116">
        <v>251.05</v>
      </c>
      <c r="N2048" s="116">
        <v>278.33333333333297</v>
      </c>
      <c r="O2048" s="116">
        <v>248.316666666667</v>
      </c>
      <c r="P2048" s="116">
        <v>278.33333333333297</v>
      </c>
      <c r="Q2048" s="116">
        <v>753.15</v>
      </c>
      <c r="R2048">
        <v>255872</v>
      </c>
    </row>
    <row r="2049" spans="1:18" x14ac:dyDescent="0.25">
      <c r="A2049" s="169">
        <v>45511</v>
      </c>
      <c r="B2049" s="116">
        <v>270.933333333333</v>
      </c>
      <c r="C2049" s="116">
        <v>268.85000000000002</v>
      </c>
      <c r="D2049" s="116">
        <v>254.86666666666699</v>
      </c>
      <c r="E2049" s="116">
        <v>266</v>
      </c>
      <c r="F2049" s="116">
        <v>806.55</v>
      </c>
      <c r="G2049">
        <v>14444</v>
      </c>
      <c r="H2049" s="116"/>
      <c r="I2049" s="116"/>
      <c r="L2049" s="169">
        <v>45511</v>
      </c>
      <c r="M2049" s="116">
        <v>269.60000000000002</v>
      </c>
      <c r="N2049" s="116">
        <v>270.96666666666698</v>
      </c>
      <c r="O2049" s="116">
        <v>252.666666666667</v>
      </c>
      <c r="P2049" s="116">
        <v>252.666666666667</v>
      </c>
      <c r="Q2049" s="116">
        <v>808.8</v>
      </c>
      <c r="R2049">
        <v>182948</v>
      </c>
    </row>
    <row r="2050" spans="1:18" x14ac:dyDescent="0.25">
      <c r="A2050" s="169">
        <v>45512</v>
      </c>
      <c r="B2050" s="116">
        <v>276.816666666667</v>
      </c>
      <c r="C2050" s="116">
        <v>265.10000000000002</v>
      </c>
      <c r="D2050" s="116">
        <v>263.83333333333297</v>
      </c>
      <c r="E2050" s="116">
        <v>268.86666666666702</v>
      </c>
      <c r="F2050" s="116">
        <v>795.3</v>
      </c>
      <c r="G2050">
        <v>15693</v>
      </c>
      <c r="H2050" s="116"/>
      <c r="I2050" s="116"/>
      <c r="L2050" s="169">
        <v>45512</v>
      </c>
      <c r="M2050" s="116">
        <v>264.88333333333298</v>
      </c>
      <c r="N2050" s="116">
        <v>276.816666666667</v>
      </c>
      <c r="O2050" s="116">
        <v>263.33333333333297</v>
      </c>
      <c r="P2050" s="116">
        <v>270</v>
      </c>
      <c r="Q2050" s="116">
        <v>794.65</v>
      </c>
      <c r="R2050">
        <v>122343</v>
      </c>
    </row>
    <row r="2051" spans="1:18" x14ac:dyDescent="0.25">
      <c r="A2051" s="169">
        <v>45513</v>
      </c>
      <c r="B2051" s="116">
        <v>273</v>
      </c>
      <c r="C2051" s="116">
        <v>268.5</v>
      </c>
      <c r="D2051" s="116">
        <v>266.8</v>
      </c>
      <c r="E2051" s="116">
        <v>271.64999999999998</v>
      </c>
      <c r="F2051" s="116">
        <v>805.5</v>
      </c>
      <c r="G2051">
        <v>14029</v>
      </c>
      <c r="H2051" s="116"/>
      <c r="I2051" s="116"/>
      <c r="L2051" s="169">
        <v>45513</v>
      </c>
      <c r="M2051" s="116">
        <v>268.78333333333302</v>
      </c>
      <c r="N2051" s="116">
        <v>273.2</v>
      </c>
      <c r="O2051" s="116">
        <v>266.8</v>
      </c>
      <c r="P2051" s="116">
        <v>269.96666666666698</v>
      </c>
      <c r="Q2051" s="116">
        <v>806.35</v>
      </c>
      <c r="R2051">
        <v>82331</v>
      </c>
    </row>
    <row r="2052" spans="1:18" x14ac:dyDescent="0.25">
      <c r="A2052" s="169">
        <v>45516</v>
      </c>
      <c r="B2052" s="116">
        <v>288.66666666666703</v>
      </c>
      <c r="C2052" s="116">
        <v>278.39999999999998</v>
      </c>
      <c r="D2052" s="116">
        <v>267.60000000000002</v>
      </c>
      <c r="E2052" s="116">
        <v>268.5</v>
      </c>
      <c r="F2052" s="116">
        <v>835.2</v>
      </c>
      <c r="G2052">
        <v>23962</v>
      </c>
      <c r="H2052" s="116"/>
      <c r="I2052" s="116"/>
      <c r="L2052" s="169">
        <v>45516</v>
      </c>
      <c r="M2052" s="116">
        <v>278.066666666667</v>
      </c>
      <c r="N2052" s="116">
        <v>288.933333333333</v>
      </c>
      <c r="O2052" s="116">
        <v>267.35000000000002</v>
      </c>
      <c r="P2052" s="116">
        <v>273</v>
      </c>
      <c r="Q2052" s="116">
        <v>834.2</v>
      </c>
      <c r="R2052">
        <v>449279</v>
      </c>
    </row>
    <row r="2053" spans="1:18" x14ac:dyDescent="0.25">
      <c r="A2053" s="169">
        <v>45517</v>
      </c>
      <c r="B2053" s="116">
        <v>296.16666666666703</v>
      </c>
      <c r="C2053" s="116">
        <v>289.2</v>
      </c>
      <c r="D2053" s="116">
        <v>284.55</v>
      </c>
      <c r="E2053" s="116">
        <v>287.33333333333297</v>
      </c>
      <c r="F2053" s="116">
        <v>867.6</v>
      </c>
      <c r="G2053">
        <v>44536</v>
      </c>
      <c r="H2053" s="116"/>
      <c r="I2053" s="116"/>
      <c r="L2053" s="169">
        <v>45517</v>
      </c>
      <c r="M2053" s="116">
        <v>289.11666666666702</v>
      </c>
      <c r="N2053" s="116">
        <v>296.3</v>
      </c>
      <c r="O2053" s="116">
        <v>284.53333333333302</v>
      </c>
      <c r="P2053" s="116">
        <v>291.66666666666703</v>
      </c>
      <c r="Q2053" s="116">
        <v>867.35</v>
      </c>
      <c r="R2053">
        <v>380033</v>
      </c>
    </row>
    <row r="2054" spans="1:18" x14ac:dyDescent="0.25">
      <c r="A2054" s="169">
        <v>45518</v>
      </c>
      <c r="B2054" s="116">
        <v>295.66666666666703</v>
      </c>
      <c r="C2054" s="116">
        <v>293.183333333333</v>
      </c>
      <c r="D2054" s="116">
        <v>286.76666666666699</v>
      </c>
      <c r="E2054" s="116">
        <v>290.45</v>
      </c>
      <c r="F2054" s="116">
        <v>879.55</v>
      </c>
      <c r="G2054">
        <v>35759</v>
      </c>
      <c r="H2054" s="116"/>
      <c r="I2054" s="116"/>
      <c r="L2054" s="169">
        <v>45518</v>
      </c>
      <c r="M2054" s="116">
        <v>293.23333333333301</v>
      </c>
      <c r="N2054" s="116">
        <v>295.683333333333</v>
      </c>
      <c r="O2054" s="116">
        <v>286.683333333333</v>
      </c>
      <c r="P2054" s="116">
        <v>291.33333333333297</v>
      </c>
      <c r="Q2054" s="116">
        <v>879.7</v>
      </c>
      <c r="R2054">
        <v>206322</v>
      </c>
    </row>
    <row r="2055" spans="1:18" x14ac:dyDescent="0.25">
      <c r="A2055" s="169">
        <v>45520</v>
      </c>
      <c r="B2055" s="116">
        <v>295.10000000000002</v>
      </c>
      <c r="C2055" s="116">
        <v>293.85000000000002</v>
      </c>
      <c r="D2055" s="116">
        <v>286.08333333333297</v>
      </c>
      <c r="E2055" s="116">
        <v>286.08333333333297</v>
      </c>
      <c r="F2055" s="116">
        <v>881.55</v>
      </c>
      <c r="G2055">
        <v>12128</v>
      </c>
      <c r="H2055" s="116"/>
      <c r="I2055" s="116"/>
      <c r="L2055" s="169">
        <v>45520</v>
      </c>
      <c r="M2055" s="116">
        <v>293.85000000000002</v>
      </c>
      <c r="N2055" s="116">
        <v>296</v>
      </c>
      <c r="O2055" s="116">
        <v>286.66666666666703</v>
      </c>
      <c r="P2055" s="116">
        <v>286.66666666666703</v>
      </c>
      <c r="Q2055" s="116">
        <v>881.55</v>
      </c>
      <c r="R2055">
        <v>138919</v>
      </c>
    </row>
    <row r="2056" spans="1:18" x14ac:dyDescent="0.25">
      <c r="A2056" s="169">
        <v>45523</v>
      </c>
      <c r="B2056" s="116">
        <v>297.8</v>
      </c>
      <c r="C2056" s="116">
        <v>295.8</v>
      </c>
      <c r="D2056" s="116">
        <v>290.7</v>
      </c>
      <c r="E2056" s="116">
        <v>294.03333333333302</v>
      </c>
      <c r="F2056" s="116">
        <v>887.4</v>
      </c>
      <c r="G2056">
        <v>29071</v>
      </c>
      <c r="H2056" s="116"/>
      <c r="I2056" s="116"/>
      <c r="L2056" s="169">
        <v>45523</v>
      </c>
      <c r="M2056" s="116">
        <v>295.3</v>
      </c>
      <c r="N2056" s="116">
        <v>297.98333333333301</v>
      </c>
      <c r="O2056" s="116">
        <v>290.75</v>
      </c>
      <c r="P2056" s="116">
        <v>295</v>
      </c>
      <c r="Q2056" s="116">
        <v>885.9</v>
      </c>
      <c r="R2056">
        <v>142372</v>
      </c>
    </row>
    <row r="2057" spans="1:18" x14ac:dyDescent="0.25">
      <c r="A2057" s="169">
        <v>45524</v>
      </c>
      <c r="B2057" s="116">
        <v>298.33333333333297</v>
      </c>
      <c r="C2057" s="116">
        <v>295.05</v>
      </c>
      <c r="D2057" s="116">
        <v>292.78333333333302</v>
      </c>
      <c r="E2057" s="116">
        <v>298.14999999999998</v>
      </c>
      <c r="F2057" s="116">
        <v>885.15</v>
      </c>
      <c r="G2057">
        <v>20606</v>
      </c>
      <c r="H2057" s="116"/>
      <c r="I2057" s="116"/>
      <c r="L2057" s="169">
        <v>45524</v>
      </c>
      <c r="M2057" s="116">
        <v>294.91666666666703</v>
      </c>
      <c r="N2057" s="116">
        <v>299.21666666666698</v>
      </c>
      <c r="O2057" s="116">
        <v>292.8</v>
      </c>
      <c r="P2057" s="116">
        <v>297.66666666666703</v>
      </c>
      <c r="Q2057" s="116">
        <v>884.75</v>
      </c>
      <c r="R2057">
        <v>97563</v>
      </c>
    </row>
    <row r="2058" spans="1:18" x14ac:dyDescent="0.25">
      <c r="A2058" s="169">
        <v>45525</v>
      </c>
      <c r="B2058" s="116">
        <v>303.76666666666699</v>
      </c>
      <c r="C2058" s="116">
        <v>301.316666666667</v>
      </c>
      <c r="D2058" s="116">
        <v>293.46666666666698</v>
      </c>
      <c r="E2058" s="116">
        <v>293.46666666666698</v>
      </c>
      <c r="F2058" s="116">
        <v>903.95</v>
      </c>
      <c r="G2058">
        <v>19373</v>
      </c>
      <c r="H2058" s="116"/>
      <c r="I2058" s="116"/>
      <c r="L2058" s="169">
        <v>45525</v>
      </c>
      <c r="M2058" s="116">
        <v>301.066666666667</v>
      </c>
      <c r="N2058" s="116">
        <v>303.89999999999998</v>
      </c>
      <c r="O2058" s="116">
        <v>293.08333333333297</v>
      </c>
      <c r="P2058" s="116">
        <v>296.60000000000002</v>
      </c>
      <c r="Q2058" s="116">
        <v>903.2</v>
      </c>
      <c r="R2058">
        <v>93856</v>
      </c>
    </row>
    <row r="2059" spans="1:18" x14ac:dyDescent="0.25">
      <c r="A2059" s="169">
        <v>45526</v>
      </c>
      <c r="B2059" s="116">
        <v>310</v>
      </c>
      <c r="C2059" s="116">
        <v>297.60000000000002</v>
      </c>
      <c r="D2059" s="116">
        <v>295.5</v>
      </c>
      <c r="E2059" s="116">
        <v>304</v>
      </c>
      <c r="F2059" s="116">
        <v>892.8</v>
      </c>
      <c r="G2059">
        <v>25548</v>
      </c>
      <c r="H2059" s="116"/>
      <c r="I2059" s="116"/>
      <c r="L2059" s="169">
        <v>45526</v>
      </c>
      <c r="M2059" s="116">
        <v>297.066666666667</v>
      </c>
      <c r="N2059" s="116">
        <v>310.45</v>
      </c>
      <c r="O2059" s="116">
        <v>295.566666666667</v>
      </c>
      <c r="P2059" s="116">
        <v>304.64999999999998</v>
      </c>
      <c r="Q2059" s="116">
        <v>891.2</v>
      </c>
      <c r="R2059">
        <v>264598</v>
      </c>
    </row>
    <row r="2060" spans="1:18" x14ac:dyDescent="0.25">
      <c r="A2060" s="169">
        <v>45527</v>
      </c>
      <c r="B2060" s="116">
        <v>303.33333333333297</v>
      </c>
      <c r="C2060" s="116">
        <v>299.433333333333</v>
      </c>
      <c r="D2060" s="116">
        <v>296.66666666666703</v>
      </c>
      <c r="E2060" s="116">
        <v>299</v>
      </c>
      <c r="F2060" s="116">
        <v>898.3</v>
      </c>
      <c r="G2060">
        <v>15042</v>
      </c>
      <c r="H2060" s="116"/>
      <c r="I2060" s="116"/>
      <c r="L2060" s="169">
        <v>45527</v>
      </c>
      <c r="M2060" s="116">
        <v>299.46666666666698</v>
      </c>
      <c r="N2060" s="116">
        <v>303.33333333333297</v>
      </c>
      <c r="O2060" s="116">
        <v>296.58333333333297</v>
      </c>
      <c r="P2060" s="116">
        <v>299.66666666666703</v>
      </c>
      <c r="Q2060" s="116">
        <v>898.4</v>
      </c>
      <c r="R2060">
        <v>117037</v>
      </c>
    </row>
    <row r="2061" spans="1:18" x14ac:dyDescent="0.25">
      <c r="A2061" s="169">
        <v>45530</v>
      </c>
      <c r="B2061" s="116">
        <v>305</v>
      </c>
      <c r="C2061" s="116">
        <v>302.38333333333298</v>
      </c>
      <c r="D2061" s="116">
        <v>298.183333333333</v>
      </c>
      <c r="E2061" s="116">
        <v>305</v>
      </c>
      <c r="F2061" s="116">
        <v>907.15</v>
      </c>
      <c r="G2061">
        <v>5653</v>
      </c>
      <c r="H2061" s="116"/>
      <c r="I2061" s="116"/>
      <c r="L2061" s="169">
        <v>45530</v>
      </c>
      <c r="M2061" s="116">
        <v>301.53333333333302</v>
      </c>
      <c r="N2061" s="116">
        <v>304.433333333333</v>
      </c>
      <c r="O2061" s="116">
        <v>297.066666666667</v>
      </c>
      <c r="P2061" s="116">
        <v>302.26666666666699</v>
      </c>
      <c r="Q2061" s="116">
        <v>904.6</v>
      </c>
      <c r="R2061">
        <v>40963</v>
      </c>
    </row>
    <row r="2062" spans="1:18" x14ac:dyDescent="0.25">
      <c r="A2062" s="169">
        <v>45531</v>
      </c>
      <c r="B2062" s="116">
        <v>308.433333333333</v>
      </c>
      <c r="C2062" s="116">
        <v>300.39999999999998</v>
      </c>
      <c r="D2062" s="116">
        <v>299.7</v>
      </c>
      <c r="E2062" s="116">
        <v>302.3</v>
      </c>
      <c r="F2062" s="116">
        <v>901.2</v>
      </c>
      <c r="G2062">
        <v>12245</v>
      </c>
      <c r="H2062" s="116"/>
      <c r="I2062" s="116"/>
      <c r="L2062" s="169">
        <v>45531</v>
      </c>
      <c r="M2062" s="116">
        <v>300.64999999999998</v>
      </c>
      <c r="N2062" s="116">
        <v>308.433333333333</v>
      </c>
      <c r="O2062" s="116">
        <v>300.03333333333302</v>
      </c>
      <c r="P2062" s="116">
        <v>302.60000000000002</v>
      </c>
      <c r="Q2062" s="116">
        <v>901.95</v>
      </c>
      <c r="R2062">
        <v>56086</v>
      </c>
    </row>
    <row r="2063" spans="1:18" x14ac:dyDescent="0.25">
      <c r="A2063" s="169">
        <v>45532</v>
      </c>
      <c r="B2063" s="116">
        <v>301.36666666666702</v>
      </c>
      <c r="C2063" s="116">
        <v>292.66666666666703</v>
      </c>
      <c r="D2063" s="116">
        <v>290.16666666666703</v>
      </c>
      <c r="E2063" s="116">
        <v>300.683333333333</v>
      </c>
      <c r="F2063" s="116">
        <v>878</v>
      </c>
      <c r="G2063">
        <v>9088</v>
      </c>
      <c r="H2063" s="116"/>
      <c r="I2063" s="116"/>
      <c r="L2063" s="169">
        <v>45532</v>
      </c>
      <c r="M2063" s="116">
        <v>291.96666666666698</v>
      </c>
      <c r="N2063" s="116">
        <v>302.64999999999998</v>
      </c>
      <c r="O2063" s="116">
        <v>290</v>
      </c>
      <c r="P2063" s="116">
        <v>302.64999999999998</v>
      </c>
      <c r="Q2063" s="116">
        <v>875.9</v>
      </c>
      <c r="R2063">
        <v>141119</v>
      </c>
    </row>
    <row r="2064" spans="1:18" x14ac:dyDescent="0.25">
      <c r="A2064" s="169">
        <v>45533</v>
      </c>
      <c r="B2064" s="116">
        <v>295.816666666667</v>
      </c>
      <c r="C2064" s="116">
        <v>288.3</v>
      </c>
      <c r="D2064" s="116">
        <v>285.03333333333302</v>
      </c>
      <c r="E2064" s="116">
        <v>285.03333333333302</v>
      </c>
      <c r="F2064" s="116">
        <v>864.9</v>
      </c>
      <c r="G2064">
        <v>9018</v>
      </c>
      <c r="H2064" s="116"/>
      <c r="I2064" s="116"/>
      <c r="L2064" s="169">
        <v>45533</v>
      </c>
      <c r="M2064" s="116">
        <v>288.2</v>
      </c>
      <c r="N2064" s="116">
        <v>295.66666666666703</v>
      </c>
      <c r="O2064" s="116">
        <v>286.01666666666699</v>
      </c>
      <c r="P2064" s="116">
        <v>292.16666666666703</v>
      </c>
      <c r="Q2064" s="116">
        <v>864.6</v>
      </c>
      <c r="R2064">
        <v>81570</v>
      </c>
    </row>
    <row r="2065" spans="1:18" x14ac:dyDescent="0.25">
      <c r="A2065" s="169">
        <v>45534</v>
      </c>
      <c r="B2065" s="116">
        <v>293.28333333333302</v>
      </c>
      <c r="C2065" s="116">
        <v>288.3</v>
      </c>
      <c r="D2065" s="116">
        <v>280.183333333333</v>
      </c>
      <c r="E2065" s="116">
        <v>293.28333333333302</v>
      </c>
      <c r="F2065" s="116">
        <v>864.9</v>
      </c>
      <c r="G2065">
        <v>33577</v>
      </c>
      <c r="H2065" s="116"/>
      <c r="I2065" s="116"/>
      <c r="L2065" s="169">
        <v>45534</v>
      </c>
      <c r="M2065" s="116">
        <v>287.26666666666699</v>
      </c>
      <c r="N2065" s="116">
        <v>293.33333333333297</v>
      </c>
      <c r="O2065" s="116">
        <v>280.10000000000002</v>
      </c>
      <c r="P2065" s="116">
        <v>289.933333333333</v>
      </c>
      <c r="Q2065" s="116">
        <v>861.8</v>
      </c>
      <c r="R2065">
        <v>264035</v>
      </c>
    </row>
    <row r="2066" spans="1:18" x14ac:dyDescent="0.25">
      <c r="A2066" s="169">
        <v>45537</v>
      </c>
      <c r="B2066" s="116">
        <v>298</v>
      </c>
      <c r="C2066" s="116">
        <v>279.85000000000002</v>
      </c>
      <c r="D2066" s="116">
        <v>279.33333333333297</v>
      </c>
      <c r="E2066" s="116">
        <v>293.96666666666698</v>
      </c>
      <c r="F2066" s="116">
        <v>839.55</v>
      </c>
      <c r="G2066">
        <v>15312</v>
      </c>
      <c r="H2066" s="116"/>
      <c r="I2066" s="116"/>
      <c r="L2066" s="169">
        <v>45537</v>
      </c>
      <c r="M2066" s="116">
        <v>279.95</v>
      </c>
      <c r="N2066" s="116">
        <v>298.316666666667</v>
      </c>
      <c r="O2066" s="116">
        <v>279.35000000000002</v>
      </c>
      <c r="P2066" s="116">
        <v>293.28333333333302</v>
      </c>
      <c r="Q2066" s="116">
        <v>839.85</v>
      </c>
      <c r="R2066">
        <v>126191</v>
      </c>
    </row>
    <row r="2067" spans="1:18" x14ac:dyDescent="0.25">
      <c r="A2067" s="169">
        <v>45538</v>
      </c>
      <c r="B2067" s="116">
        <v>291.21666666666698</v>
      </c>
      <c r="C2067" s="116">
        <v>289.33333333333297</v>
      </c>
      <c r="D2067" s="116">
        <v>281.11666666666702</v>
      </c>
      <c r="E2067" s="116">
        <v>281.11666666666702</v>
      </c>
      <c r="F2067" s="116">
        <v>868</v>
      </c>
      <c r="G2067">
        <v>4786</v>
      </c>
      <c r="H2067" s="116"/>
      <c r="I2067" s="116"/>
      <c r="L2067" s="169">
        <v>45538</v>
      </c>
      <c r="M2067" s="116">
        <v>289.61666666666702</v>
      </c>
      <c r="N2067" s="116">
        <v>291.14999999999998</v>
      </c>
      <c r="O2067" s="116">
        <v>279.95</v>
      </c>
      <c r="P2067" s="116">
        <v>280.21666666666698</v>
      </c>
      <c r="Q2067" s="116">
        <v>868.85</v>
      </c>
      <c r="R2067">
        <v>59920</v>
      </c>
    </row>
    <row r="2068" spans="1:18" x14ac:dyDescent="0.25">
      <c r="A2068" s="169">
        <v>45539</v>
      </c>
      <c r="B2068" s="116">
        <v>294.66666666666703</v>
      </c>
      <c r="C2068" s="116">
        <v>287.35000000000002</v>
      </c>
      <c r="D2068" s="116">
        <v>286.7</v>
      </c>
      <c r="E2068" s="116">
        <v>289.33333333333297</v>
      </c>
      <c r="F2068" s="116">
        <v>862.05</v>
      </c>
      <c r="G2068">
        <v>5671</v>
      </c>
      <c r="H2068" s="116"/>
      <c r="I2068" s="116"/>
      <c r="L2068" s="169">
        <v>45539</v>
      </c>
      <c r="M2068" s="116">
        <v>287.21666666666698</v>
      </c>
      <c r="N2068" s="116">
        <v>295.23333333333301</v>
      </c>
      <c r="O2068" s="116">
        <v>285.28333333333302</v>
      </c>
      <c r="P2068" s="116">
        <v>289.61666666666702</v>
      </c>
      <c r="Q2068" s="116">
        <v>861.65</v>
      </c>
      <c r="R2068">
        <v>95113</v>
      </c>
    </row>
    <row r="2069" spans="1:18" x14ac:dyDescent="0.25">
      <c r="A2069" s="169">
        <v>45540</v>
      </c>
      <c r="B2069" s="116">
        <v>294.183333333333</v>
      </c>
      <c r="C2069" s="116">
        <v>287.73333333333301</v>
      </c>
      <c r="D2069" s="116">
        <v>285.26666666666699</v>
      </c>
      <c r="E2069" s="116">
        <v>290</v>
      </c>
      <c r="F2069" s="116">
        <v>863.2</v>
      </c>
      <c r="G2069">
        <v>6530</v>
      </c>
      <c r="H2069" s="116"/>
      <c r="I2069" s="116"/>
      <c r="L2069" s="169">
        <v>45540</v>
      </c>
      <c r="M2069" s="116">
        <v>287.60000000000002</v>
      </c>
      <c r="N2069" s="116">
        <v>294.03333333333302</v>
      </c>
      <c r="O2069" s="116">
        <v>284.98333333333301</v>
      </c>
      <c r="P2069" s="116">
        <v>288.21666666666698</v>
      </c>
      <c r="Q2069" s="116">
        <v>862.8</v>
      </c>
      <c r="R2069">
        <v>58369</v>
      </c>
    </row>
    <row r="2070" spans="1:18" x14ac:dyDescent="0.25">
      <c r="A2070" s="169">
        <v>45541</v>
      </c>
      <c r="B2070" s="116">
        <v>293.33333333333297</v>
      </c>
      <c r="C2070" s="116">
        <v>285.51666666666699</v>
      </c>
      <c r="D2070" s="116">
        <v>283.816666666667</v>
      </c>
      <c r="E2070" s="116">
        <v>288.33333333333297</v>
      </c>
      <c r="F2070" s="116">
        <v>856.55</v>
      </c>
      <c r="G2070">
        <v>8045</v>
      </c>
      <c r="H2070" s="116"/>
      <c r="I2070" s="116"/>
      <c r="L2070" s="169">
        <v>45541</v>
      </c>
      <c r="M2070" s="116">
        <v>285.88333333333298</v>
      </c>
      <c r="N2070" s="116">
        <v>293.3</v>
      </c>
      <c r="O2070" s="116">
        <v>284.10000000000002</v>
      </c>
      <c r="P2070" s="116">
        <v>288.25</v>
      </c>
      <c r="Q2070" s="116">
        <v>857.65</v>
      </c>
      <c r="R2070">
        <v>35261</v>
      </c>
    </row>
    <row r="2071" spans="1:18" x14ac:dyDescent="0.25">
      <c r="A2071" s="169">
        <v>45544</v>
      </c>
      <c r="B2071" s="116">
        <v>292.35000000000002</v>
      </c>
      <c r="C2071" s="116">
        <v>284.95</v>
      </c>
      <c r="D2071" s="116">
        <v>280.16666666666703</v>
      </c>
      <c r="E2071" s="116">
        <v>281.66666666666703</v>
      </c>
      <c r="F2071" s="116">
        <v>854.85</v>
      </c>
      <c r="G2071">
        <v>5923</v>
      </c>
      <c r="H2071" s="116"/>
      <c r="I2071" s="116"/>
      <c r="L2071" s="169">
        <v>45544</v>
      </c>
      <c r="M2071" s="116">
        <v>285.51666666666699</v>
      </c>
      <c r="N2071" s="116">
        <v>292.66666666666703</v>
      </c>
      <c r="O2071" s="116">
        <v>280.39999999999998</v>
      </c>
      <c r="P2071" s="116">
        <v>281.75</v>
      </c>
      <c r="Q2071" s="116">
        <v>856.55</v>
      </c>
      <c r="R2071">
        <v>59855</v>
      </c>
    </row>
    <row r="2072" spans="1:18" x14ac:dyDescent="0.25">
      <c r="A2072" s="169">
        <v>45545</v>
      </c>
      <c r="B2072" s="116">
        <v>288.48333333333301</v>
      </c>
      <c r="C2072" s="116">
        <v>285.91666666666703</v>
      </c>
      <c r="D2072" s="116">
        <v>283.91666666666703</v>
      </c>
      <c r="E2072" s="116">
        <v>286.55</v>
      </c>
      <c r="F2072" s="116">
        <v>857.75</v>
      </c>
      <c r="G2072">
        <v>1607</v>
      </c>
      <c r="H2072" s="116"/>
      <c r="I2072" s="116"/>
      <c r="L2072" s="169">
        <v>45545</v>
      </c>
      <c r="M2072" s="116">
        <v>285.7</v>
      </c>
      <c r="N2072" s="116">
        <v>288.5</v>
      </c>
      <c r="O2072" s="116">
        <v>283.7</v>
      </c>
      <c r="P2072" s="116">
        <v>288.2</v>
      </c>
      <c r="Q2072" s="116">
        <v>857.1</v>
      </c>
      <c r="R2072">
        <v>33850</v>
      </c>
    </row>
    <row r="2073" spans="1:18" x14ac:dyDescent="0.25">
      <c r="A2073" s="169">
        <v>45546</v>
      </c>
      <c r="B2073" s="116">
        <v>290.96666666666698</v>
      </c>
      <c r="C2073" s="116">
        <v>283.63333333333298</v>
      </c>
      <c r="D2073" s="116">
        <v>281.64999999999998</v>
      </c>
      <c r="E2073" s="116">
        <v>281.64999999999998</v>
      </c>
      <c r="F2073" s="116">
        <v>850.9</v>
      </c>
      <c r="G2073">
        <v>5067</v>
      </c>
      <c r="H2073" s="116"/>
      <c r="I2073" s="116"/>
      <c r="L2073" s="169">
        <v>45546</v>
      </c>
      <c r="M2073" s="116">
        <v>283.8</v>
      </c>
      <c r="N2073" s="116">
        <v>291.61666666666702</v>
      </c>
      <c r="O2073" s="116">
        <v>282.66666666666703</v>
      </c>
      <c r="P2073" s="116">
        <v>285.33333333333297</v>
      </c>
      <c r="Q2073" s="116">
        <v>851.4</v>
      </c>
      <c r="R2073">
        <v>32637</v>
      </c>
    </row>
    <row r="2074" spans="1:18" x14ac:dyDescent="0.25">
      <c r="A2074" s="169">
        <v>45547</v>
      </c>
      <c r="B2074" s="116">
        <v>291.83333333333297</v>
      </c>
      <c r="C2074" s="116">
        <v>287.78333333333302</v>
      </c>
      <c r="D2074" s="116">
        <v>285.36666666666702</v>
      </c>
      <c r="E2074" s="116">
        <v>286</v>
      </c>
      <c r="F2074" s="116">
        <v>863.35</v>
      </c>
      <c r="G2074">
        <v>3201</v>
      </c>
      <c r="H2074" s="116"/>
      <c r="I2074" s="116"/>
      <c r="L2074" s="169">
        <v>45547</v>
      </c>
      <c r="M2074" s="116">
        <v>288.39999999999998</v>
      </c>
      <c r="N2074" s="116">
        <v>291.66666666666703</v>
      </c>
      <c r="O2074" s="116">
        <v>284.01666666666699</v>
      </c>
      <c r="P2074" s="116">
        <v>284.01666666666699</v>
      </c>
      <c r="Q2074" s="116">
        <v>865.2</v>
      </c>
      <c r="R2074">
        <v>86136</v>
      </c>
    </row>
    <row r="2075" spans="1:18" x14ac:dyDescent="0.25">
      <c r="A2075" s="169">
        <v>45548</v>
      </c>
      <c r="B2075" s="116">
        <v>291.76666666666699</v>
      </c>
      <c r="C2075" s="116">
        <v>290.25</v>
      </c>
      <c r="D2075" s="116">
        <v>285.85000000000002</v>
      </c>
      <c r="E2075" s="116">
        <v>289.78333333333302</v>
      </c>
      <c r="F2075" s="116">
        <v>870.75</v>
      </c>
      <c r="G2075">
        <v>1352</v>
      </c>
      <c r="H2075" s="116"/>
      <c r="I2075" s="116"/>
      <c r="L2075" s="169">
        <v>45548</v>
      </c>
      <c r="M2075" s="116">
        <v>290.26666666666699</v>
      </c>
      <c r="N2075" s="116">
        <v>291.58333333333297</v>
      </c>
      <c r="O2075" s="116">
        <v>285.76666666666699</v>
      </c>
      <c r="P2075" s="116">
        <v>288.39999999999998</v>
      </c>
      <c r="Q2075" s="116">
        <v>870.8</v>
      </c>
      <c r="R2075">
        <v>29323</v>
      </c>
    </row>
    <row r="2076" spans="1:18" x14ac:dyDescent="0.25">
      <c r="A2076" s="169">
        <v>45551</v>
      </c>
      <c r="B2076" s="116">
        <v>300</v>
      </c>
      <c r="C2076" s="116">
        <v>287.433333333333</v>
      </c>
      <c r="D2076" s="116">
        <v>284.03333333333302</v>
      </c>
      <c r="E2076" s="116">
        <v>300</v>
      </c>
      <c r="F2076" s="116">
        <v>862.3</v>
      </c>
      <c r="G2076">
        <v>2307</v>
      </c>
      <c r="H2076" s="116"/>
      <c r="I2076" s="116"/>
      <c r="L2076" s="169">
        <v>45551</v>
      </c>
      <c r="M2076" s="116">
        <v>287.46666666666698</v>
      </c>
      <c r="N2076" s="116">
        <v>298.183333333333</v>
      </c>
      <c r="O2076" s="116">
        <v>284.33333333333297</v>
      </c>
      <c r="P2076" s="116">
        <v>292</v>
      </c>
      <c r="Q2076" s="116">
        <v>862.4</v>
      </c>
      <c r="R2076">
        <v>73090</v>
      </c>
    </row>
    <row r="2077" spans="1:18" x14ac:dyDescent="0.25">
      <c r="A2077" s="169">
        <v>45552</v>
      </c>
      <c r="B2077" s="116">
        <v>287.46666666666698</v>
      </c>
      <c r="C2077" s="116">
        <v>285.10000000000002</v>
      </c>
      <c r="D2077" s="116">
        <v>281.3</v>
      </c>
      <c r="E2077" s="116">
        <v>287.46666666666698</v>
      </c>
      <c r="F2077" s="116">
        <v>855.3</v>
      </c>
      <c r="G2077">
        <v>1582</v>
      </c>
      <c r="H2077" s="116"/>
      <c r="I2077" s="116"/>
      <c r="L2077" s="169">
        <v>45552</v>
      </c>
      <c r="M2077" s="116">
        <v>285.35000000000002</v>
      </c>
      <c r="N2077" s="116">
        <v>287.45</v>
      </c>
      <c r="O2077" s="116">
        <v>281.39999999999998</v>
      </c>
      <c r="P2077" s="116">
        <v>285.33333333333297</v>
      </c>
      <c r="Q2077" s="116">
        <v>856.05</v>
      </c>
      <c r="R2077">
        <v>22935</v>
      </c>
    </row>
    <row r="2078" spans="1:18" x14ac:dyDescent="0.25">
      <c r="A2078" s="169">
        <v>45553</v>
      </c>
      <c r="B2078" s="116">
        <v>286.63333333333298</v>
      </c>
      <c r="C2078" s="116">
        <v>282.95</v>
      </c>
      <c r="D2078" s="116">
        <v>281.39999999999998</v>
      </c>
      <c r="E2078" s="116">
        <v>285.33333333333297</v>
      </c>
      <c r="F2078" s="116">
        <v>848.85</v>
      </c>
      <c r="G2078">
        <v>959</v>
      </c>
      <c r="H2078" s="116"/>
      <c r="I2078" s="116"/>
      <c r="L2078" s="169">
        <v>45553</v>
      </c>
      <c r="M2078" s="116">
        <v>283.683333333333</v>
      </c>
      <c r="N2078" s="116">
        <v>286.73333333333301</v>
      </c>
      <c r="O2078" s="116">
        <v>280.683333333333</v>
      </c>
      <c r="P2078" s="116">
        <v>283.66666666666703</v>
      </c>
      <c r="Q2078" s="116">
        <v>851.05</v>
      </c>
      <c r="R2078">
        <v>32230</v>
      </c>
    </row>
    <row r="2079" spans="1:18" x14ac:dyDescent="0.25">
      <c r="A2079" s="169">
        <v>45554</v>
      </c>
      <c r="B2079" s="116">
        <v>286.66666666666703</v>
      </c>
      <c r="C2079" s="116">
        <v>277.16666666666703</v>
      </c>
      <c r="D2079" s="116">
        <v>273.78333333333302</v>
      </c>
      <c r="E2079" s="116">
        <v>286.66666666666703</v>
      </c>
      <c r="F2079" s="116">
        <v>831.5</v>
      </c>
      <c r="G2079">
        <v>4758</v>
      </c>
      <c r="H2079" s="116"/>
      <c r="I2079" s="116"/>
      <c r="L2079" s="169">
        <v>45554</v>
      </c>
      <c r="M2079" s="116">
        <v>277.01666666666699</v>
      </c>
      <c r="N2079" s="116">
        <v>287.2</v>
      </c>
      <c r="O2079" s="116">
        <v>274.05</v>
      </c>
      <c r="P2079" s="116">
        <v>285.45</v>
      </c>
      <c r="Q2079" s="116">
        <v>831.05</v>
      </c>
      <c r="R2079">
        <v>73474</v>
      </c>
    </row>
    <row r="2080" spans="1:18" x14ac:dyDescent="0.25">
      <c r="A2080" s="169">
        <v>45555</v>
      </c>
      <c r="B2080" s="116">
        <v>285</v>
      </c>
      <c r="C2080" s="116">
        <v>273.41666666666703</v>
      </c>
      <c r="D2080" s="116">
        <v>271.63333333333298</v>
      </c>
      <c r="E2080" s="116">
        <v>273.33333333333297</v>
      </c>
      <c r="F2080" s="116">
        <v>820.25</v>
      </c>
      <c r="G2080">
        <v>8388</v>
      </c>
      <c r="H2080" s="116"/>
      <c r="I2080" s="116"/>
      <c r="L2080" s="169">
        <v>45555</v>
      </c>
      <c r="M2080" s="116">
        <v>273.96666666666698</v>
      </c>
      <c r="N2080" s="116">
        <v>279</v>
      </c>
      <c r="O2080" s="116">
        <v>271.85000000000002</v>
      </c>
      <c r="P2080" s="116">
        <v>275.73333333333301</v>
      </c>
      <c r="Q2080" s="116">
        <v>821.9</v>
      </c>
      <c r="R2080">
        <v>35820</v>
      </c>
    </row>
    <row r="2081" spans="1:18" x14ac:dyDescent="0.25">
      <c r="A2081" s="169">
        <v>45558</v>
      </c>
      <c r="B2081" s="116">
        <v>281.55</v>
      </c>
      <c r="C2081" s="116">
        <v>277.8</v>
      </c>
      <c r="D2081" s="116">
        <v>271.33333333333297</v>
      </c>
      <c r="E2081" s="116">
        <v>273.7</v>
      </c>
      <c r="F2081" s="116">
        <v>833.4</v>
      </c>
      <c r="G2081">
        <v>3583</v>
      </c>
      <c r="H2081" s="116"/>
      <c r="I2081" s="116"/>
      <c r="L2081" s="169">
        <v>45558</v>
      </c>
      <c r="M2081" s="116">
        <v>277.3</v>
      </c>
      <c r="N2081" s="116">
        <v>280.98333333333301</v>
      </c>
      <c r="O2081" s="116">
        <v>270.683333333333</v>
      </c>
      <c r="P2081" s="116">
        <v>276.316666666667</v>
      </c>
      <c r="Q2081" s="116">
        <v>831.9</v>
      </c>
      <c r="R2081">
        <v>54086</v>
      </c>
    </row>
    <row r="2082" spans="1:18" x14ac:dyDescent="0.25">
      <c r="A2082" s="169">
        <v>45559</v>
      </c>
      <c r="B2082" s="116">
        <v>284.96666666666698</v>
      </c>
      <c r="C2082" s="116">
        <v>283.76666666666699</v>
      </c>
      <c r="D2082" s="116">
        <v>277.46666666666698</v>
      </c>
      <c r="E2082" s="116">
        <v>283.316666666667</v>
      </c>
      <c r="F2082" s="116">
        <v>851.3</v>
      </c>
      <c r="G2082">
        <v>5106</v>
      </c>
      <c r="H2082" s="116"/>
      <c r="I2082" s="116"/>
      <c r="L2082" s="169">
        <v>45559</v>
      </c>
      <c r="M2082" s="116">
        <v>283.88333333333298</v>
      </c>
      <c r="N2082" s="116">
        <v>285</v>
      </c>
      <c r="O2082" s="116">
        <v>277.3</v>
      </c>
      <c r="P2082" s="116">
        <v>277.3</v>
      </c>
      <c r="Q2082" s="116">
        <v>851.65</v>
      </c>
      <c r="R2082">
        <v>28425</v>
      </c>
    </row>
    <row r="2083" spans="1:18" x14ac:dyDescent="0.25">
      <c r="A2083" s="169">
        <v>45560</v>
      </c>
      <c r="B2083" s="116">
        <v>286.64999999999998</v>
      </c>
      <c r="C2083" s="116">
        <v>279.85000000000002</v>
      </c>
      <c r="D2083" s="116">
        <v>278.816666666667</v>
      </c>
      <c r="E2083" s="116">
        <v>286.64999999999998</v>
      </c>
      <c r="F2083" s="116">
        <v>839.55</v>
      </c>
      <c r="G2083">
        <v>1695</v>
      </c>
      <c r="H2083" s="116"/>
      <c r="I2083" s="116"/>
      <c r="L2083" s="169">
        <v>45560</v>
      </c>
      <c r="M2083" s="116">
        <v>279.83333333333297</v>
      </c>
      <c r="N2083" s="116">
        <v>284</v>
      </c>
      <c r="O2083" s="116">
        <v>279</v>
      </c>
      <c r="P2083" s="116">
        <v>283.88333333333298</v>
      </c>
      <c r="Q2083" s="116">
        <v>839.5</v>
      </c>
      <c r="R2083">
        <v>25502</v>
      </c>
    </row>
    <row r="2084" spans="1:18" x14ac:dyDescent="0.25">
      <c r="A2084" s="169">
        <v>45561</v>
      </c>
      <c r="B2084" s="116">
        <v>280.98333333333301</v>
      </c>
      <c r="C2084" s="116">
        <v>276.8</v>
      </c>
      <c r="D2084" s="116">
        <v>272.05</v>
      </c>
      <c r="E2084" s="116">
        <v>280.66666666666703</v>
      </c>
      <c r="F2084" s="116">
        <v>830.4</v>
      </c>
      <c r="G2084">
        <v>5724</v>
      </c>
      <c r="H2084" s="116"/>
      <c r="I2084" s="116"/>
      <c r="L2084" s="169">
        <v>45561</v>
      </c>
      <c r="M2084" s="116">
        <v>276.39999999999998</v>
      </c>
      <c r="N2084" s="116">
        <v>281.51666666666699</v>
      </c>
      <c r="O2084" s="116">
        <v>272.33333333333297</v>
      </c>
      <c r="P2084" s="116">
        <v>281.51666666666699</v>
      </c>
      <c r="Q2084" s="116">
        <v>829.2</v>
      </c>
      <c r="R2084">
        <v>39246</v>
      </c>
    </row>
    <row r="2085" spans="1:18" x14ac:dyDescent="0.25">
      <c r="A2085" s="169">
        <v>45562</v>
      </c>
      <c r="B2085" s="116">
        <v>277.13333333333298</v>
      </c>
      <c r="C2085" s="116">
        <v>272.66666666666703</v>
      </c>
      <c r="D2085" s="116">
        <v>269.85000000000002</v>
      </c>
      <c r="E2085" s="116">
        <v>276.33333333333297</v>
      </c>
      <c r="F2085" s="116">
        <v>818</v>
      </c>
      <c r="G2085">
        <v>4171</v>
      </c>
      <c r="H2085" s="116"/>
      <c r="I2085" s="116"/>
      <c r="L2085" s="169">
        <v>45562</v>
      </c>
      <c r="M2085" s="116">
        <v>272.41666666666703</v>
      </c>
      <c r="N2085" s="116">
        <v>277.53333333333302</v>
      </c>
      <c r="O2085" s="116">
        <v>270</v>
      </c>
      <c r="P2085" s="116">
        <v>276.66666666666703</v>
      </c>
      <c r="Q2085" s="116">
        <v>817.25</v>
      </c>
      <c r="R2085">
        <v>20909</v>
      </c>
    </row>
    <row r="2086" spans="1:18" x14ac:dyDescent="0.25">
      <c r="A2086" s="169">
        <v>45565</v>
      </c>
      <c r="B2086" s="116">
        <v>273.14999999999998</v>
      </c>
      <c r="C2086" s="116">
        <v>270.566666666667</v>
      </c>
      <c r="D2086" s="116">
        <v>267.61666666666702</v>
      </c>
      <c r="E2086" s="116">
        <v>271.7</v>
      </c>
      <c r="F2086" s="116">
        <v>811.7</v>
      </c>
      <c r="G2086">
        <v>9859</v>
      </c>
      <c r="H2086" s="116"/>
      <c r="I2086" s="116"/>
      <c r="L2086" s="169">
        <v>45565</v>
      </c>
      <c r="M2086" s="116">
        <v>270.683333333333</v>
      </c>
      <c r="N2086" s="116">
        <v>275.39999999999998</v>
      </c>
      <c r="O2086" s="116">
        <v>267.60000000000002</v>
      </c>
      <c r="P2086" s="116">
        <v>272.14999999999998</v>
      </c>
      <c r="Q2086" s="116">
        <v>812.05</v>
      </c>
      <c r="R2086">
        <v>41087</v>
      </c>
    </row>
    <row r="2087" spans="1:18" x14ac:dyDescent="0.25">
      <c r="A2087" s="169">
        <v>45566</v>
      </c>
      <c r="B2087" s="116">
        <v>277.66666666666703</v>
      </c>
      <c r="C2087" s="116">
        <v>275.75</v>
      </c>
      <c r="D2087" s="116">
        <v>270.433333333333</v>
      </c>
      <c r="E2087" s="116">
        <v>271.66666666666703</v>
      </c>
      <c r="F2087" s="116">
        <v>827.25</v>
      </c>
      <c r="G2087">
        <v>1642</v>
      </c>
      <c r="H2087" s="116"/>
      <c r="I2087" s="116"/>
      <c r="L2087" s="169">
        <v>45566</v>
      </c>
      <c r="M2087" s="116">
        <v>276.03333333333302</v>
      </c>
      <c r="N2087" s="116">
        <v>278.3</v>
      </c>
      <c r="O2087" s="116">
        <v>270.05</v>
      </c>
      <c r="P2087" s="116">
        <v>272</v>
      </c>
      <c r="Q2087" s="116">
        <v>828.1</v>
      </c>
      <c r="R2087">
        <v>14865</v>
      </c>
    </row>
    <row r="2088" spans="1:18" x14ac:dyDescent="0.25">
      <c r="A2088" s="169">
        <v>45568</v>
      </c>
      <c r="B2088" s="116">
        <v>274.316666666667</v>
      </c>
      <c r="C2088" s="116">
        <v>269.61666666666702</v>
      </c>
      <c r="D2088" s="116">
        <v>266.11666666666702</v>
      </c>
      <c r="E2088" s="116">
        <v>270.51666666666699</v>
      </c>
      <c r="F2088" s="116">
        <v>808.85</v>
      </c>
      <c r="G2088">
        <v>1754</v>
      </c>
      <c r="H2088" s="116"/>
      <c r="I2088" s="116"/>
      <c r="L2088" s="169">
        <v>45568</v>
      </c>
      <c r="M2088" s="116">
        <v>269.73333333333301</v>
      </c>
      <c r="N2088" s="116">
        <v>276.48333333333301</v>
      </c>
      <c r="O2088" s="116">
        <v>266.35000000000002</v>
      </c>
      <c r="P2088" s="116">
        <v>270</v>
      </c>
      <c r="Q2088" s="116">
        <v>809.2</v>
      </c>
      <c r="R2088">
        <v>29651</v>
      </c>
    </row>
    <row r="2089" spans="1:18" x14ac:dyDescent="0.25">
      <c r="A2089" s="169">
        <v>45569</v>
      </c>
      <c r="B2089" s="116">
        <v>275.66666666666703</v>
      </c>
      <c r="C2089" s="116">
        <v>268.316666666667</v>
      </c>
      <c r="D2089" s="116">
        <v>266.66666666666703</v>
      </c>
      <c r="E2089" s="116">
        <v>271.66666666666703</v>
      </c>
      <c r="F2089" s="116">
        <v>804.95</v>
      </c>
      <c r="G2089">
        <v>1243</v>
      </c>
      <c r="H2089" s="116"/>
      <c r="I2089" s="116"/>
      <c r="L2089" s="169">
        <v>45569</v>
      </c>
      <c r="M2089" s="116">
        <v>268.10000000000002</v>
      </c>
      <c r="N2089" s="116">
        <v>275.45</v>
      </c>
      <c r="O2089" s="116">
        <v>266.183333333333</v>
      </c>
      <c r="P2089" s="116">
        <v>272.26666666666699</v>
      </c>
      <c r="Q2089" s="116">
        <v>804.3</v>
      </c>
      <c r="R2089">
        <v>40724</v>
      </c>
    </row>
    <row r="2090" spans="1:18" x14ac:dyDescent="0.25">
      <c r="A2090" s="169">
        <v>45572</v>
      </c>
      <c r="B2090" s="116">
        <v>268.38333333333298</v>
      </c>
      <c r="C2090" s="116">
        <v>262.21666666666698</v>
      </c>
      <c r="D2090" s="116">
        <v>258.933333333333</v>
      </c>
      <c r="E2090" s="116">
        <v>268.316666666667</v>
      </c>
      <c r="F2090" s="116">
        <v>786.65</v>
      </c>
      <c r="G2090">
        <v>9015</v>
      </c>
      <c r="H2090" s="116"/>
      <c r="I2090" s="116"/>
      <c r="L2090" s="169">
        <v>45572</v>
      </c>
      <c r="M2090" s="116">
        <v>262.2</v>
      </c>
      <c r="N2090" s="116">
        <v>268.10000000000002</v>
      </c>
      <c r="O2090" s="116">
        <v>258.316666666667</v>
      </c>
      <c r="P2090" s="116">
        <v>266.03333333333302</v>
      </c>
      <c r="Q2090" s="116">
        <v>786.6</v>
      </c>
      <c r="R2090">
        <v>41903</v>
      </c>
    </row>
    <row r="2091" spans="1:18" x14ac:dyDescent="0.25">
      <c r="A2091" s="169">
        <v>45573</v>
      </c>
      <c r="B2091" s="116">
        <v>275</v>
      </c>
      <c r="C2091" s="116">
        <v>273.8</v>
      </c>
      <c r="D2091" s="116">
        <v>258.2</v>
      </c>
      <c r="E2091" s="116">
        <v>262</v>
      </c>
      <c r="F2091" s="116">
        <v>821.4</v>
      </c>
      <c r="G2091">
        <v>3653</v>
      </c>
      <c r="H2091" s="116"/>
      <c r="I2091" s="116"/>
      <c r="L2091" s="169">
        <v>45573</v>
      </c>
      <c r="M2091" s="116">
        <v>274.2</v>
      </c>
      <c r="N2091" s="116">
        <v>275</v>
      </c>
      <c r="O2091" s="116">
        <v>258.51666666666699</v>
      </c>
      <c r="P2091" s="116">
        <v>262</v>
      </c>
      <c r="Q2091" s="116">
        <v>822.6</v>
      </c>
      <c r="R2091">
        <v>24335</v>
      </c>
    </row>
    <row r="2092" spans="1:18" x14ac:dyDescent="0.25">
      <c r="A2092" s="169">
        <v>45574</v>
      </c>
      <c r="B2092" s="116">
        <v>279.66666666666703</v>
      </c>
      <c r="C2092" s="116">
        <v>273.5</v>
      </c>
      <c r="D2092" s="116">
        <v>273</v>
      </c>
      <c r="E2092" s="116">
        <v>276.25</v>
      </c>
      <c r="F2092" s="116">
        <v>820.5</v>
      </c>
      <c r="G2092">
        <v>1627</v>
      </c>
      <c r="H2092" s="116"/>
      <c r="I2092" s="116"/>
      <c r="L2092" s="169">
        <v>45574</v>
      </c>
      <c r="M2092" s="116">
        <v>273.33333333333297</v>
      </c>
      <c r="N2092" s="116">
        <v>279.33333333333297</v>
      </c>
      <c r="O2092" s="116">
        <v>272.7</v>
      </c>
      <c r="P2092" s="116">
        <v>275.33333333333297</v>
      </c>
      <c r="Q2092" s="116">
        <v>820</v>
      </c>
      <c r="R2092">
        <v>20739</v>
      </c>
    </row>
    <row r="2093" spans="1:18" x14ac:dyDescent="0.25">
      <c r="A2093" s="169">
        <v>45575</v>
      </c>
      <c r="B2093" s="116">
        <v>276.78333333333302</v>
      </c>
      <c r="C2093" s="116">
        <v>276.26666666666699</v>
      </c>
      <c r="D2093" s="116">
        <v>266.95</v>
      </c>
      <c r="E2093" s="116">
        <v>270</v>
      </c>
      <c r="F2093" s="116">
        <v>828.8</v>
      </c>
      <c r="G2093">
        <v>1362</v>
      </c>
      <c r="H2093" s="116"/>
      <c r="I2093" s="116"/>
      <c r="L2093" s="169">
        <v>45575</v>
      </c>
      <c r="M2093" s="116">
        <v>276.5</v>
      </c>
      <c r="N2093" s="116">
        <v>276.816666666667</v>
      </c>
      <c r="O2093" s="116">
        <v>273.01666666666699</v>
      </c>
      <c r="P2093" s="116">
        <v>273.33333333333297</v>
      </c>
      <c r="Q2093" s="116">
        <v>829.5</v>
      </c>
      <c r="R2093">
        <v>10391</v>
      </c>
    </row>
    <row r="2094" spans="1:18" x14ac:dyDescent="0.25">
      <c r="A2094" s="169">
        <v>45576</v>
      </c>
      <c r="B2094" s="116">
        <v>278.66666666666703</v>
      </c>
      <c r="C2094" s="116">
        <v>276.3</v>
      </c>
      <c r="D2094" s="116">
        <v>273.61666666666702</v>
      </c>
      <c r="E2094" s="116">
        <v>278.66666666666703</v>
      </c>
      <c r="F2094" s="116">
        <v>828.9</v>
      </c>
      <c r="G2094">
        <v>324</v>
      </c>
      <c r="H2094" s="116"/>
      <c r="I2094" s="116"/>
      <c r="L2094" s="169">
        <v>45576</v>
      </c>
      <c r="M2094" s="116">
        <v>276.41666666666703</v>
      </c>
      <c r="N2094" s="116">
        <v>278.14999999999998</v>
      </c>
      <c r="O2094" s="116">
        <v>273.66666666666703</v>
      </c>
      <c r="P2094" s="116">
        <v>278.14999999999998</v>
      </c>
      <c r="Q2094" s="116">
        <v>829.25</v>
      </c>
      <c r="R2094">
        <v>9039</v>
      </c>
    </row>
    <row r="2095" spans="1:18" x14ac:dyDescent="0.25">
      <c r="A2095" s="169">
        <v>45579</v>
      </c>
      <c r="B2095" s="116">
        <v>276.66666666666703</v>
      </c>
      <c r="C2095" s="116">
        <v>273.46666666666698</v>
      </c>
      <c r="D2095" s="116">
        <v>272.33333333333297</v>
      </c>
      <c r="E2095" s="116">
        <v>276.33333333333297</v>
      </c>
      <c r="F2095" s="116">
        <v>820.4</v>
      </c>
      <c r="G2095">
        <v>617</v>
      </c>
      <c r="H2095" s="116"/>
      <c r="I2095" s="116"/>
      <c r="L2095" s="169">
        <v>45579</v>
      </c>
      <c r="M2095" s="116">
        <v>273.73333333333301</v>
      </c>
      <c r="N2095" s="116">
        <v>278.21666666666698</v>
      </c>
      <c r="O2095" s="116">
        <v>272.183333333333</v>
      </c>
      <c r="P2095" s="116">
        <v>278.21666666666698</v>
      </c>
      <c r="Q2095" s="116">
        <v>821.2</v>
      </c>
      <c r="R2095">
        <v>11211</v>
      </c>
    </row>
    <row r="2096" spans="1:18" x14ac:dyDescent="0.25">
      <c r="A2096" s="169">
        <v>45580</v>
      </c>
      <c r="B2096" s="116">
        <v>276.75</v>
      </c>
      <c r="C2096" s="116">
        <v>275.41666666666703</v>
      </c>
      <c r="D2096" s="116">
        <v>270</v>
      </c>
      <c r="E2096" s="116">
        <v>273.66666666666703</v>
      </c>
      <c r="F2096" s="116">
        <v>826.25</v>
      </c>
      <c r="G2096">
        <v>962</v>
      </c>
      <c r="H2096" s="116"/>
      <c r="I2096" s="116"/>
      <c r="L2096" s="169">
        <v>45580</v>
      </c>
      <c r="M2096" s="116">
        <v>276.183333333333</v>
      </c>
      <c r="N2096" s="116">
        <v>276.98333333333301</v>
      </c>
      <c r="O2096" s="116">
        <v>270.51666666666699</v>
      </c>
      <c r="P2096" s="116">
        <v>273.08333333333297</v>
      </c>
      <c r="Q2096" s="116">
        <v>828.55</v>
      </c>
      <c r="R2096">
        <v>11910</v>
      </c>
    </row>
    <row r="2097" spans="1:18" x14ac:dyDescent="0.25">
      <c r="A2097" s="169">
        <v>45581</v>
      </c>
      <c r="B2097" s="116">
        <v>299</v>
      </c>
      <c r="C2097" s="116">
        <v>295.85000000000002</v>
      </c>
      <c r="D2097" s="116">
        <v>276</v>
      </c>
      <c r="E2097" s="116">
        <v>276</v>
      </c>
      <c r="F2097" s="116">
        <v>887.55</v>
      </c>
      <c r="G2097">
        <v>4383</v>
      </c>
      <c r="H2097" s="116"/>
      <c r="I2097" s="116"/>
      <c r="L2097" s="169">
        <v>45581</v>
      </c>
      <c r="M2097" s="116">
        <v>296.5</v>
      </c>
      <c r="N2097" s="116">
        <v>299</v>
      </c>
      <c r="O2097" s="116">
        <v>275.46666666666698</v>
      </c>
      <c r="P2097" s="116">
        <v>276</v>
      </c>
      <c r="Q2097" s="116">
        <v>889.5</v>
      </c>
      <c r="R2097">
        <v>248736</v>
      </c>
    </row>
    <row r="2098" spans="1:18" x14ac:dyDescent="0.25">
      <c r="A2098" s="169">
        <v>45582</v>
      </c>
      <c r="B2098" s="116">
        <v>301.76666666666699</v>
      </c>
      <c r="C2098" s="116">
        <v>292.433333333333</v>
      </c>
      <c r="D2098" s="116">
        <v>289</v>
      </c>
      <c r="E2098" s="116">
        <v>301.76666666666699</v>
      </c>
      <c r="F2098" s="116">
        <v>877.3</v>
      </c>
      <c r="G2098">
        <v>1633</v>
      </c>
      <c r="H2098" s="116"/>
      <c r="I2098" s="116"/>
      <c r="L2098" s="169">
        <v>45582</v>
      </c>
      <c r="M2098" s="116">
        <v>292.64999999999998</v>
      </c>
      <c r="N2098" s="116">
        <v>300.3</v>
      </c>
      <c r="O2098" s="116">
        <v>288.73333333333301</v>
      </c>
      <c r="P2098" s="116">
        <v>300.3</v>
      </c>
      <c r="Q2098" s="116">
        <v>877.95</v>
      </c>
      <c r="R2098">
        <v>63973</v>
      </c>
    </row>
    <row r="2099" spans="1:18" x14ac:dyDescent="0.25">
      <c r="A2099" s="169">
        <v>45583</v>
      </c>
      <c r="B2099" s="116">
        <v>296.33333333333297</v>
      </c>
      <c r="C2099" s="116">
        <v>293.89999999999998</v>
      </c>
      <c r="D2099" s="116">
        <v>283.33333333333297</v>
      </c>
      <c r="E2099" s="116">
        <v>285.64999999999998</v>
      </c>
      <c r="F2099" s="116">
        <v>881.7</v>
      </c>
      <c r="G2099">
        <v>2693</v>
      </c>
      <c r="H2099" s="116"/>
      <c r="I2099" s="116"/>
      <c r="L2099" s="169">
        <v>45583</v>
      </c>
      <c r="M2099" s="116">
        <v>293.96666666666698</v>
      </c>
      <c r="N2099" s="116">
        <v>296.66666666666703</v>
      </c>
      <c r="O2099" s="116">
        <v>283.8</v>
      </c>
      <c r="P2099" s="116">
        <v>288</v>
      </c>
      <c r="Q2099" s="116">
        <v>881.9</v>
      </c>
      <c r="R2099">
        <v>39899</v>
      </c>
    </row>
    <row r="2100" spans="1:18" x14ac:dyDescent="0.25">
      <c r="A2100" s="169">
        <v>45586</v>
      </c>
      <c r="B2100" s="116">
        <v>301.08333333333297</v>
      </c>
      <c r="C2100" s="116">
        <v>300.5</v>
      </c>
      <c r="D2100" s="116">
        <v>292.03333333333302</v>
      </c>
      <c r="E2100" s="116">
        <v>293.36666666666702</v>
      </c>
      <c r="F2100" s="116">
        <v>901.5</v>
      </c>
      <c r="G2100">
        <v>4368</v>
      </c>
      <c r="H2100" s="116"/>
      <c r="I2100" s="116"/>
      <c r="L2100" s="169">
        <v>45586</v>
      </c>
      <c r="M2100" s="116">
        <v>299.91666666666703</v>
      </c>
      <c r="N2100" s="116">
        <v>301.63333333333298</v>
      </c>
      <c r="O2100" s="116">
        <v>292.21666666666698</v>
      </c>
      <c r="P2100" s="116">
        <v>295.63333333333298</v>
      </c>
      <c r="Q2100" s="116">
        <v>899.75</v>
      </c>
      <c r="R2100">
        <v>73413</v>
      </c>
    </row>
    <row r="2101" spans="1:18" x14ac:dyDescent="0.25">
      <c r="A2101" s="169">
        <v>45587</v>
      </c>
      <c r="B2101" s="116">
        <v>307.28333333333302</v>
      </c>
      <c r="C2101" s="116">
        <v>295.48333333333301</v>
      </c>
      <c r="D2101" s="116">
        <v>292.08333333333297</v>
      </c>
      <c r="E2101" s="116">
        <v>304.98333333333301</v>
      </c>
      <c r="F2101" s="116">
        <v>886.45</v>
      </c>
      <c r="G2101">
        <v>16832</v>
      </c>
      <c r="H2101" s="116"/>
      <c r="I2101" s="116"/>
      <c r="L2101" s="169">
        <v>45587</v>
      </c>
      <c r="M2101" s="116">
        <v>295.60000000000002</v>
      </c>
      <c r="N2101" s="116">
        <v>308</v>
      </c>
      <c r="O2101" s="116">
        <v>290.23333333333301</v>
      </c>
      <c r="P2101" s="116">
        <v>301.33333333333297</v>
      </c>
      <c r="Q2101" s="116">
        <v>886.8</v>
      </c>
      <c r="R2101">
        <v>119874</v>
      </c>
    </row>
    <row r="2102" spans="1:18" x14ac:dyDescent="0.25">
      <c r="A2102" s="169">
        <v>45588</v>
      </c>
      <c r="B2102" s="116">
        <v>310</v>
      </c>
      <c r="C2102" s="116">
        <v>302.78333333333302</v>
      </c>
      <c r="D2102" s="116">
        <v>287.36666666666702</v>
      </c>
      <c r="E2102" s="116">
        <v>289.7</v>
      </c>
      <c r="F2102" s="116">
        <v>908.35</v>
      </c>
      <c r="G2102">
        <v>11157</v>
      </c>
      <c r="H2102" s="116"/>
      <c r="I2102" s="116"/>
      <c r="L2102" s="169">
        <v>45588</v>
      </c>
      <c r="M2102" s="116">
        <v>302.83333333333297</v>
      </c>
      <c r="N2102" s="116">
        <v>308.75</v>
      </c>
      <c r="O2102" s="116">
        <v>287</v>
      </c>
      <c r="P2102" s="116">
        <v>293.33333333333297</v>
      </c>
      <c r="Q2102" s="116">
        <v>908.5</v>
      </c>
      <c r="R2102">
        <v>115456</v>
      </c>
    </row>
    <row r="2103" spans="1:18" x14ac:dyDescent="0.25">
      <c r="A2103" s="169">
        <v>45589</v>
      </c>
      <c r="B2103" s="116">
        <v>319.316666666667</v>
      </c>
      <c r="C2103" s="116">
        <v>304.95</v>
      </c>
      <c r="D2103" s="116">
        <v>304</v>
      </c>
      <c r="E2103" s="116">
        <v>319.316666666667</v>
      </c>
      <c r="F2103" s="116">
        <v>914.85</v>
      </c>
      <c r="G2103">
        <v>29355</v>
      </c>
      <c r="H2103" s="116"/>
      <c r="I2103" s="116"/>
      <c r="L2103" s="169">
        <v>45589</v>
      </c>
      <c r="M2103" s="116">
        <v>304.98333333333301</v>
      </c>
      <c r="N2103" s="116">
        <v>316.53333333333302</v>
      </c>
      <c r="O2103" s="116">
        <v>303.33333333333297</v>
      </c>
      <c r="P2103" s="116">
        <v>316.53333333333302</v>
      </c>
      <c r="Q2103" s="116">
        <v>914.95</v>
      </c>
      <c r="R2103">
        <v>389326</v>
      </c>
    </row>
    <row r="2104" spans="1:18" x14ac:dyDescent="0.25">
      <c r="A2104" s="169">
        <v>45590</v>
      </c>
      <c r="B2104" s="116">
        <v>307.05</v>
      </c>
      <c r="C2104" s="116">
        <v>295.3</v>
      </c>
      <c r="D2104" s="116">
        <v>290.45</v>
      </c>
      <c r="E2104" s="116">
        <v>305.89999999999998</v>
      </c>
      <c r="F2104" s="116">
        <v>885.9</v>
      </c>
      <c r="G2104">
        <v>5168</v>
      </c>
      <c r="H2104" s="116"/>
      <c r="I2104" s="116"/>
      <c r="L2104" s="169">
        <v>45590</v>
      </c>
      <c r="M2104" s="116">
        <v>295.39999999999998</v>
      </c>
      <c r="N2104" s="116">
        <v>310</v>
      </c>
      <c r="O2104" s="116">
        <v>288.89999999999998</v>
      </c>
      <c r="P2104" s="116">
        <v>305.2</v>
      </c>
      <c r="Q2104" s="116">
        <v>886.2</v>
      </c>
      <c r="R2104">
        <v>125332</v>
      </c>
    </row>
    <row r="2105" spans="1:18" x14ac:dyDescent="0.25">
      <c r="A2105" s="169">
        <v>45593</v>
      </c>
      <c r="B2105" s="116">
        <v>313.76666666666699</v>
      </c>
      <c r="C2105" s="116">
        <v>309.7</v>
      </c>
      <c r="D2105" s="116">
        <v>294.01666666666699</v>
      </c>
      <c r="E2105" s="116">
        <v>294.01666666666699</v>
      </c>
      <c r="F2105" s="116">
        <v>929.1</v>
      </c>
      <c r="G2105">
        <v>9520</v>
      </c>
      <c r="H2105" s="116"/>
      <c r="I2105" s="116"/>
      <c r="L2105" s="169">
        <v>45593</v>
      </c>
      <c r="M2105" s="116">
        <v>309.83333333333297</v>
      </c>
      <c r="N2105" s="116">
        <v>314.316666666667</v>
      </c>
      <c r="O2105" s="116">
        <v>294.75</v>
      </c>
      <c r="P2105" s="116">
        <v>295.41666666666703</v>
      </c>
      <c r="Q2105" s="116">
        <v>929.5</v>
      </c>
      <c r="R2105">
        <v>198362</v>
      </c>
    </row>
    <row r="2106" spans="1:18" x14ac:dyDescent="0.25">
      <c r="A2106" s="169">
        <v>45594</v>
      </c>
      <c r="B2106" s="116">
        <v>325</v>
      </c>
      <c r="C2106" s="116">
        <v>314.73333333333301</v>
      </c>
      <c r="D2106" s="116">
        <v>311.46666666666698</v>
      </c>
      <c r="E2106" s="116">
        <v>313.33333333333297</v>
      </c>
      <c r="F2106" s="116">
        <v>944.2</v>
      </c>
      <c r="G2106">
        <v>8602</v>
      </c>
      <c r="H2106" s="116"/>
      <c r="I2106" s="116"/>
      <c r="L2106" s="169">
        <v>45594</v>
      </c>
      <c r="M2106" s="116">
        <v>314.71666666666698</v>
      </c>
      <c r="N2106" s="116">
        <v>325.183333333333</v>
      </c>
      <c r="O2106" s="116">
        <v>311.66666666666703</v>
      </c>
      <c r="P2106" s="116">
        <v>314.53333333333302</v>
      </c>
      <c r="Q2106" s="116">
        <v>944.15</v>
      </c>
      <c r="R2106">
        <v>357602</v>
      </c>
    </row>
    <row r="2107" spans="1:18" x14ac:dyDescent="0.25">
      <c r="A2107" s="169">
        <v>45595</v>
      </c>
      <c r="B2107" s="116">
        <v>324.01666666666699</v>
      </c>
      <c r="C2107" s="116">
        <v>316.35000000000002</v>
      </c>
      <c r="D2107" s="116">
        <v>309.85000000000002</v>
      </c>
      <c r="E2107" s="116">
        <v>311.683333333333</v>
      </c>
      <c r="F2107" s="116">
        <v>949.05</v>
      </c>
      <c r="G2107">
        <v>10041</v>
      </c>
      <c r="H2107" s="116"/>
      <c r="I2107" s="116"/>
      <c r="L2107" s="169">
        <v>45595</v>
      </c>
      <c r="M2107" s="116">
        <v>316.48333333333301</v>
      </c>
      <c r="N2107" s="116">
        <v>324.3</v>
      </c>
      <c r="O2107" s="116">
        <v>310.13333333333298</v>
      </c>
      <c r="P2107" s="116">
        <v>312.316666666667</v>
      </c>
      <c r="Q2107" s="116">
        <v>949.45</v>
      </c>
      <c r="R2107">
        <v>135485</v>
      </c>
    </row>
    <row r="2108" spans="1:18" x14ac:dyDescent="0.25">
      <c r="A2108" s="169">
        <v>45596</v>
      </c>
      <c r="B2108" s="116">
        <v>321.03333333333302</v>
      </c>
      <c r="C2108" s="116">
        <v>312.63333333333298</v>
      </c>
      <c r="D2108" s="116">
        <v>304.066666666667</v>
      </c>
      <c r="E2108" s="116">
        <v>316.33333333333297</v>
      </c>
      <c r="F2108" s="116">
        <v>937.9</v>
      </c>
      <c r="G2108">
        <v>6212</v>
      </c>
      <c r="H2108" s="116"/>
      <c r="I2108" s="116"/>
      <c r="L2108" s="169">
        <v>45596</v>
      </c>
      <c r="M2108" s="116">
        <v>311.73333333333301</v>
      </c>
      <c r="N2108" s="116">
        <v>321.66666666666703</v>
      </c>
      <c r="O2108" s="116">
        <v>304.98333333333301</v>
      </c>
      <c r="P2108" s="116">
        <v>317.3</v>
      </c>
      <c r="Q2108" s="116">
        <v>935.2</v>
      </c>
      <c r="R2108">
        <v>183045</v>
      </c>
    </row>
    <row r="2109" spans="1:18" x14ac:dyDescent="0.25">
      <c r="A2109" s="169">
        <v>45597</v>
      </c>
      <c r="B2109" s="116">
        <v>320.36666666666702</v>
      </c>
      <c r="C2109" s="116">
        <v>308.66666666666703</v>
      </c>
      <c r="D2109" s="116">
        <v>306.10000000000002</v>
      </c>
      <c r="E2109" s="116">
        <v>313</v>
      </c>
      <c r="F2109" s="116">
        <v>926</v>
      </c>
      <c r="G2109">
        <v>7116</v>
      </c>
      <c r="H2109" s="116"/>
      <c r="I2109" s="116"/>
      <c r="L2109" s="169">
        <v>45597</v>
      </c>
      <c r="M2109" s="116">
        <v>309.23333333333301</v>
      </c>
      <c r="N2109" s="116">
        <v>323.3</v>
      </c>
      <c r="O2109" s="116">
        <v>305</v>
      </c>
      <c r="P2109" s="116">
        <v>321.73333333333301</v>
      </c>
      <c r="Q2109" s="116">
        <v>927.7</v>
      </c>
      <c r="R2109">
        <v>37800</v>
      </c>
    </row>
    <row r="2110" spans="1:18" x14ac:dyDescent="0.25">
      <c r="A2110" s="169">
        <v>45600</v>
      </c>
      <c r="B2110" s="116">
        <v>326.64999999999998</v>
      </c>
      <c r="C2110" s="116">
        <v>322.53333333333302</v>
      </c>
      <c r="D2110" s="116">
        <v>309.36666666666702</v>
      </c>
      <c r="E2110" s="116">
        <v>309.36666666666702</v>
      </c>
      <c r="F2110" s="116">
        <v>967.6</v>
      </c>
      <c r="G2110">
        <v>11809</v>
      </c>
      <c r="H2110" s="116"/>
      <c r="I2110" s="116"/>
      <c r="L2110" s="169">
        <v>45600</v>
      </c>
      <c r="M2110" s="116">
        <v>323.51666666666699</v>
      </c>
      <c r="N2110" s="116">
        <v>328.33333333333297</v>
      </c>
      <c r="O2110" s="116">
        <v>312.5</v>
      </c>
      <c r="P2110" s="116">
        <v>312.61666666666702</v>
      </c>
      <c r="Q2110" s="116">
        <v>970.55</v>
      </c>
      <c r="R2110">
        <v>183910</v>
      </c>
    </row>
    <row r="2111" spans="1:18" x14ac:dyDescent="0.25">
      <c r="A2111" s="169">
        <v>45601</v>
      </c>
      <c r="B2111" s="116">
        <v>326.66666666666703</v>
      </c>
      <c r="C2111" s="116">
        <v>318.89999999999998</v>
      </c>
      <c r="D2111" s="116">
        <v>313.76666666666699</v>
      </c>
      <c r="E2111" s="116">
        <v>325.183333333333</v>
      </c>
      <c r="F2111" s="116">
        <v>956.7</v>
      </c>
      <c r="G2111">
        <v>7181</v>
      </c>
      <c r="H2111" s="116"/>
      <c r="I2111" s="116"/>
      <c r="L2111" s="169">
        <v>45601</v>
      </c>
      <c r="M2111" s="116">
        <v>319.78333333333302</v>
      </c>
      <c r="N2111" s="116">
        <v>327.11666666666702</v>
      </c>
      <c r="O2111" s="116">
        <v>313.66666666666703</v>
      </c>
      <c r="P2111" s="116">
        <v>321.66666666666703</v>
      </c>
      <c r="Q2111" s="116">
        <v>959.35</v>
      </c>
      <c r="R2111">
        <v>80510</v>
      </c>
    </row>
    <row r="2112" spans="1:18" x14ac:dyDescent="0.25">
      <c r="A2112" s="169">
        <v>45602</v>
      </c>
      <c r="B2112" s="116">
        <v>326.316666666667</v>
      </c>
      <c r="C2112" s="116">
        <v>322.75</v>
      </c>
      <c r="D2112" s="116">
        <v>319.66666666666703</v>
      </c>
      <c r="E2112" s="116">
        <v>326.316666666667</v>
      </c>
      <c r="F2112" s="116">
        <v>968.25</v>
      </c>
      <c r="G2112">
        <v>2687</v>
      </c>
      <c r="H2112" s="116"/>
      <c r="I2112" s="116"/>
      <c r="L2112" s="169">
        <v>45602</v>
      </c>
      <c r="M2112" s="116">
        <v>322.53333333333302</v>
      </c>
      <c r="N2112" s="116">
        <v>324.58333333333297</v>
      </c>
      <c r="O2112" s="116">
        <v>319.89999999999998</v>
      </c>
      <c r="P2112" s="116">
        <v>320.2</v>
      </c>
      <c r="Q2112" s="116">
        <v>967.6</v>
      </c>
      <c r="R2112">
        <v>70503</v>
      </c>
    </row>
    <row r="2113" spans="1:18" x14ac:dyDescent="0.25">
      <c r="A2113" s="169">
        <v>45603</v>
      </c>
      <c r="B2113" s="116">
        <v>329</v>
      </c>
      <c r="C2113" s="116">
        <v>322.14999999999998</v>
      </c>
      <c r="D2113" s="116">
        <v>319.35000000000002</v>
      </c>
      <c r="E2113" s="116">
        <v>329</v>
      </c>
      <c r="F2113" s="116">
        <v>966.45</v>
      </c>
      <c r="G2113">
        <v>5635</v>
      </c>
      <c r="H2113" s="116"/>
      <c r="I2113" s="116"/>
      <c r="L2113" s="169">
        <v>45603</v>
      </c>
      <c r="M2113" s="116">
        <v>322.433333333333</v>
      </c>
      <c r="N2113" s="116">
        <v>325.33333333333297</v>
      </c>
      <c r="O2113" s="116">
        <v>319.23333333333301</v>
      </c>
      <c r="P2113" s="116">
        <v>324.53333333333302</v>
      </c>
      <c r="Q2113" s="116">
        <v>967.3</v>
      </c>
      <c r="R2113">
        <v>38241</v>
      </c>
    </row>
    <row r="2114" spans="1:18" x14ac:dyDescent="0.25">
      <c r="A2114" s="169">
        <v>45604</v>
      </c>
      <c r="B2114" s="116">
        <v>332.66666666666703</v>
      </c>
      <c r="C2114" s="116">
        <v>326.683333333333</v>
      </c>
      <c r="D2114" s="116">
        <v>317.33333333333297</v>
      </c>
      <c r="E2114" s="116">
        <v>323.33333333333297</v>
      </c>
      <c r="F2114" s="116">
        <v>980.05</v>
      </c>
      <c r="G2114">
        <v>6053</v>
      </c>
      <c r="H2114" s="116"/>
      <c r="I2114" s="116"/>
      <c r="L2114" s="169">
        <v>45604</v>
      </c>
      <c r="M2114" s="116">
        <v>326</v>
      </c>
      <c r="N2114" s="116">
        <v>332.85</v>
      </c>
      <c r="O2114" s="116">
        <v>316.71666666666698</v>
      </c>
      <c r="P2114" s="116">
        <v>324.36666666666702</v>
      </c>
      <c r="Q2114" s="116">
        <v>978</v>
      </c>
      <c r="R2114">
        <v>217511</v>
      </c>
    </row>
    <row r="2115" spans="1:18" x14ac:dyDescent="0.25">
      <c r="A2115" s="169">
        <v>45607</v>
      </c>
      <c r="B2115" s="116">
        <v>330.98333333333301</v>
      </c>
      <c r="C2115" s="116">
        <v>328.13333333333298</v>
      </c>
      <c r="D2115" s="116">
        <v>318.51666666666699</v>
      </c>
      <c r="E2115" s="116">
        <v>325</v>
      </c>
      <c r="F2115" s="116">
        <v>984.4</v>
      </c>
      <c r="G2115">
        <v>8494</v>
      </c>
      <c r="H2115" s="116"/>
      <c r="I2115" s="116"/>
      <c r="L2115" s="169">
        <v>45607</v>
      </c>
      <c r="M2115" s="116">
        <v>328.6</v>
      </c>
      <c r="N2115" s="116">
        <v>331.7</v>
      </c>
      <c r="O2115" s="116">
        <v>318.183333333333</v>
      </c>
      <c r="P2115" s="116">
        <v>325.96666666666698</v>
      </c>
      <c r="Q2115" s="116">
        <v>985.8</v>
      </c>
      <c r="R2115">
        <v>52627</v>
      </c>
    </row>
    <row r="2116" spans="1:18" x14ac:dyDescent="0.25">
      <c r="A2116" s="169">
        <v>45608</v>
      </c>
      <c r="B2116" s="116">
        <v>334</v>
      </c>
      <c r="C2116" s="116">
        <v>320.63333333333298</v>
      </c>
      <c r="D2116" s="116">
        <v>319.95</v>
      </c>
      <c r="E2116" s="116">
        <v>325.66666666666703</v>
      </c>
      <c r="F2116" s="116">
        <v>961.9</v>
      </c>
      <c r="G2116">
        <v>9657</v>
      </c>
      <c r="H2116" s="116"/>
      <c r="I2116" s="116"/>
      <c r="L2116" s="169">
        <v>45608</v>
      </c>
      <c r="M2116" s="116">
        <v>320.96666666666698</v>
      </c>
      <c r="N2116" s="116">
        <v>334.51666666666699</v>
      </c>
      <c r="O2116" s="116">
        <v>320</v>
      </c>
      <c r="P2116" s="116">
        <v>328.6</v>
      </c>
      <c r="Q2116" s="116">
        <v>962.9</v>
      </c>
      <c r="R2116">
        <v>118560</v>
      </c>
    </row>
    <row r="2117" spans="1:18" x14ac:dyDescent="0.25">
      <c r="A2117" s="169">
        <v>45609</v>
      </c>
      <c r="B2117" s="116">
        <v>323.33333333333297</v>
      </c>
      <c r="C2117" s="116">
        <v>315.95</v>
      </c>
      <c r="D2117" s="116">
        <v>305.066666666667</v>
      </c>
      <c r="E2117" s="116">
        <v>321</v>
      </c>
      <c r="F2117" s="116">
        <v>947.85</v>
      </c>
      <c r="G2117">
        <v>5900</v>
      </c>
      <c r="H2117" s="116"/>
      <c r="I2117" s="116"/>
      <c r="L2117" s="169">
        <v>45609</v>
      </c>
      <c r="M2117" s="116">
        <v>315.38333333333298</v>
      </c>
      <c r="N2117" s="116">
        <v>324.46666666666698</v>
      </c>
      <c r="O2117" s="116">
        <v>304.683333333333</v>
      </c>
      <c r="P2117" s="116">
        <v>316.05</v>
      </c>
      <c r="Q2117" s="116">
        <v>946.15</v>
      </c>
      <c r="R2117">
        <v>85307</v>
      </c>
    </row>
    <row r="2118" spans="1:18" x14ac:dyDescent="0.25">
      <c r="A2118" s="169">
        <v>45610</v>
      </c>
      <c r="B2118" s="116">
        <v>333.6</v>
      </c>
      <c r="C2118" s="116">
        <v>325.46666666666698</v>
      </c>
      <c r="D2118" s="116">
        <v>321.05</v>
      </c>
      <c r="E2118" s="116">
        <v>322.316666666667</v>
      </c>
      <c r="F2118" s="116">
        <v>976.4</v>
      </c>
      <c r="G2118">
        <v>14566</v>
      </c>
      <c r="H2118" s="116"/>
      <c r="I2118" s="116"/>
      <c r="L2118" s="169">
        <v>45610</v>
      </c>
      <c r="M2118" s="116">
        <v>325.51666666666699</v>
      </c>
      <c r="N2118" s="116">
        <v>333.33333333333297</v>
      </c>
      <c r="O2118" s="116">
        <v>319.01666666666699</v>
      </c>
      <c r="P2118" s="116">
        <v>320.11666666666702</v>
      </c>
      <c r="Q2118" s="116">
        <v>976.55</v>
      </c>
      <c r="R2118">
        <v>140538</v>
      </c>
    </row>
    <row r="2119" spans="1:18" x14ac:dyDescent="0.25">
      <c r="A2119" s="169">
        <v>45614</v>
      </c>
      <c r="B2119" s="116">
        <v>330.86666666666702</v>
      </c>
      <c r="C2119" s="116">
        <v>327.64999999999998</v>
      </c>
      <c r="D2119" s="116">
        <v>315.03333333333302</v>
      </c>
      <c r="E2119" s="116">
        <v>326.64999999999998</v>
      </c>
      <c r="F2119" s="116">
        <v>982.95</v>
      </c>
      <c r="G2119">
        <v>4992</v>
      </c>
      <c r="H2119" s="116"/>
      <c r="I2119" s="116"/>
      <c r="L2119" s="169">
        <v>45614</v>
      </c>
      <c r="M2119" s="116">
        <v>328.28333333333302</v>
      </c>
      <c r="N2119" s="116">
        <v>332.933333333333</v>
      </c>
      <c r="O2119" s="116">
        <v>314.64999999999998</v>
      </c>
      <c r="P2119" s="116">
        <v>325.683333333333</v>
      </c>
      <c r="Q2119" s="116">
        <v>984.85</v>
      </c>
      <c r="R2119">
        <v>69792</v>
      </c>
    </row>
    <row r="2120" spans="1:18" x14ac:dyDescent="0.25">
      <c r="A2120" s="169">
        <v>45615</v>
      </c>
      <c r="B2120" s="116">
        <v>333.28333333333302</v>
      </c>
      <c r="C2120" s="116">
        <v>321.566666666667</v>
      </c>
      <c r="D2120" s="116">
        <v>317.33333333333297</v>
      </c>
      <c r="E2120" s="116">
        <v>323.683333333333</v>
      </c>
      <c r="F2120" s="116">
        <v>964.7</v>
      </c>
      <c r="G2120">
        <v>2288</v>
      </c>
      <c r="H2120" s="116"/>
      <c r="I2120" s="116"/>
      <c r="L2120" s="169">
        <v>45615</v>
      </c>
      <c r="M2120" s="116">
        <v>321.05</v>
      </c>
      <c r="N2120" s="116">
        <v>333.3</v>
      </c>
      <c r="O2120" s="116">
        <v>317.183333333333</v>
      </c>
      <c r="P2120" s="116">
        <v>325.33333333333297</v>
      </c>
      <c r="Q2120" s="116">
        <v>963.15</v>
      </c>
      <c r="R2120">
        <v>67567</v>
      </c>
    </row>
    <row r="2121" spans="1:18" x14ac:dyDescent="0.25">
      <c r="A2121" s="169">
        <v>45617</v>
      </c>
      <c r="B2121" s="116">
        <v>330</v>
      </c>
      <c r="C2121" s="116">
        <v>323.45</v>
      </c>
      <c r="D2121" s="116">
        <v>315.16666666666703</v>
      </c>
      <c r="E2121" s="116">
        <v>315.16666666666703</v>
      </c>
      <c r="F2121" s="116">
        <v>970.35</v>
      </c>
      <c r="G2121">
        <v>7295</v>
      </c>
      <c r="H2121" s="116"/>
      <c r="I2121" s="116"/>
      <c r="L2121" s="169">
        <v>45617</v>
      </c>
      <c r="M2121" s="116">
        <v>323.23333333333301</v>
      </c>
      <c r="N2121" s="116">
        <v>330</v>
      </c>
      <c r="O2121" s="116">
        <v>316.23333333333301</v>
      </c>
      <c r="P2121" s="116">
        <v>316.23333333333301</v>
      </c>
      <c r="Q2121" s="116">
        <v>969.7</v>
      </c>
      <c r="R2121">
        <v>88818</v>
      </c>
    </row>
    <row r="2122" spans="1:18" x14ac:dyDescent="0.25">
      <c r="A2122" s="169">
        <v>45618</v>
      </c>
      <c r="B2122" s="116">
        <v>325.3</v>
      </c>
      <c r="C2122" s="116">
        <v>319.14999999999998</v>
      </c>
      <c r="D2122" s="116">
        <v>315.2</v>
      </c>
      <c r="E2122" s="116">
        <v>323.33333333333297</v>
      </c>
      <c r="F2122" s="116">
        <v>957.45</v>
      </c>
      <c r="G2122">
        <v>4596</v>
      </c>
      <c r="H2122" s="116"/>
      <c r="I2122" s="116"/>
      <c r="L2122" s="169">
        <v>45618</v>
      </c>
      <c r="M2122" s="116">
        <v>318.71666666666698</v>
      </c>
      <c r="N2122" s="116">
        <v>326.23333333333301</v>
      </c>
      <c r="O2122" s="116">
        <v>313.26666666666699</v>
      </c>
      <c r="P2122" s="116">
        <v>322.933333333333</v>
      </c>
      <c r="Q2122" s="116">
        <v>956.15</v>
      </c>
      <c r="R2122">
        <v>84870</v>
      </c>
    </row>
    <row r="2123" spans="1:18" x14ac:dyDescent="0.25">
      <c r="A2123" s="169">
        <v>45621</v>
      </c>
      <c r="B2123" s="116">
        <v>339.66666666666703</v>
      </c>
      <c r="C2123" s="116">
        <v>336</v>
      </c>
      <c r="D2123" s="116">
        <v>322.39999999999998</v>
      </c>
      <c r="E2123" s="116">
        <v>325.38333333333298</v>
      </c>
      <c r="F2123" s="116">
        <v>1008</v>
      </c>
      <c r="G2123">
        <v>15801</v>
      </c>
      <c r="H2123" s="116"/>
      <c r="I2123" s="116"/>
      <c r="L2123" s="169">
        <v>45621</v>
      </c>
      <c r="M2123" s="116">
        <v>335.85</v>
      </c>
      <c r="N2123" s="116">
        <v>340.08333333333297</v>
      </c>
      <c r="O2123" s="116">
        <v>321.683333333333</v>
      </c>
      <c r="P2123" s="116">
        <v>326.64999999999998</v>
      </c>
      <c r="Q2123" s="116">
        <v>1007.55</v>
      </c>
      <c r="R2123">
        <v>156008</v>
      </c>
    </row>
    <row r="2124" spans="1:18" x14ac:dyDescent="0.25">
      <c r="A2124" s="169">
        <v>45622</v>
      </c>
      <c r="B2124" s="116">
        <v>343.33333333333297</v>
      </c>
      <c r="C2124" s="116">
        <v>339.5</v>
      </c>
      <c r="D2124" s="116">
        <v>333.66666666666703</v>
      </c>
      <c r="E2124" s="116">
        <v>333.95</v>
      </c>
      <c r="F2124" s="116">
        <v>1018.5</v>
      </c>
      <c r="G2124">
        <v>9835</v>
      </c>
      <c r="H2124" s="116"/>
      <c r="I2124" s="116"/>
      <c r="L2124" s="169">
        <v>45622</v>
      </c>
      <c r="M2124" s="116">
        <v>340</v>
      </c>
      <c r="N2124" s="116">
        <v>343.63333333333298</v>
      </c>
      <c r="O2124" s="116">
        <v>335.15</v>
      </c>
      <c r="P2124" s="116">
        <v>335.6</v>
      </c>
      <c r="Q2124" s="116">
        <v>1020</v>
      </c>
      <c r="R2124">
        <v>96468</v>
      </c>
    </row>
    <row r="2125" spans="1:18" x14ac:dyDescent="0.25">
      <c r="A2125" s="169">
        <v>45623</v>
      </c>
      <c r="B2125" s="116">
        <v>343.65</v>
      </c>
      <c r="C2125" s="116">
        <v>333.316666666667</v>
      </c>
      <c r="D2125" s="116">
        <v>332.4</v>
      </c>
      <c r="E2125" s="116">
        <v>343.65</v>
      </c>
      <c r="F2125" s="116">
        <v>999.95</v>
      </c>
      <c r="G2125">
        <v>2166</v>
      </c>
      <c r="H2125" s="116"/>
      <c r="I2125" s="116"/>
      <c r="L2125" s="169">
        <v>45623</v>
      </c>
      <c r="M2125" s="116">
        <v>333.25</v>
      </c>
      <c r="N2125" s="116">
        <v>341.65</v>
      </c>
      <c r="O2125" s="116">
        <v>332.066666666667</v>
      </c>
      <c r="P2125" s="116">
        <v>340.316666666667</v>
      </c>
      <c r="Q2125" s="116">
        <v>999.75</v>
      </c>
      <c r="R2125">
        <v>42373</v>
      </c>
    </row>
    <row r="2126" spans="1:18" x14ac:dyDescent="0.25">
      <c r="A2126" s="169">
        <v>45624</v>
      </c>
      <c r="B2126" s="116">
        <v>335.933333333333</v>
      </c>
      <c r="C2126" s="116">
        <v>324.85000000000002</v>
      </c>
      <c r="D2126" s="116">
        <v>319.88333333333298</v>
      </c>
      <c r="E2126" s="116">
        <v>335.933333333333</v>
      </c>
      <c r="F2126" s="116">
        <v>974.55</v>
      </c>
      <c r="G2126">
        <v>11873</v>
      </c>
      <c r="H2126" s="116"/>
      <c r="I2126" s="116"/>
      <c r="L2126" s="169">
        <v>45624</v>
      </c>
      <c r="M2126" s="116">
        <v>325.83333333333297</v>
      </c>
      <c r="N2126" s="116">
        <v>335.6</v>
      </c>
      <c r="O2126" s="116">
        <v>319.75</v>
      </c>
      <c r="P2126" s="116">
        <v>334.23333333333301</v>
      </c>
      <c r="Q2126" s="116">
        <v>977.5</v>
      </c>
      <c r="R2126">
        <v>100591</v>
      </c>
    </row>
    <row r="2127" spans="1:18" x14ac:dyDescent="0.25">
      <c r="A2127" s="169">
        <v>45625</v>
      </c>
      <c r="B2127" s="116">
        <v>334.55</v>
      </c>
      <c r="C2127" s="116">
        <v>333.26666666666699</v>
      </c>
      <c r="D2127" s="116">
        <v>326.45</v>
      </c>
      <c r="E2127" s="116">
        <v>330</v>
      </c>
      <c r="F2127" s="116">
        <v>999.8</v>
      </c>
      <c r="G2127">
        <v>4952</v>
      </c>
      <c r="H2127" s="116"/>
      <c r="I2127" s="116"/>
      <c r="L2127" s="169">
        <v>45625</v>
      </c>
      <c r="M2127" s="116">
        <v>333.45</v>
      </c>
      <c r="N2127" s="116">
        <v>334.98333333333301</v>
      </c>
      <c r="O2127" s="116">
        <v>325.683333333333</v>
      </c>
      <c r="P2127" s="116">
        <v>331.88333333333298</v>
      </c>
      <c r="Q2127" s="116">
        <v>1000.35</v>
      </c>
      <c r="R2127">
        <v>46707</v>
      </c>
    </row>
    <row r="2128" spans="1:18" x14ac:dyDescent="0.25">
      <c r="A2128" s="169">
        <v>45628</v>
      </c>
      <c r="B2128" s="116">
        <v>347.65</v>
      </c>
      <c r="C2128" s="116">
        <v>345.63333333333298</v>
      </c>
      <c r="D2128" s="116">
        <v>326.816666666667</v>
      </c>
      <c r="E2128" s="116">
        <v>326.816666666667</v>
      </c>
      <c r="F2128" s="116">
        <v>1036.9000000000001</v>
      </c>
      <c r="G2128">
        <v>6629</v>
      </c>
      <c r="H2128" s="116"/>
      <c r="I2128" s="116"/>
      <c r="L2128" s="169">
        <v>45628</v>
      </c>
      <c r="M2128" s="116">
        <v>345.86666666666702</v>
      </c>
      <c r="N2128" s="116">
        <v>347.66666666666703</v>
      </c>
      <c r="O2128" s="116">
        <v>327.66666666666703</v>
      </c>
      <c r="P2128" s="116">
        <v>327.66666666666703</v>
      </c>
      <c r="Q2128" s="116">
        <v>1037.5999999999999</v>
      </c>
      <c r="R2128">
        <v>171370</v>
      </c>
    </row>
    <row r="2129" spans="1:18" x14ac:dyDescent="0.25">
      <c r="A2129" s="169">
        <v>45629</v>
      </c>
      <c r="B2129" s="116">
        <v>349.33333333333297</v>
      </c>
      <c r="C2129" s="116">
        <v>337.816666666667</v>
      </c>
      <c r="D2129" s="116">
        <v>335.01666666666699</v>
      </c>
      <c r="E2129" s="116">
        <v>341.7</v>
      </c>
      <c r="F2129" s="116">
        <v>1013.45</v>
      </c>
      <c r="G2129">
        <v>2356</v>
      </c>
      <c r="H2129" s="116"/>
      <c r="I2129" s="116"/>
      <c r="L2129" s="169">
        <v>45629</v>
      </c>
      <c r="M2129" s="116">
        <v>337.8</v>
      </c>
      <c r="N2129" s="116">
        <v>349.566666666667</v>
      </c>
      <c r="O2129" s="116">
        <v>335</v>
      </c>
      <c r="P2129" s="116">
        <v>348</v>
      </c>
      <c r="Q2129" s="116">
        <v>1013.4</v>
      </c>
      <c r="R2129">
        <v>64230</v>
      </c>
    </row>
    <row r="2130" spans="1:18" x14ac:dyDescent="0.25">
      <c r="A2130" s="169">
        <v>45630</v>
      </c>
      <c r="B2130" s="116">
        <v>350.21666666666698</v>
      </c>
      <c r="C2130" s="116">
        <v>339.91666666666703</v>
      </c>
      <c r="D2130" s="116">
        <v>336</v>
      </c>
      <c r="E2130" s="116">
        <v>341.66666666666703</v>
      </c>
      <c r="F2130" s="116">
        <v>1019.75</v>
      </c>
      <c r="G2130">
        <v>8114</v>
      </c>
      <c r="H2130" s="116"/>
      <c r="I2130" s="116"/>
      <c r="L2130" s="169">
        <v>45630</v>
      </c>
      <c r="M2130" s="116">
        <v>340.25</v>
      </c>
      <c r="N2130" s="116">
        <v>350.05</v>
      </c>
      <c r="O2130" s="116">
        <v>335.33333333333297</v>
      </c>
      <c r="P2130" s="116">
        <v>341.566666666667</v>
      </c>
      <c r="Q2130" s="116">
        <v>1020.75</v>
      </c>
      <c r="R2130">
        <v>62799</v>
      </c>
    </row>
    <row r="2131" spans="1:18" x14ac:dyDescent="0.25">
      <c r="A2131" s="169">
        <v>45631</v>
      </c>
      <c r="B2131" s="116">
        <v>346.66666666666703</v>
      </c>
      <c r="C2131" s="116">
        <v>337.1</v>
      </c>
      <c r="D2131" s="116">
        <v>335.53333333333302</v>
      </c>
      <c r="E2131" s="116">
        <v>343.33333333333297</v>
      </c>
      <c r="F2131" s="116">
        <v>1011.3</v>
      </c>
      <c r="G2131">
        <v>3829</v>
      </c>
      <c r="H2131" s="116"/>
      <c r="I2131" s="116"/>
      <c r="L2131" s="169">
        <v>45631</v>
      </c>
      <c r="M2131" s="116">
        <v>336.73333333333301</v>
      </c>
      <c r="N2131" s="116">
        <v>346.63333333333298</v>
      </c>
      <c r="O2131" s="116">
        <v>335</v>
      </c>
      <c r="P2131" s="116">
        <v>345</v>
      </c>
      <c r="Q2131" s="116">
        <v>1010.2</v>
      </c>
      <c r="R2131">
        <v>37992</v>
      </c>
    </row>
    <row r="2132" spans="1:18" x14ac:dyDescent="0.25">
      <c r="A2132" s="169">
        <v>45632</v>
      </c>
      <c r="B2132" s="116">
        <v>342.933333333333</v>
      </c>
      <c r="C2132" s="116">
        <v>339.48333333333301</v>
      </c>
      <c r="D2132" s="116">
        <v>335.33333333333297</v>
      </c>
      <c r="E2132" s="116">
        <v>337.1</v>
      </c>
      <c r="F2132" s="116">
        <v>1018.45</v>
      </c>
      <c r="G2132">
        <v>4012</v>
      </c>
      <c r="H2132" s="116"/>
      <c r="I2132" s="116"/>
      <c r="L2132" s="169">
        <v>45632</v>
      </c>
      <c r="M2132" s="116">
        <v>338.63333333333298</v>
      </c>
      <c r="N2132" s="116">
        <v>342.58333333333297</v>
      </c>
      <c r="O2132" s="116">
        <v>333.96666666666698</v>
      </c>
      <c r="P2132" s="116">
        <v>339.7</v>
      </c>
      <c r="Q2132" s="116">
        <v>1015.9</v>
      </c>
      <c r="R2132">
        <v>31790</v>
      </c>
    </row>
    <row r="2133" spans="1:18" x14ac:dyDescent="0.25">
      <c r="A2133" s="169">
        <v>45635</v>
      </c>
      <c r="B2133" s="116">
        <v>342.48333333333301</v>
      </c>
      <c r="C2133" s="116">
        <v>333.23333333333301</v>
      </c>
      <c r="D2133" s="116">
        <v>331.66666666666703</v>
      </c>
      <c r="E2133" s="116">
        <v>342.48333333333301</v>
      </c>
      <c r="F2133" s="116">
        <v>999.7</v>
      </c>
      <c r="G2133">
        <v>6742</v>
      </c>
      <c r="H2133" s="116"/>
      <c r="I2133" s="116"/>
      <c r="L2133" s="169">
        <v>45635</v>
      </c>
      <c r="M2133" s="116">
        <v>332.65</v>
      </c>
      <c r="N2133" s="116">
        <v>340</v>
      </c>
      <c r="O2133" s="116">
        <v>331.45</v>
      </c>
      <c r="P2133" s="116">
        <v>338.61666666666702</v>
      </c>
      <c r="Q2133" s="116">
        <v>997.95</v>
      </c>
      <c r="R2133">
        <v>25381</v>
      </c>
    </row>
    <row r="2134" spans="1:18" x14ac:dyDescent="0.25">
      <c r="A2134" s="169">
        <v>45636</v>
      </c>
      <c r="B2134" s="116">
        <v>343.2</v>
      </c>
      <c r="C2134" s="116">
        <v>336.96666666666698</v>
      </c>
      <c r="D2134" s="116">
        <v>332.51666666666699</v>
      </c>
      <c r="E2134" s="116">
        <v>338.98333333333301</v>
      </c>
      <c r="F2134" s="116">
        <v>1010.9</v>
      </c>
      <c r="G2134">
        <v>3149</v>
      </c>
      <c r="H2134" s="116"/>
      <c r="I2134" s="116"/>
      <c r="L2134" s="169">
        <v>45636</v>
      </c>
      <c r="M2134" s="116">
        <v>337.66666666666703</v>
      </c>
      <c r="N2134" s="116">
        <v>343.316666666667</v>
      </c>
      <c r="O2134" s="116">
        <v>333</v>
      </c>
      <c r="P2134" s="116">
        <v>333.33333333333297</v>
      </c>
      <c r="Q2134" s="116">
        <v>1013</v>
      </c>
      <c r="R2134">
        <v>31120</v>
      </c>
    </row>
    <row r="2135" spans="1:18" x14ac:dyDescent="0.25">
      <c r="A2135" s="169">
        <v>45637</v>
      </c>
      <c r="B2135" s="116">
        <v>338.6</v>
      </c>
      <c r="C2135" s="116">
        <v>335.1</v>
      </c>
      <c r="D2135" s="116">
        <v>333.88333333333298</v>
      </c>
      <c r="E2135" s="116">
        <v>337.66666666666703</v>
      </c>
      <c r="F2135" s="116">
        <v>1005.3</v>
      </c>
      <c r="G2135">
        <v>2614</v>
      </c>
      <c r="H2135" s="116"/>
      <c r="I2135" s="116"/>
      <c r="L2135" s="169">
        <v>45637</v>
      </c>
      <c r="M2135" s="116">
        <v>335.1</v>
      </c>
      <c r="N2135" s="116">
        <v>340.183333333333</v>
      </c>
      <c r="O2135" s="116">
        <v>333.683333333333</v>
      </c>
      <c r="P2135" s="116">
        <v>340.183333333333</v>
      </c>
      <c r="Q2135" s="116">
        <v>1005.3</v>
      </c>
      <c r="R2135">
        <v>26933</v>
      </c>
    </row>
    <row r="2136" spans="1:18" x14ac:dyDescent="0.25">
      <c r="A2136" s="169">
        <v>45638</v>
      </c>
      <c r="B2136" s="116">
        <v>337.316666666667</v>
      </c>
      <c r="C2136" s="116">
        <v>329.9</v>
      </c>
      <c r="D2136" s="116">
        <v>328.66666666666703</v>
      </c>
      <c r="E2136" s="116">
        <v>335.08333333333297</v>
      </c>
      <c r="F2136" s="116">
        <v>989.7</v>
      </c>
      <c r="G2136">
        <v>2826</v>
      </c>
      <c r="H2136" s="116"/>
      <c r="I2136" s="116"/>
      <c r="L2136" s="169">
        <v>45638</v>
      </c>
      <c r="M2136" s="116">
        <v>330.51666666666699</v>
      </c>
      <c r="N2136" s="116">
        <v>337.183333333333</v>
      </c>
      <c r="O2136" s="116">
        <v>329.66666666666703</v>
      </c>
      <c r="P2136" s="116">
        <v>332.1</v>
      </c>
      <c r="Q2136" s="116">
        <v>991.55</v>
      </c>
      <c r="R2136">
        <v>18932</v>
      </c>
    </row>
    <row r="2137" spans="1:18" x14ac:dyDescent="0.25">
      <c r="A2137" s="169">
        <v>45639</v>
      </c>
      <c r="B2137" s="116">
        <v>329.33333333333297</v>
      </c>
      <c r="C2137" s="116">
        <v>318.86666666666702</v>
      </c>
      <c r="D2137" s="116">
        <v>315.566666666667</v>
      </c>
      <c r="E2137" s="116">
        <v>328.6</v>
      </c>
      <c r="F2137" s="116">
        <v>956.6</v>
      </c>
      <c r="G2137">
        <v>5765</v>
      </c>
      <c r="H2137" s="116"/>
      <c r="I2137" s="116"/>
      <c r="L2137" s="169">
        <v>45639</v>
      </c>
      <c r="M2137" s="116">
        <v>320.13333333333298</v>
      </c>
      <c r="N2137" s="116">
        <v>329.35</v>
      </c>
      <c r="O2137" s="116">
        <v>315.08333333333297</v>
      </c>
      <c r="P2137" s="116">
        <v>329.33333333333297</v>
      </c>
      <c r="Q2137" s="116">
        <v>960.4</v>
      </c>
      <c r="R2137">
        <v>69087</v>
      </c>
    </row>
    <row r="2138" spans="1:18" x14ac:dyDescent="0.25">
      <c r="A2138" s="169">
        <v>45642</v>
      </c>
      <c r="B2138" s="116">
        <v>331.9</v>
      </c>
      <c r="C2138" s="116">
        <v>328.65</v>
      </c>
      <c r="D2138" s="116">
        <v>320</v>
      </c>
      <c r="E2138" s="116">
        <v>320</v>
      </c>
      <c r="F2138" s="116">
        <v>985.95</v>
      </c>
      <c r="G2138">
        <v>1796</v>
      </c>
      <c r="H2138" s="116"/>
      <c r="I2138" s="116"/>
      <c r="L2138" s="169">
        <v>45642</v>
      </c>
      <c r="M2138" s="116">
        <v>328.4</v>
      </c>
      <c r="N2138" s="116">
        <v>332.33333333333297</v>
      </c>
      <c r="O2138" s="116">
        <v>320.88333333333298</v>
      </c>
      <c r="P2138" s="116">
        <v>322.7</v>
      </c>
      <c r="Q2138" s="116">
        <v>985.2</v>
      </c>
      <c r="R2138">
        <v>51723</v>
      </c>
    </row>
    <row r="2139" spans="1:18" x14ac:dyDescent="0.25">
      <c r="A2139" s="169">
        <v>45643</v>
      </c>
      <c r="B2139" s="116">
        <v>335.71666666666698</v>
      </c>
      <c r="C2139" s="116">
        <v>331.08333333333297</v>
      </c>
      <c r="D2139" s="116">
        <v>326.66666666666703</v>
      </c>
      <c r="E2139" s="116">
        <v>327.86666666666702</v>
      </c>
      <c r="F2139" s="116">
        <v>993.25</v>
      </c>
      <c r="G2139">
        <v>4840</v>
      </c>
      <c r="H2139" s="116"/>
      <c r="I2139" s="116"/>
      <c r="L2139" s="169">
        <v>45643</v>
      </c>
      <c r="M2139" s="116">
        <v>331.11666666666702</v>
      </c>
      <c r="N2139" s="116">
        <v>336.66666666666703</v>
      </c>
      <c r="O2139" s="116">
        <v>325.38333333333298</v>
      </c>
      <c r="P2139" s="116">
        <v>325.39999999999998</v>
      </c>
      <c r="Q2139" s="116">
        <v>993.35</v>
      </c>
      <c r="R2139">
        <v>42825</v>
      </c>
    </row>
    <row r="2140" spans="1:18" x14ac:dyDescent="0.25">
      <c r="A2140" s="169">
        <v>45644</v>
      </c>
      <c r="B2140" s="116">
        <v>335.46666666666698</v>
      </c>
      <c r="C2140" s="116">
        <v>330.9</v>
      </c>
      <c r="D2140" s="116">
        <v>326.96666666666698</v>
      </c>
      <c r="E2140" s="116">
        <v>332.61666666666702</v>
      </c>
      <c r="F2140" s="116">
        <v>992.7</v>
      </c>
      <c r="G2140">
        <v>1514</v>
      </c>
      <c r="H2140" s="116"/>
      <c r="I2140" s="116"/>
      <c r="L2140" s="169">
        <v>45644</v>
      </c>
      <c r="M2140" s="116">
        <v>331.41666666666703</v>
      </c>
      <c r="N2140" s="116">
        <v>335.78333333333302</v>
      </c>
      <c r="O2140" s="116">
        <v>326.73333333333301</v>
      </c>
      <c r="P2140" s="116">
        <v>333.96666666666698</v>
      </c>
      <c r="Q2140" s="116">
        <v>994.25</v>
      </c>
      <c r="R2140">
        <v>36886</v>
      </c>
    </row>
    <row r="2141" spans="1:18" x14ac:dyDescent="0.25">
      <c r="A2141" s="169">
        <v>45645</v>
      </c>
      <c r="B2141" s="116">
        <v>333.35</v>
      </c>
      <c r="C2141" s="116">
        <v>324.51666666666699</v>
      </c>
      <c r="D2141" s="116">
        <v>316.86666666666702</v>
      </c>
      <c r="E2141" s="116">
        <v>316.86666666666702</v>
      </c>
      <c r="F2141" s="116">
        <v>973.55</v>
      </c>
      <c r="G2141">
        <v>2228</v>
      </c>
      <c r="H2141" s="116"/>
      <c r="I2141" s="116"/>
      <c r="L2141" s="169">
        <v>45645</v>
      </c>
      <c r="M2141" s="116">
        <v>324.08333333333297</v>
      </c>
      <c r="N2141" s="116">
        <v>334.66666666666703</v>
      </c>
      <c r="O2141" s="116">
        <v>320.66666666666703</v>
      </c>
      <c r="P2141" s="116">
        <v>320.66666666666703</v>
      </c>
      <c r="Q2141" s="116">
        <v>972.25</v>
      </c>
      <c r="R2141">
        <v>55695</v>
      </c>
    </row>
    <row r="2142" spans="1:18" x14ac:dyDescent="0.25">
      <c r="A2142" s="169">
        <v>45646</v>
      </c>
      <c r="B2142" s="116">
        <v>329.96666666666698</v>
      </c>
      <c r="C2142" s="116">
        <v>316.25</v>
      </c>
      <c r="D2142" s="116">
        <v>315.23333333333301</v>
      </c>
      <c r="E2142" s="116">
        <v>324.51666666666699</v>
      </c>
      <c r="F2142" s="116">
        <v>948.75</v>
      </c>
      <c r="G2142">
        <v>4670</v>
      </c>
      <c r="H2142" s="116"/>
      <c r="I2142" s="116"/>
      <c r="L2142" s="169">
        <v>45646</v>
      </c>
      <c r="M2142" s="116">
        <v>316.76666666666699</v>
      </c>
      <c r="N2142" s="116">
        <v>331.25</v>
      </c>
      <c r="O2142" s="116">
        <v>314.41666666666703</v>
      </c>
      <c r="P2142" s="116">
        <v>327.45</v>
      </c>
      <c r="Q2142" s="116">
        <v>950.3</v>
      </c>
      <c r="R2142">
        <v>30380</v>
      </c>
    </row>
    <row r="2143" spans="1:18" x14ac:dyDescent="0.25">
      <c r="A2143" s="169">
        <v>45649</v>
      </c>
      <c r="B2143" s="116">
        <v>318.38333333333298</v>
      </c>
      <c r="C2143" s="116">
        <v>316.28333333333302</v>
      </c>
      <c r="D2143" s="116">
        <v>311.53333333333302</v>
      </c>
      <c r="E2143" s="116">
        <v>316.45</v>
      </c>
      <c r="F2143" s="116">
        <v>948.85</v>
      </c>
      <c r="G2143">
        <v>1749</v>
      </c>
      <c r="H2143" s="116"/>
      <c r="I2143" s="116"/>
      <c r="L2143" s="169">
        <v>45649</v>
      </c>
      <c r="M2143" s="116">
        <v>316.433333333333</v>
      </c>
      <c r="N2143" s="116">
        <v>319.28333333333302</v>
      </c>
      <c r="O2143" s="116">
        <v>309.75</v>
      </c>
      <c r="P2143" s="116">
        <v>316.76666666666699</v>
      </c>
      <c r="Q2143" s="116">
        <v>949.3</v>
      </c>
      <c r="R2143">
        <v>30024</v>
      </c>
    </row>
    <row r="2144" spans="1:18" x14ac:dyDescent="0.25">
      <c r="A2144" s="169">
        <v>45650</v>
      </c>
      <c r="B2144" s="116">
        <v>317.85000000000002</v>
      </c>
      <c r="C2144" s="116">
        <v>308.3</v>
      </c>
      <c r="D2144" s="116">
        <v>306.71666666666698</v>
      </c>
      <c r="E2144" s="116">
        <v>312.78333333333302</v>
      </c>
      <c r="F2144" s="116">
        <v>924.9</v>
      </c>
      <c r="G2144">
        <v>674</v>
      </c>
      <c r="H2144" s="116"/>
      <c r="I2144" s="116"/>
      <c r="L2144" s="169">
        <v>45650</v>
      </c>
      <c r="M2144" s="116">
        <v>308.33333333333297</v>
      </c>
      <c r="N2144" s="116">
        <v>317.933333333333</v>
      </c>
      <c r="O2144" s="116">
        <v>306.66666666666703</v>
      </c>
      <c r="P2144" s="116">
        <v>313.7</v>
      </c>
      <c r="Q2144" s="116">
        <v>925</v>
      </c>
      <c r="R2144">
        <v>18996</v>
      </c>
    </row>
    <row r="2145" spans="1:18" x14ac:dyDescent="0.25">
      <c r="A2145" s="169">
        <v>45652</v>
      </c>
      <c r="B2145" s="116">
        <v>310.28333333333302</v>
      </c>
      <c r="C2145" s="116">
        <v>305.64999999999998</v>
      </c>
      <c r="D2145" s="116">
        <v>299.98333333333301</v>
      </c>
      <c r="E2145" s="116">
        <v>305.03333333333302</v>
      </c>
      <c r="F2145" s="116">
        <v>916.95</v>
      </c>
      <c r="G2145">
        <v>1315</v>
      </c>
      <c r="H2145" s="116"/>
      <c r="I2145" s="116"/>
      <c r="L2145" s="169">
        <v>45652</v>
      </c>
      <c r="M2145" s="116">
        <v>305.85000000000002</v>
      </c>
      <c r="N2145" s="116">
        <v>311.08333333333297</v>
      </c>
      <c r="O2145" s="116">
        <v>300</v>
      </c>
      <c r="P2145" s="116">
        <v>308.35000000000002</v>
      </c>
      <c r="Q2145" s="116">
        <v>917.55</v>
      </c>
      <c r="R2145">
        <v>29966</v>
      </c>
    </row>
    <row r="2146" spans="1:18" x14ac:dyDescent="0.25">
      <c r="A2146" s="169">
        <v>45653</v>
      </c>
      <c r="B2146" s="116">
        <v>311.51666666666699</v>
      </c>
      <c r="C2146" s="116">
        <v>308.85000000000002</v>
      </c>
      <c r="D2146" s="116">
        <v>306.683333333333</v>
      </c>
      <c r="E2146" s="116">
        <v>308.46666666666698</v>
      </c>
      <c r="F2146" s="116">
        <v>926.55</v>
      </c>
      <c r="G2146">
        <v>889</v>
      </c>
      <c r="H2146" s="116"/>
      <c r="I2146" s="116"/>
      <c r="L2146" s="169">
        <v>45653</v>
      </c>
      <c r="M2146" s="116">
        <v>308.60000000000002</v>
      </c>
      <c r="N2146" s="116">
        <v>310.933333333333</v>
      </c>
      <c r="O2146" s="116">
        <v>306.53333333333302</v>
      </c>
      <c r="P2146" s="116">
        <v>307.46666666666698</v>
      </c>
      <c r="Q2146" s="116">
        <v>925.8</v>
      </c>
      <c r="R2146">
        <v>15056</v>
      </c>
    </row>
    <row r="2147" spans="1:18" x14ac:dyDescent="0.25">
      <c r="A2147" s="169">
        <v>45656</v>
      </c>
      <c r="B2147" s="116">
        <v>307.66666666666703</v>
      </c>
      <c r="C2147" s="116">
        <v>301.89999999999998</v>
      </c>
      <c r="D2147" s="116">
        <v>299.66666666666703</v>
      </c>
      <c r="E2147" s="116">
        <v>306.64999999999998</v>
      </c>
      <c r="F2147" s="116">
        <v>905.7</v>
      </c>
      <c r="G2147">
        <v>9312</v>
      </c>
      <c r="H2147" s="116"/>
      <c r="I2147" s="116"/>
      <c r="L2147" s="169">
        <v>45656</v>
      </c>
      <c r="M2147" s="116">
        <v>302.21666666666698</v>
      </c>
      <c r="N2147" s="116">
        <v>308.58333333333297</v>
      </c>
      <c r="O2147" s="116">
        <v>299.01666666666699</v>
      </c>
      <c r="P2147" s="116">
        <v>306.01666666666699</v>
      </c>
      <c r="Q2147" s="116">
        <v>906.65</v>
      </c>
      <c r="R2147">
        <v>27512</v>
      </c>
    </row>
    <row r="2148" spans="1:18" x14ac:dyDescent="0.25">
      <c r="A2148" s="169">
        <v>45657</v>
      </c>
      <c r="B2148" s="116">
        <v>305.38333333333298</v>
      </c>
      <c r="C2148" s="116">
        <v>304.83333333333297</v>
      </c>
      <c r="D2148" s="116">
        <v>296.183333333333</v>
      </c>
      <c r="E2148" s="116">
        <v>296.183333333333</v>
      </c>
      <c r="F2148" s="116">
        <v>914.5</v>
      </c>
      <c r="G2148">
        <v>616</v>
      </c>
      <c r="H2148" s="116"/>
      <c r="I2148" s="116"/>
      <c r="L2148" s="169">
        <v>45657</v>
      </c>
      <c r="M2148" s="116">
        <v>303.933333333333</v>
      </c>
      <c r="N2148" s="116">
        <v>306.05</v>
      </c>
      <c r="O2148" s="116">
        <v>299.46666666666698</v>
      </c>
      <c r="P2148" s="116">
        <v>300.76666666666699</v>
      </c>
      <c r="Q2148" s="116">
        <v>911.8</v>
      </c>
      <c r="R2148">
        <v>9533</v>
      </c>
    </row>
    <row r="2149" spans="1:18" x14ac:dyDescent="0.25">
      <c r="A2149" s="169">
        <v>45658</v>
      </c>
      <c r="B2149" s="116">
        <v>308.7</v>
      </c>
      <c r="C2149" s="116">
        <v>307.36666666666702</v>
      </c>
      <c r="D2149" s="116">
        <v>303.683333333333</v>
      </c>
      <c r="E2149" s="116">
        <v>304.83333333333297</v>
      </c>
      <c r="F2149" s="116">
        <v>922.1</v>
      </c>
      <c r="G2149">
        <v>1304</v>
      </c>
      <c r="H2149" s="116"/>
      <c r="I2149" s="116"/>
      <c r="L2149" s="169">
        <v>45658</v>
      </c>
      <c r="M2149" s="116">
        <v>307.28333333333302</v>
      </c>
      <c r="N2149" s="116">
        <v>310.683333333333</v>
      </c>
      <c r="O2149" s="116">
        <v>303.33333333333297</v>
      </c>
      <c r="P2149" s="116">
        <v>305.33333333333297</v>
      </c>
      <c r="Q2149" s="116">
        <v>921.85</v>
      </c>
      <c r="R2149">
        <v>10832</v>
      </c>
    </row>
    <row r="2150" spans="1:18" x14ac:dyDescent="0.25">
      <c r="A2150" s="169">
        <v>45659</v>
      </c>
      <c r="B2150" s="116">
        <v>307.71666666666698</v>
      </c>
      <c r="C2150" s="116">
        <v>302.55</v>
      </c>
      <c r="D2150" s="116">
        <v>301.83333333333297</v>
      </c>
      <c r="E2150" s="116">
        <v>306.76666666666699</v>
      </c>
      <c r="F2150" s="116">
        <v>907.65</v>
      </c>
      <c r="G2150">
        <v>2345</v>
      </c>
      <c r="H2150" s="116"/>
      <c r="I2150" s="116"/>
      <c r="L2150" s="169">
        <v>45659</v>
      </c>
      <c r="M2150" s="116">
        <v>302.89999999999998</v>
      </c>
      <c r="N2150" s="116">
        <v>308.53333333333302</v>
      </c>
      <c r="O2150" s="116">
        <v>301.35000000000002</v>
      </c>
      <c r="P2150" s="116">
        <v>304.683333333333</v>
      </c>
      <c r="Q2150" s="116">
        <v>908.7</v>
      </c>
      <c r="R2150">
        <v>47446</v>
      </c>
    </row>
    <row r="2151" spans="1:18" x14ac:dyDescent="0.25">
      <c r="A2151" s="169">
        <v>45660</v>
      </c>
      <c r="B2151" s="116">
        <v>308.23333333333301</v>
      </c>
      <c r="C2151" s="116">
        <v>304.433333333333</v>
      </c>
      <c r="D2151" s="116">
        <v>302.89999999999998</v>
      </c>
      <c r="E2151" s="116">
        <v>306.64999999999998</v>
      </c>
      <c r="F2151" s="116">
        <v>913.3</v>
      </c>
      <c r="G2151">
        <v>1761</v>
      </c>
      <c r="H2151" s="116"/>
      <c r="I2151" s="116"/>
      <c r="L2151" s="169">
        <v>45660</v>
      </c>
      <c r="M2151" s="116">
        <v>304.85000000000002</v>
      </c>
      <c r="N2151" s="116">
        <v>310</v>
      </c>
      <c r="O2151" s="116">
        <v>301.35000000000002</v>
      </c>
      <c r="P2151" s="116">
        <v>304.5</v>
      </c>
      <c r="Q2151" s="116">
        <v>914.55</v>
      </c>
      <c r="R2151">
        <v>20007</v>
      </c>
    </row>
    <row r="2152" spans="1:18" x14ac:dyDescent="0.25">
      <c r="A2152" s="169">
        <v>45663</v>
      </c>
      <c r="B2152" s="116">
        <v>351.01666666666699</v>
      </c>
      <c r="C2152" s="116">
        <v>339.3</v>
      </c>
      <c r="D2152" s="116">
        <v>304.35000000000002</v>
      </c>
      <c r="E2152" s="116">
        <v>304.35000000000002</v>
      </c>
      <c r="F2152" s="116">
        <v>1017.9</v>
      </c>
      <c r="G2152">
        <v>29849</v>
      </c>
      <c r="H2152" s="116"/>
      <c r="I2152" s="116"/>
      <c r="L2152" s="169">
        <v>45663</v>
      </c>
      <c r="M2152" s="116">
        <v>339.3</v>
      </c>
      <c r="N2152" s="116">
        <v>351.66666666666703</v>
      </c>
      <c r="O2152" s="116">
        <v>302.66666666666703</v>
      </c>
      <c r="P2152" s="116">
        <v>306.89999999999998</v>
      </c>
      <c r="Q2152" s="116">
        <v>1017.9</v>
      </c>
      <c r="R2152">
        <v>907142</v>
      </c>
    </row>
    <row r="2153" spans="1:18" x14ac:dyDescent="0.25">
      <c r="A2153" s="169">
        <v>45664</v>
      </c>
      <c r="B2153" s="116">
        <v>338.35</v>
      </c>
      <c r="C2153" s="116">
        <v>316.683333333333</v>
      </c>
      <c r="D2153" s="116">
        <v>313.33333333333297</v>
      </c>
      <c r="E2153" s="116">
        <v>338.35</v>
      </c>
      <c r="F2153" s="116">
        <v>950.05</v>
      </c>
      <c r="G2153">
        <v>26485</v>
      </c>
      <c r="H2153" s="116"/>
      <c r="I2153" s="116"/>
      <c r="L2153" s="169">
        <v>45664</v>
      </c>
      <c r="M2153" s="116">
        <v>317.33333333333297</v>
      </c>
      <c r="N2153" s="116">
        <v>338.61666666666702</v>
      </c>
      <c r="O2153" s="116">
        <v>313.33333333333297</v>
      </c>
      <c r="P2153" s="116">
        <v>338.61666666666702</v>
      </c>
      <c r="Q2153" s="116">
        <v>952</v>
      </c>
      <c r="R2153">
        <v>257357</v>
      </c>
    </row>
    <row r="2154" spans="1:18" x14ac:dyDescent="0.25">
      <c r="A2154" s="169">
        <v>45665</v>
      </c>
      <c r="B2154" s="116">
        <v>320.66666666666703</v>
      </c>
      <c r="C2154" s="116">
        <v>311.66666666666703</v>
      </c>
      <c r="D2154" s="116">
        <v>303.01666666666699</v>
      </c>
      <c r="E2154" s="116">
        <v>303.01666666666699</v>
      </c>
      <c r="F2154" s="116">
        <v>935</v>
      </c>
      <c r="G2154">
        <v>3510</v>
      </c>
      <c r="H2154" s="116"/>
      <c r="I2154" s="116"/>
      <c r="L2154" s="169">
        <v>45665</v>
      </c>
      <c r="M2154" s="116">
        <v>311.933333333333</v>
      </c>
      <c r="N2154" s="116">
        <v>321.66666666666703</v>
      </c>
      <c r="O2154" s="116">
        <v>307.11666666666702</v>
      </c>
      <c r="P2154" s="116">
        <v>318.33333333333297</v>
      </c>
      <c r="Q2154" s="116">
        <v>935.8</v>
      </c>
      <c r="R2154">
        <v>114821</v>
      </c>
    </row>
    <row r="2155" spans="1:18" x14ac:dyDescent="0.25">
      <c r="A2155" s="169">
        <v>45666</v>
      </c>
      <c r="B2155" s="116">
        <v>312.91666666666703</v>
      </c>
      <c r="C2155" s="116">
        <v>305.28333333333302</v>
      </c>
      <c r="D2155" s="116">
        <v>302.8</v>
      </c>
      <c r="E2155" s="116">
        <v>311.683333333333</v>
      </c>
      <c r="F2155" s="116">
        <v>915.85</v>
      </c>
      <c r="G2155">
        <v>1025</v>
      </c>
      <c r="H2155" s="116"/>
      <c r="I2155" s="116"/>
      <c r="L2155" s="169">
        <v>45666</v>
      </c>
      <c r="M2155" s="116">
        <v>304.8</v>
      </c>
      <c r="N2155" s="116">
        <v>313.91666666666703</v>
      </c>
      <c r="O2155" s="116">
        <v>301.73333333333301</v>
      </c>
      <c r="P2155" s="116">
        <v>312.98333333333301</v>
      </c>
      <c r="Q2155" s="116">
        <v>914.4</v>
      </c>
      <c r="R2155">
        <v>45041</v>
      </c>
    </row>
    <row r="2156" spans="1:18" x14ac:dyDescent="0.25">
      <c r="A2156" s="169">
        <v>45667</v>
      </c>
      <c r="B2156" s="116">
        <v>305.16666666666703</v>
      </c>
      <c r="C2156" s="116">
        <v>287.25</v>
      </c>
      <c r="D2156" s="116">
        <v>285.5</v>
      </c>
      <c r="E2156" s="116">
        <v>298.76666666666699</v>
      </c>
      <c r="F2156" s="116">
        <v>861.75</v>
      </c>
      <c r="G2156">
        <v>11990</v>
      </c>
      <c r="H2156" s="116"/>
      <c r="I2156" s="116"/>
      <c r="L2156" s="169">
        <v>45667</v>
      </c>
      <c r="M2156" s="116">
        <v>287.64999999999998</v>
      </c>
      <c r="N2156" s="116">
        <v>305.66666666666703</v>
      </c>
      <c r="O2156" s="116">
        <v>285.33333333333297</v>
      </c>
      <c r="P2156" s="116">
        <v>305.64999999999998</v>
      </c>
      <c r="Q2156" s="116">
        <v>862.95</v>
      </c>
      <c r="R2156">
        <v>86755</v>
      </c>
    </row>
    <row r="2157" spans="1:18" x14ac:dyDescent="0.25">
      <c r="A2157" s="169">
        <v>45670</v>
      </c>
      <c r="B2157" s="116">
        <v>288.816666666667</v>
      </c>
      <c r="C2157" s="116">
        <v>274.48333333333301</v>
      </c>
      <c r="D2157" s="116">
        <v>272.38333333333298</v>
      </c>
      <c r="E2157" s="116">
        <v>283.33333333333297</v>
      </c>
      <c r="F2157" s="116">
        <v>823.45</v>
      </c>
      <c r="G2157">
        <v>2216</v>
      </c>
      <c r="H2157" s="116"/>
      <c r="I2157" s="116"/>
      <c r="L2157" s="169">
        <v>45670</v>
      </c>
      <c r="M2157" s="116">
        <v>274.566666666667</v>
      </c>
      <c r="N2157" s="116">
        <v>289.2</v>
      </c>
      <c r="O2157" s="116">
        <v>271.83333333333297</v>
      </c>
      <c r="P2157" s="116">
        <v>285.03333333333302</v>
      </c>
      <c r="Q2157" s="116">
        <v>823.7</v>
      </c>
      <c r="R2157">
        <v>49131</v>
      </c>
    </row>
    <row r="2158" spans="1:18" x14ac:dyDescent="0.25">
      <c r="A2158" s="169">
        <v>45671</v>
      </c>
      <c r="B2158" s="116">
        <v>284.35000000000002</v>
      </c>
      <c r="C2158" s="116">
        <v>275.10000000000002</v>
      </c>
      <c r="D2158" s="116">
        <v>273.33333333333297</v>
      </c>
      <c r="E2158" s="116">
        <v>274.566666666667</v>
      </c>
      <c r="F2158" s="116">
        <v>825.3</v>
      </c>
      <c r="G2158">
        <v>1384</v>
      </c>
      <c r="H2158" s="116"/>
      <c r="I2158" s="116"/>
      <c r="L2158" s="169">
        <v>45671</v>
      </c>
      <c r="M2158" s="116">
        <v>275.21666666666698</v>
      </c>
      <c r="N2158" s="116">
        <v>288.33333333333297</v>
      </c>
      <c r="O2158" s="116">
        <v>272.26666666666699</v>
      </c>
      <c r="P2158" s="116">
        <v>281.683333333333</v>
      </c>
      <c r="Q2158" s="116">
        <v>825.65</v>
      </c>
      <c r="R2158">
        <v>64673</v>
      </c>
    </row>
    <row r="2159" spans="1:18" x14ac:dyDescent="0.25">
      <c r="A2159" s="169">
        <v>45672</v>
      </c>
      <c r="B2159" s="116">
        <v>278.73333333333301</v>
      </c>
      <c r="C2159" s="116">
        <v>275.96666666666698</v>
      </c>
      <c r="D2159" s="116">
        <v>273.08333333333297</v>
      </c>
      <c r="E2159" s="116">
        <v>277.21666666666698</v>
      </c>
      <c r="F2159" s="116">
        <v>827.9</v>
      </c>
      <c r="G2159">
        <v>1012</v>
      </c>
      <c r="H2159" s="116"/>
      <c r="I2159" s="116"/>
      <c r="L2159" s="169">
        <v>45672</v>
      </c>
      <c r="M2159" s="116">
        <v>275.35000000000002</v>
      </c>
      <c r="N2159" s="116">
        <v>279.2</v>
      </c>
      <c r="O2159" s="116">
        <v>272.41666666666703</v>
      </c>
      <c r="P2159" s="116">
        <v>276.66666666666703</v>
      </c>
      <c r="Q2159" s="116">
        <v>826.05</v>
      </c>
      <c r="R2159">
        <v>24783</v>
      </c>
    </row>
    <row r="2160" spans="1:18" x14ac:dyDescent="0.25">
      <c r="A2160" s="169">
        <v>45673</v>
      </c>
      <c r="B2160" s="116">
        <v>279.96666666666698</v>
      </c>
      <c r="C2160" s="116">
        <v>271.35000000000002</v>
      </c>
      <c r="D2160" s="116">
        <v>270.66666666666703</v>
      </c>
      <c r="E2160" s="116">
        <v>278.5</v>
      </c>
      <c r="F2160" s="116">
        <v>814.05</v>
      </c>
      <c r="G2160">
        <v>5002</v>
      </c>
      <c r="H2160" s="116"/>
      <c r="I2160" s="116"/>
      <c r="L2160" s="169">
        <v>45673</v>
      </c>
      <c r="M2160" s="116">
        <v>271.46666666666698</v>
      </c>
      <c r="N2160" s="116">
        <v>282.66666666666703</v>
      </c>
      <c r="O2160" s="116">
        <v>270.66666666666703</v>
      </c>
      <c r="P2160" s="116">
        <v>277.05</v>
      </c>
      <c r="Q2160" s="116">
        <v>814.4</v>
      </c>
      <c r="R2160">
        <v>27964</v>
      </c>
    </row>
    <row r="2161" spans="1:18" x14ac:dyDescent="0.25">
      <c r="A2161" s="169">
        <v>45674</v>
      </c>
      <c r="B2161" s="116">
        <v>292.51666666666699</v>
      </c>
      <c r="C2161" s="116">
        <v>283.933333333333</v>
      </c>
      <c r="D2161" s="116">
        <v>268.5</v>
      </c>
      <c r="E2161" s="116">
        <v>271.36666666666702</v>
      </c>
      <c r="F2161" s="116">
        <v>851.8</v>
      </c>
      <c r="G2161">
        <v>4378</v>
      </c>
      <c r="H2161" s="116"/>
      <c r="I2161" s="116"/>
      <c r="L2161" s="169">
        <v>45674</v>
      </c>
      <c r="M2161" s="116">
        <v>283.86666666666702</v>
      </c>
      <c r="N2161" s="116">
        <v>293</v>
      </c>
      <c r="O2161" s="116">
        <v>268.38333333333298</v>
      </c>
      <c r="P2161" s="116">
        <v>271.683333333333</v>
      </c>
      <c r="Q2161" s="116">
        <v>851.6</v>
      </c>
      <c r="R2161">
        <v>99981</v>
      </c>
    </row>
    <row r="2162" spans="1:18" x14ac:dyDescent="0.25">
      <c r="A2162" s="169">
        <v>45677</v>
      </c>
      <c r="B2162" s="116">
        <v>289.66666666666703</v>
      </c>
      <c r="C2162" s="116">
        <v>279.316666666667</v>
      </c>
      <c r="D2162" s="116">
        <v>275.91666666666703</v>
      </c>
      <c r="E2162" s="116">
        <v>289.66666666666703</v>
      </c>
      <c r="F2162" s="116">
        <v>837.95</v>
      </c>
      <c r="G2162">
        <v>3006</v>
      </c>
      <c r="H2162" s="116"/>
      <c r="I2162" s="116"/>
      <c r="L2162" s="169">
        <v>45677</v>
      </c>
      <c r="M2162" s="116">
        <v>279.75</v>
      </c>
      <c r="N2162" s="116">
        <v>290</v>
      </c>
      <c r="O2162" s="116">
        <v>276.16666666666703</v>
      </c>
      <c r="P2162" s="116">
        <v>290</v>
      </c>
      <c r="Q2162" s="116">
        <v>839.25</v>
      </c>
      <c r="R2162">
        <v>55644</v>
      </c>
    </row>
    <row r="2163" spans="1:18" x14ac:dyDescent="0.25">
      <c r="A2163" s="169">
        <v>45678</v>
      </c>
      <c r="B2163" s="116">
        <v>283.10000000000002</v>
      </c>
      <c r="C2163" s="116">
        <v>273.816666666667</v>
      </c>
      <c r="D2163" s="116">
        <v>270</v>
      </c>
      <c r="E2163" s="116">
        <v>278.86666666666702</v>
      </c>
      <c r="F2163" s="116">
        <v>821.45</v>
      </c>
      <c r="G2163">
        <v>3761</v>
      </c>
      <c r="H2163" s="116"/>
      <c r="I2163" s="116"/>
      <c r="L2163" s="169">
        <v>45678</v>
      </c>
      <c r="M2163" s="116">
        <v>273.5</v>
      </c>
      <c r="N2163" s="116">
        <v>283.23333333333301</v>
      </c>
      <c r="O2163" s="116">
        <v>269.39999999999998</v>
      </c>
      <c r="P2163" s="116">
        <v>279.36666666666702</v>
      </c>
      <c r="Q2163" s="116">
        <v>820.5</v>
      </c>
      <c r="R2163">
        <v>68207</v>
      </c>
    </row>
    <row r="2164" spans="1:18" x14ac:dyDescent="0.25">
      <c r="A2164" s="169">
        <v>45679</v>
      </c>
      <c r="B2164" s="116">
        <v>273.816666666667</v>
      </c>
      <c r="C2164" s="116">
        <v>269.23333333333301</v>
      </c>
      <c r="D2164" s="116">
        <v>265.26666666666699</v>
      </c>
      <c r="E2164" s="116">
        <v>273.816666666667</v>
      </c>
      <c r="F2164" s="116">
        <v>807.7</v>
      </c>
      <c r="G2164">
        <v>6490</v>
      </c>
      <c r="H2164" s="116"/>
      <c r="I2164" s="116"/>
      <c r="L2164" s="169">
        <v>45679</v>
      </c>
      <c r="M2164" s="116">
        <v>268.78333333333302</v>
      </c>
      <c r="N2164" s="116">
        <v>274.48333333333301</v>
      </c>
      <c r="O2164" s="116">
        <v>265.066666666667</v>
      </c>
      <c r="P2164" s="116">
        <v>273.35000000000002</v>
      </c>
      <c r="Q2164" s="116">
        <v>806.35</v>
      </c>
      <c r="R2164">
        <v>54917</v>
      </c>
    </row>
    <row r="2165" spans="1:18" x14ac:dyDescent="0.25">
      <c r="A2165" s="169">
        <v>45680</v>
      </c>
      <c r="B2165" s="116">
        <v>281</v>
      </c>
      <c r="C2165" s="116">
        <v>272.10000000000002</v>
      </c>
      <c r="D2165" s="116">
        <v>269.3</v>
      </c>
      <c r="E2165" s="116">
        <v>274.16666666666703</v>
      </c>
      <c r="F2165" s="116">
        <v>816.3</v>
      </c>
      <c r="G2165">
        <v>4509</v>
      </c>
      <c r="H2165" s="116"/>
      <c r="I2165" s="116"/>
      <c r="L2165" s="169">
        <v>45680</v>
      </c>
      <c r="M2165" s="116">
        <v>273.36666666666702</v>
      </c>
      <c r="N2165" s="116">
        <v>289.63333333333298</v>
      </c>
      <c r="O2165" s="116">
        <v>269.316666666667</v>
      </c>
      <c r="P2165" s="116">
        <v>269.316666666667</v>
      </c>
      <c r="Q2165" s="116">
        <v>820.1</v>
      </c>
      <c r="R2165">
        <v>53906</v>
      </c>
    </row>
    <row r="2166" spans="1:18" x14ac:dyDescent="0.25">
      <c r="A2166" s="169">
        <v>45681</v>
      </c>
      <c r="B2166" s="116">
        <v>289.316666666667</v>
      </c>
      <c r="C2166" s="116">
        <v>263.01666666666699</v>
      </c>
      <c r="D2166" s="116">
        <v>260.14999999999998</v>
      </c>
      <c r="E2166" s="116">
        <v>278.683333333333</v>
      </c>
      <c r="F2166" s="116">
        <v>789.05</v>
      </c>
      <c r="G2166">
        <v>19978</v>
      </c>
      <c r="H2166" s="116"/>
      <c r="I2166" s="116"/>
      <c r="L2166" s="169">
        <v>45681</v>
      </c>
      <c r="M2166" s="116">
        <v>262.61666666666702</v>
      </c>
      <c r="N2166" s="116">
        <v>289.316666666667</v>
      </c>
      <c r="O2166" s="116">
        <v>260</v>
      </c>
      <c r="P2166" s="116">
        <v>280</v>
      </c>
      <c r="Q2166" s="116">
        <v>787.85</v>
      </c>
      <c r="R2166">
        <v>556406</v>
      </c>
    </row>
    <row r="2167" spans="1:18" x14ac:dyDescent="0.25">
      <c r="A2167" s="169">
        <v>45684</v>
      </c>
      <c r="B2167" s="116">
        <v>279.91666666666703</v>
      </c>
      <c r="C2167" s="116">
        <v>263</v>
      </c>
      <c r="D2167" s="116">
        <v>245.38333333333301</v>
      </c>
      <c r="E2167" s="116">
        <v>260.88333333333298</v>
      </c>
      <c r="F2167" s="116">
        <v>789</v>
      </c>
      <c r="G2167">
        <v>19062</v>
      </c>
      <c r="H2167" s="116"/>
      <c r="I2167" s="116"/>
      <c r="L2167" s="169">
        <v>45684</v>
      </c>
      <c r="M2167" s="116">
        <v>263.36666666666702</v>
      </c>
      <c r="N2167" s="116">
        <v>280.816666666667</v>
      </c>
      <c r="O2167" s="116">
        <v>245.85</v>
      </c>
      <c r="P2167" s="116">
        <v>262.316666666667</v>
      </c>
      <c r="Q2167" s="116">
        <v>790.1</v>
      </c>
      <c r="R2167">
        <v>132391</v>
      </c>
    </row>
    <row r="2168" spans="1:18" x14ac:dyDescent="0.25">
      <c r="A2168" s="169">
        <v>45685</v>
      </c>
      <c r="B2168" s="116">
        <v>268.10000000000002</v>
      </c>
      <c r="C2168" s="116">
        <v>253.566666666667</v>
      </c>
      <c r="D2168" s="116">
        <v>251.71666666666701</v>
      </c>
      <c r="E2168" s="116">
        <v>260</v>
      </c>
      <c r="F2168" s="116">
        <v>760.7</v>
      </c>
      <c r="G2168">
        <v>3573</v>
      </c>
      <c r="H2168" s="116"/>
      <c r="I2168" s="116"/>
      <c r="L2168" s="169">
        <v>45685</v>
      </c>
      <c r="M2168" s="116">
        <v>254.1</v>
      </c>
      <c r="N2168" s="116">
        <v>268.25</v>
      </c>
      <c r="O2168" s="116">
        <v>251.65</v>
      </c>
      <c r="P2168" s="116">
        <v>264.33333333333297</v>
      </c>
      <c r="Q2168" s="116">
        <v>762.3</v>
      </c>
      <c r="R2168">
        <v>63394</v>
      </c>
    </row>
    <row r="2169" spans="1:18" x14ac:dyDescent="0.25">
      <c r="A2169" s="169">
        <v>45686</v>
      </c>
      <c r="B2169" s="116">
        <v>263.816666666667</v>
      </c>
      <c r="C2169" s="116">
        <v>261.3</v>
      </c>
      <c r="D2169" s="116">
        <v>252.3</v>
      </c>
      <c r="E2169" s="116">
        <v>253.566666666667</v>
      </c>
      <c r="F2169" s="116">
        <v>783.9</v>
      </c>
      <c r="G2169">
        <v>3480</v>
      </c>
      <c r="H2169" s="116"/>
      <c r="I2169" s="116"/>
      <c r="L2169" s="169">
        <v>45686</v>
      </c>
      <c r="M2169" s="116">
        <v>262.25</v>
      </c>
      <c r="N2169" s="116">
        <v>264.8</v>
      </c>
      <c r="O2169" s="116">
        <v>252</v>
      </c>
      <c r="P2169" s="116">
        <v>255</v>
      </c>
      <c r="Q2169" s="116">
        <v>786.75</v>
      </c>
      <c r="R2169">
        <v>72894</v>
      </c>
    </row>
    <row r="2170" spans="1:18" x14ac:dyDescent="0.25">
      <c r="A2170" s="169">
        <v>45687</v>
      </c>
      <c r="B2170" s="116">
        <v>261.35000000000002</v>
      </c>
      <c r="C2170" s="116">
        <v>258.86666666666702</v>
      </c>
      <c r="D2170" s="116">
        <v>257.26666666666699</v>
      </c>
      <c r="E2170" s="116">
        <v>261.35000000000002</v>
      </c>
      <c r="F2170" s="116">
        <v>776.6</v>
      </c>
      <c r="G2170">
        <v>3746</v>
      </c>
      <c r="H2170" s="116"/>
      <c r="I2170" s="116"/>
      <c r="L2170" s="169">
        <v>45687</v>
      </c>
      <c r="M2170" s="116">
        <v>259.05</v>
      </c>
      <c r="N2170" s="116">
        <v>262.85000000000002</v>
      </c>
      <c r="O2170" s="116">
        <v>256.71666666666698</v>
      </c>
      <c r="P2170" s="116">
        <v>262.25</v>
      </c>
      <c r="Q2170" s="116">
        <v>777.15</v>
      </c>
      <c r="R2170">
        <v>75277</v>
      </c>
    </row>
    <row r="2171" spans="1:18" x14ac:dyDescent="0.25">
      <c r="A2171" s="169">
        <v>45688</v>
      </c>
      <c r="B2171" s="116">
        <v>270.5</v>
      </c>
      <c r="C2171" s="116">
        <v>265.433333333333</v>
      </c>
      <c r="D2171" s="116">
        <v>257.683333333333</v>
      </c>
      <c r="E2171" s="116">
        <v>263.316666666667</v>
      </c>
      <c r="F2171" s="116">
        <v>796.3</v>
      </c>
      <c r="G2171">
        <v>2347</v>
      </c>
      <c r="H2171" s="116"/>
      <c r="I2171" s="116"/>
      <c r="L2171" s="169">
        <v>45688</v>
      </c>
      <c r="M2171" s="116">
        <v>266.08333333333297</v>
      </c>
      <c r="N2171" s="116">
        <v>271.316666666667</v>
      </c>
      <c r="O2171" s="116">
        <v>257.433333333333</v>
      </c>
      <c r="P2171" s="116">
        <v>260.11666666666702</v>
      </c>
      <c r="Q2171" s="116">
        <v>798.25</v>
      </c>
      <c r="R2171">
        <v>24927</v>
      </c>
    </row>
    <row r="2172" spans="1:18" x14ac:dyDescent="0.25">
      <c r="A2172" s="169">
        <v>45689</v>
      </c>
      <c r="B2172" s="116">
        <v>268.35000000000002</v>
      </c>
      <c r="C2172" s="116">
        <v>266.01666666666699</v>
      </c>
      <c r="D2172" s="116">
        <v>261.35000000000002</v>
      </c>
      <c r="E2172" s="116">
        <v>265.08333333333297</v>
      </c>
      <c r="F2172" s="116">
        <v>798.05</v>
      </c>
      <c r="G2172">
        <v>1372</v>
      </c>
      <c r="H2172" s="116"/>
      <c r="I2172" s="116"/>
      <c r="L2172" s="169">
        <v>45689</v>
      </c>
      <c r="M2172" s="116">
        <v>264.71666666666698</v>
      </c>
      <c r="N2172" s="116">
        <v>269</v>
      </c>
      <c r="O2172" s="116">
        <v>260.89999999999998</v>
      </c>
      <c r="P2172" s="116">
        <v>269</v>
      </c>
      <c r="Q2172" s="116">
        <v>794.15</v>
      </c>
      <c r="R2172">
        <v>18834</v>
      </c>
    </row>
    <row r="2173" spans="1:18" x14ac:dyDescent="0.25">
      <c r="A2173" s="169">
        <v>45691</v>
      </c>
      <c r="B2173" s="116">
        <v>263.63333333333298</v>
      </c>
      <c r="C2173" s="116">
        <v>261.71666666666698</v>
      </c>
      <c r="D2173" s="116">
        <v>257.01666666666699</v>
      </c>
      <c r="E2173" s="116">
        <v>260.01666666666699</v>
      </c>
      <c r="F2173" s="116">
        <v>785.15</v>
      </c>
      <c r="G2173">
        <v>2790</v>
      </c>
      <c r="H2173" s="116"/>
      <c r="I2173" s="116"/>
      <c r="L2173" s="169">
        <v>45691</v>
      </c>
      <c r="M2173" s="116">
        <v>261.683333333333</v>
      </c>
      <c r="N2173" s="116">
        <v>263.33333333333297</v>
      </c>
      <c r="O2173" s="116">
        <v>257.183333333333</v>
      </c>
      <c r="P2173" s="116">
        <v>261.33333333333297</v>
      </c>
      <c r="Q2173" s="116">
        <v>785.05</v>
      </c>
      <c r="R2173">
        <v>15174</v>
      </c>
    </row>
    <row r="2174" spans="1:18" x14ac:dyDescent="0.25">
      <c r="A2174" s="169">
        <v>45692</v>
      </c>
      <c r="B2174" s="116">
        <v>272.21666666666698</v>
      </c>
      <c r="C2174" s="116">
        <v>258.91666666666703</v>
      </c>
      <c r="D2174" s="116">
        <v>257.11666666666702</v>
      </c>
      <c r="E2174" s="116">
        <v>263.01666666666699</v>
      </c>
      <c r="F2174" s="116">
        <v>776.75</v>
      </c>
      <c r="G2174">
        <v>8054</v>
      </c>
      <c r="H2174" s="116"/>
      <c r="I2174" s="116"/>
      <c r="L2174" s="169">
        <v>45692</v>
      </c>
      <c r="M2174" s="116">
        <v>259.35000000000002</v>
      </c>
      <c r="N2174" s="116">
        <v>273.28333333333302</v>
      </c>
      <c r="O2174" s="116">
        <v>257.38333333333298</v>
      </c>
      <c r="P2174" s="116">
        <v>266.61666666666702</v>
      </c>
      <c r="Q2174" s="116">
        <v>778.05</v>
      </c>
      <c r="R2174">
        <v>50368</v>
      </c>
    </row>
    <row r="2175" spans="1:18" x14ac:dyDescent="0.25">
      <c r="A2175" s="169">
        <v>45693</v>
      </c>
      <c r="B2175" s="116">
        <v>265.33333333333297</v>
      </c>
      <c r="C2175" s="116">
        <v>263.55</v>
      </c>
      <c r="D2175" s="116">
        <v>259.01666666666699</v>
      </c>
      <c r="E2175" s="116">
        <v>262.96666666666698</v>
      </c>
      <c r="F2175" s="116">
        <v>790.65</v>
      </c>
      <c r="G2175">
        <v>3246</v>
      </c>
      <c r="H2175" s="116"/>
      <c r="I2175" s="116"/>
      <c r="L2175" s="169">
        <v>45693</v>
      </c>
      <c r="M2175" s="116">
        <v>262.58333333333297</v>
      </c>
      <c r="N2175" s="116">
        <v>266.316666666667</v>
      </c>
      <c r="O2175" s="116">
        <v>259.33333333333297</v>
      </c>
      <c r="P2175" s="116">
        <v>266.316666666667</v>
      </c>
      <c r="Q2175" s="116">
        <v>787.75</v>
      </c>
      <c r="R2175">
        <v>41935</v>
      </c>
    </row>
    <row r="2176" spans="1:18" x14ac:dyDescent="0.25">
      <c r="A2176" s="169">
        <v>45694</v>
      </c>
      <c r="B2176" s="116">
        <v>275.21666666666698</v>
      </c>
      <c r="C2176" s="116">
        <v>271.89999999999998</v>
      </c>
      <c r="D2176" s="116">
        <v>263.21666666666698</v>
      </c>
      <c r="E2176" s="116">
        <v>263.55</v>
      </c>
      <c r="F2176" s="116">
        <v>815.7</v>
      </c>
      <c r="G2176">
        <v>4793</v>
      </c>
      <c r="H2176" s="116"/>
      <c r="I2176" s="116"/>
      <c r="L2176" s="169">
        <v>45694</v>
      </c>
      <c r="M2176" s="116">
        <v>272.066666666667</v>
      </c>
      <c r="N2176" s="116">
        <v>274.98333333333301</v>
      </c>
      <c r="O2176" s="116">
        <v>263.11666666666702</v>
      </c>
      <c r="P2176" s="116">
        <v>263.96666666666698</v>
      </c>
      <c r="Q2176" s="116">
        <v>816.2</v>
      </c>
      <c r="R2176">
        <v>56852</v>
      </c>
    </row>
    <row r="2177" spans="1:18" x14ac:dyDescent="0.25">
      <c r="A2177" s="169">
        <v>45695</v>
      </c>
      <c r="B2177" s="116">
        <v>268.78333333333302</v>
      </c>
      <c r="C2177" s="116">
        <v>260.96666666666698</v>
      </c>
      <c r="D2177" s="116">
        <v>258.33333333333297</v>
      </c>
      <c r="E2177" s="116">
        <v>268.78333333333302</v>
      </c>
      <c r="F2177" s="116">
        <v>782.9</v>
      </c>
      <c r="G2177">
        <v>2777</v>
      </c>
      <c r="H2177" s="116"/>
      <c r="I2177" s="116"/>
      <c r="L2177" s="169">
        <v>45695</v>
      </c>
      <c r="M2177" s="116">
        <v>261.28333333333302</v>
      </c>
      <c r="N2177" s="116">
        <v>273.33333333333297</v>
      </c>
      <c r="O2177" s="116">
        <v>258.21666666666698</v>
      </c>
      <c r="P2177" s="116">
        <v>273.33333333333297</v>
      </c>
      <c r="Q2177" s="116">
        <v>783.85</v>
      </c>
      <c r="R2177">
        <v>42084</v>
      </c>
    </row>
    <row r="2178" spans="1:18" x14ac:dyDescent="0.25">
      <c r="A2178" s="169">
        <v>45698</v>
      </c>
      <c r="B2178" s="116">
        <v>261.316666666667</v>
      </c>
      <c r="C2178" s="116">
        <v>258.73333333333301</v>
      </c>
      <c r="D2178" s="116">
        <v>253.65</v>
      </c>
      <c r="E2178" s="116">
        <v>259</v>
      </c>
      <c r="F2178" s="116">
        <v>776.2</v>
      </c>
      <c r="G2178">
        <v>2236</v>
      </c>
      <c r="H2178" s="116"/>
      <c r="I2178" s="116"/>
      <c r="L2178" s="169">
        <v>45698</v>
      </c>
      <c r="M2178" s="116">
        <v>259.21666666666698</v>
      </c>
      <c r="N2178" s="116">
        <v>264.96666666666698</v>
      </c>
      <c r="O2178" s="116">
        <v>253.183333333333</v>
      </c>
      <c r="P2178" s="116">
        <v>261.3</v>
      </c>
      <c r="Q2178" s="116">
        <v>777.65</v>
      </c>
      <c r="R2178">
        <v>31672</v>
      </c>
    </row>
    <row r="2179" spans="1:18" x14ac:dyDescent="0.25">
      <c r="A2179" s="169">
        <v>45699</v>
      </c>
      <c r="B2179" s="116">
        <v>257.35000000000002</v>
      </c>
      <c r="C2179" s="116">
        <v>249.25</v>
      </c>
      <c r="D2179" s="116">
        <v>247.36666666666699</v>
      </c>
      <c r="E2179" s="116">
        <v>256.35000000000002</v>
      </c>
      <c r="F2179" s="116">
        <v>747.75</v>
      </c>
      <c r="G2179">
        <v>2213</v>
      </c>
      <c r="H2179" s="116"/>
      <c r="I2179" s="116"/>
      <c r="L2179" s="169">
        <v>45699</v>
      </c>
      <c r="M2179" s="116">
        <v>249.63333333333301</v>
      </c>
      <c r="N2179" s="116">
        <v>260</v>
      </c>
      <c r="O2179" s="116">
        <v>247.683333333333</v>
      </c>
      <c r="P2179" s="116">
        <v>260</v>
      </c>
      <c r="Q2179" s="116">
        <v>748.9</v>
      </c>
      <c r="R2179">
        <v>33096</v>
      </c>
    </row>
    <row r="2180" spans="1:18" x14ac:dyDescent="0.25">
      <c r="A2180" s="169">
        <v>45700</v>
      </c>
      <c r="B2180" s="116">
        <v>254.433333333333</v>
      </c>
      <c r="C2180" s="116">
        <v>251.55</v>
      </c>
      <c r="D2180" s="116">
        <v>242.416666666667</v>
      </c>
      <c r="E2180" s="116">
        <v>248.35</v>
      </c>
      <c r="F2180" s="116">
        <v>754.65</v>
      </c>
      <c r="G2180">
        <v>2184</v>
      </c>
      <c r="H2180" s="116"/>
      <c r="I2180" s="116"/>
      <c r="L2180" s="169">
        <v>45700</v>
      </c>
      <c r="M2180" s="116">
        <v>249.85</v>
      </c>
      <c r="N2180" s="116">
        <v>254.65</v>
      </c>
      <c r="O2180" s="116">
        <v>241.86666666666699</v>
      </c>
      <c r="P2180" s="116">
        <v>249.63333333333301</v>
      </c>
      <c r="Q2180" s="116">
        <v>749.55</v>
      </c>
      <c r="R2180">
        <v>27667</v>
      </c>
    </row>
    <row r="2181" spans="1:18" x14ac:dyDescent="0.25">
      <c r="A2181" s="169">
        <v>45701</v>
      </c>
      <c r="B2181" s="116">
        <v>256.78333333333302</v>
      </c>
      <c r="C2181" s="116">
        <v>243.28333333333299</v>
      </c>
      <c r="D2181" s="116">
        <v>242.316666666667</v>
      </c>
      <c r="E2181" s="116">
        <v>256.78333333333302</v>
      </c>
      <c r="F2181" s="116">
        <v>729.85</v>
      </c>
      <c r="G2181">
        <v>2393</v>
      </c>
      <c r="H2181" s="116"/>
      <c r="I2181" s="116"/>
      <c r="L2181" s="169">
        <v>45701</v>
      </c>
      <c r="M2181" s="116">
        <v>243.23333333333301</v>
      </c>
      <c r="N2181" s="116">
        <v>254.98333333333301</v>
      </c>
      <c r="O2181" s="116">
        <v>242.05</v>
      </c>
      <c r="P2181" s="116">
        <v>254.98333333333301</v>
      </c>
      <c r="Q2181" s="116">
        <v>729.7</v>
      </c>
      <c r="R2181">
        <v>24744</v>
      </c>
    </row>
    <row r="2182" spans="1:18" x14ac:dyDescent="0.25">
      <c r="A2182" s="169">
        <v>45702</v>
      </c>
      <c r="B2182" s="116">
        <v>245.05</v>
      </c>
      <c r="C2182" s="116">
        <v>240.63333333333301</v>
      </c>
      <c r="D2182" s="116">
        <v>238.183333333333</v>
      </c>
      <c r="E2182" s="116">
        <v>244</v>
      </c>
      <c r="F2182" s="116">
        <v>721.9</v>
      </c>
      <c r="G2182">
        <v>4496</v>
      </c>
      <c r="H2182" s="116"/>
      <c r="I2182" s="116"/>
      <c r="L2182" s="169">
        <v>45702</v>
      </c>
      <c r="M2182" s="116">
        <v>241.13333333333301</v>
      </c>
      <c r="N2182" s="116">
        <v>246.316666666667</v>
      </c>
      <c r="O2182" s="116">
        <v>238.333333333333</v>
      </c>
      <c r="P2182" s="116">
        <v>246.316666666667</v>
      </c>
      <c r="Q2182" s="116">
        <v>723.4</v>
      </c>
      <c r="R2182">
        <v>31990</v>
      </c>
    </row>
    <row r="2183" spans="1:18" x14ac:dyDescent="0.25">
      <c r="A2183" s="169">
        <v>45705</v>
      </c>
      <c r="B2183" s="116">
        <v>241.73333333333301</v>
      </c>
      <c r="C2183" s="116">
        <v>239.48333333333301</v>
      </c>
      <c r="D2183" s="116">
        <v>231.75</v>
      </c>
      <c r="E2183" s="116">
        <v>240.65</v>
      </c>
      <c r="F2183" s="116">
        <v>718.45</v>
      </c>
      <c r="G2183">
        <v>2586</v>
      </c>
      <c r="H2183" s="116"/>
      <c r="I2183" s="116"/>
      <c r="L2183" s="169">
        <v>45705</v>
      </c>
      <c r="M2183" s="116">
        <v>239.95</v>
      </c>
      <c r="N2183" s="116">
        <v>242.333333333333</v>
      </c>
      <c r="O2183" s="116">
        <v>230.95</v>
      </c>
      <c r="P2183" s="116">
        <v>241.13333333333301</v>
      </c>
      <c r="Q2183" s="116">
        <v>719.85</v>
      </c>
      <c r="R2183">
        <v>26111</v>
      </c>
    </row>
    <row r="2184" spans="1:18" x14ac:dyDescent="0.25">
      <c r="A2184" s="169">
        <v>45706</v>
      </c>
      <c r="B2184" s="116">
        <v>245.48333333333301</v>
      </c>
      <c r="C2184" s="116">
        <v>233.1</v>
      </c>
      <c r="D2184" s="116">
        <v>231.55</v>
      </c>
      <c r="E2184" s="116">
        <v>245.48333333333301</v>
      </c>
      <c r="F2184" s="116">
        <v>699.3</v>
      </c>
      <c r="G2184">
        <v>2337</v>
      </c>
      <c r="H2184" s="116"/>
      <c r="I2184" s="116"/>
      <c r="L2184" s="169">
        <v>45706</v>
      </c>
      <c r="M2184" s="116">
        <v>232.45</v>
      </c>
      <c r="N2184" s="116">
        <v>240</v>
      </c>
      <c r="O2184" s="116">
        <v>231</v>
      </c>
      <c r="P2184" s="116">
        <v>238.166666666667</v>
      </c>
      <c r="Q2184" s="116">
        <v>697.35</v>
      </c>
      <c r="R2184">
        <v>29092</v>
      </c>
    </row>
    <row r="2185" spans="1:18" x14ac:dyDescent="0.25">
      <c r="A2185" s="169">
        <v>45707</v>
      </c>
      <c r="B2185" s="116">
        <v>241.96666666666701</v>
      </c>
      <c r="C2185" s="116">
        <v>238.96666666666701</v>
      </c>
      <c r="D2185" s="116">
        <v>232.333333333333</v>
      </c>
      <c r="E2185" s="116">
        <v>232.333333333333</v>
      </c>
      <c r="F2185" s="116">
        <v>716.9</v>
      </c>
      <c r="G2185">
        <v>2125</v>
      </c>
      <c r="H2185" s="116"/>
      <c r="I2185" s="116"/>
      <c r="L2185" s="169">
        <v>45707</v>
      </c>
      <c r="M2185" s="116">
        <v>239.38333333333301</v>
      </c>
      <c r="N2185" s="116">
        <v>242.316666666667</v>
      </c>
      <c r="O2185" s="116">
        <v>232.96666666666701</v>
      </c>
      <c r="P2185" s="116">
        <v>234.76666666666699</v>
      </c>
      <c r="Q2185" s="116">
        <v>718.15</v>
      </c>
      <c r="R2185">
        <v>17950</v>
      </c>
    </row>
    <row r="2186" spans="1:18" x14ac:dyDescent="0.25">
      <c r="A2186" s="169">
        <v>45708</v>
      </c>
      <c r="B2186" s="116">
        <v>241.9</v>
      </c>
      <c r="C2186" s="116">
        <v>239.85</v>
      </c>
      <c r="D2186" s="116">
        <v>235.01666666666699</v>
      </c>
      <c r="E2186" s="116">
        <v>235.01666666666699</v>
      </c>
      <c r="F2186" s="116">
        <v>719.55</v>
      </c>
      <c r="G2186">
        <v>505</v>
      </c>
      <c r="H2186" s="116"/>
      <c r="I2186" s="116"/>
      <c r="L2186" s="169">
        <v>45708</v>
      </c>
      <c r="M2186" s="116">
        <v>240.11666666666699</v>
      </c>
      <c r="N2186" s="116">
        <v>242</v>
      </c>
      <c r="O2186" s="116">
        <v>236.65</v>
      </c>
      <c r="P2186" s="116">
        <v>239.63333333333301</v>
      </c>
      <c r="Q2186" s="116">
        <v>720.35</v>
      </c>
      <c r="R2186">
        <v>14540</v>
      </c>
    </row>
    <row r="2187" spans="1:18" x14ac:dyDescent="0.25">
      <c r="A2187" s="169">
        <v>45709</v>
      </c>
      <c r="B2187" s="116">
        <v>244.9</v>
      </c>
      <c r="C2187" s="116">
        <v>242.36666666666699</v>
      </c>
      <c r="D2187" s="116">
        <v>238</v>
      </c>
      <c r="E2187" s="116">
        <v>242.01666666666699</v>
      </c>
      <c r="F2187" s="116">
        <v>727.1</v>
      </c>
      <c r="G2187">
        <v>546</v>
      </c>
      <c r="H2187" s="116"/>
      <c r="I2187" s="116"/>
      <c r="L2187" s="169">
        <v>45709</v>
      </c>
      <c r="M2187" s="116">
        <v>241.916666666667</v>
      </c>
      <c r="N2187" s="116">
        <v>245.1</v>
      </c>
      <c r="O2187" s="116">
        <v>236.666666666667</v>
      </c>
      <c r="P2187" s="116">
        <v>241.36666666666699</v>
      </c>
      <c r="Q2187" s="116">
        <v>725.75</v>
      </c>
      <c r="R2187">
        <v>22800</v>
      </c>
    </row>
    <row r="2188" spans="1:18" x14ac:dyDescent="0.25">
      <c r="A2188" s="169">
        <v>45712</v>
      </c>
      <c r="B2188" s="116">
        <v>245.05</v>
      </c>
      <c r="C2188" s="116">
        <v>238.566666666667</v>
      </c>
      <c r="D2188" s="116">
        <v>234</v>
      </c>
      <c r="E2188" s="116">
        <v>245.05</v>
      </c>
      <c r="F2188" s="116">
        <v>715.7</v>
      </c>
      <c r="G2188">
        <v>3305</v>
      </c>
      <c r="H2188" s="116"/>
      <c r="I2188" s="116"/>
      <c r="L2188" s="169">
        <v>45712</v>
      </c>
      <c r="M2188" s="116">
        <v>238.55</v>
      </c>
      <c r="N2188" s="116">
        <v>243.933333333333</v>
      </c>
      <c r="O2188" s="116">
        <v>235</v>
      </c>
      <c r="P2188" s="116">
        <v>243.2</v>
      </c>
      <c r="Q2188" s="116">
        <v>715.65</v>
      </c>
      <c r="R2188">
        <v>17162</v>
      </c>
    </row>
    <row r="2189" spans="1:18" x14ac:dyDescent="0.25">
      <c r="A2189" s="169">
        <v>45713</v>
      </c>
      <c r="B2189" s="116">
        <v>247.13333333333301</v>
      </c>
      <c r="C2189" s="116">
        <v>240.88333333333301</v>
      </c>
      <c r="D2189" s="116">
        <v>237.066666666667</v>
      </c>
      <c r="E2189" s="116">
        <v>238.55</v>
      </c>
      <c r="F2189" s="116">
        <v>722.65</v>
      </c>
      <c r="G2189">
        <v>1188</v>
      </c>
      <c r="H2189" s="116"/>
      <c r="I2189" s="116"/>
      <c r="L2189" s="169">
        <v>45713</v>
      </c>
      <c r="M2189" s="116">
        <v>241.95</v>
      </c>
      <c r="N2189" s="116">
        <v>246.666666666667</v>
      </c>
      <c r="O2189" s="116">
        <v>236.38333333333301</v>
      </c>
      <c r="P2189" s="116">
        <v>237.35</v>
      </c>
      <c r="Q2189" s="116">
        <v>725.85</v>
      </c>
      <c r="R2189">
        <v>13773</v>
      </c>
    </row>
    <row r="2190" spans="1:18" x14ac:dyDescent="0.25">
      <c r="A2190" s="169">
        <v>45715</v>
      </c>
      <c r="B2190" s="116">
        <v>243.916666666667</v>
      </c>
      <c r="C2190" s="116">
        <v>241.583333333333</v>
      </c>
      <c r="D2190" s="116">
        <v>236.48333333333301</v>
      </c>
      <c r="E2190" s="116">
        <v>240.333333333333</v>
      </c>
      <c r="F2190" s="116">
        <v>724.75</v>
      </c>
      <c r="G2190">
        <v>710</v>
      </c>
      <c r="H2190" s="116"/>
      <c r="I2190" s="116"/>
      <c r="L2190" s="169">
        <v>45715</v>
      </c>
      <c r="M2190" s="116">
        <v>241.71666666666701</v>
      </c>
      <c r="N2190" s="116">
        <v>245</v>
      </c>
      <c r="O2190" s="116">
        <v>236.166666666667</v>
      </c>
      <c r="P2190" s="116">
        <v>240.03333333333299</v>
      </c>
      <c r="Q2190" s="116">
        <v>725.15</v>
      </c>
      <c r="R2190">
        <v>32445</v>
      </c>
    </row>
    <row r="2191" spans="1:18" x14ac:dyDescent="0.25">
      <c r="A2191" s="169">
        <v>45716</v>
      </c>
      <c r="B2191" s="116">
        <v>246.316666666667</v>
      </c>
      <c r="C2191" s="116">
        <v>229.46666666666701</v>
      </c>
      <c r="D2191" s="116">
        <v>225.01666666666699</v>
      </c>
      <c r="E2191" s="116">
        <v>246.316666666667</v>
      </c>
      <c r="F2191" s="116">
        <v>688.4</v>
      </c>
      <c r="G2191">
        <v>2021</v>
      </c>
      <c r="H2191" s="116"/>
      <c r="I2191" s="116"/>
      <c r="L2191" s="169">
        <v>45716</v>
      </c>
      <c r="M2191" s="116">
        <v>229.183333333333</v>
      </c>
      <c r="N2191" s="116">
        <v>243.98333333333301</v>
      </c>
      <c r="O2191" s="116">
        <v>225</v>
      </c>
      <c r="P2191" s="116">
        <v>243.8</v>
      </c>
      <c r="Q2191" s="116">
        <v>687.55</v>
      </c>
      <c r="R2191">
        <v>52380</v>
      </c>
    </row>
    <row r="2192" spans="1:18" x14ac:dyDescent="0.25">
      <c r="A2192" s="169">
        <v>45719</v>
      </c>
      <c r="B2192" s="116">
        <v>233.85</v>
      </c>
      <c r="C2192" s="116">
        <v>220.75</v>
      </c>
      <c r="D2192" s="116">
        <v>219.5</v>
      </c>
      <c r="E2192" s="116">
        <v>231.46666666666701</v>
      </c>
      <c r="F2192" s="116">
        <v>662.25</v>
      </c>
      <c r="G2192">
        <v>6885</v>
      </c>
      <c r="H2192" s="116"/>
      <c r="I2192" s="116"/>
      <c r="L2192" s="169">
        <v>45719</v>
      </c>
      <c r="M2192" s="116">
        <v>221.03333333333299</v>
      </c>
      <c r="N2192" s="116">
        <v>233.71666666666701</v>
      </c>
      <c r="O2192" s="116">
        <v>219.333333333333</v>
      </c>
      <c r="P2192" s="116">
        <v>230.4</v>
      </c>
      <c r="Q2192" s="116">
        <v>663.1</v>
      </c>
      <c r="R2192">
        <v>36785</v>
      </c>
    </row>
    <row r="2193" spans="1:18" x14ac:dyDescent="0.25">
      <c r="A2193" s="169">
        <v>45720</v>
      </c>
      <c r="B2193" s="116">
        <v>228.63333333333301</v>
      </c>
      <c r="C2193" s="116">
        <v>225.933333333333</v>
      </c>
      <c r="D2193" s="116">
        <v>219.333333333333</v>
      </c>
      <c r="E2193" s="116">
        <v>223.333333333333</v>
      </c>
      <c r="F2193" s="116">
        <v>677.8</v>
      </c>
      <c r="G2193">
        <v>3607</v>
      </c>
      <c r="H2193" s="116"/>
      <c r="I2193" s="116"/>
      <c r="L2193" s="169">
        <v>45720</v>
      </c>
      <c r="M2193" s="116">
        <v>225.35</v>
      </c>
      <c r="N2193" s="116">
        <v>228.65</v>
      </c>
      <c r="O2193" s="116">
        <v>219.333333333333</v>
      </c>
      <c r="P2193" s="116">
        <v>222.2</v>
      </c>
      <c r="Q2193" s="116">
        <v>676.05</v>
      </c>
      <c r="R2193">
        <v>24167</v>
      </c>
    </row>
    <row r="2194" spans="1:18" x14ac:dyDescent="0.25">
      <c r="A2194" s="169">
        <v>45721</v>
      </c>
      <c r="B2194" s="116">
        <v>235.7</v>
      </c>
      <c r="C2194" s="116">
        <v>232.36666666666699</v>
      </c>
      <c r="D2194" s="116">
        <v>225.55</v>
      </c>
      <c r="E2194" s="116">
        <v>226.333333333333</v>
      </c>
      <c r="F2194" s="116">
        <v>697.1</v>
      </c>
      <c r="G2194">
        <v>3817</v>
      </c>
      <c r="H2194" s="116"/>
      <c r="I2194" s="116"/>
      <c r="L2194" s="169">
        <v>45721</v>
      </c>
      <c r="M2194" s="116">
        <v>231.78333333333299</v>
      </c>
      <c r="N2194" s="116">
        <v>235.666666666667</v>
      </c>
      <c r="O2194" s="116">
        <v>226.083333333333</v>
      </c>
      <c r="P2194" s="116">
        <v>226.53333333333299</v>
      </c>
      <c r="Q2194" s="116">
        <v>695.35</v>
      </c>
      <c r="R2194">
        <v>27671</v>
      </c>
    </row>
    <row r="2195" spans="1:18" x14ac:dyDescent="0.25">
      <c r="A2195" s="169">
        <v>45722</v>
      </c>
      <c r="B2195" s="116">
        <v>237.7</v>
      </c>
      <c r="C2195" s="116">
        <v>233.3</v>
      </c>
      <c r="D2195" s="116">
        <v>227.7</v>
      </c>
      <c r="E2195" s="116">
        <v>233</v>
      </c>
      <c r="F2195" s="116">
        <v>699.9</v>
      </c>
      <c r="G2195">
        <v>2909</v>
      </c>
      <c r="H2195" s="116"/>
      <c r="I2195" s="116"/>
      <c r="L2195" s="169">
        <v>45722</v>
      </c>
      <c r="M2195" s="116">
        <v>233.333333333333</v>
      </c>
      <c r="N2195" s="116">
        <v>238.333333333333</v>
      </c>
      <c r="O2195" s="116">
        <v>229.4</v>
      </c>
      <c r="P2195" s="116">
        <v>233</v>
      </c>
      <c r="Q2195" s="116">
        <v>700</v>
      </c>
      <c r="R2195">
        <v>34822</v>
      </c>
    </row>
    <row r="2196" spans="1:18" x14ac:dyDescent="0.25">
      <c r="A2196" s="169">
        <v>45723</v>
      </c>
      <c r="B2196" s="116">
        <v>234.98333333333301</v>
      </c>
      <c r="C2196" s="116">
        <v>230.316666666667</v>
      </c>
      <c r="D2196" s="116">
        <v>227.86666666666699</v>
      </c>
      <c r="E2196" s="116">
        <v>232.333333333333</v>
      </c>
      <c r="F2196" s="116">
        <v>690.95</v>
      </c>
      <c r="G2196">
        <v>1003</v>
      </c>
      <c r="H2196" s="116"/>
      <c r="I2196" s="116"/>
      <c r="L2196" s="169">
        <v>45723</v>
      </c>
      <c r="M2196" s="116">
        <v>230.183333333333</v>
      </c>
      <c r="N2196" s="116">
        <v>235.01666666666699</v>
      </c>
      <c r="O2196" s="116">
        <v>228</v>
      </c>
      <c r="P2196" s="116">
        <v>230</v>
      </c>
      <c r="Q2196" s="116">
        <v>690.55</v>
      </c>
      <c r="R2196">
        <v>20897</v>
      </c>
    </row>
    <row r="2197" spans="1:18" x14ac:dyDescent="0.25">
      <c r="A2197" s="169">
        <v>45726</v>
      </c>
      <c r="B2197" s="116">
        <v>234.333333333333</v>
      </c>
      <c r="C2197" s="116">
        <v>230.183333333333</v>
      </c>
      <c r="D2197" s="116">
        <v>228.21666666666701</v>
      </c>
      <c r="E2197" s="116">
        <v>231.98333333333301</v>
      </c>
      <c r="F2197" s="116">
        <v>690.55</v>
      </c>
      <c r="G2197">
        <v>3544</v>
      </c>
      <c r="H2197" s="116"/>
      <c r="I2197" s="116"/>
      <c r="L2197" s="169">
        <v>45726</v>
      </c>
      <c r="M2197" s="116">
        <v>230.833333333333</v>
      </c>
      <c r="N2197" s="116">
        <v>235</v>
      </c>
      <c r="O2197" s="116">
        <v>230</v>
      </c>
      <c r="P2197" s="116">
        <v>230.183333333333</v>
      </c>
      <c r="Q2197" s="116">
        <v>692.5</v>
      </c>
      <c r="R2197">
        <v>23320</v>
      </c>
    </row>
    <row r="2198" spans="1:18" x14ac:dyDescent="0.25">
      <c r="A2198" s="169">
        <v>45727</v>
      </c>
      <c r="B2198" s="116">
        <v>233.65</v>
      </c>
      <c r="C2198" s="116">
        <v>230.63333333333301</v>
      </c>
      <c r="D2198" s="116">
        <v>226.166666666667</v>
      </c>
      <c r="E2198" s="116">
        <v>233.316666666667</v>
      </c>
      <c r="F2198" s="116">
        <v>691.9</v>
      </c>
      <c r="G2198">
        <v>9164</v>
      </c>
      <c r="H2198" s="116"/>
      <c r="I2198" s="116"/>
      <c r="L2198" s="169">
        <v>45727</v>
      </c>
      <c r="M2198" s="116">
        <v>230.46666666666701</v>
      </c>
      <c r="N2198" s="116">
        <v>233.13333333333301</v>
      </c>
      <c r="O2198" s="116">
        <v>228.333333333333</v>
      </c>
      <c r="P2198" s="116">
        <v>229</v>
      </c>
      <c r="Q2198" s="116">
        <v>691.4</v>
      </c>
      <c r="R2198">
        <v>37134</v>
      </c>
    </row>
    <row r="2199" spans="1:18" x14ac:dyDescent="0.25">
      <c r="A2199" s="169">
        <v>45728</v>
      </c>
      <c r="B2199" s="116">
        <v>239.666666666667</v>
      </c>
      <c r="C2199" s="116">
        <v>224.6</v>
      </c>
      <c r="D2199" s="116">
        <v>222</v>
      </c>
      <c r="E2199" s="116">
        <v>239.666666666667</v>
      </c>
      <c r="F2199" s="116">
        <v>673.8</v>
      </c>
      <c r="G2199">
        <v>6430</v>
      </c>
      <c r="H2199" s="116"/>
      <c r="I2199" s="116"/>
      <c r="L2199" s="169">
        <v>45728</v>
      </c>
      <c r="M2199" s="116">
        <v>225.15</v>
      </c>
      <c r="N2199" s="116">
        <v>231.316666666667</v>
      </c>
      <c r="O2199" s="116">
        <v>222.01666666666699</v>
      </c>
      <c r="P2199" s="116">
        <v>230.46666666666701</v>
      </c>
      <c r="Q2199" s="116">
        <v>675.45</v>
      </c>
      <c r="R2199">
        <v>38276</v>
      </c>
    </row>
    <row r="2200" spans="1:18" x14ac:dyDescent="0.25">
      <c r="A2200" s="169">
        <v>45729</v>
      </c>
      <c r="B2200" s="116">
        <v>234.25</v>
      </c>
      <c r="C2200" s="116">
        <v>233.28333333333299</v>
      </c>
      <c r="D2200" s="116">
        <v>224.666666666667</v>
      </c>
      <c r="E2200" s="116">
        <v>225.01666666666699</v>
      </c>
      <c r="F2200" s="116">
        <v>699.85</v>
      </c>
      <c r="G2200">
        <v>2278</v>
      </c>
      <c r="H2200" s="116"/>
      <c r="I2200" s="116"/>
      <c r="L2200" s="169">
        <v>45729</v>
      </c>
      <c r="M2200" s="116">
        <v>233.416666666667</v>
      </c>
      <c r="N2200" s="116">
        <v>234.583333333333</v>
      </c>
      <c r="O2200" s="116">
        <v>223.95</v>
      </c>
      <c r="P2200" s="116">
        <v>226.96666666666701</v>
      </c>
      <c r="Q2200" s="116">
        <v>700.25</v>
      </c>
      <c r="R2200">
        <v>42042</v>
      </c>
    </row>
    <row r="2201" spans="1:18" x14ac:dyDescent="0.25">
      <c r="A2201" s="169">
        <v>45733</v>
      </c>
      <c r="B2201" s="116">
        <v>251.28333333333299</v>
      </c>
      <c r="C2201" s="116">
        <v>240.433333333333</v>
      </c>
      <c r="D2201" s="116">
        <v>236.75</v>
      </c>
      <c r="E2201" s="116">
        <v>251.28333333333299</v>
      </c>
      <c r="F2201" s="116">
        <v>721.3</v>
      </c>
      <c r="G2201">
        <v>13305</v>
      </c>
      <c r="H2201" s="116"/>
      <c r="I2201" s="116"/>
      <c r="L2201" s="169">
        <v>45733</v>
      </c>
      <c r="M2201" s="116">
        <v>240</v>
      </c>
      <c r="N2201" s="116">
        <v>249.1</v>
      </c>
      <c r="O2201" s="116">
        <v>236.7</v>
      </c>
      <c r="P2201" s="116">
        <v>239.65</v>
      </c>
      <c r="Q2201" s="116">
        <v>720</v>
      </c>
      <c r="R2201">
        <v>88771</v>
      </c>
    </row>
    <row r="2202" spans="1:18" x14ac:dyDescent="0.25">
      <c r="A2202" s="169">
        <v>45734</v>
      </c>
      <c r="B2202" s="116">
        <v>246.666666666667</v>
      </c>
      <c r="C2202" s="116">
        <v>243.78333333333299</v>
      </c>
      <c r="D2202" s="116">
        <v>239.46666666666701</v>
      </c>
      <c r="E2202" s="116">
        <v>244.8</v>
      </c>
      <c r="F2202" s="116">
        <v>731.35</v>
      </c>
      <c r="G2202">
        <v>9216</v>
      </c>
      <c r="H2202" s="116"/>
      <c r="I2202" s="116"/>
      <c r="L2202" s="169">
        <v>45734</v>
      </c>
      <c r="M2202" s="116">
        <v>244.933333333333</v>
      </c>
      <c r="N2202" s="116">
        <v>246.78333333333299</v>
      </c>
      <c r="O2202" s="116">
        <v>239.38333333333301</v>
      </c>
      <c r="P2202" s="116">
        <v>242.666666666667</v>
      </c>
      <c r="Q2202" s="116">
        <v>734.8</v>
      </c>
      <c r="R2202">
        <v>40571</v>
      </c>
    </row>
    <row r="2203" spans="1:18" x14ac:dyDescent="0.25">
      <c r="A2203" s="169">
        <v>45735</v>
      </c>
      <c r="B2203" s="116">
        <v>248.1</v>
      </c>
      <c r="C2203" s="116">
        <v>247.28333333333299</v>
      </c>
      <c r="D2203" s="116">
        <v>242.5</v>
      </c>
      <c r="E2203" s="116">
        <v>244.916666666667</v>
      </c>
      <c r="F2203" s="116">
        <v>741.85</v>
      </c>
      <c r="G2203">
        <v>1178</v>
      </c>
      <c r="H2203" s="116"/>
      <c r="I2203" s="116"/>
      <c r="L2203" s="169">
        <v>45735</v>
      </c>
      <c r="M2203" s="116">
        <v>247.166666666667</v>
      </c>
      <c r="N2203" s="116">
        <v>249.65</v>
      </c>
      <c r="O2203" s="116">
        <v>242</v>
      </c>
      <c r="P2203" s="116">
        <v>243.066666666667</v>
      </c>
      <c r="Q2203" s="116">
        <v>741.5</v>
      </c>
      <c r="R2203">
        <v>24745</v>
      </c>
    </row>
    <row r="2204" spans="1:18" x14ac:dyDescent="0.25">
      <c r="A2204" s="169">
        <v>45736</v>
      </c>
      <c r="B2204" s="116">
        <v>250.2</v>
      </c>
      <c r="C2204" s="116">
        <v>246.816666666667</v>
      </c>
      <c r="D2204" s="116">
        <v>244.98333333333301</v>
      </c>
      <c r="E2204" s="116">
        <v>248.416666666667</v>
      </c>
      <c r="F2204" s="116">
        <v>740.45</v>
      </c>
      <c r="G2204">
        <v>2930</v>
      </c>
      <c r="H2204" s="116"/>
      <c r="I2204" s="116"/>
      <c r="L2204" s="169">
        <v>45736</v>
      </c>
      <c r="M2204" s="116">
        <v>247</v>
      </c>
      <c r="N2204" s="116">
        <v>250.46666666666701</v>
      </c>
      <c r="O2204" s="116">
        <v>244.666666666667</v>
      </c>
      <c r="P2204" s="116">
        <v>249.03333333333299</v>
      </c>
      <c r="Q2204" s="116">
        <v>741</v>
      </c>
      <c r="R2204">
        <v>26059</v>
      </c>
    </row>
    <row r="2205" spans="1:18" x14ac:dyDescent="0.25">
      <c r="A2205" s="169">
        <v>45737</v>
      </c>
      <c r="B2205" s="116">
        <v>246.3</v>
      </c>
      <c r="C2205" s="116">
        <v>245.25</v>
      </c>
      <c r="D2205" s="116">
        <v>240.86666666666699</v>
      </c>
      <c r="E2205" s="116">
        <v>244.55</v>
      </c>
      <c r="F2205" s="116">
        <v>735.75</v>
      </c>
      <c r="G2205">
        <v>1162</v>
      </c>
      <c r="H2205" s="116"/>
      <c r="I2205" s="116"/>
      <c r="L2205" s="169">
        <v>45737</v>
      </c>
      <c r="M2205" s="116">
        <v>245.583333333333</v>
      </c>
      <c r="N2205" s="116">
        <v>247.98333333333301</v>
      </c>
      <c r="O2205" s="116">
        <v>240.73333333333301</v>
      </c>
      <c r="P2205" s="116">
        <v>246.666666666667</v>
      </c>
      <c r="Q2205" s="116">
        <v>736.75</v>
      </c>
      <c r="R2205">
        <v>47716</v>
      </c>
    </row>
    <row r="2206" spans="1:18" x14ac:dyDescent="0.25">
      <c r="A2206" s="169">
        <v>45740</v>
      </c>
      <c r="B2206" s="116">
        <v>252.35</v>
      </c>
      <c r="C2206" s="116">
        <v>245.083333333333</v>
      </c>
      <c r="D2206" s="116">
        <v>244.083333333333</v>
      </c>
      <c r="E2206" s="116">
        <v>248.333333333333</v>
      </c>
      <c r="F2206" s="116">
        <v>735.25</v>
      </c>
      <c r="G2206">
        <v>1845</v>
      </c>
      <c r="H2206" s="116"/>
      <c r="I2206" s="116"/>
      <c r="L2206" s="169">
        <v>45740</v>
      </c>
      <c r="M2206" s="116">
        <v>245.03333333333299</v>
      </c>
      <c r="N2206" s="116">
        <v>252.583333333333</v>
      </c>
      <c r="O2206" s="116">
        <v>243.416666666667</v>
      </c>
      <c r="P2206" s="116">
        <v>246.86666666666699</v>
      </c>
      <c r="Q2206" s="116">
        <v>735.1</v>
      </c>
      <c r="R2206">
        <v>51282</v>
      </c>
    </row>
    <row r="2207" spans="1:18" x14ac:dyDescent="0.25">
      <c r="A2207" s="169">
        <v>45741</v>
      </c>
      <c r="B2207" s="116">
        <v>251.666666666667</v>
      </c>
      <c r="C2207" s="116">
        <v>243.38333333333301</v>
      </c>
      <c r="D2207" s="116">
        <v>240.98333333333301</v>
      </c>
      <c r="E2207" s="116">
        <v>251.666666666667</v>
      </c>
      <c r="F2207" s="116">
        <v>730.15</v>
      </c>
      <c r="G2207">
        <v>5454</v>
      </c>
      <c r="H2207" s="116"/>
      <c r="I2207" s="116"/>
      <c r="L2207" s="169">
        <v>45741</v>
      </c>
      <c r="M2207" s="116">
        <v>243.416666666667</v>
      </c>
      <c r="N2207" s="116">
        <v>249.416666666667</v>
      </c>
      <c r="O2207" s="116">
        <v>241.166666666667</v>
      </c>
      <c r="P2207" s="116">
        <v>246.95</v>
      </c>
      <c r="Q2207" s="116">
        <v>730.25</v>
      </c>
      <c r="R2207">
        <v>40878</v>
      </c>
    </row>
    <row r="2208" spans="1:18" x14ac:dyDescent="0.25">
      <c r="A2208" s="169">
        <v>45742</v>
      </c>
      <c r="B2208" s="116">
        <v>243.96666666666701</v>
      </c>
      <c r="C2208" s="116">
        <v>238.933333333333</v>
      </c>
      <c r="D2208" s="116">
        <v>235.23333333333301</v>
      </c>
      <c r="E2208" s="116">
        <v>243.166666666667</v>
      </c>
      <c r="F2208" s="116">
        <v>716.8</v>
      </c>
      <c r="G2208">
        <v>3083</v>
      </c>
      <c r="H2208" s="116"/>
      <c r="I2208" s="116"/>
      <c r="L2208" s="169">
        <v>45742</v>
      </c>
      <c r="M2208" s="116">
        <v>239.066666666667</v>
      </c>
      <c r="N2208" s="116">
        <v>244.7</v>
      </c>
      <c r="O2208" s="116">
        <v>235.03333333333299</v>
      </c>
      <c r="P2208" s="116">
        <v>243.666666666667</v>
      </c>
      <c r="Q2208" s="116">
        <v>717.2</v>
      </c>
      <c r="R2208">
        <v>48712</v>
      </c>
    </row>
    <row r="2209" spans="1:18" x14ac:dyDescent="0.25">
      <c r="A2209" s="169">
        <v>45743</v>
      </c>
      <c r="B2209" s="116">
        <v>239.48333333333301</v>
      </c>
      <c r="C2209" s="116">
        <v>233.583333333333</v>
      </c>
      <c r="D2209" s="116">
        <v>232.75</v>
      </c>
      <c r="E2209" s="116">
        <v>237.816666666667</v>
      </c>
      <c r="F2209" s="116">
        <v>700.75</v>
      </c>
      <c r="G2209">
        <v>2306</v>
      </c>
      <c r="H2209" s="116"/>
      <c r="I2209" s="116"/>
      <c r="L2209" s="169">
        <v>45743</v>
      </c>
      <c r="M2209" s="116">
        <v>233.55</v>
      </c>
      <c r="N2209" s="116">
        <v>239.45</v>
      </c>
      <c r="O2209" s="116">
        <v>232.7</v>
      </c>
      <c r="P2209" s="116">
        <v>238.333333333333</v>
      </c>
      <c r="Q2209" s="116">
        <v>700.65</v>
      </c>
      <c r="R2209">
        <v>38922</v>
      </c>
    </row>
    <row r="2210" spans="1:18" x14ac:dyDescent="0.25">
      <c r="A2210" s="169">
        <v>45744</v>
      </c>
      <c r="B2210" s="116">
        <v>236.63333333333301</v>
      </c>
      <c r="C2210" s="116">
        <v>226.73333333333301</v>
      </c>
      <c r="D2210" s="116">
        <v>224.15</v>
      </c>
      <c r="E2210" s="116">
        <v>231.75</v>
      </c>
      <c r="F2210" s="116">
        <v>680.2</v>
      </c>
      <c r="G2210">
        <v>14673</v>
      </c>
      <c r="H2210" s="116"/>
      <c r="I2210" s="116"/>
      <c r="L2210" s="169">
        <v>45744</v>
      </c>
      <c r="M2210" s="116">
        <v>226.55</v>
      </c>
      <c r="N2210" s="116">
        <v>236.86666666666699</v>
      </c>
      <c r="O2210" s="116">
        <v>224.433333333333</v>
      </c>
      <c r="P2210" s="116">
        <v>232.666666666667</v>
      </c>
      <c r="Q2210" s="116">
        <v>679.65</v>
      </c>
      <c r="R2210">
        <v>61710</v>
      </c>
    </row>
    <row r="2211" spans="1:18" x14ac:dyDescent="0.25">
      <c r="A2211" s="169">
        <v>45748</v>
      </c>
      <c r="B2211" s="116">
        <v>241.666666666667</v>
      </c>
      <c r="C2211" s="116">
        <v>240.3</v>
      </c>
      <c r="D2211" s="116">
        <v>226.01666666666699</v>
      </c>
      <c r="E2211" s="116">
        <v>226.01666666666699</v>
      </c>
      <c r="F2211" s="116">
        <v>720.9</v>
      </c>
      <c r="G2211">
        <v>5735</v>
      </c>
      <c r="H2211" s="116"/>
      <c r="I2211" s="116"/>
      <c r="L2211" s="169">
        <v>45748</v>
      </c>
      <c r="M2211" s="116">
        <v>240.566666666667</v>
      </c>
      <c r="N2211" s="116">
        <v>242</v>
      </c>
      <c r="O2211" s="116">
        <v>226.75</v>
      </c>
      <c r="P2211" s="116">
        <v>227.566666666667</v>
      </c>
      <c r="Q2211" s="116">
        <v>721.7</v>
      </c>
      <c r="R2211">
        <v>53458</v>
      </c>
    </row>
    <row r="2212" spans="1:18" x14ac:dyDescent="0.25">
      <c r="A2212" s="169">
        <v>45749</v>
      </c>
      <c r="B2212" s="116">
        <v>241.333333333333</v>
      </c>
      <c r="C2212" s="116">
        <v>240.98333333333301</v>
      </c>
      <c r="D2212" s="116">
        <v>235.35</v>
      </c>
      <c r="E2212" s="116">
        <v>237.9</v>
      </c>
      <c r="F2212" s="116">
        <v>722.95</v>
      </c>
      <c r="G2212">
        <v>1794</v>
      </c>
      <c r="H2212" s="116"/>
      <c r="I2212" s="116"/>
      <c r="L2212" s="169">
        <v>45749</v>
      </c>
      <c r="M2212" s="116">
        <v>240.25</v>
      </c>
      <c r="N2212" s="116">
        <v>241.666666666667</v>
      </c>
      <c r="O2212" s="116">
        <v>235</v>
      </c>
      <c r="P2212" s="116">
        <v>241.666666666667</v>
      </c>
      <c r="Q2212" s="116">
        <v>720.75</v>
      </c>
      <c r="R2212">
        <v>22963</v>
      </c>
    </row>
    <row r="2213" spans="1:18" x14ac:dyDescent="0.25">
      <c r="A2213" s="169">
        <v>45750</v>
      </c>
      <c r="B2213" s="116">
        <v>241.23333333333301</v>
      </c>
      <c r="C2213" s="116">
        <v>240.63333333333301</v>
      </c>
      <c r="D2213" s="116">
        <v>236.6</v>
      </c>
      <c r="E2213" s="116">
        <v>240.25</v>
      </c>
      <c r="F2213" s="116">
        <v>721.9</v>
      </c>
      <c r="G2213">
        <v>1495</v>
      </c>
      <c r="H2213" s="116"/>
      <c r="I2213" s="116"/>
      <c r="L2213" s="169">
        <v>45750</v>
      </c>
      <c r="M2213" s="116">
        <v>240.26666666666699</v>
      </c>
      <c r="N2213" s="116">
        <v>241.01666666666699</v>
      </c>
      <c r="O2213" s="116">
        <v>236.35</v>
      </c>
      <c r="P2213" s="116">
        <v>238.066666666667</v>
      </c>
      <c r="Q2213" s="116">
        <v>720.8</v>
      </c>
      <c r="R2213">
        <v>13030</v>
      </c>
    </row>
    <row r="2214" spans="1:18" x14ac:dyDescent="0.25">
      <c r="A2214" s="169">
        <v>45751</v>
      </c>
      <c r="B2214" s="116">
        <v>240.61666666666699</v>
      </c>
      <c r="C2214" s="116">
        <v>231.53333333333299</v>
      </c>
      <c r="D2214" s="116">
        <v>230</v>
      </c>
      <c r="E2214" s="116">
        <v>240.61666666666699</v>
      </c>
      <c r="F2214" s="116">
        <v>694.6</v>
      </c>
      <c r="G2214">
        <v>3604</v>
      </c>
      <c r="H2214" s="116"/>
      <c r="I2214" s="116"/>
      <c r="L2214" s="169">
        <v>45751</v>
      </c>
      <c r="M2214" s="116">
        <v>230.8</v>
      </c>
      <c r="N2214" s="116">
        <v>241.333333333333</v>
      </c>
      <c r="O2214" s="116">
        <v>228.333333333333</v>
      </c>
      <c r="P2214" s="116">
        <v>241.333333333333</v>
      </c>
      <c r="Q2214" s="116">
        <v>692.4</v>
      </c>
      <c r="R2214">
        <v>29205</v>
      </c>
    </row>
    <row r="2215" spans="1:18" x14ac:dyDescent="0.25">
      <c r="A2215" s="169">
        <v>45754</v>
      </c>
      <c r="B2215" s="116">
        <v>231.333333333333</v>
      </c>
      <c r="C2215" s="116">
        <v>225.85</v>
      </c>
      <c r="D2215" s="116">
        <v>220.01666666666699</v>
      </c>
      <c r="E2215" s="116">
        <v>225.01666666666699</v>
      </c>
      <c r="F2215" s="116">
        <v>677.55</v>
      </c>
      <c r="G2215">
        <v>7635</v>
      </c>
      <c r="H2215" s="116"/>
      <c r="I2215" s="116"/>
      <c r="L2215" s="169">
        <v>45754</v>
      </c>
      <c r="M2215" s="116">
        <v>227.53333333333299</v>
      </c>
      <c r="N2215" s="116">
        <v>230</v>
      </c>
      <c r="O2215" s="116">
        <v>219.566666666667</v>
      </c>
      <c r="P2215" s="116">
        <v>223.333333333333</v>
      </c>
      <c r="Q2215" s="116">
        <v>682.6</v>
      </c>
      <c r="R2215">
        <v>39679</v>
      </c>
    </row>
    <row r="2216" spans="1:18" x14ac:dyDescent="0.25">
      <c r="A2216" s="169">
        <v>45755</v>
      </c>
      <c r="B2216" s="116">
        <v>231.35</v>
      </c>
      <c r="C2216" s="116">
        <v>228.11666666666699</v>
      </c>
      <c r="D2216" s="116">
        <v>226.5</v>
      </c>
      <c r="E2216" s="116">
        <v>231.316666666667</v>
      </c>
      <c r="F2216" s="116">
        <v>684.35</v>
      </c>
      <c r="G2216">
        <v>387</v>
      </c>
      <c r="H2216" s="116"/>
      <c r="I2216" s="116"/>
      <c r="L2216" s="169">
        <v>45755</v>
      </c>
      <c r="M2216" s="116">
        <v>228.55</v>
      </c>
      <c r="N2216" s="116">
        <v>232.88333333333301</v>
      </c>
      <c r="O2216" s="116">
        <v>226.05</v>
      </c>
      <c r="P2216" s="116">
        <v>230.01666666666699</v>
      </c>
      <c r="Q2216" s="116">
        <v>685.65</v>
      </c>
      <c r="R2216">
        <v>19411</v>
      </c>
    </row>
    <row r="2217" spans="1:18" x14ac:dyDescent="0.25">
      <c r="A2217" s="169">
        <v>45756</v>
      </c>
      <c r="B2217" s="116">
        <v>235.53333333333299</v>
      </c>
      <c r="C2217" s="116">
        <v>235.183333333333</v>
      </c>
      <c r="D2217" s="116">
        <v>225.86666666666699</v>
      </c>
      <c r="E2217" s="116">
        <v>228.55</v>
      </c>
      <c r="F2217" s="116">
        <v>705.55</v>
      </c>
      <c r="G2217">
        <v>821</v>
      </c>
      <c r="H2217" s="116"/>
      <c r="I2217" s="116"/>
      <c r="L2217" s="169">
        <v>45756</v>
      </c>
      <c r="M2217" s="116">
        <v>235.166666666667</v>
      </c>
      <c r="N2217" s="116">
        <v>236.21666666666701</v>
      </c>
      <c r="O2217" s="116">
        <v>226.2</v>
      </c>
      <c r="P2217" s="116">
        <v>228.55</v>
      </c>
      <c r="Q2217" s="116">
        <v>705.5</v>
      </c>
      <c r="R2217">
        <v>17674</v>
      </c>
    </row>
    <row r="2218" spans="1:18" x14ac:dyDescent="0.25">
      <c r="A2218" s="169">
        <v>45758</v>
      </c>
      <c r="B2218" s="116">
        <v>237.85</v>
      </c>
      <c r="C2218" s="116">
        <v>234.333333333333</v>
      </c>
      <c r="D2218" s="116">
        <v>232.01666666666699</v>
      </c>
      <c r="E2218" s="116">
        <v>235.333333333333</v>
      </c>
      <c r="F2218" s="116">
        <v>703</v>
      </c>
      <c r="G2218">
        <v>2149</v>
      </c>
      <c r="H2218" s="116"/>
      <c r="I2218" s="116"/>
      <c r="L2218" s="169">
        <v>45758</v>
      </c>
      <c r="M2218" s="116">
        <v>233.88333333333301</v>
      </c>
      <c r="N2218" s="116">
        <v>238.28333333333299</v>
      </c>
      <c r="O2218" s="116">
        <v>232.333333333333</v>
      </c>
      <c r="P2218" s="116">
        <v>236.38333333333301</v>
      </c>
      <c r="Q2218" s="116">
        <v>701.65</v>
      </c>
      <c r="R2218">
        <v>17203</v>
      </c>
    </row>
    <row r="2219" spans="1:18" x14ac:dyDescent="0.25">
      <c r="A2219" s="169">
        <v>45762</v>
      </c>
      <c r="B2219" s="116">
        <v>239.083333333333</v>
      </c>
      <c r="C2219" s="116">
        <v>237.8</v>
      </c>
      <c r="D2219" s="116">
        <v>226.683333333333</v>
      </c>
      <c r="E2219" s="116">
        <v>226.683333333333</v>
      </c>
      <c r="F2219" s="116">
        <v>713.4</v>
      </c>
      <c r="G2219">
        <v>2673</v>
      </c>
      <c r="H2219" s="116"/>
      <c r="I2219" s="116"/>
      <c r="L2219" s="169">
        <v>45762</v>
      </c>
      <c r="M2219" s="116">
        <v>237.816666666667</v>
      </c>
      <c r="N2219" s="116">
        <v>239.38333333333301</v>
      </c>
      <c r="O2219" s="116">
        <v>234.2</v>
      </c>
      <c r="P2219" s="116">
        <v>234.2</v>
      </c>
      <c r="Q2219" s="116">
        <v>713.45</v>
      </c>
      <c r="R2219">
        <v>15572</v>
      </c>
    </row>
    <row r="2220" spans="1:18" x14ac:dyDescent="0.25">
      <c r="A2220" s="169">
        <v>45763</v>
      </c>
      <c r="B2220" s="116">
        <v>242.333333333333</v>
      </c>
      <c r="C2220" s="116">
        <v>235.88333333333301</v>
      </c>
      <c r="D2220" s="116">
        <v>233.333333333333</v>
      </c>
      <c r="E2220" s="116">
        <v>239.25</v>
      </c>
      <c r="F2220" s="116">
        <v>707.65</v>
      </c>
      <c r="G2220">
        <v>1542</v>
      </c>
      <c r="H2220" s="116"/>
      <c r="I2220" s="116"/>
      <c r="L2220" s="169">
        <v>45763</v>
      </c>
      <c r="M2220" s="116">
        <v>235.4</v>
      </c>
      <c r="N2220" s="116">
        <v>243.333333333333</v>
      </c>
      <c r="O2220" s="116">
        <v>233.01666666666699</v>
      </c>
      <c r="P2220" s="116">
        <v>239.066666666667</v>
      </c>
      <c r="Q2220" s="116">
        <v>706.2</v>
      </c>
      <c r="R2220">
        <v>45251</v>
      </c>
    </row>
    <row r="2221" spans="1:18" x14ac:dyDescent="0.25">
      <c r="A2221" s="169">
        <v>45764</v>
      </c>
      <c r="B2221" s="116">
        <v>241.85</v>
      </c>
      <c r="C2221" s="116">
        <v>236.333333333333</v>
      </c>
      <c r="D2221" s="116">
        <v>234.46666666666701</v>
      </c>
      <c r="E2221" s="116">
        <v>235.833333333333</v>
      </c>
      <c r="F2221" s="116">
        <v>709</v>
      </c>
      <c r="G2221">
        <v>2487</v>
      </c>
      <c r="H2221" s="116"/>
      <c r="I2221" s="116"/>
      <c r="L2221" s="169">
        <v>45764</v>
      </c>
      <c r="M2221" s="116">
        <v>236.2</v>
      </c>
      <c r="N2221" s="116">
        <v>242</v>
      </c>
      <c r="O2221" s="116">
        <v>234.333333333333</v>
      </c>
      <c r="P2221" s="116">
        <v>235.01666666666699</v>
      </c>
      <c r="Q2221" s="116">
        <v>708.6</v>
      </c>
      <c r="R2221">
        <v>34017</v>
      </c>
    </row>
    <row r="2222" spans="1:18" x14ac:dyDescent="0.25">
      <c r="A2222" s="169">
        <v>45768</v>
      </c>
      <c r="B2222" s="116">
        <v>245.583333333333</v>
      </c>
      <c r="C2222" s="116">
        <v>243.6</v>
      </c>
      <c r="D2222" s="116">
        <v>230.78333333333299</v>
      </c>
      <c r="E2222" s="116">
        <v>230.78333333333299</v>
      </c>
      <c r="F2222" s="116">
        <v>730.8</v>
      </c>
      <c r="G2222">
        <v>5774</v>
      </c>
      <c r="H2222" s="116"/>
      <c r="I2222" s="116"/>
      <c r="L2222" s="169">
        <v>45768</v>
      </c>
      <c r="M2222" s="116">
        <v>243.666666666667</v>
      </c>
      <c r="N2222" s="116">
        <v>245.316666666667</v>
      </c>
      <c r="O2222" s="116">
        <v>236.05</v>
      </c>
      <c r="P2222" s="116">
        <v>236.2</v>
      </c>
      <c r="Q2222" s="116">
        <v>731</v>
      </c>
      <c r="R2222">
        <v>37176</v>
      </c>
    </row>
    <row r="2223" spans="1:18" x14ac:dyDescent="0.25">
      <c r="A2223" s="169">
        <v>45769</v>
      </c>
      <c r="B2223" s="116">
        <v>275.83333333333297</v>
      </c>
      <c r="C2223" s="116">
        <v>264.76666666666699</v>
      </c>
      <c r="D2223" s="116">
        <v>242.683333333333</v>
      </c>
      <c r="E2223" s="116">
        <v>243.6</v>
      </c>
      <c r="F2223" s="116">
        <v>794.3</v>
      </c>
      <c r="G2223">
        <v>5922</v>
      </c>
      <c r="H2223" s="116"/>
      <c r="I2223" s="116"/>
      <c r="L2223" s="169">
        <v>45769</v>
      </c>
      <c r="M2223" s="116">
        <v>265.03333333333302</v>
      </c>
      <c r="N2223" s="116">
        <v>276.66666666666703</v>
      </c>
      <c r="O2223" s="116">
        <v>242.75</v>
      </c>
      <c r="P2223" s="116">
        <v>243.666666666667</v>
      </c>
      <c r="Q2223" s="116">
        <v>795.1</v>
      </c>
      <c r="R2223">
        <v>203667</v>
      </c>
    </row>
    <row r="2224" spans="1:18" x14ac:dyDescent="0.25">
      <c r="A2224" s="169">
        <v>45770</v>
      </c>
      <c r="B2224" s="116">
        <v>273.316666666667</v>
      </c>
      <c r="C2224" s="116">
        <v>256.28333333333302</v>
      </c>
      <c r="D2224" s="116">
        <v>255</v>
      </c>
      <c r="E2224" s="116">
        <v>273.316666666667</v>
      </c>
      <c r="F2224" s="116">
        <v>768.85</v>
      </c>
      <c r="G2224">
        <v>7275</v>
      </c>
      <c r="H2224" s="116"/>
      <c r="I2224" s="116"/>
      <c r="L2224" s="169">
        <v>45770</v>
      </c>
      <c r="M2224" s="116">
        <v>256.39999999999998</v>
      </c>
      <c r="N2224" s="116">
        <v>270.96666666666698</v>
      </c>
      <c r="O2224" s="116">
        <v>254.11666666666699</v>
      </c>
      <c r="P2224" s="116">
        <v>267.55</v>
      </c>
      <c r="Q2224" s="116">
        <v>769.2</v>
      </c>
      <c r="R2224">
        <v>150105</v>
      </c>
    </row>
    <row r="2225" spans="1:18" x14ac:dyDescent="0.25">
      <c r="A2225" s="169">
        <v>45771</v>
      </c>
      <c r="B2225" s="116">
        <v>307</v>
      </c>
      <c r="C2225" s="116">
        <v>282.01666666666699</v>
      </c>
      <c r="D2225" s="116">
        <v>273.683333333333</v>
      </c>
      <c r="E2225" s="116">
        <v>273.683333333333</v>
      </c>
      <c r="F2225" s="116">
        <v>846.05</v>
      </c>
      <c r="G2225">
        <v>66299</v>
      </c>
      <c r="H2225" s="116"/>
      <c r="I2225" s="116"/>
      <c r="L2225" s="169">
        <v>45771</v>
      </c>
      <c r="M2225" s="116">
        <v>282.21666666666698</v>
      </c>
      <c r="N2225" s="116">
        <v>304.23333333333301</v>
      </c>
      <c r="O2225" s="116">
        <v>273.33333333333297</v>
      </c>
      <c r="P2225" s="116">
        <v>275.73333333333301</v>
      </c>
      <c r="Q2225" s="116">
        <v>846.65</v>
      </c>
      <c r="R2225">
        <v>2069440</v>
      </c>
    </row>
    <row r="2226" spans="1:18" x14ac:dyDescent="0.25">
      <c r="A2226" s="169">
        <v>45772</v>
      </c>
      <c r="B2226" s="116">
        <v>312.95</v>
      </c>
      <c r="C2226" s="116">
        <v>301.26666666666699</v>
      </c>
      <c r="D2226" s="116">
        <v>276.96666666666698</v>
      </c>
      <c r="E2226" s="116">
        <v>280.01666666666699</v>
      </c>
      <c r="F2226" s="116">
        <v>903.8</v>
      </c>
      <c r="G2226">
        <v>57334</v>
      </c>
      <c r="H2226" s="116"/>
      <c r="I2226" s="116"/>
      <c r="L2226" s="169">
        <v>45772</v>
      </c>
      <c r="M2226" s="116">
        <v>300.76666666666699</v>
      </c>
      <c r="N2226" s="116">
        <v>312.933333333333</v>
      </c>
      <c r="O2226" s="116">
        <v>276.816666666667</v>
      </c>
      <c r="P2226" s="116">
        <v>282.21666666666698</v>
      </c>
      <c r="Q2226" s="116">
        <v>902.3</v>
      </c>
      <c r="R2226">
        <v>1667147</v>
      </c>
    </row>
    <row r="2227" spans="1:18" x14ac:dyDescent="0.25">
      <c r="A2227" s="169">
        <v>45775</v>
      </c>
      <c r="B2227" s="116">
        <v>312.66666666666703</v>
      </c>
      <c r="C2227" s="116">
        <v>302.933333333333</v>
      </c>
      <c r="D2227" s="116">
        <v>292.33333333333297</v>
      </c>
      <c r="E2227" s="116">
        <v>296.683333333333</v>
      </c>
      <c r="F2227" s="116">
        <v>908.8</v>
      </c>
      <c r="G2227">
        <v>21272</v>
      </c>
      <c r="H2227" s="116"/>
      <c r="I2227" s="116"/>
      <c r="L2227" s="169">
        <v>45775</v>
      </c>
      <c r="M2227" s="116">
        <v>304.03333333333302</v>
      </c>
      <c r="N2227" s="116">
        <v>312.60000000000002</v>
      </c>
      <c r="O2227" s="116">
        <v>292.58333333333297</v>
      </c>
      <c r="P2227" s="116">
        <v>298.66666666666703</v>
      </c>
      <c r="Q2227" s="116">
        <v>912.1</v>
      </c>
      <c r="R2227">
        <v>355596</v>
      </c>
    </row>
    <row r="2228" spans="1:18" x14ac:dyDescent="0.25">
      <c r="A2228" s="169">
        <v>45776</v>
      </c>
      <c r="B2228" s="116">
        <v>305.73333333333301</v>
      </c>
      <c r="C2228" s="116">
        <v>297.48333333333301</v>
      </c>
      <c r="D2228" s="116">
        <v>295</v>
      </c>
      <c r="E2228" s="116">
        <v>302</v>
      </c>
      <c r="F2228" s="116">
        <v>892.45</v>
      </c>
      <c r="G2228">
        <v>4212</v>
      </c>
      <c r="H2228" s="116"/>
      <c r="I2228" s="116"/>
      <c r="L2228" s="169">
        <v>45776</v>
      </c>
      <c r="M2228" s="116">
        <v>296.75</v>
      </c>
      <c r="N2228" s="116">
        <v>306.33333333333297</v>
      </c>
      <c r="O2228" s="116">
        <v>294.683333333333</v>
      </c>
      <c r="P2228" s="116">
        <v>297.71666666666698</v>
      </c>
      <c r="Q2228" s="116">
        <v>890.25</v>
      </c>
      <c r="R2228">
        <v>115402</v>
      </c>
    </row>
    <row r="2229" spans="1:18" x14ac:dyDescent="0.25">
      <c r="A2229" s="169">
        <v>45777</v>
      </c>
      <c r="B2229" s="116">
        <v>299.83333333333297</v>
      </c>
      <c r="C2229" s="116">
        <v>292.46666666666698</v>
      </c>
      <c r="D2229" s="116">
        <v>290.33333333333297</v>
      </c>
      <c r="E2229" s="116">
        <v>290.33333333333297</v>
      </c>
      <c r="F2229" s="116">
        <v>877.4</v>
      </c>
      <c r="G2229">
        <v>9274</v>
      </c>
      <c r="H2229" s="116"/>
      <c r="I2229" s="116"/>
      <c r="L2229" s="169">
        <v>45777</v>
      </c>
      <c r="M2229" s="116">
        <v>292.7</v>
      </c>
      <c r="N2229" s="116">
        <v>300</v>
      </c>
      <c r="O2229" s="116">
        <v>290.7</v>
      </c>
      <c r="P2229" s="116">
        <v>296.63333333333298</v>
      </c>
      <c r="Q2229" s="116">
        <v>878.1</v>
      </c>
      <c r="R2229">
        <v>75414</v>
      </c>
    </row>
    <row r="2230" spans="1:18" x14ac:dyDescent="0.25">
      <c r="A2230" s="169">
        <v>45779</v>
      </c>
      <c r="B2230" s="116">
        <v>301.03333333333302</v>
      </c>
      <c r="C2230" s="116">
        <v>298.45</v>
      </c>
      <c r="D2230" s="116">
        <v>290</v>
      </c>
      <c r="E2230" s="116">
        <v>292.7</v>
      </c>
      <c r="F2230" s="116">
        <v>895.35</v>
      </c>
      <c r="G2230">
        <v>2385</v>
      </c>
      <c r="H2230" s="116"/>
      <c r="I2230" s="116"/>
      <c r="L2230" s="169">
        <v>45779</v>
      </c>
      <c r="M2230" s="116">
        <v>298.8</v>
      </c>
      <c r="N2230" s="116">
        <v>301.39999999999998</v>
      </c>
      <c r="O2230" s="116">
        <v>289.33333333333297</v>
      </c>
      <c r="P2230" s="116">
        <v>292.7</v>
      </c>
      <c r="Q2230" s="116">
        <v>896.4</v>
      </c>
      <c r="R2230">
        <v>86841</v>
      </c>
    </row>
    <row r="2231" spans="1:18" x14ac:dyDescent="0.25">
      <c r="A2231" s="169">
        <v>45782</v>
      </c>
      <c r="B2231" s="116">
        <v>310.10000000000002</v>
      </c>
      <c r="C2231" s="116">
        <v>304.066666666667</v>
      </c>
      <c r="D2231" s="116">
        <v>290.88333333333298</v>
      </c>
      <c r="E2231" s="116">
        <v>290.88333333333298</v>
      </c>
      <c r="F2231" s="116">
        <v>912.2</v>
      </c>
      <c r="G2231">
        <v>7413</v>
      </c>
      <c r="H2231" s="116"/>
      <c r="I2231" s="116"/>
      <c r="L2231" s="169">
        <v>45782</v>
      </c>
      <c r="M2231" s="116">
        <v>304.45</v>
      </c>
      <c r="N2231" s="116">
        <v>310.66666666666703</v>
      </c>
      <c r="O2231" s="116">
        <v>293.45</v>
      </c>
      <c r="P2231" s="116">
        <v>300</v>
      </c>
      <c r="Q2231" s="116">
        <v>913.35</v>
      </c>
      <c r="R2231">
        <v>94252</v>
      </c>
    </row>
    <row r="2232" spans="1:18" x14ac:dyDescent="0.25">
      <c r="A2232" s="169">
        <v>45783</v>
      </c>
      <c r="B2232" s="116">
        <v>314.58333333333297</v>
      </c>
      <c r="C2232" s="116">
        <v>307</v>
      </c>
      <c r="D2232" s="116">
        <v>304.5</v>
      </c>
      <c r="E2232" s="116">
        <v>307.33333333333297</v>
      </c>
      <c r="F2232" s="116">
        <v>921</v>
      </c>
      <c r="G2232">
        <v>8020</v>
      </c>
      <c r="H2232" s="116"/>
      <c r="I2232" s="116"/>
      <c r="L2232" s="169">
        <v>45783</v>
      </c>
      <c r="M2232" s="116">
        <v>306.75</v>
      </c>
      <c r="N2232" s="116">
        <v>315</v>
      </c>
      <c r="O2232" s="116">
        <v>302.63333333333298</v>
      </c>
      <c r="P2232" s="116">
        <v>308.60000000000002</v>
      </c>
      <c r="Q2232" s="116">
        <v>920.25</v>
      </c>
      <c r="R2232">
        <v>148132</v>
      </c>
    </row>
    <row r="2233" spans="1:18" x14ac:dyDescent="0.25">
      <c r="A2233" s="169">
        <v>45784</v>
      </c>
      <c r="B2233" s="116">
        <v>309.316666666667</v>
      </c>
      <c r="C2233" s="116">
        <v>307.183333333333</v>
      </c>
      <c r="D2233" s="116">
        <v>296.76666666666699</v>
      </c>
      <c r="E2233" s="116">
        <v>296.76666666666699</v>
      </c>
      <c r="F2233" s="116">
        <v>921.55</v>
      </c>
      <c r="G2233">
        <v>15648</v>
      </c>
      <c r="H2233" s="116"/>
      <c r="I2233" s="116"/>
      <c r="L2233" s="169">
        <v>45784</v>
      </c>
      <c r="M2233" s="116">
        <v>307.53333333333302</v>
      </c>
      <c r="N2233" s="116">
        <v>309.33333333333297</v>
      </c>
      <c r="O2233" s="116">
        <v>296.66666666666703</v>
      </c>
      <c r="P2233" s="116">
        <v>299.98333333333301</v>
      </c>
      <c r="Q2233" s="116">
        <v>922.6</v>
      </c>
      <c r="R2233">
        <v>82505</v>
      </c>
    </row>
    <row r="2234" spans="1:18" x14ac:dyDescent="0.25">
      <c r="A2234" s="169">
        <v>45785</v>
      </c>
      <c r="B2234" s="116">
        <v>317.64999999999998</v>
      </c>
      <c r="C2234" s="116">
        <v>302.55</v>
      </c>
      <c r="D2234" s="116">
        <v>299.683333333333</v>
      </c>
      <c r="E2234" s="116">
        <v>310.66666666666703</v>
      </c>
      <c r="F2234" s="116">
        <v>907.65</v>
      </c>
      <c r="G2234">
        <v>5848</v>
      </c>
      <c r="H2234" s="116"/>
      <c r="I2234" s="116"/>
      <c r="L2234" s="169">
        <v>45785</v>
      </c>
      <c r="M2234" s="116">
        <v>301.683333333333</v>
      </c>
      <c r="N2234" s="116">
        <v>318.26666666666699</v>
      </c>
      <c r="O2234" s="116">
        <v>299.51666666666699</v>
      </c>
      <c r="P2234" s="116">
        <v>307.91666666666703</v>
      </c>
      <c r="Q2234" s="116">
        <v>905.05</v>
      </c>
      <c r="R2234">
        <v>103374</v>
      </c>
    </row>
    <row r="2235" spans="1:18" x14ac:dyDescent="0.25">
      <c r="A2235" s="169">
        <v>45786</v>
      </c>
      <c r="B2235" s="116">
        <v>315</v>
      </c>
      <c r="C2235" s="116">
        <v>313.21666666666698</v>
      </c>
      <c r="D2235" s="116">
        <v>292.73333333333301</v>
      </c>
      <c r="E2235" s="116">
        <v>293.58333333333297</v>
      </c>
      <c r="F2235" s="116">
        <v>939.65</v>
      </c>
      <c r="G2235">
        <v>13660</v>
      </c>
      <c r="H2235" s="116"/>
      <c r="I2235" s="116"/>
      <c r="L2235" s="169">
        <v>45786</v>
      </c>
      <c r="M2235" s="116">
        <v>313.03333333333302</v>
      </c>
      <c r="N2235" s="116">
        <v>315.03333333333302</v>
      </c>
      <c r="O2235" s="116">
        <v>293</v>
      </c>
      <c r="P2235" s="116">
        <v>296.66666666666703</v>
      </c>
      <c r="Q2235" s="116">
        <v>939.1</v>
      </c>
      <c r="R2235">
        <v>109596</v>
      </c>
    </row>
    <row r="2236" spans="1:18" x14ac:dyDescent="0.25">
      <c r="A2236" s="169">
        <v>45789</v>
      </c>
      <c r="B2236" s="116">
        <v>325.21666666666698</v>
      </c>
      <c r="C2236" s="116">
        <v>317.45</v>
      </c>
      <c r="D2236" s="116">
        <v>315.28333333333302</v>
      </c>
      <c r="E2236" s="116">
        <v>316.86666666666702</v>
      </c>
      <c r="F2236" s="116">
        <v>952.35</v>
      </c>
      <c r="G2236">
        <v>13493</v>
      </c>
      <c r="H2236" s="116"/>
      <c r="I2236" s="116"/>
      <c r="L2236" s="169">
        <v>45789</v>
      </c>
      <c r="M2236" s="116">
        <v>317.86666666666702</v>
      </c>
      <c r="N2236" s="116">
        <v>328.683333333333</v>
      </c>
      <c r="O2236" s="116">
        <v>316</v>
      </c>
      <c r="P2236" s="116">
        <v>321.66666666666703</v>
      </c>
      <c r="Q2236" s="116">
        <v>953.6</v>
      </c>
      <c r="R2236">
        <v>96906</v>
      </c>
    </row>
    <row r="2237" spans="1:18" x14ac:dyDescent="0.25">
      <c r="A2237" s="169">
        <v>45790</v>
      </c>
      <c r="B2237" s="116">
        <v>329.96666666666698</v>
      </c>
      <c r="C2237" s="116">
        <v>328.1</v>
      </c>
      <c r="D2237" s="116">
        <v>317.8</v>
      </c>
      <c r="E2237" s="116">
        <v>324.98333333333301</v>
      </c>
      <c r="F2237" s="116">
        <v>984.3</v>
      </c>
      <c r="G2237">
        <v>4666</v>
      </c>
      <c r="H2237" s="116"/>
      <c r="I2237" s="116"/>
      <c r="L2237" s="169">
        <v>45790</v>
      </c>
      <c r="M2237" s="116">
        <v>327.85</v>
      </c>
      <c r="N2237" s="116">
        <v>330.08333333333297</v>
      </c>
      <c r="O2237" s="116">
        <v>317.2</v>
      </c>
      <c r="P2237" s="116">
        <v>322.64999999999998</v>
      </c>
      <c r="Q2237" s="116">
        <v>983.55</v>
      </c>
      <c r="R2237">
        <v>104940</v>
      </c>
    </row>
    <row r="2238" spans="1:18" x14ac:dyDescent="0.25">
      <c r="A2238" s="169">
        <v>45791</v>
      </c>
      <c r="B2238" s="116">
        <v>337.66666666666703</v>
      </c>
      <c r="C2238" s="116">
        <v>327.88333333333298</v>
      </c>
      <c r="D2238" s="116">
        <v>325</v>
      </c>
      <c r="E2238" s="116">
        <v>327.64999999999998</v>
      </c>
      <c r="F2238" s="116">
        <v>983.65</v>
      </c>
      <c r="G2238">
        <v>15269</v>
      </c>
      <c r="H2238" s="116"/>
      <c r="I2238" s="116"/>
      <c r="L2238" s="169">
        <v>45791</v>
      </c>
      <c r="M2238" s="116">
        <v>327.39999999999998</v>
      </c>
      <c r="N2238" s="116">
        <v>337.96666666666698</v>
      </c>
      <c r="O2238" s="116">
        <v>324.03333333333302</v>
      </c>
      <c r="P2238" s="116">
        <v>327.683333333333</v>
      </c>
      <c r="Q2238" s="116">
        <v>982.2</v>
      </c>
      <c r="R2238">
        <v>83461</v>
      </c>
    </row>
    <row r="2239" spans="1:18" x14ac:dyDescent="0.25">
      <c r="A2239" s="169">
        <v>45792</v>
      </c>
      <c r="B2239" s="116">
        <v>334.83333333333297</v>
      </c>
      <c r="C2239" s="116">
        <v>331.183333333333</v>
      </c>
      <c r="D2239" s="116">
        <v>323.85000000000002</v>
      </c>
      <c r="E2239" s="116">
        <v>327.88333333333298</v>
      </c>
      <c r="F2239" s="116">
        <v>993.55</v>
      </c>
      <c r="G2239">
        <v>13175</v>
      </c>
      <c r="H2239" s="116"/>
      <c r="I2239" s="116"/>
      <c r="L2239" s="169">
        <v>45792</v>
      </c>
      <c r="M2239" s="116">
        <v>331.33333333333297</v>
      </c>
      <c r="N2239" s="116">
        <v>335.58333333333297</v>
      </c>
      <c r="O2239" s="116">
        <v>324.566666666667</v>
      </c>
      <c r="P2239" s="116">
        <v>327.33333333333297</v>
      </c>
      <c r="Q2239" s="116">
        <v>994</v>
      </c>
      <c r="R2239">
        <v>64874</v>
      </c>
    </row>
    <row r="2240" spans="1:18" x14ac:dyDescent="0.25">
      <c r="A2240" s="169">
        <v>45793</v>
      </c>
      <c r="B2240" s="116">
        <v>332.2</v>
      </c>
      <c r="C2240" s="116">
        <v>324.75</v>
      </c>
      <c r="D2240" s="116">
        <v>322.683333333333</v>
      </c>
      <c r="E2240" s="116">
        <v>331.33333333333297</v>
      </c>
      <c r="F2240" s="116">
        <v>974.25</v>
      </c>
      <c r="G2240">
        <v>2701</v>
      </c>
      <c r="H2240" s="116"/>
      <c r="I2240" s="116"/>
      <c r="L2240" s="169">
        <v>45793</v>
      </c>
      <c r="M2240" s="116">
        <v>324.33333333333297</v>
      </c>
      <c r="N2240" s="116">
        <v>333.33333333333297</v>
      </c>
      <c r="O2240" s="116">
        <v>322.35000000000002</v>
      </c>
      <c r="P2240" s="116">
        <v>333.33333333333297</v>
      </c>
      <c r="Q2240" s="116">
        <v>973</v>
      </c>
      <c r="R2240">
        <v>45735</v>
      </c>
    </row>
    <row r="2241" spans="1:18" x14ac:dyDescent="0.25">
      <c r="A2241" s="169">
        <v>45796</v>
      </c>
      <c r="B2241" s="116">
        <v>326.816666666667</v>
      </c>
      <c r="C2241" s="116">
        <v>322.45</v>
      </c>
      <c r="D2241" s="116">
        <v>317.63333333333298</v>
      </c>
      <c r="E2241" s="116">
        <v>325.5</v>
      </c>
      <c r="F2241" s="116">
        <v>967.35</v>
      </c>
      <c r="G2241">
        <v>6486</v>
      </c>
      <c r="H2241" s="116"/>
      <c r="I2241" s="116"/>
      <c r="L2241" s="169">
        <v>45796</v>
      </c>
      <c r="M2241" s="116">
        <v>322.21666666666698</v>
      </c>
      <c r="N2241" s="116">
        <v>327.03333333333302</v>
      </c>
      <c r="O2241" s="116">
        <v>318</v>
      </c>
      <c r="P2241" s="116">
        <v>327.03333333333302</v>
      </c>
      <c r="Q2241" s="116">
        <v>966.65</v>
      </c>
      <c r="R2241">
        <v>63055</v>
      </c>
    </row>
    <row r="2242" spans="1:18" x14ac:dyDescent="0.25">
      <c r="A2242" s="169">
        <v>45797</v>
      </c>
      <c r="B2242" s="116">
        <v>325.683333333333</v>
      </c>
      <c r="C2242" s="116">
        <v>316.48333333333301</v>
      </c>
      <c r="D2242" s="116">
        <v>313.26666666666699</v>
      </c>
      <c r="E2242" s="116">
        <v>322.45</v>
      </c>
      <c r="F2242" s="116">
        <v>949.45</v>
      </c>
      <c r="G2242">
        <v>11651</v>
      </c>
      <c r="H2242" s="116"/>
      <c r="I2242" s="116"/>
      <c r="L2242" s="169">
        <v>45797</v>
      </c>
      <c r="M2242" s="116">
        <v>317.71666666666698</v>
      </c>
      <c r="N2242" s="116">
        <v>325.433333333333</v>
      </c>
      <c r="O2242" s="116">
        <v>316.35000000000002</v>
      </c>
      <c r="P2242" s="116">
        <v>323.89999999999998</v>
      </c>
      <c r="Q2242" s="116">
        <v>953.15</v>
      </c>
      <c r="R2242">
        <v>42807</v>
      </c>
    </row>
    <row r="2243" spans="1:18" x14ac:dyDescent="0.25">
      <c r="A2243" s="169">
        <v>45798</v>
      </c>
      <c r="B2243" s="116">
        <v>331.66666666666703</v>
      </c>
      <c r="C2243" s="116">
        <v>326.316666666667</v>
      </c>
      <c r="D2243" s="116">
        <v>318.73333333333301</v>
      </c>
      <c r="E2243" s="116">
        <v>319.316666666667</v>
      </c>
      <c r="F2243" s="116">
        <v>978.95</v>
      </c>
      <c r="G2243">
        <v>5492</v>
      </c>
      <c r="H2243" s="116"/>
      <c r="I2243" s="116"/>
      <c r="L2243" s="169">
        <v>45798</v>
      </c>
      <c r="M2243" s="116">
        <v>326.55</v>
      </c>
      <c r="N2243" s="116">
        <v>331.66666666666703</v>
      </c>
      <c r="O2243" s="116">
        <v>319.316666666667</v>
      </c>
      <c r="P2243" s="116">
        <v>319.33333333333297</v>
      </c>
      <c r="Q2243" s="116">
        <v>979.65</v>
      </c>
      <c r="R2243">
        <v>110651</v>
      </c>
    </row>
    <row r="2244" spans="1:18" x14ac:dyDescent="0.25">
      <c r="A2244" s="169">
        <v>45799</v>
      </c>
      <c r="B2244" s="116">
        <v>329.2</v>
      </c>
      <c r="C2244" s="116">
        <v>321.98333333333301</v>
      </c>
      <c r="D2244" s="116">
        <v>318.33333333333297</v>
      </c>
      <c r="E2244" s="116">
        <v>321.683333333333</v>
      </c>
      <c r="F2244" s="116">
        <v>965.95</v>
      </c>
      <c r="G2244">
        <v>1954</v>
      </c>
      <c r="H2244" s="116"/>
      <c r="I2244" s="116"/>
      <c r="L2244" s="169">
        <v>45799</v>
      </c>
      <c r="M2244" s="116">
        <v>320.78333333333302</v>
      </c>
      <c r="N2244" s="116">
        <v>329.33333333333297</v>
      </c>
      <c r="O2244" s="116">
        <v>318.28333333333302</v>
      </c>
      <c r="P2244" s="116">
        <v>326.66666666666703</v>
      </c>
      <c r="Q2244" s="116">
        <v>962.35</v>
      </c>
      <c r="R2244">
        <v>40444</v>
      </c>
    </row>
    <row r="2245" spans="1:18" x14ac:dyDescent="0.25">
      <c r="A2245" s="169">
        <v>45800</v>
      </c>
      <c r="B2245" s="116">
        <v>346.8</v>
      </c>
      <c r="C2245" s="116">
        <v>337.183333333333</v>
      </c>
      <c r="D2245" s="116">
        <v>324.816666666667</v>
      </c>
      <c r="E2245" s="116">
        <v>324.95</v>
      </c>
      <c r="F2245" s="116">
        <v>1011.55</v>
      </c>
      <c r="G2245">
        <v>30622</v>
      </c>
      <c r="H2245" s="116"/>
      <c r="I2245" s="116"/>
      <c r="L2245" s="169">
        <v>45800</v>
      </c>
      <c r="M2245" s="116">
        <v>335.23333333333301</v>
      </c>
      <c r="N2245" s="116">
        <v>347</v>
      </c>
      <c r="O2245" s="116">
        <v>323.33333333333297</v>
      </c>
      <c r="P2245" s="116">
        <v>323.5</v>
      </c>
      <c r="Q2245" s="116">
        <v>1005.7</v>
      </c>
      <c r="R2245">
        <v>259013</v>
      </c>
    </row>
    <row r="2246" spans="1:18" x14ac:dyDescent="0.25">
      <c r="A2246" s="169">
        <v>45803</v>
      </c>
      <c r="B2246" s="116">
        <v>345.11666666666702</v>
      </c>
      <c r="C2246" s="116">
        <v>338.5</v>
      </c>
      <c r="D2246" s="116">
        <v>333.66666666666703</v>
      </c>
      <c r="E2246" s="116">
        <v>345.11666666666702</v>
      </c>
      <c r="F2246" s="116">
        <v>1015.5</v>
      </c>
      <c r="G2246">
        <v>12113</v>
      </c>
      <c r="H2246" s="116"/>
      <c r="I2246" s="116"/>
      <c r="L2246" s="169">
        <v>45803</v>
      </c>
      <c r="M2246" s="116">
        <v>338.51666666666699</v>
      </c>
      <c r="N2246" s="116">
        <v>343.26666666666699</v>
      </c>
      <c r="O2246" s="116">
        <v>333.816666666667</v>
      </c>
      <c r="P2246" s="116">
        <v>340.5</v>
      </c>
      <c r="Q2246" s="116">
        <v>1015.55</v>
      </c>
      <c r="R2246">
        <v>62928</v>
      </c>
    </row>
    <row r="2247" spans="1:18" x14ac:dyDescent="0.25">
      <c r="A2247" s="169">
        <v>45804</v>
      </c>
      <c r="B2247" s="116">
        <v>343.21666666666698</v>
      </c>
      <c r="C2247" s="116">
        <v>337.566666666667</v>
      </c>
      <c r="D2247" s="116">
        <v>335.25</v>
      </c>
      <c r="E2247" s="116">
        <v>340</v>
      </c>
      <c r="F2247" s="116">
        <v>1012.7</v>
      </c>
      <c r="G2247">
        <v>4191</v>
      </c>
      <c r="H2247" s="116"/>
      <c r="I2247" s="116"/>
      <c r="L2247" s="169">
        <v>45804</v>
      </c>
      <c r="M2247" s="116">
        <v>337.8</v>
      </c>
      <c r="N2247" s="116">
        <v>342</v>
      </c>
      <c r="O2247" s="116">
        <v>335.066666666667</v>
      </c>
      <c r="P2247" s="116">
        <v>340.66666666666703</v>
      </c>
      <c r="Q2247" s="116">
        <v>1013.4</v>
      </c>
      <c r="R2247">
        <v>66804</v>
      </c>
    </row>
    <row r="2248" spans="1:18" x14ac:dyDescent="0.25">
      <c r="A2248" s="169">
        <v>45805</v>
      </c>
      <c r="B2248" s="116">
        <v>344.65</v>
      </c>
      <c r="C2248" s="116">
        <v>337.05</v>
      </c>
      <c r="D2248" s="116">
        <v>335.98333333333301</v>
      </c>
      <c r="E2248" s="116">
        <v>337.63333333333298</v>
      </c>
      <c r="F2248" s="116">
        <v>1011.15</v>
      </c>
      <c r="G2248">
        <v>2667</v>
      </c>
      <c r="H2248" s="116"/>
      <c r="I2248" s="116"/>
      <c r="L2248" s="169">
        <v>45805</v>
      </c>
      <c r="M2248" s="116">
        <v>337.03333333333302</v>
      </c>
      <c r="N2248" s="116">
        <v>344.66666666666703</v>
      </c>
      <c r="O2248" s="116">
        <v>334.183333333333</v>
      </c>
      <c r="P2248" s="116">
        <v>334.183333333333</v>
      </c>
      <c r="Q2248" s="116">
        <v>1011.1</v>
      </c>
      <c r="R2248">
        <v>104361</v>
      </c>
    </row>
    <row r="2249" spans="1:18" x14ac:dyDescent="0.25">
      <c r="A2249" s="169">
        <v>45806</v>
      </c>
      <c r="B2249" s="116">
        <v>346.66666666666703</v>
      </c>
      <c r="C2249" s="116">
        <v>342.1</v>
      </c>
      <c r="D2249" s="116">
        <v>336.01666666666699</v>
      </c>
      <c r="E2249" s="116">
        <v>336.01666666666699</v>
      </c>
      <c r="F2249" s="116">
        <v>1026.3</v>
      </c>
      <c r="G2249">
        <v>6195</v>
      </c>
      <c r="H2249" s="116"/>
      <c r="I2249" s="116"/>
      <c r="L2249" s="169">
        <v>45806</v>
      </c>
      <c r="M2249" s="116">
        <v>342.13333333333298</v>
      </c>
      <c r="N2249" s="116">
        <v>347.566666666667</v>
      </c>
      <c r="O2249" s="116">
        <v>337.41666666666703</v>
      </c>
      <c r="P2249" s="116">
        <v>338.33333333333297</v>
      </c>
      <c r="Q2249" s="116">
        <v>1026.4000000000001</v>
      </c>
      <c r="R2249">
        <v>140038</v>
      </c>
    </row>
    <row r="2250" spans="1:18" x14ac:dyDescent="0.25">
      <c r="A2250" s="169">
        <v>45807</v>
      </c>
      <c r="B2250" s="116">
        <v>351.03333333333302</v>
      </c>
      <c r="C2250" s="116">
        <v>350.11666666666702</v>
      </c>
      <c r="D2250" s="116">
        <v>340.33333333333297</v>
      </c>
      <c r="E2250" s="116">
        <v>340.33333333333297</v>
      </c>
      <c r="F2250" s="116">
        <v>1050.3499999999999</v>
      </c>
      <c r="G2250">
        <v>3513</v>
      </c>
      <c r="H2250" s="116"/>
      <c r="I2250" s="116"/>
      <c r="L2250" s="169">
        <v>45807</v>
      </c>
      <c r="M2250" s="116">
        <v>349.73333333333301</v>
      </c>
      <c r="N2250" s="116">
        <v>351.2</v>
      </c>
      <c r="O2250" s="116">
        <v>340.01666666666699</v>
      </c>
      <c r="P2250" s="116">
        <v>342</v>
      </c>
      <c r="Q2250" s="116">
        <v>1049.2</v>
      </c>
      <c r="R2250">
        <v>74278</v>
      </c>
    </row>
    <row r="2251" spans="1:18" x14ac:dyDescent="0.25">
      <c r="A2251" s="169">
        <v>45810</v>
      </c>
      <c r="B2251" s="116">
        <v>357.48333333333301</v>
      </c>
      <c r="C2251" s="116">
        <v>336.51666666666699</v>
      </c>
      <c r="D2251" s="116">
        <v>331.683333333333</v>
      </c>
      <c r="E2251" s="116">
        <v>353.58333333333297</v>
      </c>
      <c r="F2251" s="116">
        <v>1009.55</v>
      </c>
      <c r="G2251">
        <v>18156</v>
      </c>
      <c r="H2251" s="116"/>
      <c r="I2251" s="116"/>
      <c r="L2251" s="169">
        <v>45810</v>
      </c>
      <c r="M2251" s="116">
        <v>336.86666666666702</v>
      </c>
      <c r="N2251" s="116">
        <v>357.73333333333301</v>
      </c>
      <c r="O2251" s="116">
        <v>331.2</v>
      </c>
      <c r="P2251" s="116">
        <v>353.33333333333297</v>
      </c>
      <c r="Q2251" s="116">
        <v>1010.6</v>
      </c>
      <c r="R2251">
        <v>110305</v>
      </c>
    </row>
    <row r="2252" spans="1:18" x14ac:dyDescent="0.25">
      <c r="A2252" s="169">
        <v>45811</v>
      </c>
      <c r="B2252" s="116">
        <v>339.933333333333</v>
      </c>
      <c r="C2252" s="116">
        <v>330.61666666666702</v>
      </c>
      <c r="D2252" s="116">
        <v>329.36666666666702</v>
      </c>
      <c r="E2252" s="116">
        <v>336.88333333333298</v>
      </c>
      <c r="F2252" s="116">
        <v>991.85</v>
      </c>
      <c r="G2252">
        <v>1291</v>
      </c>
      <c r="H2252" s="116"/>
      <c r="I2252" s="116"/>
      <c r="L2252" s="169">
        <v>45811</v>
      </c>
      <c r="M2252" s="116">
        <v>330.8</v>
      </c>
      <c r="N2252" s="116">
        <v>341.66666666666703</v>
      </c>
      <c r="O2252" s="116">
        <v>327.33333333333297</v>
      </c>
      <c r="P2252" s="116">
        <v>341.66666666666703</v>
      </c>
      <c r="Q2252" s="116">
        <v>992.4</v>
      </c>
      <c r="R2252">
        <v>34351</v>
      </c>
    </row>
    <row r="2253" spans="1:18" x14ac:dyDescent="0.25">
      <c r="A2253" s="169">
        <v>45812</v>
      </c>
      <c r="B2253" s="116">
        <v>337</v>
      </c>
      <c r="C2253" s="116">
        <v>334.066666666667</v>
      </c>
      <c r="D2253" s="116">
        <v>329.08333333333297</v>
      </c>
      <c r="E2253" s="116">
        <v>330.66666666666703</v>
      </c>
      <c r="F2253" s="116">
        <v>1002.2</v>
      </c>
      <c r="G2253">
        <v>2641</v>
      </c>
      <c r="H2253" s="116"/>
      <c r="I2253" s="116"/>
      <c r="L2253" s="169">
        <v>45812</v>
      </c>
      <c r="M2253" s="116">
        <v>333.36666666666702</v>
      </c>
      <c r="N2253" s="116">
        <v>337</v>
      </c>
      <c r="O2253" s="116">
        <v>327.8</v>
      </c>
      <c r="P2253" s="116">
        <v>334</v>
      </c>
      <c r="Q2253" s="116">
        <v>1000.1</v>
      </c>
      <c r="R2253">
        <v>32377</v>
      </c>
    </row>
    <row r="2254" spans="1:18" x14ac:dyDescent="0.25">
      <c r="A2254" s="169">
        <v>45813</v>
      </c>
      <c r="B2254" s="116">
        <v>339.96666666666698</v>
      </c>
      <c r="C2254" s="116">
        <v>332.13333333333298</v>
      </c>
      <c r="D2254" s="116">
        <v>329.3</v>
      </c>
      <c r="E2254" s="116">
        <v>332.03333333333302</v>
      </c>
      <c r="F2254" s="116">
        <v>996.4</v>
      </c>
      <c r="G2254">
        <v>9462</v>
      </c>
      <c r="H2254" s="116"/>
      <c r="I2254" s="116"/>
      <c r="L2254" s="169">
        <v>45813</v>
      </c>
      <c r="M2254" s="116">
        <v>332.23333333333301</v>
      </c>
      <c r="N2254" s="116">
        <v>341.33333333333297</v>
      </c>
      <c r="O2254" s="116">
        <v>328.66666666666703</v>
      </c>
      <c r="P2254" s="116">
        <v>334.96666666666698</v>
      </c>
      <c r="Q2254" s="116">
        <v>996.7</v>
      </c>
      <c r="R2254">
        <v>45786</v>
      </c>
    </row>
    <row r="2255" spans="1:18" x14ac:dyDescent="0.25">
      <c r="A2255" s="169">
        <v>45814</v>
      </c>
      <c r="B2255" s="116">
        <v>332.46666666666698</v>
      </c>
      <c r="C2255" s="116">
        <v>317.7</v>
      </c>
      <c r="D2255" s="116">
        <v>292.41666666666703</v>
      </c>
      <c r="E2255" s="116">
        <v>330</v>
      </c>
      <c r="F2255" s="116">
        <v>953.1</v>
      </c>
      <c r="G2255">
        <v>16779</v>
      </c>
      <c r="H2255" s="116"/>
      <c r="I2255" s="116"/>
      <c r="L2255" s="169">
        <v>45814</v>
      </c>
      <c r="M2255" s="116">
        <v>317.60000000000002</v>
      </c>
      <c r="N2255" s="116">
        <v>331.83333333333297</v>
      </c>
      <c r="O2255" s="116">
        <v>291.36666666666702</v>
      </c>
      <c r="P2255" s="116">
        <v>327.66666666666703</v>
      </c>
      <c r="Q2255" s="116">
        <v>952.8</v>
      </c>
      <c r="R2255">
        <v>203449</v>
      </c>
    </row>
    <row r="2256" spans="1:18" x14ac:dyDescent="0.25">
      <c r="A2256" s="169">
        <v>45817</v>
      </c>
      <c r="B2256" s="116">
        <v>326.11666666666702</v>
      </c>
      <c r="C2256" s="116">
        <v>325.05</v>
      </c>
      <c r="D2256" s="116">
        <v>317.03333333333302</v>
      </c>
      <c r="E2256" s="116">
        <v>319.28333333333302</v>
      </c>
      <c r="F2256" s="116">
        <v>975.15</v>
      </c>
      <c r="G2256">
        <v>10404</v>
      </c>
      <c r="H2256" s="116"/>
      <c r="I2256" s="116"/>
      <c r="L2256" s="169">
        <v>45817</v>
      </c>
      <c r="M2256" s="116">
        <v>325.36666666666702</v>
      </c>
      <c r="N2256" s="116">
        <v>328.33333333333297</v>
      </c>
      <c r="O2256" s="116">
        <v>317.10000000000002</v>
      </c>
      <c r="P2256" s="116">
        <v>319.26666666666699</v>
      </c>
      <c r="Q2256" s="116">
        <v>976.1</v>
      </c>
      <c r="R2256">
        <v>63642</v>
      </c>
    </row>
    <row r="2257" spans="1:18" x14ac:dyDescent="0.25">
      <c r="A2257" s="169">
        <v>45818</v>
      </c>
      <c r="B2257" s="116">
        <v>333.33333333333297</v>
      </c>
      <c r="C2257" s="116">
        <v>331.76666666666699</v>
      </c>
      <c r="D2257" s="116">
        <v>323.96666666666698</v>
      </c>
      <c r="E2257" s="116">
        <v>323.96666666666698</v>
      </c>
      <c r="F2257" s="116">
        <v>995.3</v>
      </c>
      <c r="G2257">
        <v>2152</v>
      </c>
      <c r="H2257" s="116"/>
      <c r="I2257" s="116"/>
      <c r="L2257" s="169">
        <v>45818</v>
      </c>
      <c r="M2257" s="116">
        <v>331.73333333333301</v>
      </c>
      <c r="N2257" s="116">
        <v>332.66666666666703</v>
      </c>
      <c r="O2257" s="116">
        <v>325.96666666666698</v>
      </c>
      <c r="P2257" s="116">
        <v>327.33333333333297</v>
      </c>
      <c r="Q2257" s="116">
        <v>995.2</v>
      </c>
      <c r="R2257">
        <v>54706</v>
      </c>
    </row>
    <row r="2258" spans="1:18" x14ac:dyDescent="0.25">
      <c r="A2258" s="169">
        <v>45819</v>
      </c>
      <c r="B2258" s="116">
        <v>333.41666666666703</v>
      </c>
      <c r="C2258" s="116">
        <v>328.38333333333298</v>
      </c>
      <c r="D2258" s="116">
        <v>326.76666666666699</v>
      </c>
      <c r="E2258" s="116">
        <v>333.41666666666703</v>
      </c>
      <c r="F2258" s="116">
        <v>985.15</v>
      </c>
      <c r="G2258">
        <v>2555</v>
      </c>
      <c r="H2258" s="116"/>
      <c r="I2258" s="116"/>
      <c r="L2258" s="169">
        <v>45819</v>
      </c>
      <c r="M2258" s="116">
        <v>328.933333333333</v>
      </c>
      <c r="N2258" s="116">
        <v>333.63333333333298</v>
      </c>
      <c r="O2258" s="116">
        <v>326.83333333333297</v>
      </c>
      <c r="P2258" s="116">
        <v>333.066666666667</v>
      </c>
      <c r="Q2258" s="116">
        <v>986.8</v>
      </c>
      <c r="R2258">
        <v>23009</v>
      </c>
    </row>
    <row r="2259" spans="1:18" x14ac:dyDescent="0.25">
      <c r="A2259" s="169">
        <v>45820</v>
      </c>
      <c r="B2259" s="116">
        <v>333.316666666667</v>
      </c>
      <c r="C2259" s="116">
        <v>328.13333333333298</v>
      </c>
      <c r="D2259" s="116">
        <v>326.21666666666698</v>
      </c>
      <c r="E2259" s="116">
        <v>333.316666666667</v>
      </c>
      <c r="F2259" s="116">
        <v>984.4</v>
      </c>
      <c r="G2259">
        <v>1244</v>
      </c>
      <c r="H2259" s="116"/>
      <c r="I2259" s="116"/>
      <c r="L2259" s="169">
        <v>45820</v>
      </c>
      <c r="M2259" s="116">
        <v>328.36666666666702</v>
      </c>
      <c r="N2259" s="116">
        <v>331.1</v>
      </c>
      <c r="O2259" s="116">
        <v>325.933333333333</v>
      </c>
      <c r="P2259" s="116">
        <v>328.7</v>
      </c>
      <c r="Q2259" s="116">
        <v>985.1</v>
      </c>
      <c r="R2259">
        <v>35563</v>
      </c>
    </row>
    <row r="2260" spans="1:18" x14ac:dyDescent="0.25">
      <c r="A2260" s="169">
        <v>45821</v>
      </c>
      <c r="B2260" s="116">
        <v>342.96666666666698</v>
      </c>
      <c r="C2260" s="116">
        <v>340.71666666666698</v>
      </c>
      <c r="D2260" s="116">
        <v>323.683333333333</v>
      </c>
      <c r="E2260" s="116">
        <v>325.83333333333297</v>
      </c>
      <c r="F2260" s="116">
        <v>1022.15</v>
      </c>
      <c r="G2260">
        <v>5596</v>
      </c>
      <c r="H2260" s="116"/>
      <c r="I2260" s="116"/>
      <c r="L2260" s="169">
        <v>45821</v>
      </c>
      <c r="M2260" s="116">
        <v>340.5</v>
      </c>
      <c r="N2260" s="116">
        <v>343.33333333333297</v>
      </c>
      <c r="O2260" s="116">
        <v>322.8</v>
      </c>
      <c r="P2260" s="116">
        <v>326.66666666666703</v>
      </c>
      <c r="Q2260" s="116">
        <v>1021.5</v>
      </c>
      <c r="R2260">
        <v>104407</v>
      </c>
    </row>
    <row r="2261" spans="1:18" x14ac:dyDescent="0.25">
      <c r="A2261" s="169">
        <v>45824</v>
      </c>
      <c r="B2261" s="116">
        <v>341.7</v>
      </c>
      <c r="C2261" s="116">
        <v>339</v>
      </c>
      <c r="D2261" s="116">
        <v>325.39999999999998</v>
      </c>
      <c r="E2261" s="116">
        <v>337.01666666666699</v>
      </c>
      <c r="F2261" s="116">
        <v>1017</v>
      </c>
      <c r="G2261">
        <v>5529</v>
      </c>
      <c r="H2261" s="116"/>
      <c r="I2261" s="116"/>
      <c r="L2261" s="169">
        <v>45824</v>
      </c>
      <c r="M2261" s="116">
        <v>340</v>
      </c>
      <c r="N2261" s="116">
        <v>342.6</v>
      </c>
      <c r="O2261" s="116">
        <v>325</v>
      </c>
      <c r="P2261" s="116">
        <v>341.933333333333</v>
      </c>
      <c r="Q2261" s="116">
        <v>1020</v>
      </c>
      <c r="R2261">
        <v>59422</v>
      </c>
    </row>
    <row r="2262" spans="1:18" x14ac:dyDescent="0.25">
      <c r="A2262" s="169">
        <v>45825</v>
      </c>
      <c r="B2262" s="116">
        <v>344.15</v>
      </c>
      <c r="C2262" s="116">
        <v>334.53333333333302</v>
      </c>
      <c r="D2262" s="116">
        <v>332.433333333333</v>
      </c>
      <c r="E2262" s="116">
        <v>336.83333333333297</v>
      </c>
      <c r="F2262" s="116">
        <v>1003.6</v>
      </c>
      <c r="G2262">
        <v>2097</v>
      </c>
      <c r="H2262" s="116"/>
      <c r="I2262" s="116"/>
      <c r="L2262" s="169">
        <v>45825</v>
      </c>
      <c r="M2262" s="116">
        <v>334.83333333333297</v>
      </c>
      <c r="N2262" s="116">
        <v>344.8</v>
      </c>
      <c r="O2262" s="116">
        <v>332.066666666667</v>
      </c>
      <c r="P2262" s="116">
        <v>340</v>
      </c>
      <c r="Q2262" s="116">
        <v>1004.5</v>
      </c>
      <c r="R2262">
        <v>42948</v>
      </c>
    </row>
    <row r="2263" spans="1:18" x14ac:dyDescent="0.25">
      <c r="A2263" s="169">
        <v>45826</v>
      </c>
      <c r="B2263" s="116">
        <v>335.5</v>
      </c>
      <c r="C2263" s="116">
        <v>331.65</v>
      </c>
      <c r="D2263" s="116">
        <v>330.683333333333</v>
      </c>
      <c r="E2263" s="116">
        <v>332.3</v>
      </c>
      <c r="F2263" s="116">
        <v>994.95</v>
      </c>
      <c r="G2263">
        <v>855</v>
      </c>
      <c r="H2263" s="116"/>
      <c r="I2263" s="116"/>
      <c r="L2263" s="169">
        <v>45826</v>
      </c>
      <c r="M2263" s="116">
        <v>332.26666666666699</v>
      </c>
      <c r="N2263" s="116">
        <v>336.03333333333302</v>
      </c>
      <c r="O2263" s="116">
        <v>330</v>
      </c>
      <c r="P2263" s="116">
        <v>334.83333333333297</v>
      </c>
      <c r="Q2263" s="116">
        <v>996.8</v>
      </c>
      <c r="R2263">
        <v>25015</v>
      </c>
    </row>
    <row r="2264" spans="1:18" x14ac:dyDescent="0.25">
      <c r="A2264" s="169">
        <v>45827</v>
      </c>
      <c r="B2264" s="116">
        <v>338.66666666666703</v>
      </c>
      <c r="C2264" s="116">
        <v>335.16666666666703</v>
      </c>
      <c r="D2264" s="116">
        <v>329.11666666666702</v>
      </c>
      <c r="E2264" s="116">
        <v>329.15</v>
      </c>
      <c r="F2264" s="116">
        <v>1005.5</v>
      </c>
      <c r="G2264">
        <v>2003</v>
      </c>
      <c r="H2264" s="116"/>
      <c r="I2264" s="116"/>
      <c r="L2264" s="169">
        <v>45827</v>
      </c>
      <c r="M2264" s="116">
        <v>335.03333333333302</v>
      </c>
      <c r="N2264" s="116">
        <v>338.933333333333</v>
      </c>
      <c r="O2264" s="116">
        <v>329.1</v>
      </c>
      <c r="P2264" s="116">
        <v>329.46666666666698</v>
      </c>
      <c r="Q2264" s="116">
        <v>1005.1</v>
      </c>
      <c r="R2264">
        <v>45239</v>
      </c>
    </row>
    <row r="2265" spans="1:18" x14ac:dyDescent="0.25">
      <c r="A2265" s="169">
        <v>45828</v>
      </c>
      <c r="B2265" s="116">
        <v>340</v>
      </c>
      <c r="C2265" s="116">
        <v>336.05</v>
      </c>
      <c r="D2265" s="116">
        <v>330.08333333333297</v>
      </c>
      <c r="E2265" s="116">
        <v>334.98333333333301</v>
      </c>
      <c r="F2265" s="116">
        <v>1008.15</v>
      </c>
      <c r="G2265">
        <v>4183</v>
      </c>
      <c r="H2265" s="116"/>
      <c r="I2265" s="116"/>
      <c r="L2265" s="169">
        <v>45828</v>
      </c>
      <c r="M2265" s="116">
        <v>336.63333333333298</v>
      </c>
      <c r="N2265" s="116">
        <v>341.33333333333297</v>
      </c>
      <c r="O2265" s="116">
        <v>330.53333333333302</v>
      </c>
      <c r="P2265" s="116">
        <v>337.66666666666703</v>
      </c>
      <c r="Q2265" s="116">
        <v>1009.9</v>
      </c>
      <c r="R2265">
        <v>57731</v>
      </c>
    </row>
    <row r="2266" spans="1:18" x14ac:dyDescent="0.25">
      <c r="A2266" s="169">
        <v>45831</v>
      </c>
      <c r="B2266" s="116">
        <v>338.433333333333</v>
      </c>
      <c r="C2266" s="116">
        <v>330.21666666666698</v>
      </c>
      <c r="D2266" s="116">
        <v>328.4</v>
      </c>
      <c r="E2266" s="116">
        <v>333.75</v>
      </c>
      <c r="F2266" s="116">
        <v>990.65</v>
      </c>
      <c r="G2266">
        <v>1602</v>
      </c>
      <c r="H2266" s="116"/>
      <c r="I2266" s="116"/>
      <c r="L2266" s="169">
        <v>45831</v>
      </c>
      <c r="M2266" s="116">
        <v>329.8</v>
      </c>
      <c r="N2266" s="116">
        <v>337.8</v>
      </c>
      <c r="O2266" s="116">
        <v>328.4</v>
      </c>
      <c r="P2266" s="116">
        <v>335</v>
      </c>
      <c r="Q2266" s="116">
        <v>989.4</v>
      </c>
      <c r="R2266">
        <v>34581</v>
      </c>
    </row>
    <row r="2267" spans="1:18" x14ac:dyDescent="0.25">
      <c r="A2267" s="169">
        <v>45832</v>
      </c>
      <c r="B2267" s="116">
        <v>335</v>
      </c>
      <c r="C2267" s="116">
        <v>318.55</v>
      </c>
      <c r="D2267" s="116">
        <v>316.76666666666699</v>
      </c>
      <c r="E2267" s="116">
        <v>329.816666666667</v>
      </c>
      <c r="F2267" s="116">
        <v>955.65</v>
      </c>
      <c r="G2267">
        <v>9400</v>
      </c>
      <c r="H2267" s="116"/>
      <c r="I2267" s="116"/>
      <c r="L2267" s="169">
        <v>45832</v>
      </c>
      <c r="M2267" s="116">
        <v>318.86666666666702</v>
      </c>
      <c r="N2267" s="116">
        <v>335.73333333333301</v>
      </c>
      <c r="O2267" s="116">
        <v>318.066666666667</v>
      </c>
      <c r="P2267" s="116">
        <v>329.8</v>
      </c>
      <c r="Q2267" s="116">
        <v>956.6</v>
      </c>
      <c r="R2267">
        <v>57766</v>
      </c>
    </row>
    <row r="2268" spans="1:18" x14ac:dyDescent="0.25">
      <c r="A2268" s="169">
        <v>45833</v>
      </c>
      <c r="B2268" s="116">
        <v>333.98333333333301</v>
      </c>
      <c r="C2268" s="116">
        <v>331.2</v>
      </c>
      <c r="D2268" s="116">
        <v>320.64999999999998</v>
      </c>
      <c r="E2268" s="116">
        <v>322.5</v>
      </c>
      <c r="F2268" s="116">
        <v>993.6</v>
      </c>
      <c r="G2268">
        <v>2163</v>
      </c>
      <c r="H2268" s="116"/>
      <c r="I2268" s="116"/>
      <c r="L2268" s="169">
        <v>45833</v>
      </c>
      <c r="M2268" s="116">
        <v>330.66666666666703</v>
      </c>
      <c r="N2268" s="116">
        <v>334.9</v>
      </c>
      <c r="O2268" s="116">
        <v>321.26666666666699</v>
      </c>
      <c r="P2268" s="116">
        <v>322.73333333333301</v>
      </c>
      <c r="Q2268" s="116">
        <v>992</v>
      </c>
      <c r="R2268">
        <v>41094</v>
      </c>
    </row>
    <row r="2269" spans="1:18" x14ac:dyDescent="0.25">
      <c r="A2269" s="169">
        <v>45834</v>
      </c>
      <c r="B2269" s="116">
        <v>335.33333333333297</v>
      </c>
      <c r="C2269" s="116">
        <v>334.01666666666699</v>
      </c>
      <c r="D2269" s="116">
        <v>322.73333333333301</v>
      </c>
      <c r="E2269" s="116">
        <v>322.73333333333301</v>
      </c>
      <c r="F2269" s="116">
        <v>1002.05</v>
      </c>
      <c r="G2269">
        <v>2597</v>
      </c>
      <c r="H2269" s="116"/>
      <c r="I2269" s="116"/>
      <c r="L2269" s="169">
        <v>45834</v>
      </c>
      <c r="M2269" s="116">
        <v>334.26666666666699</v>
      </c>
      <c r="N2269" s="116">
        <v>335.9</v>
      </c>
      <c r="O2269" s="116">
        <v>330.66666666666703</v>
      </c>
      <c r="P2269" s="116">
        <v>330.66666666666703</v>
      </c>
      <c r="Q2269" s="116">
        <v>1002.8</v>
      </c>
      <c r="R2269">
        <v>26742</v>
      </c>
    </row>
    <row r="2270" spans="1:18" x14ac:dyDescent="0.25">
      <c r="A2270" s="169">
        <v>45835</v>
      </c>
      <c r="B2270" s="116">
        <v>337.83333333333297</v>
      </c>
      <c r="C2270" s="116">
        <v>332.23333333333301</v>
      </c>
      <c r="D2270" s="116">
        <v>330.83333333333297</v>
      </c>
      <c r="E2270" s="116">
        <v>334.33333333333297</v>
      </c>
      <c r="F2270" s="116">
        <v>996.7</v>
      </c>
      <c r="G2270">
        <v>1083</v>
      </c>
      <c r="H2270" s="116"/>
      <c r="I2270" s="116"/>
      <c r="L2270" s="169">
        <v>45835</v>
      </c>
      <c r="M2270" s="116">
        <v>332.23333333333301</v>
      </c>
      <c r="N2270" s="116">
        <v>337.96666666666698</v>
      </c>
      <c r="O2270" s="116">
        <v>330.33333333333297</v>
      </c>
      <c r="P2270" s="116">
        <v>335.83333333333297</v>
      </c>
      <c r="Q2270" s="116">
        <v>996.7</v>
      </c>
      <c r="R2270">
        <v>23886</v>
      </c>
    </row>
    <row r="2271" spans="1:18" x14ac:dyDescent="0.25">
      <c r="A2271" s="169">
        <v>45838</v>
      </c>
      <c r="B2271" s="116">
        <v>332.23333333333301</v>
      </c>
      <c r="C2271" s="116">
        <v>330.05</v>
      </c>
      <c r="D2271" s="116">
        <v>328.4</v>
      </c>
      <c r="E2271" s="116">
        <v>332.23333333333301</v>
      </c>
      <c r="F2271" s="116">
        <v>990.15</v>
      </c>
      <c r="G2271">
        <v>1341</v>
      </c>
      <c r="H2271" s="116"/>
      <c r="I2271" s="116"/>
      <c r="L2271" s="169">
        <v>45838</v>
      </c>
      <c r="M2271" s="116">
        <v>330.16666666666703</v>
      </c>
      <c r="N2271" s="116">
        <v>333.66666666666703</v>
      </c>
      <c r="O2271" s="116">
        <v>329.66666666666703</v>
      </c>
      <c r="P2271" s="116">
        <v>332.23333333333301</v>
      </c>
      <c r="Q2271" s="116">
        <v>990.5</v>
      </c>
      <c r="R2271">
        <v>14190</v>
      </c>
    </row>
    <row r="2272" spans="1:18" x14ac:dyDescent="0.25">
      <c r="A2272" s="169">
        <v>45839</v>
      </c>
      <c r="B2272" s="116">
        <v>328.7</v>
      </c>
      <c r="C2272" s="116">
        <v>324.95</v>
      </c>
      <c r="D2272" s="116">
        <v>322.88333333333298</v>
      </c>
      <c r="E2272" s="116">
        <v>327.66666666666703</v>
      </c>
      <c r="F2272" s="116">
        <v>974.85</v>
      </c>
      <c r="G2272">
        <v>713</v>
      </c>
      <c r="H2272" s="116"/>
      <c r="I2272" s="116"/>
      <c r="L2272" s="169">
        <v>45839</v>
      </c>
      <c r="M2272" s="116">
        <v>324.816666666667</v>
      </c>
      <c r="N2272" s="116">
        <v>329.3</v>
      </c>
      <c r="O2272" s="116">
        <v>323.01666666666699</v>
      </c>
      <c r="P2272" s="116">
        <v>328.66666666666703</v>
      </c>
      <c r="Q2272" s="116">
        <v>974.45</v>
      </c>
      <c r="R2272">
        <v>34934</v>
      </c>
    </row>
    <row r="2273" spans="1:18" x14ac:dyDescent="0.25">
      <c r="A2273" s="169">
        <v>45840</v>
      </c>
      <c r="B2273" s="116">
        <v>329.21666666666698</v>
      </c>
      <c r="C2273" s="116">
        <v>327.96666666666698</v>
      </c>
      <c r="D2273" s="116">
        <v>323.433333333333</v>
      </c>
      <c r="E2273" s="116">
        <v>325.13333333333298</v>
      </c>
      <c r="F2273" s="116">
        <v>983.9</v>
      </c>
      <c r="G2273">
        <v>2427</v>
      </c>
      <c r="H2273" s="116"/>
      <c r="I2273" s="116"/>
      <c r="L2273" s="169">
        <v>45840</v>
      </c>
      <c r="M2273" s="116">
        <v>328.13333333333298</v>
      </c>
      <c r="N2273" s="116">
        <v>329.6</v>
      </c>
      <c r="O2273" s="116">
        <v>323.33333333333297</v>
      </c>
      <c r="P2273" s="116">
        <v>328.33333333333297</v>
      </c>
      <c r="Q2273" s="116">
        <v>984.4</v>
      </c>
      <c r="R2273">
        <v>47437</v>
      </c>
    </row>
    <row r="2274" spans="1:18" x14ac:dyDescent="0.25">
      <c r="A2274" s="169">
        <v>45841</v>
      </c>
      <c r="B2274" s="116">
        <v>344.95</v>
      </c>
      <c r="C2274" s="116">
        <v>340.58333333333297</v>
      </c>
      <c r="D2274" s="116">
        <v>324.10000000000002</v>
      </c>
      <c r="E2274" s="116">
        <v>324.10000000000002</v>
      </c>
      <c r="F2274" s="116">
        <v>1021.75</v>
      </c>
      <c r="G2274">
        <v>3942</v>
      </c>
      <c r="H2274" s="116"/>
      <c r="I2274" s="116"/>
      <c r="L2274" s="169">
        <v>45841</v>
      </c>
      <c r="M2274" s="116">
        <v>340.01666666666699</v>
      </c>
      <c r="N2274" s="116">
        <v>345.4</v>
      </c>
      <c r="O2274" s="116">
        <v>325.8</v>
      </c>
      <c r="P2274" s="116">
        <v>326.66666666666703</v>
      </c>
      <c r="Q2274" s="116">
        <v>1020.05</v>
      </c>
      <c r="R2274">
        <v>70732</v>
      </c>
    </row>
    <row r="2275" spans="1:18" x14ac:dyDescent="0.25">
      <c r="A2275" s="169">
        <v>45842</v>
      </c>
      <c r="B2275" s="116">
        <v>344.86666666666702</v>
      </c>
      <c r="C2275" s="116">
        <v>340.13333333333298</v>
      </c>
      <c r="D2275" s="116">
        <v>334.45</v>
      </c>
      <c r="E2275" s="116">
        <v>340.66666666666703</v>
      </c>
      <c r="F2275" s="116">
        <v>1020.4</v>
      </c>
      <c r="G2275">
        <v>2638</v>
      </c>
      <c r="H2275" s="116"/>
      <c r="I2275" s="116"/>
      <c r="L2275" s="169">
        <v>45842</v>
      </c>
      <c r="M2275" s="116">
        <v>341.05</v>
      </c>
      <c r="N2275" s="116">
        <v>345</v>
      </c>
      <c r="O2275" s="116">
        <v>334.98333333333301</v>
      </c>
      <c r="P2275" s="116">
        <v>340.66666666666703</v>
      </c>
      <c r="Q2275" s="116">
        <v>1023.15</v>
      </c>
      <c r="R2275">
        <v>28491</v>
      </c>
    </row>
    <row r="2276" spans="1:18" x14ac:dyDescent="0.25">
      <c r="A2276" s="169">
        <v>45845</v>
      </c>
      <c r="B2276" s="116">
        <v>361.66666666666703</v>
      </c>
      <c r="C2276" s="116">
        <v>358.4</v>
      </c>
      <c r="D2276" s="116">
        <v>336.66666666666703</v>
      </c>
      <c r="E2276" s="116">
        <v>338.33333333333297</v>
      </c>
      <c r="F2276" s="116">
        <v>1075.2</v>
      </c>
      <c r="G2276">
        <v>13875</v>
      </c>
      <c r="H2276" s="116"/>
      <c r="I2276" s="116"/>
      <c r="L2276" s="169">
        <v>45845</v>
      </c>
      <c r="M2276" s="116">
        <v>357.36666666666702</v>
      </c>
      <c r="N2276" s="116">
        <v>361.66666666666703</v>
      </c>
      <c r="O2276" s="116">
        <v>335.88333333333298</v>
      </c>
      <c r="P2276" s="116">
        <v>341.05</v>
      </c>
      <c r="Q2276" s="116">
        <v>1072.0999999999999</v>
      </c>
      <c r="R2276">
        <v>137337</v>
      </c>
    </row>
    <row r="2277" spans="1:18" x14ac:dyDescent="0.25">
      <c r="A2277" s="169">
        <v>45846</v>
      </c>
      <c r="B2277" s="116">
        <v>366.86666666666702</v>
      </c>
      <c r="C2277" s="116">
        <v>355.316666666667</v>
      </c>
      <c r="D2277" s="116">
        <v>340.2</v>
      </c>
      <c r="E2277" s="116">
        <v>357.01666666666699</v>
      </c>
      <c r="F2277" s="116">
        <v>1065.95</v>
      </c>
      <c r="G2277">
        <v>17484</v>
      </c>
      <c r="H2277" s="116"/>
      <c r="I2277" s="116"/>
      <c r="L2277" s="169">
        <v>45846</v>
      </c>
      <c r="M2277" s="116">
        <v>356.13333333333298</v>
      </c>
      <c r="N2277" s="116">
        <v>366.66666666666703</v>
      </c>
      <c r="O2277" s="116">
        <v>339.95</v>
      </c>
      <c r="P2277" s="116">
        <v>357.36666666666702</v>
      </c>
      <c r="Q2277" s="116">
        <v>1068.4000000000001</v>
      </c>
      <c r="R2277">
        <v>134385</v>
      </c>
    </row>
    <row r="2278" spans="1:18" x14ac:dyDescent="0.25">
      <c r="A2278" s="169">
        <v>45847</v>
      </c>
      <c r="B2278" s="116">
        <v>367.15</v>
      </c>
      <c r="C2278" s="116">
        <v>364.8</v>
      </c>
      <c r="D2278" s="116">
        <v>356.683333333333</v>
      </c>
      <c r="E2278" s="116">
        <v>356.683333333333</v>
      </c>
      <c r="F2278" s="116">
        <v>1094.4000000000001</v>
      </c>
      <c r="G2278">
        <v>8402</v>
      </c>
      <c r="H2278" s="116"/>
      <c r="I2278" s="116"/>
      <c r="L2278" s="169">
        <v>45847</v>
      </c>
      <c r="M2278" s="116">
        <v>364.95</v>
      </c>
      <c r="N2278" s="116">
        <v>367.33333333333297</v>
      </c>
      <c r="O2278" s="116">
        <v>356.91666666666703</v>
      </c>
      <c r="P2278" s="116">
        <v>357.9</v>
      </c>
      <c r="Q2278" s="116">
        <v>1094.8499999999999</v>
      </c>
      <c r="R2278">
        <v>115428</v>
      </c>
    </row>
    <row r="2279" spans="1:18" x14ac:dyDescent="0.25">
      <c r="A2279" s="169">
        <v>45848</v>
      </c>
      <c r="B2279" s="116">
        <v>366.65</v>
      </c>
      <c r="C2279" s="116">
        <v>360.55</v>
      </c>
      <c r="D2279" s="116">
        <v>355.38333333333298</v>
      </c>
      <c r="E2279" s="116">
        <v>366.65</v>
      </c>
      <c r="F2279" s="116">
        <v>1081.6500000000001</v>
      </c>
      <c r="G2279">
        <v>1593</v>
      </c>
      <c r="H2279" s="116"/>
      <c r="I2279" s="116"/>
      <c r="L2279" s="169">
        <v>45848</v>
      </c>
      <c r="M2279" s="116">
        <v>360.61666666666702</v>
      </c>
      <c r="N2279" s="116">
        <v>366.66666666666703</v>
      </c>
      <c r="O2279" s="116">
        <v>355.28333333333302</v>
      </c>
      <c r="P2279" s="116">
        <v>366</v>
      </c>
      <c r="Q2279" s="116">
        <v>1081.8499999999999</v>
      </c>
      <c r="R2279">
        <v>38216</v>
      </c>
    </row>
    <row r="2280" spans="1:18" x14ac:dyDescent="0.25">
      <c r="A2280" s="169">
        <v>45849</v>
      </c>
      <c r="B2280" s="116">
        <v>369.01666666666699</v>
      </c>
      <c r="C2280" s="116">
        <v>363.16666666666703</v>
      </c>
      <c r="D2280" s="116">
        <v>356.683333333333</v>
      </c>
      <c r="E2280" s="116">
        <v>356.683333333333</v>
      </c>
      <c r="F2280" s="116">
        <v>1089.5</v>
      </c>
      <c r="G2280">
        <v>1611</v>
      </c>
      <c r="H2280" s="116"/>
      <c r="I2280" s="116"/>
      <c r="L2280" s="169">
        <v>45849</v>
      </c>
      <c r="M2280" s="116">
        <v>361.816666666667</v>
      </c>
      <c r="N2280" s="116">
        <v>367</v>
      </c>
      <c r="O2280" s="116">
        <v>357.35</v>
      </c>
      <c r="P2280" s="116">
        <v>360</v>
      </c>
      <c r="Q2280" s="116">
        <v>1085.45</v>
      </c>
      <c r="R2280">
        <v>54921</v>
      </c>
    </row>
    <row r="2281" spans="1:18" x14ac:dyDescent="0.25">
      <c r="A2281" s="169">
        <v>45852</v>
      </c>
      <c r="B2281" s="116">
        <v>392.33333333333297</v>
      </c>
      <c r="C2281" s="116">
        <v>386.9</v>
      </c>
      <c r="D2281" s="116">
        <v>360.33333333333297</v>
      </c>
      <c r="E2281" s="116">
        <v>360.33333333333297</v>
      </c>
      <c r="F2281" s="116">
        <v>1160.7</v>
      </c>
      <c r="G2281">
        <v>28116</v>
      </c>
      <c r="H2281" s="116"/>
      <c r="I2281" s="116"/>
      <c r="L2281" s="169">
        <v>45852</v>
      </c>
      <c r="M2281" s="116">
        <v>387.15</v>
      </c>
      <c r="N2281" s="116">
        <v>392.58333333333297</v>
      </c>
      <c r="O2281" s="116">
        <v>361.98333333333301</v>
      </c>
      <c r="P2281" s="116">
        <v>361.98333333333301</v>
      </c>
      <c r="Q2281" s="116">
        <v>1161.45</v>
      </c>
      <c r="R2281">
        <v>410425</v>
      </c>
    </row>
    <row r="2282" spans="1:18" x14ac:dyDescent="0.25">
      <c r="A2282" s="169">
        <v>45853</v>
      </c>
      <c r="B2282" s="116">
        <v>393.28333333333302</v>
      </c>
      <c r="C2282" s="116">
        <v>387.83333333333297</v>
      </c>
      <c r="D2282" s="116">
        <v>370</v>
      </c>
      <c r="E2282" s="116">
        <v>393.28333333333302</v>
      </c>
      <c r="F2282" s="116">
        <v>1163.5</v>
      </c>
      <c r="G2282">
        <v>9598</v>
      </c>
      <c r="H2282" s="116"/>
      <c r="I2282" s="116"/>
      <c r="L2282" s="169">
        <v>45853</v>
      </c>
      <c r="M2282" s="116">
        <v>388.23333333333301</v>
      </c>
      <c r="N2282" s="116">
        <v>393.05</v>
      </c>
      <c r="O2282" s="116">
        <v>370.11666666666702</v>
      </c>
      <c r="P2282" s="116">
        <v>391.3</v>
      </c>
      <c r="Q2282" s="116">
        <v>1164.7</v>
      </c>
      <c r="R2282">
        <v>157172</v>
      </c>
    </row>
    <row r="2283" spans="1:18" x14ac:dyDescent="0.25">
      <c r="A2283" s="169">
        <v>45854</v>
      </c>
      <c r="B2283" s="116">
        <v>400.03333333333302</v>
      </c>
      <c r="C2283" s="116">
        <v>399.45</v>
      </c>
      <c r="D2283" s="116">
        <v>381.23333333333301</v>
      </c>
      <c r="E2283" s="116">
        <v>387.38333333333298</v>
      </c>
      <c r="F2283" s="116">
        <v>1198.3499999999999</v>
      </c>
      <c r="G2283">
        <v>4593</v>
      </c>
      <c r="H2283" s="116"/>
      <c r="I2283" s="116"/>
      <c r="L2283" s="169">
        <v>45854</v>
      </c>
      <c r="M2283" s="116">
        <v>399.46666666666698</v>
      </c>
      <c r="N2283" s="116">
        <v>400.86666666666702</v>
      </c>
      <c r="O2283" s="116">
        <v>381.33333333333297</v>
      </c>
      <c r="P2283" s="116">
        <v>390</v>
      </c>
      <c r="Q2283" s="116">
        <v>1198.4000000000001</v>
      </c>
      <c r="R2283">
        <v>143133</v>
      </c>
    </row>
    <row r="2284" spans="1:18" x14ac:dyDescent="0.25">
      <c r="A2284" s="169">
        <v>45855</v>
      </c>
      <c r="B2284" s="116">
        <v>403.316666666667</v>
      </c>
      <c r="C2284" s="116">
        <v>386.73333333333301</v>
      </c>
      <c r="D2284" s="116">
        <v>384.48333333333301</v>
      </c>
      <c r="E2284" s="116">
        <v>403.316666666667</v>
      </c>
      <c r="F2284" s="116">
        <v>1160.2</v>
      </c>
      <c r="G2284">
        <v>3953</v>
      </c>
      <c r="H2284" s="116"/>
      <c r="I2284" s="116"/>
      <c r="L2284" s="169">
        <v>45855</v>
      </c>
      <c r="M2284" s="116">
        <v>387.05</v>
      </c>
      <c r="N2284" s="116">
        <v>402.65</v>
      </c>
      <c r="O2284" s="116">
        <v>384.66666666666703</v>
      </c>
      <c r="P2284" s="116">
        <v>402.03333333333302</v>
      </c>
      <c r="Q2284" s="116">
        <v>1161.1500000000001</v>
      </c>
      <c r="R2284">
        <v>91367</v>
      </c>
    </row>
    <row r="2285" spans="1:18" x14ac:dyDescent="0.25">
      <c r="A2285" s="169">
        <v>45856</v>
      </c>
      <c r="B2285" s="116">
        <v>400.61666666666702</v>
      </c>
      <c r="C2285" s="116">
        <v>394.51666666666699</v>
      </c>
      <c r="D2285" s="116">
        <v>386.41666666666703</v>
      </c>
      <c r="E2285" s="116">
        <v>386.73333333333301</v>
      </c>
      <c r="F2285" s="116">
        <v>1183.55</v>
      </c>
      <c r="G2285">
        <v>5164</v>
      </c>
      <c r="H2285" s="116"/>
      <c r="I2285" s="116"/>
      <c r="L2285" s="169">
        <v>45856</v>
      </c>
      <c r="M2285" s="116">
        <v>394.78333333333302</v>
      </c>
      <c r="N2285" s="116">
        <v>400</v>
      </c>
      <c r="O2285" s="116">
        <v>384.96666666666698</v>
      </c>
      <c r="P2285" s="116">
        <v>384.96666666666698</v>
      </c>
      <c r="Q2285" s="116">
        <v>1184.3499999999999</v>
      </c>
      <c r="R2285">
        <v>80863</v>
      </c>
    </row>
    <row r="2286" spans="1:18" x14ac:dyDescent="0.25">
      <c r="A2286" s="169">
        <v>45859</v>
      </c>
      <c r="B2286" s="116">
        <v>406.63333333333298</v>
      </c>
      <c r="C2286" s="116">
        <v>396.71666666666698</v>
      </c>
      <c r="D2286" s="116">
        <v>386.066666666667</v>
      </c>
      <c r="E2286" s="116">
        <v>406.63333333333298</v>
      </c>
      <c r="F2286" s="116">
        <v>1190.1500000000001</v>
      </c>
      <c r="G2286">
        <v>4326</v>
      </c>
      <c r="H2286" s="116"/>
      <c r="I2286" s="116"/>
      <c r="L2286" s="169">
        <v>45859</v>
      </c>
      <c r="M2286" s="116">
        <v>397.66666666666703</v>
      </c>
      <c r="N2286" s="116">
        <v>399</v>
      </c>
      <c r="O2286" s="116">
        <v>386.53333333333302</v>
      </c>
      <c r="P2286" s="116">
        <v>398.66666666666703</v>
      </c>
      <c r="Q2286" s="116">
        <v>1193</v>
      </c>
      <c r="R2286">
        <v>56404</v>
      </c>
    </row>
    <row r="2287" spans="1:18" x14ac:dyDescent="0.25">
      <c r="A2287" s="169">
        <v>45860</v>
      </c>
      <c r="B2287" s="116">
        <v>400.3</v>
      </c>
      <c r="C2287" s="116">
        <v>395.55</v>
      </c>
      <c r="D2287" s="116">
        <v>393.33333333333297</v>
      </c>
      <c r="E2287" s="116">
        <v>393.35</v>
      </c>
      <c r="F2287" s="116">
        <v>1186.6500000000001</v>
      </c>
      <c r="G2287">
        <v>3457</v>
      </c>
      <c r="H2287" s="116"/>
      <c r="I2287" s="116"/>
      <c r="L2287" s="169">
        <v>45860</v>
      </c>
      <c r="M2287" s="116">
        <v>395.83333333333297</v>
      </c>
      <c r="N2287" s="116">
        <v>400.66666666666703</v>
      </c>
      <c r="O2287" s="116">
        <v>393.23333333333301</v>
      </c>
      <c r="P2287" s="116">
        <v>397.33333333333297</v>
      </c>
      <c r="Q2287" s="116">
        <v>1187.5</v>
      </c>
      <c r="R2287">
        <v>92809</v>
      </c>
    </row>
    <row r="2288" spans="1:18" x14ac:dyDescent="0.25">
      <c r="A2288" s="169">
        <v>45861</v>
      </c>
      <c r="B2288" s="116">
        <v>403.33333333333297</v>
      </c>
      <c r="C2288" s="116">
        <v>401.48333333333301</v>
      </c>
      <c r="D2288" s="116">
        <v>394.78333333333302</v>
      </c>
      <c r="E2288" s="116">
        <v>398.05</v>
      </c>
      <c r="F2288" s="116">
        <v>1204.45</v>
      </c>
      <c r="G2288">
        <v>2403</v>
      </c>
      <c r="H2288" s="116"/>
      <c r="I2288" s="116"/>
      <c r="L2288" s="169">
        <v>45861</v>
      </c>
      <c r="M2288" s="116">
        <v>401.83333333333297</v>
      </c>
      <c r="N2288" s="116">
        <v>403.66666666666703</v>
      </c>
      <c r="O2288" s="116">
        <v>395</v>
      </c>
      <c r="P2288" s="116">
        <v>395.66666666666703</v>
      </c>
      <c r="Q2288" s="116">
        <v>1205.5</v>
      </c>
      <c r="R2288">
        <v>97779</v>
      </c>
    </row>
    <row r="2289" spans="1:18" x14ac:dyDescent="0.25">
      <c r="A2289" s="169">
        <v>45862</v>
      </c>
      <c r="B2289" s="116">
        <v>452.316666666667</v>
      </c>
      <c r="C2289" s="116">
        <v>446.1</v>
      </c>
      <c r="D2289" s="116">
        <v>410.5</v>
      </c>
      <c r="E2289" s="116">
        <v>414.65</v>
      </c>
      <c r="F2289" s="116">
        <v>1338.3</v>
      </c>
      <c r="G2289">
        <v>101495</v>
      </c>
      <c r="H2289" s="116"/>
      <c r="I2289" s="116"/>
      <c r="L2289" s="169">
        <v>45862</v>
      </c>
      <c r="M2289" s="116">
        <v>445.683333333333</v>
      </c>
      <c r="N2289" s="116">
        <v>452.61666666666702</v>
      </c>
      <c r="O2289" s="116">
        <v>409.96666666666698</v>
      </c>
      <c r="P2289" s="116">
        <v>417</v>
      </c>
      <c r="Q2289" s="116">
        <v>1337.05</v>
      </c>
      <c r="R2289">
        <v>1941438</v>
      </c>
    </row>
    <row r="2290" spans="1:18" x14ac:dyDescent="0.25">
      <c r="A2290" s="169">
        <v>45863</v>
      </c>
      <c r="B2290" s="116">
        <v>443.33333333333297</v>
      </c>
      <c r="C2290" s="116">
        <v>437.2</v>
      </c>
      <c r="D2290" s="116">
        <v>424.38333333333298</v>
      </c>
      <c r="E2290" s="116">
        <v>443.33333333333297</v>
      </c>
      <c r="F2290" s="116">
        <v>1311.6</v>
      </c>
      <c r="G2290">
        <v>30764</v>
      </c>
      <c r="H2290" s="116"/>
      <c r="I2290" s="116"/>
      <c r="L2290" s="169">
        <v>45863</v>
      </c>
      <c r="M2290" s="116">
        <v>437.38333333333298</v>
      </c>
      <c r="N2290" s="116">
        <v>444.33333333333297</v>
      </c>
      <c r="O2290" s="116">
        <v>426.83333333333297</v>
      </c>
      <c r="P2290" s="116">
        <v>441.66666666666703</v>
      </c>
      <c r="Q2290" s="116">
        <v>1312.15</v>
      </c>
      <c r="R2290">
        <v>169574</v>
      </c>
    </row>
    <row r="2291" spans="1:18" x14ac:dyDescent="0.25">
      <c r="A2291" s="169">
        <v>45866</v>
      </c>
      <c r="B2291" s="116">
        <v>449.65</v>
      </c>
      <c r="C2291" s="116">
        <v>414.76666666666699</v>
      </c>
      <c r="D2291" s="116">
        <v>411.566666666667</v>
      </c>
      <c r="E2291" s="116">
        <v>433.33333333333297</v>
      </c>
      <c r="F2291" s="116">
        <v>1244.3</v>
      </c>
      <c r="G2291">
        <v>21095</v>
      </c>
      <c r="H2291" s="116"/>
      <c r="I2291" s="116"/>
      <c r="L2291" s="169">
        <v>45866</v>
      </c>
      <c r="M2291" s="116">
        <v>415.45</v>
      </c>
      <c r="N2291" s="116">
        <v>449.96666666666698</v>
      </c>
      <c r="O2291" s="116">
        <v>411.38333333333298</v>
      </c>
      <c r="P2291" s="116">
        <v>435.35</v>
      </c>
      <c r="Q2291" s="116">
        <v>1246.3499999999999</v>
      </c>
      <c r="R2291">
        <v>279967</v>
      </c>
    </row>
    <row r="2292" spans="1:18" x14ac:dyDescent="0.25">
      <c r="A2292" s="169">
        <v>45867</v>
      </c>
      <c r="B2292" s="116">
        <v>430</v>
      </c>
      <c r="C2292" s="116">
        <v>422.36666666666702</v>
      </c>
      <c r="D2292" s="116">
        <v>411.21666666666698</v>
      </c>
      <c r="E2292" s="116">
        <v>418.23333333333301</v>
      </c>
      <c r="F2292" s="116">
        <v>1267.0999999999999</v>
      </c>
      <c r="G2292">
        <v>5678</v>
      </c>
      <c r="H2292" s="116"/>
      <c r="I2292" s="116"/>
      <c r="L2292" s="169">
        <v>45867</v>
      </c>
      <c r="M2292" s="116">
        <v>422.55</v>
      </c>
      <c r="N2292" s="116">
        <v>430</v>
      </c>
      <c r="O2292" s="116">
        <v>411.2</v>
      </c>
      <c r="P2292" s="116">
        <v>415.28333333333302</v>
      </c>
      <c r="Q2292" s="116">
        <v>1267.6500000000001</v>
      </c>
      <c r="R2292">
        <v>98233</v>
      </c>
    </row>
    <row r="2293" spans="1:18" x14ac:dyDescent="0.25">
      <c r="A2293" s="169">
        <v>45868</v>
      </c>
      <c r="B2293" s="116">
        <v>445.48333333333301</v>
      </c>
      <c r="C2293" s="116">
        <v>433.2</v>
      </c>
      <c r="D2293" s="116">
        <v>418.33333333333297</v>
      </c>
      <c r="E2293" s="116">
        <v>420.01666666666699</v>
      </c>
      <c r="F2293" s="116">
        <v>1299.5999999999999</v>
      </c>
      <c r="G2293">
        <v>17708</v>
      </c>
      <c r="H2293" s="116"/>
      <c r="I2293" s="116"/>
      <c r="L2293" s="169">
        <v>45868</v>
      </c>
      <c r="M2293" s="116">
        <v>433.45</v>
      </c>
      <c r="N2293" s="116">
        <v>444.86666666666702</v>
      </c>
      <c r="O2293" s="116">
        <v>418.35</v>
      </c>
      <c r="P2293" s="116">
        <v>422.73333333333301</v>
      </c>
      <c r="Q2293" s="116">
        <v>1300.3499999999999</v>
      </c>
      <c r="R2293">
        <v>277453</v>
      </c>
    </row>
    <row r="2294" spans="1:18" x14ac:dyDescent="0.25">
      <c r="A2294" s="169">
        <v>45869</v>
      </c>
      <c r="B2294" s="116">
        <v>444.33333333333297</v>
      </c>
      <c r="C2294" s="116">
        <v>441.566666666667</v>
      </c>
      <c r="D2294" s="116">
        <v>424.08333333333297</v>
      </c>
      <c r="E2294" s="116">
        <v>431.98333333333301</v>
      </c>
      <c r="F2294" s="116">
        <v>1324.7</v>
      </c>
      <c r="G2294">
        <v>9087</v>
      </c>
      <c r="H2294" s="116"/>
      <c r="I2294" s="116"/>
      <c r="L2294" s="169">
        <v>45869</v>
      </c>
      <c r="M2294" s="116">
        <v>441.96666666666698</v>
      </c>
      <c r="N2294" s="116">
        <v>444.33333333333297</v>
      </c>
      <c r="O2294" s="116">
        <v>425</v>
      </c>
      <c r="P2294" s="116">
        <v>428.36666666666702</v>
      </c>
      <c r="Q2294" s="116">
        <v>1325.9</v>
      </c>
      <c r="R2294">
        <v>143952</v>
      </c>
    </row>
    <row r="2295" spans="1:18" x14ac:dyDescent="0.25">
      <c r="A2295" s="169">
        <v>45870</v>
      </c>
      <c r="B2295" s="116">
        <v>458.8</v>
      </c>
      <c r="C2295" s="116">
        <v>441.1</v>
      </c>
      <c r="D2295" s="116">
        <v>434.63333333333298</v>
      </c>
      <c r="E2295" s="116">
        <v>440.566666666667</v>
      </c>
      <c r="F2295" s="116">
        <v>1323.3</v>
      </c>
      <c r="G2295">
        <v>12353</v>
      </c>
      <c r="H2295" s="116"/>
      <c r="I2295" s="116"/>
      <c r="L2295" s="169">
        <v>45870</v>
      </c>
      <c r="M2295" s="116">
        <v>440.26666666666699</v>
      </c>
      <c r="N2295" s="116">
        <v>458.33333333333297</v>
      </c>
      <c r="O2295" s="116">
        <v>433.33333333333297</v>
      </c>
      <c r="P2295" s="116">
        <v>443.66666666666703</v>
      </c>
      <c r="Q2295" s="116">
        <v>1320.8</v>
      </c>
      <c r="R2295">
        <v>215462</v>
      </c>
    </row>
    <row r="2296" spans="1:18" x14ac:dyDescent="0.25">
      <c r="A2296" s="169">
        <v>45873</v>
      </c>
      <c r="B2296" s="116">
        <v>455.316666666667</v>
      </c>
      <c r="C2296" s="116">
        <v>450.96666666666698</v>
      </c>
      <c r="D2296" s="116">
        <v>438.15</v>
      </c>
      <c r="E2296" s="116">
        <v>438.75</v>
      </c>
      <c r="F2296" s="116">
        <v>1352.9</v>
      </c>
      <c r="G2296">
        <v>11711</v>
      </c>
      <c r="H2296" s="116"/>
      <c r="I2296" s="116"/>
      <c r="L2296" s="169">
        <v>45873</v>
      </c>
      <c r="M2296" s="116">
        <v>450.96666666666698</v>
      </c>
      <c r="N2296" s="116">
        <v>455.933333333333</v>
      </c>
      <c r="O2296" s="116">
        <v>437.86666666666702</v>
      </c>
      <c r="P2296" s="116">
        <v>441.63333333333298</v>
      </c>
      <c r="Q2296" s="116">
        <v>1352.9</v>
      </c>
      <c r="R2296">
        <v>79621</v>
      </c>
    </row>
    <row r="2297" spans="1:18" x14ac:dyDescent="0.25">
      <c r="A2297" s="169">
        <v>45874</v>
      </c>
      <c r="B2297" s="116">
        <v>450.61666666666702</v>
      </c>
      <c r="C2297" s="116">
        <v>439.63333333333298</v>
      </c>
      <c r="D2297" s="116">
        <v>437.55</v>
      </c>
      <c r="E2297" s="116">
        <v>448.683333333333</v>
      </c>
      <c r="F2297" s="116">
        <v>1318.9</v>
      </c>
      <c r="G2297">
        <v>8808</v>
      </c>
      <c r="H2297" s="116"/>
      <c r="I2297" s="116"/>
      <c r="L2297" s="169">
        <v>45874</v>
      </c>
      <c r="M2297" s="116">
        <v>440.26666666666699</v>
      </c>
      <c r="N2297" s="116">
        <v>451.8</v>
      </c>
      <c r="O2297" s="116">
        <v>437.36666666666702</v>
      </c>
      <c r="P2297" s="116">
        <v>451.76666666666699</v>
      </c>
      <c r="Q2297" s="116">
        <v>1320.8</v>
      </c>
      <c r="R2297">
        <v>50500</v>
      </c>
    </row>
    <row r="2298" spans="1:18" x14ac:dyDescent="0.25">
      <c r="A2298" s="169">
        <v>45875</v>
      </c>
      <c r="B2298" s="116">
        <v>457.816666666667</v>
      </c>
      <c r="C2298" s="116">
        <v>448.51666666666699</v>
      </c>
      <c r="D2298" s="116">
        <v>433.33333333333297</v>
      </c>
      <c r="E2298" s="116">
        <v>433.36666666666702</v>
      </c>
      <c r="F2298" s="116">
        <v>1345.55</v>
      </c>
      <c r="G2298">
        <v>25181</v>
      </c>
      <c r="H2298" s="116"/>
      <c r="I2298" s="116"/>
      <c r="L2298" s="169">
        <v>45875</v>
      </c>
      <c r="M2298" s="116">
        <v>448.73333333333301</v>
      </c>
      <c r="N2298" s="116">
        <v>458.3</v>
      </c>
      <c r="O2298" s="116">
        <v>436.66666666666703</v>
      </c>
      <c r="P2298" s="116">
        <v>436.66666666666703</v>
      </c>
      <c r="Q2298" s="116">
        <v>1346.2</v>
      </c>
      <c r="R2298">
        <v>184900</v>
      </c>
    </row>
    <row r="2299" spans="1:18" x14ac:dyDescent="0.25">
      <c r="A2299" s="169">
        <v>45876</v>
      </c>
      <c r="B2299" s="116">
        <v>456.28333333333302</v>
      </c>
      <c r="C2299" s="116">
        <v>448.78333333333302</v>
      </c>
      <c r="D2299" s="116">
        <v>439.683333333333</v>
      </c>
      <c r="E2299" s="116">
        <v>439.683333333333</v>
      </c>
      <c r="F2299" s="116">
        <v>1346.35</v>
      </c>
      <c r="G2299">
        <v>10192</v>
      </c>
      <c r="H2299" s="116"/>
      <c r="I2299" s="116"/>
      <c r="L2299" s="169">
        <v>45876</v>
      </c>
      <c r="M2299" s="116">
        <v>449.1</v>
      </c>
      <c r="N2299" s="116">
        <v>455.86666666666702</v>
      </c>
      <c r="O2299" s="116">
        <v>442.03333333333302</v>
      </c>
      <c r="P2299" s="116">
        <v>449.2</v>
      </c>
      <c r="Q2299" s="116">
        <v>1347.3</v>
      </c>
      <c r="R2299">
        <v>86999</v>
      </c>
    </row>
    <row r="2300" spans="1:18" x14ac:dyDescent="0.25">
      <c r="A2300" s="169">
        <v>45877</v>
      </c>
      <c r="B2300" s="116">
        <v>457.316666666667</v>
      </c>
      <c r="C2300" s="116">
        <v>444.433333333333</v>
      </c>
      <c r="D2300" s="116">
        <v>438.91666666666703</v>
      </c>
      <c r="E2300" s="116">
        <v>446.15</v>
      </c>
      <c r="F2300" s="116">
        <v>1333.3</v>
      </c>
      <c r="G2300">
        <v>6801</v>
      </c>
      <c r="H2300" s="116"/>
      <c r="I2300" s="116"/>
      <c r="L2300" s="169">
        <v>45877</v>
      </c>
      <c r="M2300" s="116">
        <v>445.8</v>
      </c>
      <c r="N2300" s="116">
        <v>456.63333333333298</v>
      </c>
      <c r="O2300" s="116">
        <v>438</v>
      </c>
      <c r="P2300" s="116">
        <v>449.1</v>
      </c>
      <c r="Q2300" s="116">
        <v>1337.4</v>
      </c>
      <c r="R2300">
        <v>117086</v>
      </c>
    </row>
    <row r="2301" spans="1:18" x14ac:dyDescent="0.25">
      <c r="A2301" s="169">
        <v>45880</v>
      </c>
      <c r="B2301" s="116">
        <v>450</v>
      </c>
      <c r="C2301" s="116">
        <v>443.13333333333298</v>
      </c>
      <c r="D2301" s="116">
        <v>420.53333333333302</v>
      </c>
      <c r="E2301" s="116">
        <v>446.65</v>
      </c>
      <c r="F2301" s="116">
        <v>1329.4</v>
      </c>
      <c r="G2301">
        <v>9666</v>
      </c>
      <c r="H2301" s="116"/>
      <c r="I2301" s="116"/>
      <c r="L2301" s="169">
        <v>45880</v>
      </c>
      <c r="M2301" s="116">
        <v>443.066666666667</v>
      </c>
      <c r="N2301" s="116">
        <v>450</v>
      </c>
      <c r="O2301" s="116">
        <v>421.2</v>
      </c>
      <c r="P2301" s="116">
        <v>441.66666666666703</v>
      </c>
      <c r="Q2301" s="116">
        <v>1329.2</v>
      </c>
      <c r="R2301">
        <v>157379</v>
      </c>
    </row>
    <row r="2302" spans="1:18" x14ac:dyDescent="0.25">
      <c r="A2302" s="169">
        <v>45881</v>
      </c>
      <c r="B2302" s="116">
        <v>455.33333333333297</v>
      </c>
      <c r="C2302" s="116">
        <v>449.83333333333297</v>
      </c>
      <c r="D2302" s="116">
        <v>437.01666666666699</v>
      </c>
      <c r="E2302" s="116">
        <v>437.01666666666699</v>
      </c>
      <c r="F2302" s="116">
        <v>1349.5</v>
      </c>
      <c r="G2302">
        <v>9156</v>
      </c>
      <c r="H2302" s="116"/>
      <c r="I2302" s="116"/>
      <c r="L2302" s="169">
        <v>45881</v>
      </c>
      <c r="M2302" s="116">
        <v>450.16666666666703</v>
      </c>
      <c r="N2302" s="116">
        <v>455.66666666666703</v>
      </c>
      <c r="O2302" s="116">
        <v>443.6</v>
      </c>
      <c r="P2302" s="116">
        <v>443.6</v>
      </c>
      <c r="Q2302" s="116">
        <v>1350.5</v>
      </c>
      <c r="R2302">
        <v>64873</v>
      </c>
    </row>
    <row r="2303" spans="1:18" x14ac:dyDescent="0.25">
      <c r="A2303" s="169">
        <v>45882</v>
      </c>
      <c r="B2303" s="116">
        <v>478.1</v>
      </c>
      <c r="C2303" s="116">
        <v>459.25</v>
      </c>
      <c r="D2303" s="116">
        <v>451</v>
      </c>
      <c r="E2303" s="116">
        <v>455.33333333333297</v>
      </c>
      <c r="F2303" s="116">
        <v>1377.75</v>
      </c>
      <c r="G2303">
        <v>11549</v>
      </c>
      <c r="H2303" s="116"/>
      <c r="I2303" s="116"/>
      <c r="L2303" s="169">
        <v>45882</v>
      </c>
      <c r="M2303" s="116">
        <v>458.73333333333301</v>
      </c>
      <c r="N2303" s="116">
        <v>478.33333333333297</v>
      </c>
      <c r="O2303" s="116">
        <v>450.2</v>
      </c>
      <c r="P2303" s="116">
        <v>452.5</v>
      </c>
      <c r="Q2303" s="116">
        <v>1376.2</v>
      </c>
      <c r="R2303">
        <v>325472</v>
      </c>
    </row>
    <row r="2304" spans="1:18" x14ac:dyDescent="0.25">
      <c r="A2304" s="169">
        <v>45883</v>
      </c>
      <c r="B2304" s="116">
        <v>465</v>
      </c>
      <c r="C2304" s="116">
        <v>461.88333333333298</v>
      </c>
      <c r="D2304" s="116">
        <v>447.78333333333302</v>
      </c>
      <c r="E2304" s="116">
        <v>462.65</v>
      </c>
      <c r="F2304" s="116">
        <v>1385.65</v>
      </c>
      <c r="G2304">
        <v>10104</v>
      </c>
      <c r="H2304" s="116"/>
      <c r="I2304" s="116"/>
      <c r="L2304" s="169">
        <v>45883</v>
      </c>
      <c r="M2304" s="116">
        <v>461.23333333333301</v>
      </c>
      <c r="N2304" s="116">
        <v>465.66666666666703</v>
      </c>
      <c r="O2304" s="116">
        <v>448</v>
      </c>
      <c r="P2304" s="116">
        <v>458.73333333333301</v>
      </c>
      <c r="Q2304" s="116">
        <v>1383.7</v>
      </c>
      <c r="R2304">
        <v>97865</v>
      </c>
    </row>
    <row r="2305" spans="1:18" x14ac:dyDescent="0.25">
      <c r="A2305" s="169">
        <v>45887</v>
      </c>
      <c r="B2305" s="116">
        <v>473.816666666667</v>
      </c>
      <c r="C2305" s="116">
        <v>466.55</v>
      </c>
      <c r="D2305" s="116">
        <v>462.48333333333301</v>
      </c>
      <c r="E2305" s="116">
        <v>472.85</v>
      </c>
      <c r="F2305" s="116">
        <v>1399.65</v>
      </c>
      <c r="G2305">
        <v>18918</v>
      </c>
      <c r="H2305" s="116"/>
      <c r="I2305" s="116"/>
      <c r="L2305" s="169">
        <v>45887</v>
      </c>
      <c r="M2305" s="116">
        <v>466.63333333333298</v>
      </c>
      <c r="N2305" s="116">
        <v>474.46666666666698</v>
      </c>
      <c r="O2305" s="116">
        <v>462.46666666666698</v>
      </c>
      <c r="P2305" s="116">
        <v>469.33333333333297</v>
      </c>
      <c r="Q2305" s="116">
        <v>1399.9</v>
      </c>
      <c r="R2305">
        <v>175161</v>
      </c>
    </row>
    <row r="2306" spans="1:18" x14ac:dyDescent="0.25">
      <c r="A2306" s="169">
        <v>45888</v>
      </c>
      <c r="B2306" s="116">
        <v>466.66666666666703</v>
      </c>
      <c r="C2306" s="116">
        <v>461.28333333333302</v>
      </c>
      <c r="D2306" s="116">
        <v>456.36666666666702</v>
      </c>
      <c r="E2306" s="116">
        <v>466.65</v>
      </c>
      <c r="F2306" s="116">
        <v>1383.85</v>
      </c>
      <c r="G2306">
        <v>2759</v>
      </c>
      <c r="H2306" s="116"/>
      <c r="I2306" s="116"/>
      <c r="L2306" s="169">
        <v>45888</v>
      </c>
      <c r="M2306" s="116">
        <v>461.933333333333</v>
      </c>
      <c r="N2306" s="116">
        <v>467.13333333333298</v>
      </c>
      <c r="O2306" s="116">
        <v>456.03333333333302</v>
      </c>
      <c r="P2306" s="116">
        <v>466</v>
      </c>
      <c r="Q2306" s="116">
        <v>1385.8</v>
      </c>
      <c r="R2306">
        <v>70146</v>
      </c>
    </row>
    <row r="2307" spans="1:18" x14ac:dyDescent="0.25">
      <c r="A2307" s="169">
        <v>45889</v>
      </c>
      <c r="B2307" s="116">
        <v>466.63333333333298</v>
      </c>
      <c r="C2307" s="116">
        <v>446.51666666666699</v>
      </c>
      <c r="D2307" s="116">
        <v>441.566666666667</v>
      </c>
      <c r="E2307" s="116">
        <v>466.63333333333298</v>
      </c>
      <c r="F2307" s="116">
        <v>1339.55</v>
      </c>
      <c r="G2307">
        <v>12303</v>
      </c>
      <c r="H2307" s="116"/>
      <c r="I2307" s="116"/>
      <c r="L2307" s="169">
        <v>45889</v>
      </c>
      <c r="M2307" s="116">
        <v>446.86666666666702</v>
      </c>
      <c r="N2307" s="116">
        <v>465</v>
      </c>
      <c r="O2307" s="116">
        <v>440.53333333333302</v>
      </c>
      <c r="P2307" s="116">
        <v>465</v>
      </c>
      <c r="Q2307" s="116">
        <v>1340.6</v>
      </c>
      <c r="R2307">
        <v>88623</v>
      </c>
    </row>
    <row r="2308" spans="1:18" x14ac:dyDescent="0.25">
      <c r="A2308" s="169">
        <v>45890</v>
      </c>
      <c r="B2308" s="116">
        <v>455.13333333333298</v>
      </c>
      <c r="C2308" s="116">
        <v>447.03333333333302</v>
      </c>
      <c r="D2308" s="116">
        <v>441.71666666666698</v>
      </c>
      <c r="E2308" s="116">
        <v>445.35</v>
      </c>
      <c r="F2308" s="116">
        <v>1341.1</v>
      </c>
      <c r="G2308">
        <v>3276</v>
      </c>
      <c r="H2308" s="116"/>
      <c r="I2308" s="116"/>
      <c r="L2308" s="169">
        <v>45890</v>
      </c>
      <c r="M2308" s="116">
        <v>446.66666666666703</v>
      </c>
      <c r="N2308" s="116">
        <v>454.96666666666698</v>
      </c>
      <c r="O2308" s="116">
        <v>441.66666666666703</v>
      </c>
      <c r="P2308" s="116">
        <v>446.66666666666703</v>
      </c>
      <c r="Q2308" s="116">
        <v>1340</v>
      </c>
      <c r="R2308">
        <v>112114</v>
      </c>
    </row>
    <row r="2309" spans="1:18" x14ac:dyDescent="0.25">
      <c r="A2309" s="169">
        <v>45891</v>
      </c>
      <c r="B2309" s="116">
        <v>449.33333333333297</v>
      </c>
      <c r="C2309" s="116">
        <v>420.8</v>
      </c>
      <c r="D2309" s="116">
        <v>413.66666666666703</v>
      </c>
      <c r="E2309" s="116">
        <v>446.55</v>
      </c>
      <c r="F2309" s="116">
        <v>1262.4000000000001</v>
      </c>
      <c r="G2309">
        <v>15794</v>
      </c>
      <c r="H2309" s="116"/>
      <c r="I2309" s="116"/>
      <c r="L2309" s="169">
        <v>45891</v>
      </c>
      <c r="M2309" s="116">
        <v>423.9</v>
      </c>
      <c r="N2309" s="116">
        <v>450</v>
      </c>
      <c r="O2309" s="116">
        <v>418.66666666666703</v>
      </c>
      <c r="P2309" s="116">
        <v>446.66666666666703</v>
      </c>
      <c r="Q2309" s="116">
        <v>1271.7</v>
      </c>
      <c r="R2309">
        <v>102328</v>
      </c>
    </row>
    <row r="2310" spans="1:18" x14ac:dyDescent="0.25">
      <c r="A2310" s="169">
        <v>45894</v>
      </c>
      <c r="B2310" s="116">
        <v>435.183333333333</v>
      </c>
      <c r="C2310" s="116">
        <v>421.816666666667</v>
      </c>
      <c r="D2310" s="116">
        <v>415.76666666666699</v>
      </c>
      <c r="E2310" s="116">
        <v>420.8</v>
      </c>
      <c r="F2310" s="116">
        <v>1265.45</v>
      </c>
      <c r="G2310">
        <v>8486</v>
      </c>
      <c r="H2310" s="116"/>
      <c r="I2310" s="116"/>
      <c r="L2310" s="169">
        <v>45894</v>
      </c>
      <c r="M2310" s="116">
        <v>421.76666666666699</v>
      </c>
      <c r="N2310" s="116">
        <v>435.566666666667</v>
      </c>
      <c r="O2310" s="116">
        <v>415.76666666666699</v>
      </c>
      <c r="P2310" s="116">
        <v>422</v>
      </c>
      <c r="Q2310" s="116">
        <v>1265.3</v>
      </c>
      <c r="R2310">
        <v>159363</v>
      </c>
    </row>
    <row r="2311" spans="1:18" x14ac:dyDescent="0.25">
      <c r="A2311" s="169">
        <v>45895</v>
      </c>
      <c r="B2311" s="116">
        <v>442.65</v>
      </c>
      <c r="C2311" s="116">
        <v>422.63333333333298</v>
      </c>
      <c r="D2311" s="116">
        <v>417.4</v>
      </c>
      <c r="E2311" s="116">
        <v>417.4</v>
      </c>
      <c r="F2311" s="116">
        <v>1267.9000000000001</v>
      </c>
      <c r="G2311">
        <v>20385</v>
      </c>
      <c r="H2311" s="116"/>
      <c r="I2311" s="116"/>
      <c r="L2311" s="169">
        <v>45895</v>
      </c>
      <c r="M2311" s="116">
        <v>422.3</v>
      </c>
      <c r="N2311" s="116">
        <v>443.23333333333301</v>
      </c>
      <c r="O2311" s="116">
        <v>418.566666666667</v>
      </c>
      <c r="P2311" s="116">
        <v>423.23333333333301</v>
      </c>
      <c r="Q2311" s="116">
        <v>1266.9000000000001</v>
      </c>
      <c r="R2311">
        <v>208193</v>
      </c>
    </row>
    <row r="2312" spans="1:18" x14ac:dyDescent="0.25">
      <c r="A2312" s="169">
        <v>45897</v>
      </c>
      <c r="B2312" s="116">
        <v>433.38333333333298</v>
      </c>
      <c r="C2312" s="116">
        <v>426</v>
      </c>
      <c r="D2312" s="116">
        <v>396.98333333333301</v>
      </c>
      <c r="E2312" s="116">
        <v>396.98333333333301</v>
      </c>
      <c r="F2312" s="116">
        <v>1278</v>
      </c>
      <c r="G2312">
        <v>9674</v>
      </c>
      <c r="H2312" s="116"/>
      <c r="I2312" s="116"/>
      <c r="L2312" s="169">
        <v>45897</v>
      </c>
      <c r="M2312" s="116">
        <v>426.066666666667</v>
      </c>
      <c r="N2312" s="116">
        <v>431.6</v>
      </c>
      <c r="O2312" s="116">
        <v>417.03333333333302</v>
      </c>
      <c r="P2312" s="116">
        <v>423.66666666666703</v>
      </c>
      <c r="Q2312" s="116">
        <v>1278.2</v>
      </c>
      <c r="R2312">
        <v>64713</v>
      </c>
    </row>
    <row r="2313" spans="1:18" x14ac:dyDescent="0.25">
      <c r="A2313" s="169">
        <v>45898</v>
      </c>
      <c r="B2313" s="116">
        <v>427.03333333333302</v>
      </c>
      <c r="C2313" s="116">
        <v>421.61666666666702</v>
      </c>
      <c r="D2313" s="116">
        <v>419.38333333333298</v>
      </c>
      <c r="E2313" s="116">
        <v>425.11666666666702</v>
      </c>
      <c r="F2313" s="116">
        <v>1264.8499999999999</v>
      </c>
      <c r="G2313">
        <v>3332</v>
      </c>
      <c r="H2313" s="116"/>
      <c r="I2313" s="116"/>
      <c r="L2313" s="169">
        <v>45898</v>
      </c>
      <c r="M2313" s="116">
        <v>421.76666666666699</v>
      </c>
      <c r="N2313" s="116">
        <v>428.3</v>
      </c>
      <c r="O2313" s="116">
        <v>418.83333333333297</v>
      </c>
      <c r="P2313" s="116">
        <v>428.3</v>
      </c>
      <c r="Q2313" s="116">
        <v>1265.3</v>
      </c>
      <c r="R2313">
        <v>44810</v>
      </c>
    </row>
    <row r="2314" spans="1:18" x14ac:dyDescent="0.25">
      <c r="A2314" s="169">
        <v>45901</v>
      </c>
      <c r="B2314" s="116">
        <v>432.48333333333301</v>
      </c>
      <c r="C2314" s="116">
        <v>429.78333333333302</v>
      </c>
      <c r="D2314" s="116">
        <v>421</v>
      </c>
      <c r="E2314" s="116">
        <v>425.96666666666698</v>
      </c>
      <c r="F2314" s="116">
        <v>1289.3499999999999</v>
      </c>
      <c r="G2314">
        <v>10647</v>
      </c>
      <c r="H2314" s="116"/>
      <c r="I2314" s="116"/>
      <c r="L2314" s="169">
        <v>45901</v>
      </c>
      <c r="M2314" s="116">
        <v>430.03333333333302</v>
      </c>
      <c r="N2314" s="116">
        <v>432.933333333333</v>
      </c>
      <c r="O2314" s="116">
        <v>418.33333333333297</v>
      </c>
      <c r="P2314" s="116">
        <v>418.33333333333297</v>
      </c>
      <c r="Q2314" s="116">
        <v>1290.0999999999999</v>
      </c>
      <c r="R2314">
        <v>166351</v>
      </c>
    </row>
    <row r="2315" spans="1:18" x14ac:dyDescent="0.25">
      <c r="A2315" s="169">
        <v>45902</v>
      </c>
      <c r="B2315" s="116">
        <v>447.98333333333301</v>
      </c>
      <c r="C2315" s="116">
        <v>443.76666666666699</v>
      </c>
      <c r="D2315" s="116">
        <v>432.33333333333297</v>
      </c>
      <c r="E2315" s="116">
        <v>432.33333333333297</v>
      </c>
      <c r="F2315" s="116">
        <v>1331.3</v>
      </c>
      <c r="G2315">
        <v>7340</v>
      </c>
      <c r="H2315" s="116"/>
      <c r="I2315" s="116"/>
      <c r="L2315" s="169">
        <v>45902</v>
      </c>
      <c r="M2315" s="116">
        <v>443.76666666666699</v>
      </c>
      <c r="N2315" s="116">
        <v>448</v>
      </c>
      <c r="O2315" s="116">
        <v>430.7</v>
      </c>
      <c r="P2315" s="116">
        <v>433.33333333333297</v>
      </c>
      <c r="Q2315" s="116">
        <v>1331.3</v>
      </c>
      <c r="R2315">
        <v>127138</v>
      </c>
    </row>
    <row r="2316" spans="1:18" x14ac:dyDescent="0.25">
      <c r="A2316" s="169">
        <v>45903</v>
      </c>
      <c r="B2316" s="116">
        <v>448.6</v>
      </c>
      <c r="C2316" s="116">
        <v>434.15</v>
      </c>
      <c r="D2316" s="116">
        <v>431.5</v>
      </c>
      <c r="E2316" s="116">
        <v>443.33333333333297</v>
      </c>
      <c r="F2316" s="116">
        <v>1302.45</v>
      </c>
      <c r="G2316">
        <v>12964</v>
      </c>
      <c r="H2316" s="116"/>
      <c r="I2316" s="116"/>
      <c r="L2316" s="169">
        <v>45903</v>
      </c>
      <c r="M2316" s="116">
        <v>433.86666666666702</v>
      </c>
      <c r="N2316" s="116">
        <v>448.26666666666699</v>
      </c>
      <c r="O2316" s="116">
        <v>431.73333333333301</v>
      </c>
      <c r="P2316" s="116">
        <v>443.33333333333297</v>
      </c>
      <c r="Q2316" s="116">
        <v>1301.5999999999999</v>
      </c>
      <c r="R2316">
        <v>117113</v>
      </c>
    </row>
    <row r="2317" spans="1:18" x14ac:dyDescent="0.25">
      <c r="A2317" s="169">
        <v>45904</v>
      </c>
      <c r="B2317" s="116">
        <v>457.05</v>
      </c>
      <c r="C2317" s="116">
        <v>446.76666666666699</v>
      </c>
      <c r="D2317" s="116">
        <v>428.35</v>
      </c>
      <c r="E2317" s="116">
        <v>436.316666666667</v>
      </c>
      <c r="F2317" s="116">
        <v>1340.3</v>
      </c>
      <c r="G2317">
        <v>22610</v>
      </c>
      <c r="H2317" s="116"/>
      <c r="I2317" s="116"/>
      <c r="L2317" s="169">
        <v>45904</v>
      </c>
      <c r="M2317" s="116">
        <v>446.933333333333</v>
      </c>
      <c r="N2317" s="116">
        <v>457.7</v>
      </c>
      <c r="O2317" s="116">
        <v>428.6</v>
      </c>
      <c r="P2317" s="116">
        <v>436.66666666666703</v>
      </c>
      <c r="Q2317" s="116">
        <v>1340.8</v>
      </c>
      <c r="R2317">
        <v>375404</v>
      </c>
    </row>
    <row r="2318" spans="1:18" x14ac:dyDescent="0.25">
      <c r="A2318" s="169">
        <v>45905</v>
      </c>
      <c r="B2318" s="116">
        <v>451</v>
      </c>
      <c r="C2318" s="116">
        <v>442.33333333333297</v>
      </c>
      <c r="D2318" s="116">
        <v>439.45</v>
      </c>
      <c r="E2318" s="116">
        <v>446.65</v>
      </c>
      <c r="F2318" s="116">
        <v>1327</v>
      </c>
      <c r="G2318">
        <v>5560</v>
      </c>
      <c r="H2318" s="116"/>
      <c r="I2318" s="116"/>
      <c r="L2318" s="169">
        <v>45905</v>
      </c>
      <c r="M2318" s="116">
        <v>442.3</v>
      </c>
      <c r="N2318" s="116">
        <v>451.53333333333302</v>
      </c>
      <c r="O2318" s="116">
        <v>440</v>
      </c>
      <c r="P2318" s="116">
        <v>445.066666666667</v>
      </c>
      <c r="Q2318" s="116">
        <v>1326.9</v>
      </c>
      <c r="R2318">
        <v>215412</v>
      </c>
    </row>
    <row r="2319" spans="1:18" x14ac:dyDescent="0.25">
      <c r="A2319" s="169">
        <v>45908</v>
      </c>
      <c r="B2319" s="116">
        <v>460.1</v>
      </c>
      <c r="C2319" s="116">
        <v>441</v>
      </c>
      <c r="D2319" s="116">
        <v>434.33333333333297</v>
      </c>
      <c r="E2319" s="116">
        <v>441.71666666666698</v>
      </c>
      <c r="F2319" s="116">
        <v>1323</v>
      </c>
      <c r="G2319">
        <v>15640</v>
      </c>
      <c r="H2319" s="116"/>
      <c r="I2319" s="116"/>
      <c r="L2319" s="169">
        <v>45908</v>
      </c>
      <c r="M2319" s="116">
        <v>440.63333333333298</v>
      </c>
      <c r="N2319" s="116">
        <v>461.2</v>
      </c>
      <c r="O2319" s="116">
        <v>435.066666666667</v>
      </c>
      <c r="P2319" s="116">
        <v>443.63333333333298</v>
      </c>
      <c r="Q2319" s="116">
        <v>1321.9</v>
      </c>
      <c r="R2319">
        <v>166034</v>
      </c>
    </row>
    <row r="2320" spans="1:18" x14ac:dyDescent="0.25">
      <c r="A2320" s="169">
        <v>45909</v>
      </c>
      <c r="B2320" s="116">
        <v>442.48333333333301</v>
      </c>
      <c r="C2320" s="116">
        <v>433.08333333333297</v>
      </c>
      <c r="D2320" s="116">
        <v>430.26666666666699</v>
      </c>
      <c r="E2320" s="116">
        <v>442.4</v>
      </c>
      <c r="F2320" s="116">
        <v>1299.25</v>
      </c>
      <c r="G2320">
        <v>7566</v>
      </c>
      <c r="H2320" s="116"/>
      <c r="I2320" s="116"/>
      <c r="L2320" s="169">
        <v>45909</v>
      </c>
      <c r="M2320" s="116">
        <v>433.3</v>
      </c>
      <c r="N2320" s="116">
        <v>444.2</v>
      </c>
      <c r="O2320" s="116">
        <v>430.53333333333302</v>
      </c>
      <c r="P2320" s="116">
        <v>442.33333333333297</v>
      </c>
      <c r="Q2320" s="116">
        <v>1299.9000000000001</v>
      </c>
      <c r="R2320">
        <v>56237</v>
      </c>
    </row>
    <row r="2321" spans="1:18" x14ac:dyDescent="0.25">
      <c r="A2321" s="169">
        <v>45910</v>
      </c>
      <c r="B2321" s="116">
        <v>435.66666666666703</v>
      </c>
      <c r="C2321" s="116">
        <v>431.683333333333</v>
      </c>
      <c r="D2321" s="116">
        <v>423.98333333333301</v>
      </c>
      <c r="E2321" s="116">
        <v>430.83333333333297</v>
      </c>
      <c r="F2321" s="116">
        <v>1295.05</v>
      </c>
      <c r="G2321">
        <v>8740</v>
      </c>
      <c r="H2321" s="116"/>
      <c r="I2321" s="116"/>
      <c r="L2321" s="169">
        <v>45910</v>
      </c>
      <c r="M2321" s="116">
        <v>431.13333333333298</v>
      </c>
      <c r="N2321" s="116">
        <v>436</v>
      </c>
      <c r="O2321" s="116">
        <v>423.86666666666702</v>
      </c>
      <c r="P2321" s="116">
        <v>433</v>
      </c>
      <c r="Q2321" s="116">
        <v>1293.4000000000001</v>
      </c>
      <c r="R2321">
        <v>108537</v>
      </c>
    </row>
    <row r="2322" spans="1:18" x14ac:dyDescent="0.25">
      <c r="A2322" s="169">
        <v>45911</v>
      </c>
      <c r="B2322" s="116">
        <v>431.65</v>
      </c>
      <c r="C2322" s="116">
        <v>418.13333333333298</v>
      </c>
      <c r="D2322" s="116">
        <v>415.6</v>
      </c>
      <c r="E2322" s="116">
        <v>430</v>
      </c>
      <c r="F2322" s="116">
        <v>1254.4000000000001</v>
      </c>
      <c r="G2322">
        <v>9725</v>
      </c>
      <c r="H2322" s="116"/>
      <c r="I2322" s="116"/>
      <c r="L2322" s="169">
        <v>45911</v>
      </c>
      <c r="M2322" s="116">
        <v>418.2</v>
      </c>
      <c r="N2322" s="116">
        <v>432.5</v>
      </c>
      <c r="O2322" s="116">
        <v>415.33333333333297</v>
      </c>
      <c r="P2322" s="116">
        <v>429.33333333333297</v>
      </c>
      <c r="Q2322" s="116">
        <v>1254.5999999999999</v>
      </c>
      <c r="R2322">
        <v>106794</v>
      </c>
    </row>
    <row r="2323" spans="1:18" x14ac:dyDescent="0.25">
      <c r="A2323" s="169">
        <v>45912</v>
      </c>
      <c r="B2323" s="116">
        <v>428.83333333333297</v>
      </c>
      <c r="C2323" s="116">
        <v>407.816666666667</v>
      </c>
      <c r="D2323" s="116">
        <v>406</v>
      </c>
      <c r="E2323" s="116">
        <v>420.33333333333297</v>
      </c>
      <c r="F2323" s="116">
        <v>1223.45</v>
      </c>
      <c r="G2323">
        <v>8003</v>
      </c>
      <c r="H2323" s="116"/>
      <c r="I2323" s="116"/>
      <c r="L2323" s="169">
        <v>45912</v>
      </c>
      <c r="M2323" s="116">
        <v>407.9</v>
      </c>
      <c r="N2323" s="116">
        <v>431.33333333333297</v>
      </c>
      <c r="O2323" s="116">
        <v>405.36666666666702</v>
      </c>
      <c r="P2323" s="116">
        <v>418.3</v>
      </c>
      <c r="Q2323" s="116">
        <v>1223.7</v>
      </c>
      <c r="R2323">
        <v>188074</v>
      </c>
    </row>
    <row r="2324" spans="1:18" x14ac:dyDescent="0.25">
      <c r="A2324" s="169">
        <v>45915</v>
      </c>
      <c r="B2324" s="116">
        <v>411</v>
      </c>
      <c r="C2324" s="116">
        <v>396.566666666667</v>
      </c>
      <c r="D2324" s="116">
        <v>394</v>
      </c>
      <c r="E2324" s="116">
        <v>409.316666666667</v>
      </c>
      <c r="F2324" s="116">
        <v>1189.7</v>
      </c>
      <c r="G2324">
        <v>3699</v>
      </c>
      <c r="H2324" s="116"/>
      <c r="I2324" s="116"/>
      <c r="L2324" s="169">
        <v>45915</v>
      </c>
      <c r="M2324" s="116">
        <v>396.6</v>
      </c>
      <c r="N2324" s="116">
        <v>411.2</v>
      </c>
      <c r="O2324" s="116">
        <v>393.8</v>
      </c>
      <c r="P2324" s="116">
        <v>410</v>
      </c>
      <c r="Q2324" s="116">
        <v>1189.8</v>
      </c>
      <c r="R2324">
        <v>125986</v>
      </c>
    </row>
    <row r="2325" spans="1:18" x14ac:dyDescent="0.25">
      <c r="A2325" s="169">
        <v>45916</v>
      </c>
      <c r="B2325" s="116">
        <v>403.48333333333301</v>
      </c>
      <c r="C2325" s="116">
        <v>397.61666666666702</v>
      </c>
      <c r="D2325" s="116">
        <v>395.1</v>
      </c>
      <c r="E2325" s="116">
        <v>400.41666666666703</v>
      </c>
      <c r="F2325" s="116">
        <v>1192.8499999999999</v>
      </c>
      <c r="G2325">
        <v>4790</v>
      </c>
      <c r="H2325" s="116"/>
      <c r="I2325" s="116"/>
      <c r="L2325" s="169">
        <v>45916</v>
      </c>
      <c r="M2325" s="116">
        <v>397.36666666666702</v>
      </c>
      <c r="N2325" s="116">
        <v>404.03333333333302</v>
      </c>
      <c r="O2325" s="116">
        <v>395.33333333333297</v>
      </c>
      <c r="P2325" s="116">
        <v>399.5</v>
      </c>
      <c r="Q2325" s="116">
        <v>1192.0999999999999</v>
      </c>
      <c r="R2325">
        <v>66727</v>
      </c>
    </row>
    <row r="2326" spans="1:18" x14ac:dyDescent="0.25">
      <c r="A2326" s="169">
        <v>45917</v>
      </c>
      <c r="B2326" s="116">
        <v>406.66666666666703</v>
      </c>
      <c r="C2326" s="116">
        <v>402.3</v>
      </c>
      <c r="D2326" s="116">
        <v>393.51666666666699</v>
      </c>
      <c r="E2326" s="116">
        <v>395.05</v>
      </c>
      <c r="F2326" s="116">
        <v>1206.9000000000001</v>
      </c>
      <c r="G2326">
        <v>7521</v>
      </c>
      <c r="H2326" s="116"/>
      <c r="I2326" s="116"/>
      <c r="L2326" s="169">
        <v>45917</v>
      </c>
      <c r="M2326" s="116">
        <v>402.8</v>
      </c>
      <c r="N2326" s="116">
        <v>406.66666666666703</v>
      </c>
      <c r="O2326" s="116">
        <v>393.66666666666703</v>
      </c>
      <c r="P2326" s="116">
        <v>397.33333333333297</v>
      </c>
      <c r="Q2326" s="116">
        <v>1208.4000000000001</v>
      </c>
      <c r="R2326">
        <v>108317</v>
      </c>
    </row>
    <row r="2327" spans="1:18" x14ac:dyDescent="0.25">
      <c r="A2327" s="169">
        <v>45918</v>
      </c>
      <c r="B2327" s="116">
        <v>406.4</v>
      </c>
      <c r="C2327" s="116">
        <v>398.4</v>
      </c>
      <c r="D2327" s="116">
        <v>396.5</v>
      </c>
      <c r="E2327" s="116">
        <v>406.38333333333298</v>
      </c>
      <c r="F2327" s="116">
        <v>1195.2</v>
      </c>
      <c r="G2327">
        <v>2497</v>
      </c>
      <c r="H2327" s="116"/>
      <c r="I2327" s="116"/>
      <c r="L2327" s="169">
        <v>45918</v>
      </c>
      <c r="M2327" s="116">
        <v>398.23333333333301</v>
      </c>
      <c r="N2327" s="116">
        <v>408.8</v>
      </c>
      <c r="O2327" s="116">
        <v>396.23333333333301</v>
      </c>
      <c r="P2327" s="116">
        <v>406.83333333333297</v>
      </c>
      <c r="Q2327" s="116">
        <v>1194.7</v>
      </c>
      <c r="R2327">
        <v>69271</v>
      </c>
    </row>
    <row r="2328" spans="1:18" x14ac:dyDescent="0.25">
      <c r="A2328" s="169">
        <v>45919</v>
      </c>
      <c r="B2328" s="116">
        <v>404.683333333333</v>
      </c>
      <c r="C2328" s="116">
        <v>402.08333333333297</v>
      </c>
      <c r="D2328" s="116">
        <v>396.55</v>
      </c>
      <c r="E2328" s="116">
        <v>398.41666666666703</v>
      </c>
      <c r="F2328" s="116">
        <v>1206.25</v>
      </c>
      <c r="G2328">
        <v>4940</v>
      </c>
      <c r="H2328" s="116"/>
      <c r="I2328" s="116"/>
      <c r="L2328" s="169">
        <v>45919</v>
      </c>
      <c r="M2328" s="116">
        <v>401.96666666666698</v>
      </c>
      <c r="N2328" s="116">
        <v>404.6</v>
      </c>
      <c r="O2328" s="116">
        <v>396.8</v>
      </c>
      <c r="P2328" s="116">
        <v>398.23333333333301</v>
      </c>
      <c r="Q2328" s="116">
        <v>1205.9000000000001</v>
      </c>
      <c r="R2328">
        <v>62857</v>
      </c>
    </row>
    <row r="2329" spans="1:18" x14ac:dyDescent="0.25">
      <c r="A2329" s="169">
        <v>45922</v>
      </c>
      <c r="B2329" s="116">
        <v>414.16666666666703</v>
      </c>
      <c r="C2329" s="116">
        <v>406.08333333333297</v>
      </c>
      <c r="D2329" s="116">
        <v>401.23333333333301</v>
      </c>
      <c r="E2329" s="116">
        <v>404.6</v>
      </c>
      <c r="F2329" s="116">
        <v>1218.25</v>
      </c>
      <c r="G2329">
        <v>14754</v>
      </c>
      <c r="H2329" s="116"/>
      <c r="I2329" s="116"/>
      <c r="L2329" s="169">
        <v>45922</v>
      </c>
      <c r="M2329" s="116">
        <v>406.26666666666699</v>
      </c>
      <c r="N2329" s="116">
        <v>414.16666666666703</v>
      </c>
      <c r="O2329" s="116">
        <v>400.36666666666702</v>
      </c>
      <c r="P2329" s="116">
        <v>401.96666666666698</v>
      </c>
      <c r="Q2329" s="116">
        <v>1218.8</v>
      </c>
      <c r="R2329">
        <v>125534</v>
      </c>
    </row>
    <row r="2330" spans="1:18" x14ac:dyDescent="0.25">
      <c r="A2330" s="169">
        <v>45923</v>
      </c>
      <c r="B2330" s="116">
        <v>409.65</v>
      </c>
      <c r="C2330" s="116">
        <v>400.7</v>
      </c>
      <c r="D2330" s="116">
        <v>398.66666666666703</v>
      </c>
      <c r="E2330" s="116">
        <v>409.65</v>
      </c>
      <c r="F2330" s="116">
        <v>1202.0999999999999</v>
      </c>
      <c r="G2330">
        <v>2025</v>
      </c>
      <c r="H2330" s="116"/>
      <c r="I2330" s="116"/>
      <c r="L2330" s="169">
        <v>45923</v>
      </c>
      <c r="M2330" s="116">
        <v>400.066666666667</v>
      </c>
      <c r="N2330" s="116">
        <v>409.83333333333297</v>
      </c>
      <c r="O2330" s="116">
        <v>398.066666666667</v>
      </c>
      <c r="P2330" s="116">
        <v>408.4</v>
      </c>
      <c r="Q2330" s="116">
        <v>1200.2</v>
      </c>
      <c r="R2330">
        <v>42835</v>
      </c>
    </row>
    <row r="2331" spans="1:18" x14ac:dyDescent="0.25">
      <c r="A2331" s="169">
        <v>45924</v>
      </c>
      <c r="B2331" s="116">
        <v>405.33333333333297</v>
      </c>
      <c r="C2331" s="116">
        <v>401.816666666667</v>
      </c>
      <c r="D2331" s="116">
        <v>397.7</v>
      </c>
      <c r="E2331" s="116">
        <v>405.33333333333297</v>
      </c>
      <c r="F2331" s="116">
        <v>1205.45</v>
      </c>
      <c r="G2331">
        <v>8432</v>
      </c>
      <c r="H2331" s="116"/>
      <c r="I2331" s="116"/>
      <c r="L2331" s="169">
        <v>45924</v>
      </c>
      <c r="M2331" s="116">
        <v>402.1</v>
      </c>
      <c r="N2331" s="116">
        <v>406.66666666666703</v>
      </c>
      <c r="O2331" s="116">
        <v>397.5</v>
      </c>
      <c r="P2331" s="116">
        <v>406.66666666666703</v>
      </c>
      <c r="Q2331" s="116">
        <v>1206.3</v>
      </c>
      <c r="R2331">
        <v>41280</v>
      </c>
    </row>
    <row r="2332" spans="1:18" x14ac:dyDescent="0.25">
      <c r="A2332" s="169">
        <v>45925</v>
      </c>
      <c r="B2332" s="116">
        <v>407.33333333333297</v>
      </c>
      <c r="C2332" s="116">
        <v>400.01666666666699</v>
      </c>
      <c r="D2332" s="116">
        <v>398.7</v>
      </c>
      <c r="E2332" s="116">
        <v>407.33333333333297</v>
      </c>
      <c r="F2332" s="116">
        <v>1200.05</v>
      </c>
      <c r="G2332">
        <v>1467</v>
      </c>
      <c r="H2332" s="116"/>
      <c r="I2332" s="116"/>
      <c r="L2332" s="169">
        <v>45925</v>
      </c>
      <c r="M2332" s="116">
        <v>399.83333333333297</v>
      </c>
      <c r="N2332" s="116">
        <v>406.66666666666703</v>
      </c>
      <c r="O2332" s="116">
        <v>398.5</v>
      </c>
      <c r="P2332" s="116">
        <v>406.66666666666703</v>
      </c>
      <c r="Q2332" s="116">
        <v>1199.5</v>
      </c>
      <c r="R2332">
        <v>30185</v>
      </c>
    </row>
    <row r="2333" spans="1:18" x14ac:dyDescent="0.25">
      <c r="A2333" s="169">
        <v>45926</v>
      </c>
      <c r="B2333" s="116">
        <v>392.16666666666703</v>
      </c>
      <c r="C2333" s="116">
        <v>373.9</v>
      </c>
      <c r="D2333" s="116">
        <v>370.63333333333298</v>
      </c>
      <c r="E2333" s="116">
        <v>392</v>
      </c>
      <c r="F2333" s="116">
        <v>1121.7</v>
      </c>
      <c r="G2333">
        <v>13954</v>
      </c>
      <c r="H2333" s="116"/>
      <c r="I2333" s="116"/>
      <c r="L2333" s="169">
        <v>45926</v>
      </c>
      <c r="M2333" s="116">
        <v>374.73333333333301</v>
      </c>
      <c r="N2333" s="116">
        <v>398.066666666667</v>
      </c>
      <c r="O2333" s="116">
        <v>370.83333333333297</v>
      </c>
      <c r="P2333" s="116">
        <v>395.83333333333297</v>
      </c>
      <c r="Q2333" s="116">
        <v>1124.2</v>
      </c>
      <c r="R2333">
        <v>90771</v>
      </c>
    </row>
    <row r="2334" spans="1:18" x14ac:dyDescent="0.25">
      <c r="A2334" s="169">
        <v>45929</v>
      </c>
      <c r="B2334" s="116">
        <v>412.26666666666699</v>
      </c>
      <c r="C2334" s="116">
        <v>394.566666666667</v>
      </c>
      <c r="D2334" s="116">
        <v>365.01666666666699</v>
      </c>
      <c r="E2334" s="116">
        <v>373.38333333333298</v>
      </c>
      <c r="F2334" s="116">
        <v>1183.7</v>
      </c>
      <c r="G2334">
        <v>15989</v>
      </c>
      <c r="H2334" s="116"/>
      <c r="I2334" s="116"/>
      <c r="L2334" s="169">
        <v>45929</v>
      </c>
      <c r="M2334" s="116">
        <v>391.96666666666698</v>
      </c>
      <c r="N2334" s="116">
        <v>412.33333333333297</v>
      </c>
      <c r="O2334" s="116">
        <v>363.73333333333301</v>
      </c>
      <c r="P2334" s="116">
        <v>374.66666666666703</v>
      </c>
      <c r="Q2334" s="116">
        <v>1175.9000000000001</v>
      </c>
      <c r="R2334">
        <v>322306</v>
      </c>
    </row>
    <row r="2335" spans="1:18" x14ac:dyDescent="0.25">
      <c r="A2335" s="169">
        <v>45930</v>
      </c>
      <c r="B2335" s="116">
        <v>390.98333333333301</v>
      </c>
      <c r="C2335" s="116">
        <v>386.71666666666698</v>
      </c>
      <c r="D2335" s="116">
        <v>375</v>
      </c>
      <c r="E2335" s="116">
        <v>376.66666666666703</v>
      </c>
      <c r="F2335" s="116">
        <v>1160.1500000000001</v>
      </c>
      <c r="G2335">
        <v>8982</v>
      </c>
      <c r="H2335" s="116"/>
      <c r="I2335" s="116"/>
      <c r="L2335" s="169">
        <v>45930</v>
      </c>
      <c r="M2335" s="116">
        <v>386.86666666666702</v>
      </c>
      <c r="N2335" s="116">
        <v>391.66666666666703</v>
      </c>
      <c r="O2335" s="116">
        <v>374.9</v>
      </c>
      <c r="P2335" s="116">
        <v>383.33333333333297</v>
      </c>
      <c r="Q2335" s="116">
        <v>1160.5999999999999</v>
      </c>
      <c r="R2335">
        <v>84454</v>
      </c>
    </row>
    <row r="2336" spans="1:18" x14ac:dyDescent="0.25">
      <c r="A2336" s="169">
        <v>45931</v>
      </c>
      <c r="B2336" s="116">
        <v>392.38333333333298</v>
      </c>
      <c r="C2336" s="116">
        <v>382.933333333333</v>
      </c>
      <c r="D2336" s="116">
        <v>376.71666666666698</v>
      </c>
      <c r="E2336" s="116">
        <v>385.01666666666699</v>
      </c>
      <c r="F2336" s="116">
        <v>1148.8</v>
      </c>
      <c r="G2336">
        <v>4237</v>
      </c>
      <c r="H2336" s="116"/>
      <c r="I2336" s="116"/>
      <c r="L2336" s="169">
        <v>45931</v>
      </c>
      <c r="M2336" s="116">
        <v>382.933333333333</v>
      </c>
      <c r="N2336" s="116">
        <v>393.33333333333297</v>
      </c>
      <c r="O2336" s="116">
        <v>376.66666666666703</v>
      </c>
      <c r="P2336" s="116">
        <v>386.63333333333298</v>
      </c>
      <c r="Q2336" s="116">
        <v>1148.8</v>
      </c>
      <c r="R2336">
        <v>78124</v>
      </c>
    </row>
    <row r="2337" spans="1:18" x14ac:dyDescent="0.25">
      <c r="A2337" s="169">
        <v>45933</v>
      </c>
      <c r="B2337" s="116">
        <v>396.33333333333297</v>
      </c>
      <c r="C2337" s="116">
        <v>393.1</v>
      </c>
      <c r="D2337" s="116">
        <v>377.66666666666703</v>
      </c>
      <c r="E2337" s="116">
        <v>389.48333333333301</v>
      </c>
      <c r="F2337" s="116">
        <v>1179.3</v>
      </c>
      <c r="G2337">
        <v>5370</v>
      </c>
      <c r="H2337" s="116"/>
      <c r="I2337" s="116"/>
      <c r="L2337" s="169">
        <v>45933</v>
      </c>
      <c r="M2337" s="116">
        <v>392.83333333333297</v>
      </c>
      <c r="N2337" s="116">
        <v>396.96666666666698</v>
      </c>
      <c r="O2337" s="116">
        <v>377.5</v>
      </c>
      <c r="P2337" s="116">
        <v>383.33333333333297</v>
      </c>
      <c r="Q2337" s="116">
        <v>1178.5</v>
      </c>
      <c r="R2337">
        <v>59546</v>
      </c>
    </row>
    <row r="2338" spans="1:18" x14ac:dyDescent="0.25">
      <c r="A2338" s="169">
        <v>45936</v>
      </c>
      <c r="B2338" s="116">
        <v>406.66666666666703</v>
      </c>
      <c r="C2338" s="116">
        <v>402.86666666666702</v>
      </c>
      <c r="D2338" s="116">
        <v>390.36666666666702</v>
      </c>
      <c r="E2338" s="116">
        <v>390.36666666666702</v>
      </c>
      <c r="F2338" s="116">
        <v>1208.5999999999999</v>
      </c>
      <c r="G2338">
        <v>6235</v>
      </c>
      <c r="H2338" s="116"/>
      <c r="I2338" s="116"/>
      <c r="L2338" s="169">
        <v>45936</v>
      </c>
      <c r="M2338" s="116">
        <v>403.2</v>
      </c>
      <c r="N2338" s="116">
        <v>409.63333333333298</v>
      </c>
      <c r="O2338" s="116">
        <v>390.66666666666703</v>
      </c>
      <c r="P2338" s="116">
        <v>392.96666666666698</v>
      </c>
      <c r="Q2338" s="116">
        <v>1209.5999999999999</v>
      </c>
      <c r="R2338">
        <v>80740</v>
      </c>
    </row>
    <row r="2339" spans="1:18" x14ac:dyDescent="0.25">
      <c r="A2339" s="169">
        <v>45937</v>
      </c>
      <c r="B2339" s="116">
        <v>422.33333333333297</v>
      </c>
      <c r="C2339" s="116">
        <v>406.11666666666702</v>
      </c>
      <c r="D2339" s="116">
        <v>403.78333333333302</v>
      </c>
      <c r="E2339" s="116">
        <v>416.01666666666699</v>
      </c>
      <c r="F2339" s="116">
        <v>1218.3499999999999</v>
      </c>
      <c r="G2339">
        <v>7197</v>
      </c>
      <c r="H2339" s="116"/>
      <c r="I2339" s="116"/>
      <c r="L2339" s="169">
        <v>45937</v>
      </c>
      <c r="M2339" s="116">
        <v>406.33333333333297</v>
      </c>
      <c r="N2339" s="116">
        <v>421.03333333333302</v>
      </c>
      <c r="O2339" s="116">
        <v>403.933333333333</v>
      </c>
      <c r="P2339" s="116">
        <v>418.3</v>
      </c>
      <c r="Q2339" s="116">
        <v>1219</v>
      </c>
      <c r="R2339">
        <v>125903</v>
      </c>
    </row>
    <row r="2340" spans="1:18" x14ac:dyDescent="0.25">
      <c r="A2340" s="169">
        <v>45938</v>
      </c>
      <c r="B2340" s="116">
        <v>412.3</v>
      </c>
      <c r="C2340" s="116">
        <v>410.46666666666698</v>
      </c>
      <c r="D2340" s="116">
        <v>405.33333333333297</v>
      </c>
      <c r="E2340" s="116">
        <v>407.25</v>
      </c>
      <c r="F2340" s="116">
        <v>1231.4000000000001</v>
      </c>
      <c r="G2340">
        <v>2249</v>
      </c>
      <c r="H2340" s="116"/>
      <c r="I2340" s="116"/>
      <c r="L2340" s="169">
        <v>45938</v>
      </c>
      <c r="M2340" s="116">
        <v>410.33333333333297</v>
      </c>
      <c r="N2340" s="116">
        <v>413</v>
      </c>
      <c r="O2340" s="116">
        <v>404.433333333333</v>
      </c>
      <c r="P2340" s="116">
        <v>408.33333333333297</v>
      </c>
      <c r="Q2340" s="116">
        <v>1231</v>
      </c>
      <c r="R2340">
        <v>45856</v>
      </c>
    </row>
    <row r="2341" spans="1:18" x14ac:dyDescent="0.25">
      <c r="A2341" s="169">
        <v>45939</v>
      </c>
      <c r="B2341" s="116">
        <v>415.33333333333297</v>
      </c>
      <c r="C2341" s="116">
        <v>401.9</v>
      </c>
      <c r="D2341" s="116">
        <v>398.33333333333297</v>
      </c>
      <c r="E2341" s="116">
        <v>411.01666666666699</v>
      </c>
      <c r="F2341" s="116">
        <v>1205.7</v>
      </c>
      <c r="G2341">
        <v>8001</v>
      </c>
      <c r="H2341" s="116"/>
      <c r="I2341" s="116"/>
      <c r="L2341" s="169">
        <v>45939</v>
      </c>
      <c r="M2341" s="116">
        <v>402.2</v>
      </c>
      <c r="N2341" s="116">
        <v>415.26666666666699</v>
      </c>
      <c r="O2341" s="116">
        <v>398.33333333333297</v>
      </c>
      <c r="P2341" s="116">
        <v>412.13333333333298</v>
      </c>
      <c r="Q2341" s="116">
        <v>1206.5999999999999</v>
      </c>
      <c r="R2341">
        <v>61418</v>
      </c>
    </row>
    <row r="2342" spans="1:18" x14ac:dyDescent="0.25">
      <c r="A2342" s="169">
        <v>45940</v>
      </c>
      <c r="B2342" s="116">
        <v>423.2</v>
      </c>
      <c r="C2342" s="116">
        <v>420.83333333333297</v>
      </c>
      <c r="D2342" s="116">
        <v>402.066666666667</v>
      </c>
      <c r="E2342" s="116">
        <v>406.45</v>
      </c>
      <c r="F2342" s="116">
        <v>1262.5</v>
      </c>
      <c r="G2342">
        <v>14535</v>
      </c>
      <c r="H2342" s="116"/>
      <c r="I2342" s="116"/>
      <c r="L2342" s="169">
        <v>45940</v>
      </c>
      <c r="M2342" s="116">
        <v>421.33333333333297</v>
      </c>
      <c r="N2342" s="116">
        <v>423.5</v>
      </c>
      <c r="O2342" s="116">
        <v>401.933333333333</v>
      </c>
      <c r="P2342" s="116">
        <v>406</v>
      </c>
      <c r="Q2342" s="116">
        <v>1264</v>
      </c>
      <c r="R2342">
        <v>90005</v>
      </c>
    </row>
    <row r="2343" spans="1:18" x14ac:dyDescent="0.25">
      <c r="A2343" s="169">
        <v>45943</v>
      </c>
      <c r="B2343" s="116">
        <v>433.5</v>
      </c>
      <c r="C2343" s="116">
        <v>421.03333333333302</v>
      </c>
      <c r="D2343" s="116">
        <v>414.96666666666698</v>
      </c>
      <c r="E2343" s="116">
        <v>422.95</v>
      </c>
      <c r="F2343" s="116">
        <v>1263.0999999999999</v>
      </c>
      <c r="G2343">
        <v>10754</v>
      </c>
      <c r="H2343" s="116"/>
      <c r="I2343" s="116"/>
      <c r="L2343" s="169">
        <v>45943</v>
      </c>
      <c r="M2343" s="116">
        <v>420.53333333333302</v>
      </c>
      <c r="N2343" s="116">
        <v>434.03333333333302</v>
      </c>
      <c r="O2343" s="116">
        <v>414.83333333333297</v>
      </c>
      <c r="P2343" s="116">
        <v>421.33333333333297</v>
      </c>
      <c r="Q2343" s="116">
        <v>1261.5999999999999</v>
      </c>
      <c r="R2343">
        <v>180301</v>
      </c>
    </row>
    <row r="2344" spans="1:18" x14ac:dyDescent="0.25">
      <c r="A2344" s="169">
        <v>45944</v>
      </c>
      <c r="B2344" s="116">
        <v>433.16666666666703</v>
      </c>
      <c r="C2344" s="116">
        <v>421.53333333333302</v>
      </c>
      <c r="D2344" s="116">
        <v>417.58333333333297</v>
      </c>
      <c r="E2344" s="116">
        <v>428.183333333333</v>
      </c>
      <c r="F2344" s="116">
        <v>1264.5999999999999</v>
      </c>
      <c r="G2344">
        <v>11796</v>
      </c>
      <c r="H2344" s="116"/>
      <c r="I2344" s="116"/>
      <c r="L2344" s="169">
        <v>45944</v>
      </c>
      <c r="M2344" s="116">
        <v>421.53333333333302</v>
      </c>
      <c r="N2344" s="116">
        <v>436.66666666666703</v>
      </c>
      <c r="O2344" s="116">
        <v>417.66666666666703</v>
      </c>
      <c r="P2344" s="116">
        <v>426.66666666666703</v>
      </c>
      <c r="Q2344" s="116">
        <v>1264.5999999999999</v>
      </c>
      <c r="R2344">
        <v>158043</v>
      </c>
    </row>
    <row r="2345" spans="1:18" x14ac:dyDescent="0.25">
      <c r="A2345" s="169">
        <v>45945</v>
      </c>
      <c r="B2345" s="116">
        <v>490</v>
      </c>
      <c r="C2345" s="116">
        <v>413.96666666666698</v>
      </c>
      <c r="D2345" s="116">
        <v>402.5</v>
      </c>
      <c r="E2345" s="116">
        <v>490</v>
      </c>
      <c r="F2345" s="116">
        <v>1241.9000000000001</v>
      </c>
      <c r="G2345">
        <v>608618</v>
      </c>
      <c r="H2345" s="116"/>
      <c r="I2345" s="116"/>
      <c r="L2345" s="169">
        <v>45945</v>
      </c>
      <c r="M2345" s="116">
        <v>412.9</v>
      </c>
      <c r="N2345" s="116">
        <v>491.33333333333297</v>
      </c>
      <c r="O2345" s="116">
        <v>402</v>
      </c>
      <c r="P2345" s="116">
        <v>483.33333333333297</v>
      </c>
      <c r="Q2345" s="116">
        <v>1238.7</v>
      </c>
      <c r="R2345">
        <v>6470864</v>
      </c>
    </row>
    <row r="2346" spans="1:18" x14ac:dyDescent="0.25">
      <c r="A2346" s="169">
        <v>45946</v>
      </c>
      <c r="B2346" s="116">
        <v>435.9</v>
      </c>
      <c r="C2346" s="116">
        <v>424.88333333333298</v>
      </c>
      <c r="D2346" s="116">
        <v>416.78333333333302</v>
      </c>
      <c r="E2346" s="116">
        <v>417.5</v>
      </c>
      <c r="F2346" s="116">
        <v>1274.6500000000001</v>
      </c>
      <c r="G2346">
        <v>114707</v>
      </c>
      <c r="H2346" s="116"/>
      <c r="I2346" s="116"/>
      <c r="L2346" s="169">
        <v>45946</v>
      </c>
      <c r="M2346" s="116">
        <v>425.23333333333301</v>
      </c>
      <c r="N2346" s="116">
        <v>436.26666666666699</v>
      </c>
      <c r="O2346" s="116">
        <v>416.66666666666703</v>
      </c>
      <c r="P2346" s="116">
        <v>416.66666666666703</v>
      </c>
      <c r="Q2346" s="116">
        <v>1275.7</v>
      </c>
      <c r="R2346">
        <v>1501215</v>
      </c>
    </row>
    <row r="2347" spans="1:18" x14ac:dyDescent="0.25">
      <c r="A2347" s="169">
        <v>45947</v>
      </c>
      <c r="B2347" s="116">
        <v>428.816666666667</v>
      </c>
      <c r="C2347" s="116">
        <v>414.73333333333301</v>
      </c>
      <c r="D2347" s="116">
        <v>413.66666666666703</v>
      </c>
      <c r="E2347" s="116">
        <v>428.816666666667</v>
      </c>
      <c r="F2347" s="116">
        <v>1244.2</v>
      </c>
      <c r="G2347">
        <v>22785</v>
      </c>
      <c r="H2347" s="116"/>
      <c r="I2347" s="116"/>
      <c r="L2347" s="169">
        <v>45947</v>
      </c>
      <c r="M2347" s="116">
        <v>414.63333333333298</v>
      </c>
      <c r="N2347" s="116">
        <v>427</v>
      </c>
      <c r="O2347" s="116">
        <v>413.33333333333297</v>
      </c>
      <c r="P2347" s="116">
        <v>427</v>
      </c>
      <c r="Q2347" s="116">
        <v>1243.9000000000001</v>
      </c>
      <c r="R2347">
        <v>307840</v>
      </c>
    </row>
    <row r="2348" spans="1:18" x14ac:dyDescent="0.25">
      <c r="A2348" s="169">
        <v>45950</v>
      </c>
      <c r="B2348" s="116">
        <v>424.2</v>
      </c>
      <c r="C2348" s="116">
        <v>413.55</v>
      </c>
      <c r="D2348" s="116">
        <v>410.48333333333301</v>
      </c>
      <c r="E2348" s="116">
        <v>417.25</v>
      </c>
      <c r="F2348" s="116">
        <v>1240.6500000000001</v>
      </c>
      <c r="G2348">
        <v>28240</v>
      </c>
      <c r="H2348" s="116"/>
      <c r="I2348" s="116"/>
      <c r="L2348" s="169">
        <v>45950</v>
      </c>
      <c r="M2348" s="116">
        <v>414.1</v>
      </c>
      <c r="N2348" s="116">
        <v>423.96666666666698</v>
      </c>
      <c r="O2348" s="116">
        <v>412.16666666666703</v>
      </c>
      <c r="P2348" s="116">
        <v>418.13333333333298</v>
      </c>
      <c r="Q2348" s="116">
        <v>1242.3</v>
      </c>
      <c r="R2348">
        <v>201222</v>
      </c>
    </row>
    <row r="2349" spans="1:18" x14ac:dyDescent="0.25">
      <c r="A2349" s="169">
        <v>45951</v>
      </c>
      <c r="B2349" s="116">
        <v>420.55</v>
      </c>
      <c r="C2349" s="116">
        <v>418.98333333333301</v>
      </c>
      <c r="D2349" s="116">
        <v>414.35</v>
      </c>
      <c r="E2349" s="116">
        <v>414.35</v>
      </c>
      <c r="F2349" s="116">
        <v>1256.95</v>
      </c>
      <c r="G2349">
        <v>7550</v>
      </c>
      <c r="H2349" s="116"/>
      <c r="I2349" s="116"/>
      <c r="L2349" s="169">
        <v>45951</v>
      </c>
      <c r="M2349" s="116">
        <v>419.1</v>
      </c>
      <c r="N2349" s="116">
        <v>420.76666666666699</v>
      </c>
      <c r="O2349" s="116">
        <v>415.46666666666698</v>
      </c>
      <c r="P2349" s="116">
        <v>417.5</v>
      </c>
      <c r="Q2349" s="116">
        <v>1257.3</v>
      </c>
      <c r="R2349">
        <v>61747</v>
      </c>
    </row>
    <row r="2350" spans="1:18" x14ac:dyDescent="0.25">
      <c r="A2350" s="169">
        <v>45953</v>
      </c>
      <c r="B2350" s="116">
        <v>424.35</v>
      </c>
      <c r="C2350" s="116">
        <v>417.76666666666699</v>
      </c>
      <c r="D2350" s="116">
        <v>415.03333333333302</v>
      </c>
      <c r="E2350" s="116">
        <v>424.35</v>
      </c>
      <c r="F2350" s="116">
        <v>1253.3</v>
      </c>
      <c r="G2350">
        <v>12311</v>
      </c>
      <c r="H2350" s="116"/>
      <c r="I2350" s="116"/>
      <c r="L2350" s="169">
        <v>45953</v>
      </c>
      <c r="M2350" s="116">
        <v>417.3</v>
      </c>
      <c r="N2350" s="116">
        <v>424.86666666666702</v>
      </c>
      <c r="O2350" s="116">
        <v>415.1</v>
      </c>
      <c r="P2350" s="116">
        <v>424.86666666666702</v>
      </c>
      <c r="Q2350" s="116">
        <v>1251.9000000000001</v>
      </c>
      <c r="R2350">
        <v>189471</v>
      </c>
    </row>
    <row r="2351" spans="1:18" x14ac:dyDescent="0.25">
      <c r="A2351" s="169">
        <v>45954</v>
      </c>
      <c r="B2351" s="116">
        <v>426.33333333333297</v>
      </c>
      <c r="C2351" s="116">
        <v>421.8</v>
      </c>
      <c r="D2351" s="116">
        <v>417.35</v>
      </c>
      <c r="E2351" s="116">
        <v>422.9</v>
      </c>
      <c r="F2351" s="116">
        <v>1265.4000000000001</v>
      </c>
      <c r="G2351">
        <v>120485</v>
      </c>
      <c r="H2351" s="116"/>
      <c r="I2351" s="116"/>
      <c r="L2351" s="169">
        <v>45954</v>
      </c>
      <c r="M2351" s="116">
        <v>422.03333333333302</v>
      </c>
      <c r="N2351" s="116">
        <v>426.33333333333297</v>
      </c>
      <c r="O2351" s="116">
        <v>417.33333333333297</v>
      </c>
      <c r="P2351" s="116">
        <v>420.66666666666703</v>
      </c>
      <c r="Q2351" s="116">
        <v>1266.0999999999999</v>
      </c>
      <c r="R2351">
        <v>7549474</v>
      </c>
    </row>
    <row r="2352" spans="1:18" x14ac:dyDescent="0.25">
      <c r="A2352" s="169">
        <v>45957</v>
      </c>
      <c r="B2352" s="116">
        <v>432.66666666666703</v>
      </c>
      <c r="C2352" s="116">
        <v>429.65</v>
      </c>
      <c r="D2352" s="116">
        <v>424.55</v>
      </c>
      <c r="E2352" s="116">
        <v>428.33333333333297</v>
      </c>
      <c r="F2352" s="116">
        <v>1288.95</v>
      </c>
      <c r="G2352">
        <v>66084</v>
      </c>
      <c r="H2352" s="116"/>
      <c r="I2352" s="116"/>
      <c r="L2352" s="169">
        <v>45957</v>
      </c>
      <c r="M2352" s="116">
        <v>429.9</v>
      </c>
      <c r="N2352" s="116">
        <v>432.66666666666703</v>
      </c>
      <c r="O2352" s="116">
        <v>425</v>
      </c>
      <c r="P2352" s="116">
        <v>429</v>
      </c>
      <c r="Q2352" s="116">
        <v>1289.7</v>
      </c>
      <c r="R2352">
        <v>557757</v>
      </c>
    </row>
    <row r="2353" spans="1:18" x14ac:dyDescent="0.25">
      <c r="A2353" s="169">
        <v>45958</v>
      </c>
      <c r="B2353" s="116">
        <v>444.4</v>
      </c>
      <c r="C2353" s="116">
        <v>443.41666666666703</v>
      </c>
      <c r="D2353" s="116">
        <v>423.26666666666699</v>
      </c>
      <c r="E2353" s="116">
        <v>428.76666666666699</v>
      </c>
      <c r="F2353" s="116">
        <v>1330.25</v>
      </c>
      <c r="G2353">
        <v>29584</v>
      </c>
      <c r="H2353" s="116"/>
      <c r="I2353" s="116"/>
      <c r="L2353" s="169">
        <v>45958</v>
      </c>
      <c r="M2353" s="116">
        <v>443.433333333333</v>
      </c>
      <c r="N2353" s="116">
        <v>444.63333333333298</v>
      </c>
      <c r="O2353" s="116">
        <v>423</v>
      </c>
      <c r="P2353" s="116">
        <v>429.7</v>
      </c>
      <c r="Q2353" s="116">
        <v>1330.3</v>
      </c>
      <c r="R2353">
        <v>527260</v>
      </c>
    </row>
    <row r="2354" spans="1:18" x14ac:dyDescent="0.25">
      <c r="A2354" s="169">
        <v>45959</v>
      </c>
      <c r="B2354" s="116">
        <v>451.66666666666703</v>
      </c>
      <c r="C2354" s="116">
        <v>450.46666666666698</v>
      </c>
      <c r="D2354" s="116">
        <v>436.01666666666699</v>
      </c>
      <c r="E2354" s="116">
        <v>444.183333333333</v>
      </c>
      <c r="F2354" s="116">
        <v>1351.4</v>
      </c>
      <c r="G2354">
        <v>15349</v>
      </c>
      <c r="H2354" s="116"/>
      <c r="I2354" s="116"/>
      <c r="L2354" s="169">
        <v>45959</v>
      </c>
      <c r="M2354" s="116">
        <v>450.2</v>
      </c>
      <c r="N2354" s="116">
        <v>452.33333333333297</v>
      </c>
      <c r="O2354" s="116">
        <v>435.933333333333</v>
      </c>
      <c r="P2354" s="116">
        <v>443.86666666666702</v>
      </c>
      <c r="Q2354" s="116">
        <v>1350.6</v>
      </c>
      <c r="R2354">
        <v>312434</v>
      </c>
    </row>
    <row r="2355" spans="1:18" x14ac:dyDescent="0.25">
      <c r="A2355" s="169">
        <v>45960</v>
      </c>
      <c r="B2355" s="116">
        <v>452.41666666666703</v>
      </c>
      <c r="C2355" s="116">
        <v>449.61666666666702</v>
      </c>
      <c r="D2355" s="116">
        <v>437.35</v>
      </c>
      <c r="E2355" s="116">
        <v>448.7</v>
      </c>
      <c r="F2355" s="116">
        <v>1348.85</v>
      </c>
      <c r="G2355">
        <v>26301</v>
      </c>
      <c r="H2355" s="116"/>
      <c r="I2355" s="116"/>
      <c r="L2355" s="169">
        <v>45960</v>
      </c>
      <c r="M2355" s="116">
        <v>449.1</v>
      </c>
      <c r="N2355" s="116">
        <v>453</v>
      </c>
      <c r="O2355" s="116">
        <v>437.46666666666698</v>
      </c>
      <c r="P2355" s="116">
        <v>449.63333333333298</v>
      </c>
      <c r="Q2355" s="116">
        <v>1347.3</v>
      </c>
      <c r="R2355">
        <v>253208</v>
      </c>
    </row>
    <row r="2356" spans="1:18" x14ac:dyDescent="0.25">
      <c r="A2356" s="169">
        <v>45961</v>
      </c>
      <c r="B2356" s="116">
        <v>467.36666666666702</v>
      </c>
      <c r="C2356" s="116">
        <v>465.53333333333302</v>
      </c>
      <c r="D2356" s="116">
        <v>443.51666666666699</v>
      </c>
      <c r="E2356" s="116">
        <v>446.88333333333298</v>
      </c>
      <c r="F2356" s="116">
        <v>1396.6</v>
      </c>
      <c r="G2356">
        <v>65221</v>
      </c>
      <c r="H2356" s="116"/>
      <c r="I2356" s="116"/>
      <c r="L2356" s="169">
        <v>45961</v>
      </c>
      <c r="M2356" s="116">
        <v>465.76666666666699</v>
      </c>
      <c r="N2356" s="116">
        <v>467.8</v>
      </c>
      <c r="O2356" s="116">
        <v>443.73333333333301</v>
      </c>
      <c r="P2356" s="116">
        <v>450.9</v>
      </c>
      <c r="Q2356" s="116">
        <v>1397.3</v>
      </c>
      <c r="R2356">
        <v>362397</v>
      </c>
    </row>
    <row r="2357" spans="1:18" x14ac:dyDescent="0.25">
      <c r="A2357" s="169">
        <v>45964</v>
      </c>
      <c r="B2357" s="116">
        <v>470.26666666666699</v>
      </c>
      <c r="C2357" s="116">
        <v>460.71666666666698</v>
      </c>
      <c r="D2357" s="116">
        <v>457.53333333333302</v>
      </c>
      <c r="E2357" s="116">
        <v>467.66666666666703</v>
      </c>
      <c r="F2357" s="116">
        <v>1382.15</v>
      </c>
      <c r="G2357">
        <v>14826</v>
      </c>
      <c r="H2357" s="116"/>
      <c r="I2357" s="116"/>
      <c r="L2357" s="169">
        <v>45964</v>
      </c>
      <c r="M2357" s="116">
        <v>460.433333333333</v>
      </c>
      <c r="N2357" s="116">
        <v>470</v>
      </c>
      <c r="O2357" s="116">
        <v>457.3</v>
      </c>
      <c r="P2357" s="116">
        <v>468.33333333333297</v>
      </c>
      <c r="Q2357" s="116">
        <v>1381.3</v>
      </c>
      <c r="R2357">
        <v>183386</v>
      </c>
    </row>
    <row r="2358" spans="1:18" x14ac:dyDescent="0.25">
      <c r="A2358" s="169">
        <v>45965</v>
      </c>
      <c r="B2358" s="116">
        <v>462.63333333333298</v>
      </c>
      <c r="C2358" s="116">
        <v>452.65</v>
      </c>
      <c r="D2358" s="116">
        <v>450.28333333333302</v>
      </c>
      <c r="E2358" s="116">
        <v>460.75</v>
      </c>
      <c r="F2358" s="116">
        <v>1357.95</v>
      </c>
      <c r="G2358">
        <v>21756</v>
      </c>
      <c r="H2358" s="116"/>
      <c r="I2358" s="116"/>
      <c r="L2358" s="169">
        <v>45965</v>
      </c>
      <c r="M2358" s="116">
        <v>452.16666666666703</v>
      </c>
      <c r="N2358" s="116">
        <v>462.66666666666703</v>
      </c>
      <c r="O2358" s="116">
        <v>450.1</v>
      </c>
      <c r="P2358" s="116">
        <v>461.933333333333</v>
      </c>
      <c r="Q2358" s="116">
        <v>1356.5</v>
      </c>
      <c r="R2358">
        <v>118734</v>
      </c>
    </row>
    <row r="2359" spans="1:18" x14ac:dyDescent="0.25">
      <c r="A2359" s="169">
        <v>45967</v>
      </c>
      <c r="B2359" s="116">
        <v>450.33333333333297</v>
      </c>
      <c r="C2359" s="116">
        <v>441.01666666666699</v>
      </c>
      <c r="D2359" s="116">
        <v>434.13333333333298</v>
      </c>
      <c r="E2359" s="116">
        <v>447.316666666667</v>
      </c>
      <c r="F2359" s="116">
        <v>1323.05</v>
      </c>
      <c r="G2359">
        <v>33753</v>
      </c>
      <c r="H2359" s="116"/>
      <c r="I2359" s="116"/>
      <c r="L2359" s="169">
        <v>45967</v>
      </c>
      <c r="M2359" s="116">
        <v>441.4</v>
      </c>
      <c r="N2359" s="116">
        <v>450.66666666666703</v>
      </c>
      <c r="O2359" s="116">
        <v>433.8</v>
      </c>
      <c r="P2359" s="116">
        <v>450.33333333333297</v>
      </c>
      <c r="Q2359" s="116">
        <v>1324.2</v>
      </c>
      <c r="R2359">
        <v>214360</v>
      </c>
    </row>
    <row r="2360" spans="1:18" x14ac:dyDescent="0.25">
      <c r="A2360" s="169">
        <v>45968</v>
      </c>
      <c r="B2360" s="116">
        <v>469.21666666666698</v>
      </c>
      <c r="C2360" s="116">
        <v>464.38333333333298</v>
      </c>
      <c r="D2360" s="116">
        <v>438.41666666666703</v>
      </c>
      <c r="E2360" s="116">
        <v>440.8</v>
      </c>
      <c r="F2360" s="116">
        <v>1393.15</v>
      </c>
      <c r="G2360">
        <v>22071</v>
      </c>
      <c r="H2360" s="116"/>
      <c r="I2360" s="116"/>
      <c r="L2360" s="169">
        <v>45968</v>
      </c>
      <c r="M2360" s="116">
        <v>463.7</v>
      </c>
      <c r="N2360" s="116">
        <v>469.26666666666699</v>
      </c>
      <c r="O2360" s="116">
        <v>437.8</v>
      </c>
      <c r="P2360" s="116">
        <v>441.33333333333297</v>
      </c>
      <c r="Q2360" s="116">
        <v>1391.1</v>
      </c>
      <c r="R2360">
        <v>524426</v>
      </c>
    </row>
    <row r="2361" spans="1:18" x14ac:dyDescent="0.25">
      <c r="A2361" s="169">
        <v>45971</v>
      </c>
      <c r="B2361" s="116">
        <v>469.45</v>
      </c>
      <c r="C2361" s="116">
        <v>452.53333333333302</v>
      </c>
      <c r="D2361" s="116">
        <v>447.71666666666698</v>
      </c>
      <c r="E2361" s="116">
        <v>463.71666666666698</v>
      </c>
      <c r="F2361" s="116">
        <v>1357.6</v>
      </c>
      <c r="G2361">
        <v>21756</v>
      </c>
      <c r="H2361" s="116"/>
      <c r="I2361" s="116"/>
      <c r="L2361" s="169">
        <v>45971</v>
      </c>
      <c r="M2361" s="116">
        <v>452.23333333333301</v>
      </c>
      <c r="N2361" s="116">
        <v>469.73333333333301</v>
      </c>
      <c r="O2361" s="116">
        <v>448.03333333333302</v>
      </c>
      <c r="P2361" s="116">
        <v>464.33333333333297</v>
      </c>
      <c r="Q2361" s="116">
        <v>1356.7</v>
      </c>
      <c r="R2361">
        <v>204743</v>
      </c>
    </row>
    <row r="2362" spans="1:18" x14ac:dyDescent="0.25">
      <c r="A2362" s="169">
        <v>45972</v>
      </c>
      <c r="B2362" s="116">
        <v>465.41666666666703</v>
      </c>
      <c r="C2362" s="116">
        <v>462.183333333333</v>
      </c>
      <c r="D2362" s="116">
        <v>450</v>
      </c>
      <c r="E2362" s="116">
        <v>453</v>
      </c>
      <c r="F2362" s="116">
        <v>1386.55</v>
      </c>
      <c r="G2362">
        <v>19134</v>
      </c>
      <c r="H2362" s="116"/>
      <c r="I2362" s="116"/>
      <c r="L2362" s="169">
        <v>45972</v>
      </c>
      <c r="M2362" s="116">
        <v>461.86666666666702</v>
      </c>
      <c r="N2362" s="116">
        <v>465.433333333333</v>
      </c>
      <c r="O2362" s="116">
        <v>449.6</v>
      </c>
      <c r="P2362" s="116">
        <v>452.86666666666702</v>
      </c>
      <c r="Q2362" s="116">
        <v>1385.6</v>
      </c>
      <c r="R2362">
        <v>202367</v>
      </c>
    </row>
    <row r="2363" spans="1:18" x14ac:dyDescent="0.25">
      <c r="A2363" s="169">
        <v>45973</v>
      </c>
      <c r="B2363" s="116">
        <v>468.316666666667</v>
      </c>
      <c r="C2363" s="116">
        <v>466.23333333333301</v>
      </c>
      <c r="D2363" s="116">
        <v>450.46666666666698</v>
      </c>
      <c r="E2363" s="116">
        <v>461.65</v>
      </c>
      <c r="F2363" s="116">
        <v>1398.7</v>
      </c>
      <c r="G2363">
        <v>18403</v>
      </c>
      <c r="H2363" s="116"/>
      <c r="I2363" s="116"/>
      <c r="L2363" s="169">
        <v>45973</v>
      </c>
      <c r="M2363" s="116">
        <v>466.433333333333</v>
      </c>
      <c r="N2363" s="116">
        <v>468.7</v>
      </c>
      <c r="O2363" s="116">
        <v>450.46666666666698</v>
      </c>
      <c r="P2363" s="116">
        <v>460</v>
      </c>
      <c r="Q2363" s="116">
        <v>1399.3</v>
      </c>
      <c r="R2363">
        <v>174060</v>
      </c>
    </row>
    <row r="2364" spans="1:18" x14ac:dyDescent="0.25">
      <c r="A2364" s="169">
        <v>45974</v>
      </c>
      <c r="B2364" s="116">
        <v>519.45000000000005</v>
      </c>
      <c r="C2364" s="116">
        <v>497.51666666666699</v>
      </c>
      <c r="D2364" s="116">
        <v>466.433333333333</v>
      </c>
      <c r="E2364" s="116">
        <v>468</v>
      </c>
      <c r="F2364" s="116">
        <v>1492.55</v>
      </c>
      <c r="G2364">
        <v>129660</v>
      </c>
      <c r="H2364" s="116"/>
      <c r="I2364" s="116"/>
      <c r="L2364" s="169">
        <v>45974</v>
      </c>
      <c r="M2364" s="116">
        <v>496.86666666666702</v>
      </c>
      <c r="N2364" s="116">
        <v>519.56666666666695</v>
      </c>
      <c r="O2364" s="116">
        <v>463.36666666666702</v>
      </c>
      <c r="P2364" s="116">
        <v>466.16666666666703</v>
      </c>
      <c r="Q2364" s="116">
        <v>1490.6</v>
      </c>
      <c r="R2364">
        <v>2234852</v>
      </c>
    </row>
    <row r="2365" spans="1:18" x14ac:dyDescent="0.25">
      <c r="A2365" s="169">
        <v>45975</v>
      </c>
      <c r="B2365" s="116">
        <v>525.33333333333303</v>
      </c>
      <c r="C2365" s="116">
        <v>521.5</v>
      </c>
      <c r="D2365" s="116">
        <v>488.96666666666698</v>
      </c>
      <c r="E2365" s="116">
        <v>493.83333333333297</v>
      </c>
      <c r="F2365" s="116">
        <v>1564.5</v>
      </c>
      <c r="G2365">
        <v>77714</v>
      </c>
      <c r="H2365" s="116"/>
      <c r="I2365" s="116"/>
      <c r="L2365" s="169">
        <v>45975</v>
      </c>
      <c r="M2365" s="116">
        <v>521.33333333333303</v>
      </c>
      <c r="N2365" s="116">
        <v>526.33333333333303</v>
      </c>
      <c r="O2365" s="116">
        <v>490.066666666667</v>
      </c>
      <c r="P2365" s="116">
        <v>496.86666666666702</v>
      </c>
      <c r="Q2365" s="116">
        <v>1564</v>
      </c>
      <c r="R2365">
        <v>636551</v>
      </c>
    </row>
    <row r="2366" spans="1:18" x14ac:dyDescent="0.25">
      <c r="A2366" s="169">
        <v>45978</v>
      </c>
      <c r="B2366" s="116">
        <v>537.96666666666704</v>
      </c>
      <c r="C2366" s="116">
        <v>519.73333333333301</v>
      </c>
      <c r="D2366" s="116">
        <v>502.7</v>
      </c>
      <c r="E2366" s="116">
        <v>537.96666666666704</v>
      </c>
      <c r="F2366" s="116">
        <v>1559.2</v>
      </c>
      <c r="G2366">
        <v>57762</v>
      </c>
      <c r="H2366" s="116"/>
      <c r="I2366" s="116"/>
      <c r="L2366" s="169">
        <v>45978</v>
      </c>
      <c r="M2366" s="116">
        <v>517.6</v>
      </c>
      <c r="N2366" s="116">
        <v>536.29999999999995</v>
      </c>
      <c r="O2366" s="116">
        <v>502.6</v>
      </c>
      <c r="P2366" s="116">
        <v>535</v>
      </c>
      <c r="Q2366" s="116">
        <v>1552.8</v>
      </c>
      <c r="R2366">
        <v>725613</v>
      </c>
    </row>
    <row r="2367" spans="1:18" x14ac:dyDescent="0.25">
      <c r="A2367" s="169">
        <v>45979</v>
      </c>
      <c r="B2367" s="116">
        <v>535.66666666666697</v>
      </c>
      <c r="C2367" s="116">
        <v>530.48333333333301</v>
      </c>
      <c r="D2367" s="116">
        <v>512.46666666666704</v>
      </c>
      <c r="E2367" s="116">
        <v>526.66666666666697</v>
      </c>
      <c r="F2367" s="116">
        <v>1591.45</v>
      </c>
      <c r="G2367">
        <v>39939</v>
      </c>
      <c r="H2367" s="116"/>
      <c r="I2367" s="116"/>
      <c r="L2367" s="169">
        <v>45979</v>
      </c>
      <c r="M2367" s="116">
        <v>530.63333333333298</v>
      </c>
      <c r="N2367" s="116">
        <v>536.66666666666697</v>
      </c>
      <c r="O2367" s="116">
        <v>512.03333333333296</v>
      </c>
      <c r="P2367" s="116">
        <v>524.4</v>
      </c>
      <c r="Q2367" s="116">
        <v>1591.9</v>
      </c>
      <c r="R2367">
        <v>433057</v>
      </c>
    </row>
    <row r="2368" spans="1:18" x14ac:dyDescent="0.25">
      <c r="A2368" s="169">
        <v>45980</v>
      </c>
      <c r="B2368" s="116">
        <v>530.48333333333301</v>
      </c>
      <c r="C2368" s="116">
        <v>521.61666666666702</v>
      </c>
      <c r="D2368" s="116">
        <v>519.5</v>
      </c>
      <c r="E2368" s="116">
        <v>530.48333333333301</v>
      </c>
      <c r="F2368" s="116">
        <v>1564.85</v>
      </c>
      <c r="G2368">
        <v>12947</v>
      </c>
      <c r="H2368" s="116"/>
      <c r="I2368" s="116"/>
      <c r="L2368" s="169">
        <v>45980</v>
      </c>
      <c r="M2368" s="116">
        <v>521.33333333333303</v>
      </c>
      <c r="N2368" s="116">
        <v>531.6</v>
      </c>
      <c r="O2368" s="116">
        <v>519.23333333333301</v>
      </c>
      <c r="P2368" s="116">
        <v>530.63333333333298</v>
      </c>
      <c r="Q2368" s="116">
        <v>1564</v>
      </c>
      <c r="R2368">
        <v>207573</v>
      </c>
    </row>
    <row r="2369" spans="1:18" x14ac:dyDescent="0.25">
      <c r="A2369" s="169">
        <v>45981</v>
      </c>
      <c r="B2369" s="116">
        <v>524.08333333333303</v>
      </c>
      <c r="C2369" s="116">
        <v>507.933333333333</v>
      </c>
      <c r="D2369" s="116">
        <v>502.25</v>
      </c>
      <c r="E2369" s="116">
        <v>524.08333333333303</v>
      </c>
      <c r="F2369" s="116">
        <v>1523.8</v>
      </c>
      <c r="G2369">
        <v>31002</v>
      </c>
      <c r="H2369" s="116"/>
      <c r="I2369" s="116"/>
      <c r="L2369" s="169">
        <v>45981</v>
      </c>
      <c r="M2369" s="116">
        <v>508.4</v>
      </c>
      <c r="N2369" s="116">
        <v>524.29999999999995</v>
      </c>
      <c r="O2369" s="116">
        <v>502.5</v>
      </c>
      <c r="P2369" s="116">
        <v>522.63333333333298</v>
      </c>
      <c r="Q2369" s="116">
        <v>1525.2</v>
      </c>
      <c r="R2369">
        <v>215354</v>
      </c>
    </row>
    <row r="2370" spans="1:18" x14ac:dyDescent="0.25">
      <c r="A2370" s="169">
        <v>45982</v>
      </c>
      <c r="B2370" s="116">
        <v>536.54999999999995</v>
      </c>
      <c r="C2370" s="116">
        <v>509.3</v>
      </c>
      <c r="D2370" s="116">
        <v>507.933333333333</v>
      </c>
      <c r="E2370" s="116">
        <v>508.75</v>
      </c>
      <c r="F2370" s="116">
        <v>1527.9</v>
      </c>
      <c r="G2370">
        <v>37765</v>
      </c>
      <c r="H2370" s="116"/>
      <c r="I2370" s="116"/>
      <c r="L2370" s="169">
        <v>45982</v>
      </c>
      <c r="M2370" s="116">
        <v>511.73333333333301</v>
      </c>
      <c r="N2370" s="116">
        <v>536.63333333333298</v>
      </c>
      <c r="O2370" s="116">
        <v>507.36666666666702</v>
      </c>
      <c r="P2370" s="116">
        <v>510.3</v>
      </c>
      <c r="Q2370" s="116">
        <v>1535.2</v>
      </c>
      <c r="R2370">
        <v>845542</v>
      </c>
    </row>
    <row r="2371" spans="1:18" x14ac:dyDescent="0.25">
      <c r="A2371" s="169">
        <v>45985</v>
      </c>
      <c r="B2371" s="116">
        <v>519.1</v>
      </c>
      <c r="C2371" s="116">
        <v>488.933333333333</v>
      </c>
      <c r="D2371" s="116">
        <v>486.21666666666698</v>
      </c>
      <c r="E2371" s="116">
        <v>519.1</v>
      </c>
      <c r="F2371" s="116">
        <v>1466.8</v>
      </c>
      <c r="G2371">
        <v>21550</v>
      </c>
      <c r="H2371" s="116"/>
      <c r="I2371" s="116"/>
      <c r="L2371" s="169">
        <v>45985</v>
      </c>
      <c r="M2371" s="116">
        <v>489.46666666666698</v>
      </c>
      <c r="N2371" s="116">
        <v>515.29999999999995</v>
      </c>
      <c r="O2371" s="116">
        <v>487.46666666666698</v>
      </c>
      <c r="P2371" s="116">
        <v>515.26666666666699</v>
      </c>
      <c r="Q2371" s="116">
        <v>1468.4</v>
      </c>
      <c r="R2371">
        <v>357007</v>
      </c>
    </row>
    <row r="2372" spans="1:18" x14ac:dyDescent="0.25">
      <c r="A2372" s="169">
        <v>45986</v>
      </c>
      <c r="B2372" s="116">
        <v>501.66666666666703</v>
      </c>
      <c r="C2372" s="116">
        <v>496.13333333333298</v>
      </c>
      <c r="D2372" s="116">
        <v>483.86666666666702</v>
      </c>
      <c r="E2372" s="116">
        <v>491.21666666666698</v>
      </c>
      <c r="F2372" s="116">
        <v>1488.4</v>
      </c>
      <c r="G2372">
        <v>19456</v>
      </c>
      <c r="H2372" s="116"/>
      <c r="I2372" s="116"/>
      <c r="L2372" s="169">
        <v>45986</v>
      </c>
      <c r="M2372" s="116">
        <v>497.73333333333301</v>
      </c>
      <c r="N2372" s="116">
        <v>502</v>
      </c>
      <c r="O2372" s="116">
        <v>483.5</v>
      </c>
      <c r="P2372" s="116">
        <v>491.66666666666703</v>
      </c>
      <c r="Q2372" s="116">
        <v>1493.2</v>
      </c>
      <c r="R2372">
        <v>264098</v>
      </c>
    </row>
    <row r="2373" spans="1:18" x14ac:dyDescent="0.25">
      <c r="A2373" s="169">
        <v>45987</v>
      </c>
      <c r="B2373" s="116">
        <v>507.183333333333</v>
      </c>
      <c r="C2373" s="116">
        <v>498.66666666666703</v>
      </c>
      <c r="D2373" s="116">
        <v>491.71666666666698</v>
      </c>
      <c r="E2373" s="116">
        <v>498.61666666666702</v>
      </c>
      <c r="F2373" s="116">
        <v>1496</v>
      </c>
      <c r="G2373">
        <v>8685</v>
      </c>
      <c r="H2373" s="116"/>
      <c r="I2373" s="116"/>
      <c r="L2373" s="169">
        <v>45987</v>
      </c>
      <c r="M2373" s="116">
        <v>498.566666666667</v>
      </c>
      <c r="N2373" s="116">
        <v>507.4</v>
      </c>
      <c r="O2373" s="116">
        <v>491.86666666666702</v>
      </c>
      <c r="P2373" s="116">
        <v>503.46666666666698</v>
      </c>
      <c r="Q2373" s="116">
        <v>1495.7</v>
      </c>
      <c r="R2373">
        <v>183410</v>
      </c>
    </row>
    <row r="2374" spans="1:18" x14ac:dyDescent="0.25">
      <c r="A2374" s="169">
        <v>45988</v>
      </c>
      <c r="B2374" s="116">
        <v>502.7</v>
      </c>
      <c r="C2374" s="116">
        <v>491.3</v>
      </c>
      <c r="D2374" s="116">
        <v>490</v>
      </c>
      <c r="E2374" s="116">
        <v>498.816666666667</v>
      </c>
      <c r="F2374" s="116">
        <v>1473.9</v>
      </c>
      <c r="G2374">
        <v>21971</v>
      </c>
      <c r="H2374" s="116"/>
      <c r="I2374" s="116"/>
      <c r="L2374" s="169">
        <v>45988</v>
      </c>
      <c r="M2374" s="116">
        <v>491.7</v>
      </c>
      <c r="N2374" s="116">
        <v>502.26666666666699</v>
      </c>
      <c r="O2374" s="116">
        <v>490</v>
      </c>
      <c r="P2374" s="116">
        <v>500.13333333333298</v>
      </c>
      <c r="Q2374" s="116">
        <v>1475.1</v>
      </c>
      <c r="R2374">
        <v>190639</v>
      </c>
    </row>
    <row r="2375" spans="1:18" x14ac:dyDescent="0.25">
      <c r="A2375" s="169">
        <v>45989</v>
      </c>
      <c r="B2375" s="116">
        <v>517.75</v>
      </c>
      <c r="C2375" s="116">
        <v>495.35</v>
      </c>
      <c r="D2375" s="116">
        <v>481.8</v>
      </c>
      <c r="E2375" s="116">
        <v>510</v>
      </c>
      <c r="F2375" s="116">
        <v>495.35</v>
      </c>
      <c r="G2375">
        <v>66545</v>
      </c>
      <c r="H2375" s="116"/>
      <c r="I2375" s="116"/>
      <c r="L2375" s="169">
        <v>45989</v>
      </c>
      <c r="M2375" s="116">
        <v>495.7</v>
      </c>
      <c r="N2375" s="116">
        <v>518.6</v>
      </c>
      <c r="O2375" s="116">
        <v>482</v>
      </c>
      <c r="P2375" s="116">
        <v>510</v>
      </c>
      <c r="Q2375" s="116">
        <v>495.7</v>
      </c>
      <c r="R2375">
        <v>1099016</v>
      </c>
    </row>
    <row r="2376" spans="1:18" x14ac:dyDescent="0.25">
      <c r="A2376" s="169">
        <v>45992</v>
      </c>
      <c r="B2376" s="116">
        <v>494.95</v>
      </c>
      <c r="C2376" s="116">
        <v>485.65</v>
      </c>
      <c r="D2376" s="116">
        <v>482.9</v>
      </c>
      <c r="E2376" s="116">
        <v>494.95</v>
      </c>
      <c r="F2376" s="116">
        <v>485.65</v>
      </c>
      <c r="G2376">
        <v>18593</v>
      </c>
      <c r="H2376" s="116"/>
      <c r="I2376" s="116"/>
      <c r="L2376" s="169">
        <v>45992</v>
      </c>
      <c r="M2376" s="116">
        <v>485</v>
      </c>
      <c r="N2376" s="116">
        <v>492</v>
      </c>
      <c r="O2376" s="116">
        <v>482.5</v>
      </c>
      <c r="P2376" s="116">
        <v>489</v>
      </c>
      <c r="Q2376" s="116">
        <v>485</v>
      </c>
      <c r="R2376">
        <v>292805</v>
      </c>
    </row>
    <row r="2377" spans="1:18" x14ac:dyDescent="0.25">
      <c r="A2377" s="169">
        <v>45993</v>
      </c>
      <c r="B2377" s="116">
        <v>472.35</v>
      </c>
      <c r="C2377" s="116">
        <v>463.8</v>
      </c>
      <c r="D2377" s="116">
        <v>455.55</v>
      </c>
      <c r="E2377" s="116">
        <v>461</v>
      </c>
      <c r="F2377" s="116">
        <v>463.8</v>
      </c>
      <c r="G2377">
        <v>71893</v>
      </c>
      <c r="H2377" s="116"/>
      <c r="I2377" s="116"/>
      <c r="L2377" s="169">
        <v>45993</v>
      </c>
      <c r="M2377" s="116">
        <v>464.2</v>
      </c>
      <c r="N2377" s="116">
        <v>472.6</v>
      </c>
      <c r="O2377" s="116">
        <v>455.7</v>
      </c>
      <c r="P2377" s="116">
        <v>457.1</v>
      </c>
      <c r="Q2377" s="116">
        <v>464.2</v>
      </c>
      <c r="R2377">
        <v>891156</v>
      </c>
    </row>
    <row r="2378" spans="1:18" x14ac:dyDescent="0.25">
      <c r="A2378" s="169">
        <v>45994</v>
      </c>
      <c r="B2378" s="116">
        <v>463.75</v>
      </c>
      <c r="C2378" s="116">
        <v>433</v>
      </c>
      <c r="D2378" s="116">
        <v>430.9</v>
      </c>
      <c r="E2378" s="116">
        <v>463.75</v>
      </c>
      <c r="F2378" s="116">
        <v>433</v>
      </c>
      <c r="G2378">
        <v>62283</v>
      </c>
      <c r="H2378" s="116"/>
      <c r="I2378" s="116"/>
      <c r="L2378" s="169">
        <v>45994</v>
      </c>
      <c r="M2378" s="116">
        <v>433.45</v>
      </c>
      <c r="N2378" s="116">
        <v>462.25</v>
      </c>
      <c r="O2378" s="116">
        <v>430.25</v>
      </c>
      <c r="P2378" s="116">
        <v>459.6</v>
      </c>
      <c r="Q2378" s="116">
        <v>433.45</v>
      </c>
      <c r="R2378">
        <v>1334028</v>
      </c>
    </row>
    <row r="2379" spans="1:18" x14ac:dyDescent="0.25">
      <c r="A2379" s="169">
        <v>45995</v>
      </c>
      <c r="B2379" s="116">
        <v>431.9</v>
      </c>
      <c r="C2379" s="116">
        <v>428.1</v>
      </c>
      <c r="D2379" s="116">
        <v>419</v>
      </c>
      <c r="E2379" s="116">
        <v>430.95</v>
      </c>
      <c r="F2379" s="116">
        <v>428.1</v>
      </c>
      <c r="G2379">
        <v>41083</v>
      </c>
      <c r="H2379" s="116"/>
      <c r="I2379" s="116"/>
      <c r="L2379" s="169">
        <v>45995</v>
      </c>
      <c r="M2379" s="116">
        <v>428.2</v>
      </c>
      <c r="N2379" s="116">
        <v>432.55</v>
      </c>
      <c r="O2379" s="116">
        <v>418.9</v>
      </c>
      <c r="P2379" s="116">
        <v>430</v>
      </c>
      <c r="Q2379" s="116">
        <v>428.2</v>
      </c>
      <c r="R2379">
        <v>1010041</v>
      </c>
    </row>
    <row r="2380" spans="1:18" x14ac:dyDescent="0.25">
      <c r="A2380" s="169">
        <v>45996</v>
      </c>
      <c r="B2380" s="116">
        <v>431</v>
      </c>
      <c r="C2380" s="116">
        <v>410.7</v>
      </c>
      <c r="D2380" s="116">
        <v>408.1</v>
      </c>
      <c r="E2380" s="116">
        <v>421</v>
      </c>
      <c r="F2380" s="116">
        <v>410.7</v>
      </c>
      <c r="G2380">
        <v>27980</v>
      </c>
      <c r="H2380" s="116"/>
      <c r="I2380" s="116"/>
      <c r="L2380" s="169">
        <v>45996</v>
      </c>
      <c r="M2380" s="116">
        <v>410.05</v>
      </c>
      <c r="N2380" s="116">
        <v>430.95</v>
      </c>
      <c r="O2380" s="116">
        <v>408.1</v>
      </c>
      <c r="P2380" s="116">
        <v>427</v>
      </c>
      <c r="Q2380" s="116">
        <v>410.05</v>
      </c>
      <c r="R2380">
        <v>771337</v>
      </c>
    </row>
    <row r="2381" spans="1:18" x14ac:dyDescent="0.25">
      <c r="A2381" s="169">
        <v>45999</v>
      </c>
      <c r="B2381" s="116">
        <v>425</v>
      </c>
      <c r="C2381" s="116">
        <v>421.85</v>
      </c>
      <c r="D2381" s="116">
        <v>409</v>
      </c>
      <c r="E2381" s="116">
        <v>409</v>
      </c>
      <c r="F2381" s="116">
        <v>421.85</v>
      </c>
      <c r="G2381">
        <v>73341</v>
      </c>
      <c r="H2381" s="116"/>
      <c r="I2381" s="116"/>
      <c r="L2381" s="169">
        <v>45999</v>
      </c>
      <c r="M2381" s="116">
        <v>422.2</v>
      </c>
      <c r="N2381" s="116">
        <v>425.55</v>
      </c>
      <c r="O2381" s="116">
        <v>408.55</v>
      </c>
      <c r="P2381" s="116">
        <v>409</v>
      </c>
      <c r="Q2381" s="116">
        <v>422.2</v>
      </c>
      <c r="R2381">
        <v>947120</v>
      </c>
    </row>
    <row r="2382" spans="1:18" x14ac:dyDescent="0.25">
      <c r="A2382" s="169">
        <v>46000</v>
      </c>
      <c r="B2382" s="116">
        <v>431.65</v>
      </c>
      <c r="C2382" s="116">
        <v>430.05</v>
      </c>
      <c r="D2382" s="116">
        <v>413.05</v>
      </c>
      <c r="E2382" s="116">
        <v>424.95</v>
      </c>
      <c r="F2382" s="116">
        <v>430.05</v>
      </c>
      <c r="G2382">
        <v>21733</v>
      </c>
      <c r="H2382" s="116"/>
      <c r="I2382" s="116"/>
      <c r="L2382" s="169">
        <v>46000</v>
      </c>
      <c r="M2382" s="116">
        <v>430.25</v>
      </c>
      <c r="N2382" s="116">
        <v>431.95</v>
      </c>
      <c r="O2382" s="116">
        <v>412.8</v>
      </c>
      <c r="P2382" s="116">
        <v>422.2</v>
      </c>
      <c r="Q2382" s="116">
        <v>430.25</v>
      </c>
      <c r="R2382">
        <v>583020</v>
      </c>
    </row>
    <row r="2383" spans="1:18" x14ac:dyDescent="0.25">
      <c r="A2383" s="169">
        <v>46001</v>
      </c>
      <c r="B2383" s="116">
        <v>430.5</v>
      </c>
      <c r="C2383" s="116">
        <v>422.75</v>
      </c>
      <c r="D2383" s="116">
        <v>419.5</v>
      </c>
      <c r="E2383" s="116">
        <v>430.1</v>
      </c>
      <c r="F2383" s="116">
        <v>422.75</v>
      </c>
      <c r="G2383">
        <v>15235</v>
      </c>
      <c r="H2383" s="116"/>
      <c r="I2383" s="116"/>
      <c r="L2383" s="169">
        <v>46001</v>
      </c>
      <c r="M2383" s="116">
        <v>423.7</v>
      </c>
      <c r="N2383" s="116">
        <v>432.1</v>
      </c>
      <c r="O2383" s="116">
        <v>420</v>
      </c>
      <c r="P2383" s="116">
        <v>430.25</v>
      </c>
      <c r="Q2383" s="116">
        <v>423.7</v>
      </c>
      <c r="R2383">
        <v>506237</v>
      </c>
    </row>
    <row r="2384" spans="1:18" x14ac:dyDescent="0.25">
      <c r="A2384" s="169">
        <v>46002</v>
      </c>
      <c r="B2384" s="116">
        <v>436.85</v>
      </c>
      <c r="C2384" s="116">
        <v>434.8</v>
      </c>
      <c r="D2384" s="116">
        <v>420</v>
      </c>
      <c r="E2384" s="116">
        <v>423.05</v>
      </c>
      <c r="F2384" s="116">
        <v>434.8</v>
      </c>
      <c r="G2384">
        <v>16111</v>
      </c>
      <c r="H2384" s="116"/>
      <c r="I2384" s="116"/>
      <c r="L2384" s="169">
        <v>46002</v>
      </c>
      <c r="M2384" s="116">
        <v>434.5</v>
      </c>
      <c r="N2384" s="116">
        <v>435.85</v>
      </c>
      <c r="O2384" s="116">
        <v>419.2</v>
      </c>
      <c r="P2384" s="116">
        <v>425.9</v>
      </c>
      <c r="Q2384" s="116">
        <v>434.5</v>
      </c>
      <c r="R2384">
        <v>289221</v>
      </c>
    </row>
    <row r="2385" spans="1:18" x14ac:dyDescent="0.25">
      <c r="A2385" s="169">
        <v>46003</v>
      </c>
      <c r="B2385" s="116">
        <v>438.2</v>
      </c>
      <c r="C2385" s="116">
        <v>434.65</v>
      </c>
      <c r="D2385" s="116">
        <v>428.3</v>
      </c>
      <c r="E2385" s="116">
        <v>435</v>
      </c>
      <c r="F2385" s="116">
        <v>434.65</v>
      </c>
      <c r="G2385">
        <v>20083</v>
      </c>
      <c r="H2385" s="116"/>
      <c r="I2385" s="116"/>
      <c r="L2385" s="169">
        <v>46003</v>
      </c>
      <c r="M2385" s="116">
        <v>435.75</v>
      </c>
      <c r="N2385" s="116">
        <v>438.4</v>
      </c>
      <c r="O2385" s="116">
        <v>430.45</v>
      </c>
      <c r="P2385" s="116">
        <v>435.5</v>
      </c>
      <c r="Q2385" s="116">
        <v>435.75</v>
      </c>
      <c r="R2385">
        <v>199013</v>
      </c>
    </row>
    <row r="2386" spans="1:18" x14ac:dyDescent="0.25">
      <c r="A2386" s="169">
        <v>46006</v>
      </c>
      <c r="B2386" s="116">
        <v>436.1</v>
      </c>
      <c r="C2386" s="116">
        <v>432.25</v>
      </c>
      <c r="D2386" s="116">
        <v>426</v>
      </c>
      <c r="E2386" s="116">
        <v>435</v>
      </c>
      <c r="F2386" s="116">
        <v>432.25</v>
      </c>
      <c r="G2386">
        <v>11756</v>
      </c>
      <c r="H2386" s="116"/>
      <c r="I2386" s="116"/>
      <c r="L2386" s="169">
        <v>46006</v>
      </c>
      <c r="M2386" s="116">
        <v>432.3</v>
      </c>
      <c r="N2386" s="116">
        <v>437</v>
      </c>
      <c r="O2386" s="116">
        <v>425.4</v>
      </c>
      <c r="P2386" s="116">
        <v>437</v>
      </c>
      <c r="Q2386" s="116">
        <v>432.3</v>
      </c>
      <c r="R2386">
        <v>242310</v>
      </c>
    </row>
    <row r="2387" spans="1:18" x14ac:dyDescent="0.25">
      <c r="A2387" s="169">
        <v>46007</v>
      </c>
      <c r="B2387" s="116">
        <v>463.3</v>
      </c>
      <c r="C2387" s="116">
        <v>458.45</v>
      </c>
      <c r="D2387" s="116">
        <v>429.5</v>
      </c>
      <c r="E2387" s="116">
        <v>432.25</v>
      </c>
      <c r="F2387" s="116">
        <v>458.45</v>
      </c>
      <c r="G2387">
        <v>40404</v>
      </c>
      <c r="H2387" s="116"/>
      <c r="I2387" s="116"/>
      <c r="L2387" s="169">
        <v>46007</v>
      </c>
      <c r="M2387" s="116">
        <v>459.15</v>
      </c>
      <c r="N2387" s="116">
        <v>463.6</v>
      </c>
      <c r="O2387" s="116">
        <v>429.1</v>
      </c>
      <c r="P2387" s="116">
        <v>432</v>
      </c>
      <c r="Q2387" s="116">
        <v>459.15</v>
      </c>
      <c r="R2387">
        <v>1416865</v>
      </c>
    </row>
    <row r="2388" spans="1:18" x14ac:dyDescent="0.25">
      <c r="A2388" s="169">
        <v>46008</v>
      </c>
      <c r="B2388" s="116">
        <v>455</v>
      </c>
      <c r="C2388" s="116">
        <v>442.3</v>
      </c>
      <c r="D2388" s="116">
        <v>438.75</v>
      </c>
      <c r="E2388" s="116">
        <v>454.95</v>
      </c>
      <c r="F2388" s="116">
        <v>442.3</v>
      </c>
      <c r="G2388">
        <v>11765</v>
      </c>
      <c r="H2388" s="116"/>
      <c r="I2388" s="116"/>
      <c r="L2388" s="169">
        <v>46008</v>
      </c>
      <c r="M2388" s="116">
        <v>442.1</v>
      </c>
      <c r="N2388" s="116">
        <v>455.9</v>
      </c>
      <c r="O2388" s="116">
        <v>436.85</v>
      </c>
      <c r="P2388" s="116">
        <v>455</v>
      </c>
      <c r="Q2388" s="116">
        <v>442.1</v>
      </c>
      <c r="R2388">
        <v>310424</v>
      </c>
    </row>
    <row r="2389" spans="1:18" x14ac:dyDescent="0.25">
      <c r="A2389" s="169">
        <v>46009</v>
      </c>
      <c r="B2389" s="116">
        <v>443.8</v>
      </c>
      <c r="C2389" s="116">
        <v>427.9</v>
      </c>
      <c r="D2389" s="116">
        <v>425.7</v>
      </c>
      <c r="E2389" s="116">
        <v>442.3</v>
      </c>
      <c r="F2389" s="116">
        <v>427.9</v>
      </c>
      <c r="G2389">
        <v>16294</v>
      </c>
      <c r="H2389" s="116"/>
      <c r="I2389" s="116"/>
      <c r="L2389" s="169">
        <v>46009</v>
      </c>
      <c r="M2389" s="116">
        <v>428.2</v>
      </c>
      <c r="N2389" s="116">
        <v>444.8</v>
      </c>
      <c r="O2389" s="116">
        <v>425.85</v>
      </c>
      <c r="P2389" s="116">
        <v>442.95</v>
      </c>
      <c r="Q2389" s="116">
        <v>428.2</v>
      </c>
      <c r="R2389">
        <v>246063</v>
      </c>
    </row>
    <row r="2390" spans="1:18" x14ac:dyDescent="0.25">
      <c r="A2390" s="169">
        <v>46010</v>
      </c>
      <c r="B2390" s="116">
        <v>439.45</v>
      </c>
      <c r="C2390" s="116">
        <v>436.8</v>
      </c>
      <c r="D2390" s="116">
        <v>429.95</v>
      </c>
      <c r="E2390" s="116">
        <v>429.95</v>
      </c>
      <c r="F2390" s="116">
        <v>436.8</v>
      </c>
      <c r="G2390">
        <v>8307</v>
      </c>
      <c r="H2390" s="116"/>
      <c r="I2390" s="116"/>
      <c r="L2390" s="169">
        <v>46010</v>
      </c>
      <c r="M2390" s="116">
        <v>436.7</v>
      </c>
      <c r="N2390" s="116">
        <v>439.8</v>
      </c>
      <c r="O2390" s="116">
        <v>428.5</v>
      </c>
      <c r="P2390" s="116">
        <v>428.5</v>
      </c>
      <c r="Q2390" s="116">
        <v>436.7</v>
      </c>
      <c r="R2390">
        <v>235792</v>
      </c>
    </row>
    <row r="2391" spans="1:18" x14ac:dyDescent="0.25">
      <c r="A2391" s="169">
        <v>46013</v>
      </c>
      <c r="B2391" s="116">
        <v>454.85</v>
      </c>
      <c r="C2391" s="116">
        <v>452.75</v>
      </c>
      <c r="D2391" s="116">
        <v>433.4</v>
      </c>
      <c r="E2391" s="116">
        <v>436.8</v>
      </c>
      <c r="F2391" s="116">
        <v>452.75</v>
      </c>
      <c r="G2391">
        <v>12081</v>
      </c>
      <c r="H2391" s="116"/>
      <c r="I2391" s="116"/>
      <c r="L2391" s="169">
        <v>46013</v>
      </c>
      <c r="M2391" s="116">
        <v>453.1</v>
      </c>
      <c r="N2391" s="116">
        <v>454.95</v>
      </c>
      <c r="O2391" s="116">
        <v>431.35</v>
      </c>
      <c r="P2391" s="116">
        <v>437</v>
      </c>
      <c r="Q2391" s="116">
        <v>453.1</v>
      </c>
      <c r="R2391">
        <v>350434</v>
      </c>
    </row>
    <row r="2392" spans="1:18" x14ac:dyDescent="0.25">
      <c r="A2392" s="169">
        <v>46014</v>
      </c>
      <c r="B2392" s="116">
        <v>460</v>
      </c>
      <c r="C2392" s="116">
        <v>456.6</v>
      </c>
      <c r="D2392" s="116">
        <v>442.95</v>
      </c>
      <c r="E2392" s="116">
        <v>452.8</v>
      </c>
      <c r="F2392" s="116">
        <v>456.6</v>
      </c>
      <c r="G2392">
        <v>15296</v>
      </c>
      <c r="H2392" s="116"/>
      <c r="I2392" s="116"/>
      <c r="L2392" s="169">
        <v>46014</v>
      </c>
      <c r="M2392" s="116">
        <v>457.25</v>
      </c>
      <c r="N2392" s="116">
        <v>460.75</v>
      </c>
      <c r="O2392" s="116">
        <v>443</v>
      </c>
      <c r="P2392" s="116">
        <v>453.1</v>
      </c>
      <c r="Q2392" s="116">
        <v>457.25</v>
      </c>
      <c r="R2392">
        <v>281249</v>
      </c>
    </row>
    <row r="2393" spans="1:18" x14ac:dyDescent="0.25">
      <c r="A2393" s="169">
        <v>46015</v>
      </c>
      <c r="B2393" s="116">
        <v>455.75</v>
      </c>
      <c r="C2393" s="116">
        <v>452.6</v>
      </c>
      <c r="D2393" s="116">
        <v>447.4</v>
      </c>
      <c r="E2393" s="116">
        <v>455.75</v>
      </c>
      <c r="F2393" s="116">
        <v>452.6</v>
      </c>
      <c r="G2393">
        <v>6817</v>
      </c>
      <c r="H2393" s="116"/>
      <c r="I2393" s="116"/>
      <c r="L2393" s="169">
        <v>46015</v>
      </c>
      <c r="M2393" s="116">
        <v>452.9</v>
      </c>
      <c r="N2393" s="116">
        <v>455.2</v>
      </c>
      <c r="O2393" s="116">
        <v>447.1</v>
      </c>
      <c r="P2393" s="116">
        <v>454.85</v>
      </c>
      <c r="Q2393" s="116">
        <v>452.9</v>
      </c>
      <c r="R2393">
        <v>214992</v>
      </c>
    </row>
    <row r="2394" spans="1:18" x14ac:dyDescent="0.25">
      <c r="A2394" s="169">
        <v>46017</v>
      </c>
      <c r="B2394" s="116">
        <v>468.7</v>
      </c>
      <c r="C2394" s="116">
        <v>460.15</v>
      </c>
      <c r="D2394" s="116">
        <v>448.1</v>
      </c>
      <c r="E2394" s="116">
        <v>450</v>
      </c>
      <c r="F2394" s="116">
        <v>460.15</v>
      </c>
      <c r="G2394">
        <v>21495</v>
      </c>
      <c r="H2394" s="116"/>
      <c r="I2394" s="116"/>
      <c r="L2394" s="169">
        <v>46017</v>
      </c>
      <c r="M2394" s="116">
        <v>460.55</v>
      </c>
      <c r="N2394" s="116">
        <v>468.5</v>
      </c>
      <c r="O2394" s="116">
        <v>448.2</v>
      </c>
      <c r="P2394" s="116">
        <v>453</v>
      </c>
      <c r="Q2394" s="116">
        <v>460.55</v>
      </c>
      <c r="R2394">
        <v>332482</v>
      </c>
    </row>
    <row r="2395" spans="1:18" x14ac:dyDescent="0.25">
      <c r="A2395" s="169">
        <v>46020</v>
      </c>
      <c r="B2395" s="116">
        <v>465.65</v>
      </c>
      <c r="C2395" s="116">
        <v>448.8</v>
      </c>
      <c r="D2395" s="116">
        <v>445.35</v>
      </c>
      <c r="E2395" s="116">
        <v>465.65</v>
      </c>
      <c r="F2395" s="116">
        <v>448.8</v>
      </c>
      <c r="G2395">
        <v>23603</v>
      </c>
      <c r="H2395" s="116"/>
      <c r="I2395" s="116"/>
      <c r="L2395" s="169">
        <v>46020</v>
      </c>
      <c r="M2395" s="116">
        <v>448.95</v>
      </c>
      <c r="N2395" s="116">
        <v>463.7</v>
      </c>
      <c r="O2395" s="116">
        <v>445.6</v>
      </c>
      <c r="P2395" s="116">
        <v>460.55</v>
      </c>
      <c r="Q2395" s="116">
        <v>448.95</v>
      </c>
      <c r="R2395">
        <v>268688</v>
      </c>
    </row>
    <row r="2396" spans="1:18" x14ac:dyDescent="0.25">
      <c r="A2396" s="169">
        <v>46021</v>
      </c>
      <c r="B2396" s="116">
        <v>462.35</v>
      </c>
      <c r="C2396" s="116">
        <v>452.15</v>
      </c>
      <c r="D2396" s="116">
        <v>445.15</v>
      </c>
      <c r="E2396" s="116">
        <v>448.8</v>
      </c>
      <c r="F2396" s="116">
        <v>452.15</v>
      </c>
      <c r="G2396">
        <v>10086</v>
      </c>
      <c r="H2396" s="116"/>
      <c r="I2396" s="116"/>
      <c r="L2396" s="169">
        <v>46021</v>
      </c>
      <c r="M2396" s="116">
        <v>452.85</v>
      </c>
      <c r="N2396" s="116">
        <v>462.9</v>
      </c>
      <c r="O2396" s="116">
        <v>445.15</v>
      </c>
      <c r="P2396" s="116">
        <v>449</v>
      </c>
      <c r="Q2396" s="116">
        <v>452.85</v>
      </c>
      <c r="R2396">
        <v>367983</v>
      </c>
    </row>
    <row r="2397" spans="1:18" x14ac:dyDescent="0.25">
      <c r="A2397" s="169">
        <v>46022</v>
      </c>
      <c r="B2397" s="116">
        <v>456</v>
      </c>
      <c r="C2397" s="116">
        <v>446</v>
      </c>
      <c r="D2397" s="116">
        <v>441.25</v>
      </c>
      <c r="E2397" s="116">
        <v>455</v>
      </c>
      <c r="F2397" s="116">
        <v>446</v>
      </c>
      <c r="G2397">
        <v>5587</v>
      </c>
      <c r="H2397" s="116"/>
      <c r="I2397" s="116"/>
      <c r="L2397" s="169">
        <v>46022</v>
      </c>
      <c r="M2397" s="116">
        <v>445.7</v>
      </c>
      <c r="N2397" s="116">
        <v>454.8</v>
      </c>
      <c r="O2397" s="116">
        <v>441.55</v>
      </c>
      <c r="P2397" s="116">
        <v>454.8</v>
      </c>
      <c r="Q2397" s="116">
        <v>445.7</v>
      </c>
      <c r="R2397">
        <v>206536</v>
      </c>
    </row>
    <row r="2398" spans="1:18" x14ac:dyDescent="0.25">
      <c r="A2398" s="169">
        <v>46023</v>
      </c>
      <c r="B2398" s="116">
        <v>451.8</v>
      </c>
      <c r="C2398" s="116">
        <v>447.95</v>
      </c>
      <c r="D2398" s="116">
        <v>441</v>
      </c>
      <c r="E2398" s="116">
        <v>444</v>
      </c>
      <c r="F2398" s="116">
        <v>447.95</v>
      </c>
      <c r="G2398">
        <v>9125</v>
      </c>
      <c r="H2398" s="116"/>
      <c r="I2398" s="116"/>
      <c r="L2398" s="169">
        <v>46023</v>
      </c>
      <c r="M2398" s="116">
        <v>446.7</v>
      </c>
      <c r="N2398" s="116">
        <v>451.65</v>
      </c>
      <c r="O2398" s="116">
        <v>439</v>
      </c>
      <c r="P2398" s="116">
        <v>445</v>
      </c>
      <c r="Q2398" s="116">
        <v>446.7</v>
      </c>
      <c r="R2398">
        <v>255872</v>
      </c>
    </row>
    <row r="2399" spans="1:18" x14ac:dyDescent="0.25">
      <c r="A2399" s="169">
        <v>46024</v>
      </c>
      <c r="B2399" s="116">
        <v>463.5</v>
      </c>
      <c r="C2399" s="116">
        <v>459.1</v>
      </c>
      <c r="D2399" s="116">
        <v>443.05</v>
      </c>
      <c r="E2399" s="116">
        <v>443.05</v>
      </c>
      <c r="F2399" s="116">
        <v>459.1</v>
      </c>
      <c r="G2399">
        <v>16125</v>
      </c>
      <c r="H2399" s="116"/>
      <c r="I2399" s="116"/>
      <c r="L2399" s="169">
        <v>46024</v>
      </c>
      <c r="M2399" s="116">
        <v>459.2</v>
      </c>
      <c r="N2399" s="116">
        <v>463.7</v>
      </c>
      <c r="O2399" s="116">
        <v>445</v>
      </c>
      <c r="P2399" s="116">
        <v>448.8</v>
      </c>
      <c r="Q2399" s="116">
        <v>459.2</v>
      </c>
      <c r="R2399">
        <v>327533</v>
      </c>
    </row>
    <row r="2400" spans="1:18" x14ac:dyDescent="0.25">
      <c r="A2400" s="169">
        <v>46027</v>
      </c>
      <c r="B2400" s="116">
        <v>468.9</v>
      </c>
      <c r="C2400" s="116">
        <v>462.35</v>
      </c>
      <c r="D2400" s="116">
        <v>446.5</v>
      </c>
      <c r="E2400" s="116">
        <v>459.5</v>
      </c>
      <c r="F2400" s="116">
        <v>462.35</v>
      </c>
      <c r="G2400">
        <v>12827</v>
      </c>
      <c r="H2400" s="116"/>
      <c r="I2400" s="116"/>
      <c r="L2400" s="169">
        <v>46027</v>
      </c>
      <c r="M2400" s="116">
        <v>461.9</v>
      </c>
      <c r="N2400" s="116">
        <v>470</v>
      </c>
      <c r="O2400" s="116">
        <v>452.6</v>
      </c>
      <c r="P2400" s="116">
        <v>461.35</v>
      </c>
      <c r="Q2400" s="116">
        <v>461.9</v>
      </c>
      <c r="R2400">
        <v>280185</v>
      </c>
    </row>
    <row r="2401" spans="1:18" x14ac:dyDescent="0.25">
      <c r="A2401" s="169">
        <v>46028</v>
      </c>
      <c r="B2401" s="116">
        <v>507.75</v>
      </c>
      <c r="C2401" s="116">
        <v>468.3</v>
      </c>
      <c r="D2401" s="116">
        <v>466.1</v>
      </c>
      <c r="E2401" s="116">
        <v>470.55</v>
      </c>
      <c r="F2401" s="116">
        <v>468.3</v>
      </c>
      <c r="G2401">
        <v>61094</v>
      </c>
      <c r="H2401" s="116"/>
      <c r="I2401" s="116"/>
      <c r="L2401" s="169">
        <v>46028</v>
      </c>
      <c r="M2401" s="116">
        <v>468.45</v>
      </c>
      <c r="N2401" s="116">
        <v>508</v>
      </c>
      <c r="O2401" s="116">
        <v>466.05</v>
      </c>
      <c r="P2401" s="116">
        <v>466.4</v>
      </c>
      <c r="Q2401" s="116">
        <v>468.45</v>
      </c>
      <c r="R2401">
        <v>1675523</v>
      </c>
    </row>
    <row r="2402" spans="1:18" x14ac:dyDescent="0.25">
      <c r="A2402" s="169">
        <v>46029</v>
      </c>
      <c r="B2402" s="116">
        <v>470.1</v>
      </c>
      <c r="C2402" s="116">
        <v>463.5</v>
      </c>
      <c r="D2402" s="116">
        <v>456.6</v>
      </c>
      <c r="E2402" s="116">
        <v>468.45</v>
      </c>
      <c r="F2402" s="116">
        <v>463.5</v>
      </c>
      <c r="G2402">
        <v>13037</v>
      </c>
      <c r="H2402" s="116"/>
      <c r="I2402" s="116"/>
      <c r="L2402" s="169">
        <v>46029</v>
      </c>
      <c r="M2402" s="116">
        <v>463.9</v>
      </c>
      <c r="N2402" s="116">
        <v>470.1</v>
      </c>
      <c r="O2402" s="116">
        <v>456.3</v>
      </c>
      <c r="P2402" s="116">
        <v>469.15</v>
      </c>
      <c r="Q2402" s="116">
        <v>463.9</v>
      </c>
      <c r="R2402">
        <v>280696</v>
      </c>
    </row>
    <row r="2403" spans="1:18" x14ac:dyDescent="0.25">
      <c r="A2403" s="169">
        <v>46030</v>
      </c>
      <c r="B2403" s="116">
        <v>460.6</v>
      </c>
      <c r="C2403" s="116">
        <v>446</v>
      </c>
      <c r="D2403" s="116">
        <v>440</v>
      </c>
      <c r="E2403" s="116">
        <v>457.2</v>
      </c>
      <c r="F2403" s="116">
        <v>446</v>
      </c>
      <c r="G2403">
        <v>41766</v>
      </c>
      <c r="H2403" s="116"/>
      <c r="I2403" s="116"/>
      <c r="L2403" s="169">
        <v>46030</v>
      </c>
      <c r="M2403" s="116">
        <v>445.1</v>
      </c>
      <c r="N2403" s="116">
        <v>462.95</v>
      </c>
      <c r="O2403" s="116">
        <v>440.4</v>
      </c>
      <c r="P2403" s="116">
        <v>460</v>
      </c>
      <c r="Q2403" s="116">
        <v>445.1</v>
      </c>
      <c r="R2403">
        <v>310935</v>
      </c>
    </row>
    <row r="2404" spans="1:18" x14ac:dyDescent="0.25">
      <c r="A2404" s="169">
        <v>46031</v>
      </c>
      <c r="B2404" s="116">
        <v>462.8</v>
      </c>
      <c r="C2404" s="116">
        <v>455.95</v>
      </c>
      <c r="D2404" s="116">
        <v>432.05</v>
      </c>
      <c r="E2404" s="116">
        <v>441</v>
      </c>
      <c r="F2404" s="116">
        <v>455.95</v>
      </c>
      <c r="G2404">
        <v>21543</v>
      </c>
      <c r="H2404" s="116"/>
      <c r="I2404" s="116"/>
      <c r="L2404" s="169">
        <v>46031</v>
      </c>
      <c r="M2404" s="116">
        <v>455.1</v>
      </c>
      <c r="N2404" s="116">
        <v>462.85</v>
      </c>
      <c r="O2404" s="116">
        <v>433.5</v>
      </c>
      <c r="P2404" s="116">
        <v>438.4</v>
      </c>
      <c r="Q2404" s="116">
        <v>455.1</v>
      </c>
      <c r="R2404">
        <v>378444</v>
      </c>
    </row>
    <row r="2405" spans="1:18" x14ac:dyDescent="0.25">
      <c r="A2405" s="169">
        <v>46034</v>
      </c>
      <c r="B2405" s="116">
        <v>465.1</v>
      </c>
      <c r="C2405" s="116">
        <v>452.95</v>
      </c>
      <c r="D2405" s="116">
        <v>441.9</v>
      </c>
      <c r="E2405" s="116">
        <v>465.1</v>
      </c>
      <c r="F2405" s="116">
        <v>452.95</v>
      </c>
      <c r="G2405">
        <v>16013</v>
      </c>
      <c r="H2405" s="116"/>
      <c r="I2405" s="116"/>
      <c r="L2405" s="169">
        <v>46034</v>
      </c>
      <c r="M2405" s="116">
        <v>452.6</v>
      </c>
      <c r="N2405" s="116">
        <v>461.95</v>
      </c>
      <c r="O2405" s="116">
        <v>441.45</v>
      </c>
      <c r="P2405" s="116">
        <v>461.95</v>
      </c>
      <c r="Q2405" s="116">
        <v>452.6</v>
      </c>
      <c r="R2405">
        <v>282032</v>
      </c>
    </row>
    <row r="2406" spans="1:18" x14ac:dyDescent="0.25">
      <c r="A2406" s="169">
        <v>46035</v>
      </c>
      <c r="B2406" s="116">
        <v>471.75</v>
      </c>
      <c r="C2406" s="116">
        <v>468.95</v>
      </c>
      <c r="D2406" s="116">
        <v>451.05</v>
      </c>
      <c r="E2406" s="116">
        <v>453</v>
      </c>
      <c r="F2406" s="116">
        <v>468.95</v>
      </c>
      <c r="G2406">
        <v>15780</v>
      </c>
      <c r="H2406" s="116"/>
      <c r="I2406" s="116"/>
      <c r="L2406" s="169">
        <v>46035</v>
      </c>
      <c r="M2406" s="116">
        <v>468.65</v>
      </c>
      <c r="N2406" s="116">
        <v>471.95</v>
      </c>
      <c r="O2406" s="116">
        <v>450.3</v>
      </c>
      <c r="P2406" s="116">
        <v>455</v>
      </c>
      <c r="Q2406" s="116">
        <v>468.65</v>
      </c>
      <c r="R2406">
        <v>377631</v>
      </c>
    </row>
    <row r="2407" spans="1:18" x14ac:dyDescent="0.25">
      <c r="A2407" s="169">
        <v>46036</v>
      </c>
      <c r="B2407" s="116">
        <v>471.3</v>
      </c>
      <c r="C2407" s="116">
        <v>463.8</v>
      </c>
      <c r="D2407" s="116">
        <v>460</v>
      </c>
      <c r="E2407" s="116">
        <v>468.95</v>
      </c>
      <c r="F2407" s="116">
        <v>463.8</v>
      </c>
      <c r="G2407">
        <v>20611</v>
      </c>
      <c r="H2407" s="116"/>
      <c r="I2407" s="116"/>
      <c r="L2407" s="169">
        <v>46036</v>
      </c>
      <c r="M2407" s="116">
        <v>464.7</v>
      </c>
      <c r="N2407" s="116">
        <v>471.2</v>
      </c>
      <c r="O2407" s="116">
        <v>460.1</v>
      </c>
      <c r="P2407" s="116">
        <v>467.95</v>
      </c>
      <c r="Q2407" s="116">
        <v>464.7</v>
      </c>
      <c r="R2407">
        <v>262792</v>
      </c>
    </row>
    <row r="2408" spans="1:18" x14ac:dyDescent="0.25">
      <c r="A2408" s="169">
        <v>46038</v>
      </c>
      <c r="B2408" s="116">
        <v>471.5</v>
      </c>
      <c r="C2408" s="116">
        <v>466.95</v>
      </c>
      <c r="D2408" s="116">
        <v>460.1</v>
      </c>
      <c r="E2408" s="116">
        <v>466.6</v>
      </c>
      <c r="F2408" s="116">
        <v>466.95</v>
      </c>
      <c r="G2408">
        <v>8099</v>
      </c>
      <c r="H2408" s="116"/>
      <c r="I2408" s="116"/>
      <c r="L2408" s="169">
        <v>46038</v>
      </c>
      <c r="M2408" s="116">
        <v>466.95</v>
      </c>
      <c r="N2408" s="116">
        <v>471.95</v>
      </c>
      <c r="O2408" s="116">
        <v>459.2</v>
      </c>
      <c r="P2408" s="116">
        <v>471</v>
      </c>
      <c r="Q2408" s="116">
        <v>466.95</v>
      </c>
      <c r="R2408">
        <v>159655</v>
      </c>
    </row>
    <row r="2409" spans="1:18" x14ac:dyDescent="0.25">
      <c r="A2409" s="169">
        <v>46041</v>
      </c>
      <c r="B2409" s="116">
        <v>483.35</v>
      </c>
      <c r="C2409" s="116">
        <v>475.3</v>
      </c>
      <c r="D2409" s="116">
        <v>458.5</v>
      </c>
      <c r="E2409" s="116">
        <v>466.95</v>
      </c>
      <c r="F2409" s="116">
        <v>475.3</v>
      </c>
      <c r="G2409">
        <v>15819</v>
      </c>
      <c r="H2409" s="116"/>
      <c r="I2409" s="116"/>
      <c r="L2409" s="169">
        <v>46041</v>
      </c>
      <c r="M2409" s="116">
        <v>476.15</v>
      </c>
      <c r="N2409" s="116">
        <v>484</v>
      </c>
      <c r="O2409" s="116">
        <v>457.85</v>
      </c>
      <c r="P2409" s="116">
        <v>464.7</v>
      </c>
      <c r="Q2409" s="116">
        <v>476.15</v>
      </c>
      <c r="R2409">
        <v>462194</v>
      </c>
    </row>
    <row r="2410" spans="1:18" x14ac:dyDescent="0.25">
      <c r="A2410" s="169">
        <v>46042</v>
      </c>
      <c r="B2410" s="116">
        <v>481.5</v>
      </c>
      <c r="C2410" s="116">
        <v>474.25</v>
      </c>
      <c r="D2410" s="116">
        <v>472</v>
      </c>
      <c r="E2410" s="116">
        <v>475.3</v>
      </c>
      <c r="F2410" s="116">
        <v>474.25</v>
      </c>
      <c r="G2410">
        <v>10768</v>
      </c>
      <c r="H2410" s="116"/>
      <c r="I2410" s="116"/>
      <c r="L2410" s="169">
        <v>46042</v>
      </c>
      <c r="M2410" s="116">
        <v>474.1</v>
      </c>
      <c r="N2410" s="116">
        <v>482</v>
      </c>
      <c r="O2410" s="116">
        <v>472.15</v>
      </c>
      <c r="P2410" s="116">
        <v>477.95</v>
      </c>
      <c r="Q2410" s="116">
        <v>474.1</v>
      </c>
      <c r="R2410">
        <v>307254</v>
      </c>
    </row>
    <row r="2411" spans="1:18" x14ac:dyDescent="0.25">
      <c r="A2411" s="169">
        <v>46043</v>
      </c>
      <c r="B2411" s="116">
        <v>474.25</v>
      </c>
      <c r="C2411" s="116">
        <v>459.35</v>
      </c>
      <c r="D2411" s="116">
        <v>446.35</v>
      </c>
      <c r="E2411" s="116">
        <v>474.25</v>
      </c>
      <c r="F2411" s="116">
        <v>459.35</v>
      </c>
      <c r="G2411">
        <v>25697</v>
      </c>
      <c r="H2411" s="116"/>
      <c r="I2411" s="116"/>
      <c r="L2411" s="169">
        <v>46043</v>
      </c>
      <c r="M2411" s="116">
        <v>459.5</v>
      </c>
      <c r="N2411" s="116">
        <v>473.9</v>
      </c>
      <c r="O2411" s="116">
        <v>445.8</v>
      </c>
      <c r="P2411" s="116">
        <v>472.95</v>
      </c>
      <c r="Q2411" s="116">
        <v>459.5</v>
      </c>
      <c r="R2411">
        <v>365927</v>
      </c>
    </row>
    <row r="2412" spans="1:18" x14ac:dyDescent="0.25">
      <c r="A2412" s="169">
        <v>46044</v>
      </c>
      <c r="B2412" s="116">
        <v>470.1</v>
      </c>
      <c r="C2412" s="116">
        <v>458.1</v>
      </c>
      <c r="D2412" s="116">
        <v>456.1</v>
      </c>
      <c r="E2412" s="116">
        <v>459.4</v>
      </c>
      <c r="F2412" s="116">
        <v>458.1</v>
      </c>
      <c r="G2412">
        <v>10548</v>
      </c>
      <c r="H2412" s="116"/>
      <c r="I2412" s="116"/>
      <c r="L2412" s="169">
        <v>46044</v>
      </c>
      <c r="M2412" s="116">
        <v>458</v>
      </c>
      <c r="N2412" s="116">
        <v>470.35</v>
      </c>
      <c r="O2412" s="116">
        <v>455.3</v>
      </c>
      <c r="P2412" s="116">
        <v>459.5</v>
      </c>
      <c r="Q2412" s="116">
        <v>458</v>
      </c>
      <c r="R2412">
        <v>176924</v>
      </c>
    </row>
    <row r="2413" spans="1:18" x14ac:dyDescent="0.25">
      <c r="A2413" s="169">
        <v>46045</v>
      </c>
      <c r="B2413" s="116">
        <v>459.4</v>
      </c>
      <c r="C2413" s="116">
        <v>442.5</v>
      </c>
      <c r="D2413" s="116">
        <v>435.4</v>
      </c>
      <c r="E2413" s="116">
        <v>458.2</v>
      </c>
      <c r="F2413" s="116">
        <v>442.5</v>
      </c>
      <c r="G2413">
        <v>9669</v>
      </c>
      <c r="H2413" s="116"/>
      <c r="I2413" s="116"/>
      <c r="L2413" s="169">
        <v>46045</v>
      </c>
      <c r="M2413" s="116">
        <v>440.25</v>
      </c>
      <c r="N2413" s="116">
        <v>460.75</v>
      </c>
      <c r="O2413" s="116">
        <v>435</v>
      </c>
      <c r="P2413" s="116">
        <v>460.75</v>
      </c>
      <c r="Q2413" s="116">
        <v>440.25</v>
      </c>
      <c r="R2413">
        <v>211818</v>
      </c>
    </row>
    <row r="2414" spans="1:18" x14ac:dyDescent="0.25">
      <c r="A2414" s="169">
        <v>46049</v>
      </c>
      <c r="B2414" s="116">
        <v>457</v>
      </c>
      <c r="C2414" s="116">
        <v>453.25</v>
      </c>
      <c r="D2414" s="116">
        <v>435</v>
      </c>
      <c r="E2414" s="116">
        <v>442.6</v>
      </c>
      <c r="F2414" s="116">
        <v>453.25</v>
      </c>
      <c r="G2414">
        <v>21578</v>
      </c>
      <c r="H2414" s="116"/>
      <c r="I2414" s="116"/>
      <c r="L2414" s="169">
        <v>46049</v>
      </c>
      <c r="M2414" s="116">
        <v>453.5</v>
      </c>
      <c r="N2414" s="116">
        <v>458.6</v>
      </c>
      <c r="O2414" s="116">
        <v>434.5</v>
      </c>
      <c r="P2414" s="116">
        <v>445.75</v>
      </c>
      <c r="Q2414" s="116">
        <v>453.5</v>
      </c>
      <c r="R2414">
        <v>191334</v>
      </c>
    </row>
    <row r="2415" spans="1:18" x14ac:dyDescent="0.25">
      <c r="A2415" s="169">
        <v>46050</v>
      </c>
      <c r="B2415" s="116">
        <v>464.55</v>
      </c>
      <c r="C2415" s="116">
        <v>459.2</v>
      </c>
      <c r="D2415" s="116">
        <v>448.8</v>
      </c>
      <c r="E2415" s="116">
        <v>464.55</v>
      </c>
      <c r="F2415" s="116">
        <v>459.2</v>
      </c>
      <c r="G2415">
        <v>8331</v>
      </c>
      <c r="H2415" s="116"/>
      <c r="I2415" s="116"/>
      <c r="L2415" s="169">
        <v>46050</v>
      </c>
      <c r="M2415" s="116">
        <v>458.7</v>
      </c>
      <c r="N2415" s="116">
        <v>463.55</v>
      </c>
      <c r="O2415" s="116">
        <v>447.85</v>
      </c>
      <c r="P2415" s="116">
        <v>451.55</v>
      </c>
      <c r="Q2415" s="116">
        <v>458.7</v>
      </c>
      <c r="R2415">
        <v>189726</v>
      </c>
    </row>
    <row r="2416" spans="1:18" x14ac:dyDescent="0.25">
      <c r="A2416" s="169">
        <v>46051</v>
      </c>
      <c r="B2416" s="116">
        <v>476.4</v>
      </c>
      <c r="C2416" s="116">
        <v>424.65</v>
      </c>
      <c r="D2416" s="116">
        <v>420.6</v>
      </c>
      <c r="E2416" s="116">
        <v>461.05</v>
      </c>
      <c r="F2416" s="116">
        <v>424.65</v>
      </c>
      <c r="G2416">
        <v>39481</v>
      </c>
      <c r="H2416" s="116"/>
      <c r="I2416" s="116"/>
      <c r="L2416" s="169">
        <v>46051</v>
      </c>
      <c r="M2416" s="116">
        <v>424.55</v>
      </c>
      <c r="N2416" s="116">
        <v>469</v>
      </c>
      <c r="O2416" s="116">
        <v>420.1</v>
      </c>
      <c r="P2416" s="116">
        <v>463</v>
      </c>
      <c r="Q2416" s="116">
        <v>424.55</v>
      </c>
      <c r="R2416">
        <v>1043098</v>
      </c>
    </row>
    <row r="2417" spans="1:18" x14ac:dyDescent="0.25">
      <c r="A2417" s="169">
        <v>46052</v>
      </c>
      <c r="B2417" s="116">
        <v>428</v>
      </c>
      <c r="C2417" s="116">
        <v>419.3</v>
      </c>
      <c r="D2417" s="116">
        <v>398</v>
      </c>
      <c r="E2417" s="116">
        <v>424.65</v>
      </c>
      <c r="F2417" s="116">
        <v>419.3</v>
      </c>
      <c r="G2417">
        <v>30923</v>
      </c>
      <c r="H2417" s="116"/>
      <c r="I2417" s="116"/>
      <c r="L2417" s="169">
        <v>46052</v>
      </c>
      <c r="M2417" s="116">
        <v>420</v>
      </c>
      <c r="N2417" s="116">
        <v>428.2</v>
      </c>
      <c r="O2417" s="116">
        <v>397.5</v>
      </c>
      <c r="P2417" s="116">
        <v>420</v>
      </c>
      <c r="Q2417" s="116">
        <v>420</v>
      </c>
      <c r="R2417">
        <v>1086994</v>
      </c>
    </row>
    <row r="2418" spans="1:18" x14ac:dyDescent="0.25">
      <c r="A2418" s="169">
        <v>46054</v>
      </c>
      <c r="B2418" s="116">
        <v>419.95</v>
      </c>
      <c r="C2418" s="116">
        <v>400.2</v>
      </c>
      <c r="D2418" s="116">
        <v>395.75</v>
      </c>
      <c r="E2418" s="116">
        <v>419.3</v>
      </c>
      <c r="F2418" s="116">
        <v>400.2</v>
      </c>
      <c r="G2418">
        <v>17729</v>
      </c>
      <c r="H2418" s="116"/>
      <c r="I2418" s="116"/>
      <c r="L2418" s="169">
        <v>46054</v>
      </c>
      <c r="M2418" s="116">
        <v>400.05</v>
      </c>
      <c r="N2418" s="116">
        <v>420.5</v>
      </c>
      <c r="O2418" s="116">
        <v>394.8</v>
      </c>
      <c r="P2418" s="116">
        <v>420</v>
      </c>
      <c r="Q2418" s="116">
        <v>400.05</v>
      </c>
      <c r="R2418">
        <v>481447</v>
      </c>
    </row>
    <row r="2419" spans="1:18" x14ac:dyDescent="0.25">
      <c r="A2419" s="169">
        <v>46055</v>
      </c>
      <c r="B2419" s="116">
        <v>406.1</v>
      </c>
      <c r="C2419" s="116">
        <v>397.6</v>
      </c>
      <c r="D2419" s="116">
        <v>381.95</v>
      </c>
      <c r="E2419" s="116">
        <v>400.3</v>
      </c>
      <c r="F2419" s="116">
        <v>397.6</v>
      </c>
      <c r="G2419">
        <v>18684</v>
      </c>
      <c r="H2419" s="116"/>
      <c r="I2419" s="116"/>
      <c r="L2419" s="169">
        <v>46055</v>
      </c>
      <c r="M2419" s="116">
        <v>395.95</v>
      </c>
      <c r="N2419" s="116">
        <v>405.1</v>
      </c>
      <c r="O2419" s="116">
        <v>381.05</v>
      </c>
      <c r="P2419" s="116">
        <v>404.95</v>
      </c>
      <c r="Q2419" s="116">
        <v>395.95</v>
      </c>
      <c r="R2419">
        <v>452441</v>
      </c>
    </row>
    <row r="2420" spans="1:18" x14ac:dyDescent="0.25">
      <c r="A2420" s="169">
        <v>46056</v>
      </c>
      <c r="B2420" s="116">
        <v>410</v>
      </c>
      <c r="C2420" s="116">
        <v>390.2</v>
      </c>
      <c r="D2420" s="116">
        <v>386</v>
      </c>
      <c r="E2420" s="116">
        <v>405</v>
      </c>
      <c r="F2420" s="116">
        <v>390.2</v>
      </c>
      <c r="G2420">
        <v>44014</v>
      </c>
      <c r="H2420" s="116"/>
      <c r="I2420" s="116"/>
      <c r="L2420" s="169">
        <v>46056</v>
      </c>
      <c r="M2420" s="116">
        <v>389.95</v>
      </c>
      <c r="N2420" s="116">
        <v>416</v>
      </c>
      <c r="O2420" s="116">
        <v>386.05</v>
      </c>
      <c r="P2420" s="116">
        <v>413.75</v>
      </c>
      <c r="Q2420" s="116">
        <v>389.95</v>
      </c>
      <c r="R2420">
        <v>810051</v>
      </c>
    </row>
    <row r="2421" spans="1:18" x14ac:dyDescent="0.25">
      <c r="A2421" s="169">
        <v>46057</v>
      </c>
      <c r="B2421" s="116">
        <v>399.25</v>
      </c>
      <c r="C2421" s="116">
        <v>396.1</v>
      </c>
      <c r="D2421" s="116">
        <v>376.1</v>
      </c>
      <c r="E2421" s="116">
        <v>386</v>
      </c>
      <c r="F2421" s="116">
        <v>396.1</v>
      </c>
      <c r="G2421">
        <v>24011</v>
      </c>
      <c r="H2421" s="116"/>
      <c r="I2421" s="116"/>
      <c r="L2421" s="169">
        <v>46057</v>
      </c>
      <c r="M2421" s="116">
        <v>397</v>
      </c>
      <c r="N2421" s="116">
        <v>399</v>
      </c>
      <c r="O2421" s="116">
        <v>376.5</v>
      </c>
      <c r="P2421" s="116">
        <v>385</v>
      </c>
      <c r="Q2421" s="116">
        <v>397</v>
      </c>
      <c r="R2421">
        <v>670093</v>
      </c>
    </row>
    <row r="2422" spans="1:18" x14ac:dyDescent="0.25">
      <c r="A2422" s="169">
        <v>46058</v>
      </c>
      <c r="B2422" s="116">
        <v>402</v>
      </c>
      <c r="C2422" s="116">
        <v>400.2</v>
      </c>
      <c r="D2422" s="116">
        <v>390.05</v>
      </c>
      <c r="E2422" s="116">
        <v>401.05</v>
      </c>
      <c r="F2422" s="116">
        <v>400.2</v>
      </c>
      <c r="G2422">
        <v>7150</v>
      </c>
      <c r="H2422" s="116"/>
      <c r="I2422" s="116"/>
      <c r="L2422" s="169">
        <v>46058</v>
      </c>
      <c r="M2422" s="116">
        <v>400.2</v>
      </c>
      <c r="N2422" s="116">
        <v>402.4</v>
      </c>
      <c r="O2422" s="116">
        <v>390.05</v>
      </c>
      <c r="P2422" s="116">
        <v>395.1</v>
      </c>
      <c r="Q2422" s="116">
        <v>400.2</v>
      </c>
      <c r="R2422">
        <v>302362</v>
      </c>
    </row>
    <row r="2423" spans="1:18" x14ac:dyDescent="0.25">
      <c r="A2423" s="169">
        <v>46059</v>
      </c>
      <c r="B2423" s="116">
        <v>408.55</v>
      </c>
      <c r="C2423" s="116">
        <v>407.1</v>
      </c>
      <c r="D2423" s="116">
        <v>396.6</v>
      </c>
      <c r="E2423" s="116">
        <v>400.3</v>
      </c>
      <c r="F2423" s="116">
        <v>407.1</v>
      </c>
      <c r="G2423">
        <v>7503</v>
      </c>
      <c r="H2423" s="116"/>
      <c r="I2423" s="116"/>
      <c r="L2423" s="169">
        <v>46059</v>
      </c>
      <c r="M2423" s="116">
        <v>405.65</v>
      </c>
      <c r="N2423" s="116">
        <v>408.95</v>
      </c>
      <c r="O2423" s="116">
        <v>396</v>
      </c>
      <c r="P2423" s="116">
        <v>400.2</v>
      </c>
      <c r="Q2423" s="116">
        <v>405.65</v>
      </c>
      <c r="R2423">
        <v>248910</v>
      </c>
    </row>
    <row r="2424" spans="1:18" x14ac:dyDescent="0.25">
      <c r="A2424" s="169">
        <v>46062</v>
      </c>
      <c r="B2424" s="116">
        <v>414.55</v>
      </c>
      <c r="C2424" s="116">
        <v>410.8</v>
      </c>
      <c r="D2424" s="116">
        <v>406</v>
      </c>
      <c r="E2424" s="116">
        <v>412</v>
      </c>
      <c r="F2424" s="116">
        <v>410.8</v>
      </c>
      <c r="G2424">
        <v>7197</v>
      </c>
      <c r="H2424" s="116"/>
      <c r="I2424" s="116"/>
      <c r="L2424" s="169">
        <v>46062</v>
      </c>
      <c r="M2424" s="116">
        <v>411.7</v>
      </c>
      <c r="N2424" s="116">
        <v>418</v>
      </c>
      <c r="O2424" s="116">
        <v>407.15</v>
      </c>
      <c r="P2424" s="116">
        <v>411.05</v>
      </c>
      <c r="Q2424" s="116">
        <v>411.7</v>
      </c>
      <c r="R2424">
        <v>247599</v>
      </c>
    </row>
    <row r="2425" spans="1:18" x14ac:dyDescent="0.25">
      <c r="A2425" s="169">
        <v>46063</v>
      </c>
      <c r="B2425" s="116">
        <v>416.2</v>
      </c>
      <c r="C2425" s="116">
        <v>406.3</v>
      </c>
      <c r="D2425" s="116">
        <v>405.7</v>
      </c>
      <c r="E2425" s="116">
        <v>410.9</v>
      </c>
      <c r="F2425" s="116">
        <v>406.3</v>
      </c>
      <c r="G2425">
        <v>7812</v>
      </c>
      <c r="H2425" s="116"/>
      <c r="I2425" s="116"/>
      <c r="L2425" s="169">
        <v>46063</v>
      </c>
      <c r="M2425" s="116">
        <v>406.35</v>
      </c>
      <c r="N2425" s="116">
        <v>419</v>
      </c>
      <c r="O2425" s="116">
        <v>404.9</v>
      </c>
      <c r="P2425" s="116">
        <v>411.95</v>
      </c>
      <c r="Q2425" s="116">
        <v>406.35</v>
      </c>
      <c r="R2425">
        <v>205255</v>
      </c>
    </row>
    <row r="2426" spans="1:18" x14ac:dyDescent="0.25">
      <c r="A2426" s="169">
        <v>46064</v>
      </c>
      <c r="B2426" s="116">
        <v>406.7</v>
      </c>
      <c r="C2426" s="116">
        <v>403.7</v>
      </c>
      <c r="D2426" s="116">
        <v>393</v>
      </c>
      <c r="E2426" s="116">
        <v>400</v>
      </c>
      <c r="F2426" s="116">
        <v>403.7</v>
      </c>
      <c r="G2426">
        <v>15399</v>
      </c>
      <c r="H2426" s="116"/>
      <c r="I2426" s="116"/>
      <c r="L2426" s="169">
        <v>46064</v>
      </c>
      <c r="M2426" s="116">
        <v>403.75</v>
      </c>
      <c r="N2426" s="116">
        <v>406.95</v>
      </c>
      <c r="O2426" s="116">
        <v>391.1</v>
      </c>
      <c r="P2426" s="116">
        <v>396</v>
      </c>
      <c r="Q2426" s="116">
        <v>403.75</v>
      </c>
      <c r="R2426">
        <v>451914</v>
      </c>
    </row>
    <row r="2427" spans="1:18" x14ac:dyDescent="0.25">
      <c r="A2427" s="169">
        <v>46065</v>
      </c>
      <c r="B2427" s="116">
        <v>405.95</v>
      </c>
      <c r="C2427" s="116">
        <v>401.6</v>
      </c>
      <c r="D2427" s="116">
        <v>397</v>
      </c>
      <c r="E2427" s="116">
        <v>405</v>
      </c>
      <c r="F2427" s="116">
        <v>401.6</v>
      </c>
      <c r="G2427">
        <v>13901</v>
      </c>
      <c r="H2427" s="116"/>
      <c r="I2427" s="116"/>
      <c r="L2427" s="169">
        <v>46065</v>
      </c>
      <c r="M2427" s="116">
        <v>401.9</v>
      </c>
      <c r="N2427" s="116">
        <v>406.15</v>
      </c>
      <c r="O2427" s="116">
        <v>396.3</v>
      </c>
      <c r="P2427" s="116">
        <v>403.75</v>
      </c>
      <c r="Q2427" s="116">
        <v>401.9</v>
      </c>
      <c r="R2427">
        <v>227252</v>
      </c>
    </row>
    <row r="2428" spans="1:18" x14ac:dyDescent="0.25">
      <c r="A2428" s="169">
        <v>46066</v>
      </c>
      <c r="B2428" s="116">
        <v>406.75</v>
      </c>
      <c r="C2428" s="116">
        <v>403.3</v>
      </c>
      <c r="D2428" s="116">
        <v>394.85</v>
      </c>
      <c r="E2428" s="116">
        <v>401.45</v>
      </c>
      <c r="F2428" s="116">
        <v>403.3</v>
      </c>
      <c r="G2428">
        <v>6491</v>
      </c>
      <c r="H2428" s="116"/>
      <c r="I2428" s="116"/>
      <c r="L2428" s="169">
        <v>46066</v>
      </c>
      <c r="M2428" s="116">
        <v>403.1</v>
      </c>
      <c r="N2428" s="116">
        <v>406.8</v>
      </c>
      <c r="O2428" s="116">
        <v>394.3</v>
      </c>
      <c r="P2428" s="116">
        <v>401.05</v>
      </c>
      <c r="Q2428" s="116">
        <v>403.1</v>
      </c>
      <c r="R2428">
        <v>220651</v>
      </c>
    </row>
    <row r="2429" spans="1:18" x14ac:dyDescent="0.25">
      <c r="A2429" s="169">
        <v>46069</v>
      </c>
      <c r="B2429" s="116">
        <v>410.8</v>
      </c>
      <c r="C2429" s="116">
        <v>406.7</v>
      </c>
      <c r="D2429" s="116">
        <v>400</v>
      </c>
      <c r="E2429" s="116">
        <v>402.25</v>
      </c>
      <c r="F2429" s="116">
        <v>406.7</v>
      </c>
      <c r="G2429">
        <v>4767</v>
      </c>
      <c r="H2429" s="116"/>
      <c r="I2429" s="116"/>
      <c r="L2429" s="169">
        <v>46069</v>
      </c>
      <c r="M2429" s="116">
        <v>406.85</v>
      </c>
      <c r="N2429" s="116">
        <v>410.75</v>
      </c>
      <c r="O2429" s="116">
        <v>399.5</v>
      </c>
      <c r="P2429" s="116">
        <v>400.4</v>
      </c>
      <c r="Q2429" s="116">
        <v>406.85</v>
      </c>
      <c r="R2429">
        <v>172058</v>
      </c>
    </row>
    <row r="2430" spans="1:18" x14ac:dyDescent="0.25">
      <c r="A2430" s="169">
        <v>46070</v>
      </c>
      <c r="B2430" s="116">
        <v>422.95</v>
      </c>
      <c r="C2430" s="116">
        <v>420.8</v>
      </c>
      <c r="D2430" s="116">
        <v>406.05</v>
      </c>
      <c r="E2430" s="116">
        <v>406.05</v>
      </c>
      <c r="F2430" s="116">
        <v>420.8</v>
      </c>
      <c r="G2430">
        <v>6202</v>
      </c>
      <c r="H2430" s="116"/>
      <c r="I2430" s="116"/>
      <c r="L2430" s="169">
        <v>46070</v>
      </c>
      <c r="M2430" s="116">
        <v>420.35</v>
      </c>
      <c r="N2430" s="116">
        <v>422.5</v>
      </c>
      <c r="O2430" s="116">
        <v>403.75</v>
      </c>
      <c r="P2430" s="116">
        <v>406</v>
      </c>
      <c r="Q2430" s="116">
        <v>420.35</v>
      </c>
      <c r="R2430">
        <v>238013</v>
      </c>
    </row>
    <row r="2431" spans="1:18" x14ac:dyDescent="0.25">
      <c r="A2431" s="169">
        <v>46071</v>
      </c>
      <c r="B2431" s="116">
        <v>425</v>
      </c>
      <c r="C2431" s="116">
        <v>418.05</v>
      </c>
      <c r="D2431" s="116">
        <v>416.1</v>
      </c>
      <c r="E2431" s="116">
        <v>416.65</v>
      </c>
      <c r="F2431" s="116">
        <v>418.05</v>
      </c>
      <c r="G2431">
        <v>3821</v>
      </c>
      <c r="H2431" s="116"/>
      <c r="I2431" s="116"/>
      <c r="L2431" s="169">
        <v>46071</v>
      </c>
      <c r="M2431" s="116">
        <v>417.65</v>
      </c>
      <c r="N2431" s="116">
        <v>425.05</v>
      </c>
      <c r="O2431" s="116">
        <v>416.05</v>
      </c>
      <c r="P2431" s="116">
        <v>420.35</v>
      </c>
      <c r="Q2431" s="116">
        <v>417.65</v>
      </c>
      <c r="R2431">
        <v>174444</v>
      </c>
    </row>
    <row r="2432" spans="1:18" x14ac:dyDescent="0.25">
      <c r="A2432" s="169">
        <v>46072</v>
      </c>
      <c r="B2432" s="116">
        <v>422.95</v>
      </c>
      <c r="C2432" s="116">
        <v>404.55</v>
      </c>
      <c r="D2432" s="116">
        <v>399.5</v>
      </c>
      <c r="E2432" s="116">
        <v>418.1</v>
      </c>
      <c r="F2432" s="116">
        <v>404.55</v>
      </c>
      <c r="G2432">
        <v>4366</v>
      </c>
      <c r="H2432" s="116"/>
      <c r="I2432" s="116"/>
      <c r="L2432" s="169">
        <v>46072</v>
      </c>
      <c r="M2432" s="116">
        <v>407.7</v>
      </c>
      <c r="N2432" s="116">
        <v>423</v>
      </c>
      <c r="O2432" s="116">
        <v>399.5</v>
      </c>
      <c r="P2432" s="116">
        <v>422.9</v>
      </c>
      <c r="Q2432" s="116">
        <v>407.7</v>
      </c>
      <c r="R2432">
        <v>145686</v>
      </c>
    </row>
    <row r="2433" spans="1:18" x14ac:dyDescent="0.25">
      <c r="A2433" s="169">
        <v>46073</v>
      </c>
      <c r="B2433" s="116">
        <v>406.7</v>
      </c>
      <c r="C2433" s="116">
        <v>398</v>
      </c>
      <c r="D2433" s="116">
        <v>383.3</v>
      </c>
      <c r="E2433" s="116">
        <v>400</v>
      </c>
      <c r="F2433" s="116">
        <v>398</v>
      </c>
      <c r="G2433">
        <v>12566</v>
      </c>
      <c r="H2433" s="116"/>
      <c r="I2433" s="116"/>
      <c r="L2433" s="169">
        <v>46073</v>
      </c>
      <c r="M2433" s="116">
        <v>399.45</v>
      </c>
      <c r="N2433" s="116">
        <v>407</v>
      </c>
      <c r="O2433" s="116">
        <v>382.6</v>
      </c>
      <c r="P2433" s="116">
        <v>399.45</v>
      </c>
      <c r="Q2433" s="116">
        <v>399.45</v>
      </c>
      <c r="R2433">
        <v>756207</v>
      </c>
    </row>
    <row r="2434" spans="1:18" x14ac:dyDescent="0.25">
      <c r="A2434" s="169">
        <v>46076</v>
      </c>
      <c r="B2434" s="116">
        <v>415</v>
      </c>
      <c r="C2434" s="116">
        <v>410.9</v>
      </c>
      <c r="D2434" s="116">
        <v>393.2</v>
      </c>
      <c r="E2434" s="116">
        <v>397.95</v>
      </c>
      <c r="F2434" s="116">
        <v>410.9</v>
      </c>
      <c r="G2434">
        <v>8775</v>
      </c>
      <c r="H2434" s="116"/>
      <c r="I2434" s="116"/>
      <c r="L2434" s="169">
        <v>46076</v>
      </c>
      <c r="M2434" s="116">
        <v>410.4</v>
      </c>
      <c r="N2434" s="116">
        <v>415.8</v>
      </c>
      <c r="O2434" s="116">
        <v>394</v>
      </c>
      <c r="P2434" s="116">
        <v>399</v>
      </c>
      <c r="Q2434" s="116">
        <v>410.4</v>
      </c>
      <c r="R2434">
        <v>433974</v>
      </c>
    </row>
    <row r="2435" spans="1:18" x14ac:dyDescent="0.25">
      <c r="A2435" s="169">
        <v>46077</v>
      </c>
      <c r="B2435" s="116">
        <v>410.45</v>
      </c>
      <c r="C2435" s="116">
        <v>399.3</v>
      </c>
      <c r="D2435" s="116">
        <v>393.05</v>
      </c>
      <c r="E2435" s="116">
        <v>400.6</v>
      </c>
      <c r="F2435" s="116">
        <v>399.3</v>
      </c>
      <c r="G2435">
        <v>8719</v>
      </c>
      <c r="H2435" s="116"/>
      <c r="I2435" s="116"/>
      <c r="L2435" s="169">
        <v>46077</v>
      </c>
      <c r="M2435" s="116">
        <v>399.95</v>
      </c>
      <c r="N2435" s="116">
        <v>415</v>
      </c>
      <c r="O2435" s="116">
        <v>393.3</v>
      </c>
      <c r="P2435" s="116">
        <v>405</v>
      </c>
      <c r="Q2435" s="116">
        <v>399.95</v>
      </c>
      <c r="R2435">
        <v>695864</v>
      </c>
    </row>
    <row r="2436" spans="1:18" x14ac:dyDescent="0.25">
      <c r="A2436" s="169">
        <v>46078</v>
      </c>
      <c r="B2436" s="116">
        <v>409</v>
      </c>
      <c r="C2436" s="116">
        <v>403.8</v>
      </c>
      <c r="D2436" s="116">
        <v>399.05</v>
      </c>
      <c r="E2436" s="116">
        <v>399.4</v>
      </c>
      <c r="F2436" s="116">
        <v>403.8</v>
      </c>
      <c r="G2436">
        <v>4447</v>
      </c>
      <c r="H2436" s="116"/>
      <c r="I2436" s="116"/>
      <c r="L2436" s="169">
        <v>46078</v>
      </c>
      <c r="M2436" s="116">
        <v>403.3</v>
      </c>
      <c r="N2436" s="116">
        <v>408.4</v>
      </c>
      <c r="O2436" s="116">
        <v>396.95</v>
      </c>
      <c r="P2436" s="116">
        <v>405.95</v>
      </c>
      <c r="Q2436" s="116">
        <v>403.3</v>
      </c>
      <c r="R2436">
        <v>166563</v>
      </c>
    </row>
    <row r="2437" spans="1:18" x14ac:dyDescent="0.25">
      <c r="A2437" s="169">
        <v>46079</v>
      </c>
      <c r="B2437" s="116">
        <v>405.7</v>
      </c>
      <c r="C2437" s="116">
        <v>398.9</v>
      </c>
      <c r="D2437" s="116">
        <v>395.45</v>
      </c>
      <c r="E2437" s="116">
        <v>395.45</v>
      </c>
      <c r="F2437" s="116">
        <v>398.9</v>
      </c>
      <c r="G2437">
        <v>7818</v>
      </c>
      <c r="H2437" s="116"/>
      <c r="I2437" s="116"/>
      <c r="L2437" s="169">
        <v>46079</v>
      </c>
      <c r="M2437" s="116">
        <v>399</v>
      </c>
      <c r="N2437" s="116">
        <v>406.05</v>
      </c>
      <c r="O2437" s="116">
        <v>392</v>
      </c>
      <c r="P2437" s="116">
        <v>405.25</v>
      </c>
      <c r="Q2437" s="116">
        <v>399</v>
      </c>
      <c r="R2437">
        <v>255619</v>
      </c>
    </row>
    <row r="2438" spans="1:18" x14ac:dyDescent="0.25">
      <c r="A2438" s="169">
        <v>46080</v>
      </c>
      <c r="B2438" s="116">
        <v>408</v>
      </c>
      <c r="C2438" s="116">
        <v>394.75</v>
      </c>
      <c r="D2438" s="116">
        <v>378.3</v>
      </c>
      <c r="E2438" s="116">
        <v>397.4</v>
      </c>
      <c r="F2438" s="116">
        <v>394.75</v>
      </c>
      <c r="G2438">
        <v>29011</v>
      </c>
      <c r="H2438" s="116"/>
      <c r="I2438" s="116"/>
      <c r="L2438" s="169">
        <v>46080</v>
      </c>
      <c r="M2438" s="116">
        <v>393.65</v>
      </c>
      <c r="N2438" s="116">
        <v>408.3</v>
      </c>
      <c r="O2438" s="116">
        <v>378.55</v>
      </c>
      <c r="P2438" s="116">
        <v>396.75</v>
      </c>
      <c r="Q2438" s="116">
        <v>393.65</v>
      </c>
      <c r="R2438">
        <v>2228429</v>
      </c>
    </row>
    <row r="2439" spans="1:18" x14ac:dyDescent="0.25">
      <c r="A2439" s="169">
        <v>46083</v>
      </c>
      <c r="B2439" s="116">
        <v>392.25</v>
      </c>
      <c r="C2439" s="116">
        <v>385.3</v>
      </c>
      <c r="D2439" s="116">
        <v>366.15</v>
      </c>
      <c r="E2439" s="116">
        <v>366.15</v>
      </c>
      <c r="F2439" s="116">
        <v>385.3</v>
      </c>
      <c r="G2439">
        <v>6321</v>
      </c>
      <c r="H2439" s="116"/>
      <c r="I2439" s="116"/>
      <c r="L2439" s="169">
        <v>46083</v>
      </c>
      <c r="M2439" s="116">
        <v>384.45</v>
      </c>
      <c r="N2439" s="116">
        <v>392.6</v>
      </c>
      <c r="O2439" s="116">
        <v>375.2</v>
      </c>
      <c r="P2439" s="116">
        <v>375.2</v>
      </c>
      <c r="Q2439" s="116">
        <v>384.45</v>
      </c>
      <c r="R2439">
        <v>329810</v>
      </c>
    </row>
    <row r="2440" spans="1:18" x14ac:dyDescent="0.25">
      <c r="A2440" s="169">
        <v>46085</v>
      </c>
      <c r="B2440" s="116">
        <v>379.2</v>
      </c>
      <c r="C2440" s="116">
        <v>376.35</v>
      </c>
      <c r="D2440" s="116">
        <v>367.85</v>
      </c>
      <c r="E2440" s="116">
        <v>370.05</v>
      </c>
      <c r="F2440" s="116">
        <v>376.35</v>
      </c>
      <c r="G2440">
        <v>15170</v>
      </c>
      <c r="H2440" s="116"/>
      <c r="I2440" s="116"/>
      <c r="L2440" s="169">
        <v>46085</v>
      </c>
      <c r="M2440" s="116">
        <v>376.95</v>
      </c>
      <c r="N2440" s="116">
        <v>379.85</v>
      </c>
      <c r="O2440" s="116">
        <v>367.55</v>
      </c>
      <c r="P2440" s="116">
        <v>375</v>
      </c>
      <c r="Q2440" s="116">
        <v>376.95</v>
      </c>
      <c r="R2440">
        <v>271784</v>
      </c>
    </row>
    <row r="2441" spans="1:18" x14ac:dyDescent="0.25">
      <c r="A2441" s="169">
        <v>46086</v>
      </c>
      <c r="B2441" s="116">
        <v>381.4</v>
      </c>
      <c r="C2441" s="116">
        <v>374.4</v>
      </c>
      <c r="D2441" s="116">
        <v>368.9</v>
      </c>
      <c r="E2441" s="116">
        <v>377</v>
      </c>
      <c r="F2441" s="116">
        <v>374.4</v>
      </c>
      <c r="G2441">
        <v>7463</v>
      </c>
      <c r="H2441" s="116"/>
      <c r="I2441" s="116"/>
      <c r="L2441" s="169">
        <v>46086</v>
      </c>
      <c r="M2441" s="116">
        <v>374.65</v>
      </c>
      <c r="N2441" s="116">
        <v>381</v>
      </c>
      <c r="O2441" s="116">
        <v>367.75</v>
      </c>
      <c r="P2441" s="116">
        <v>381</v>
      </c>
      <c r="Q2441" s="116">
        <v>374.65</v>
      </c>
      <c r="R2441">
        <v>267087</v>
      </c>
    </row>
    <row r="2442" spans="1:18" x14ac:dyDescent="0.25">
      <c r="A2442" s="169">
        <v>46087</v>
      </c>
      <c r="B2442" s="116">
        <v>377.95</v>
      </c>
      <c r="C2442" s="116">
        <v>370</v>
      </c>
      <c r="D2442" s="116">
        <v>366</v>
      </c>
      <c r="E2442" s="116">
        <v>373.05</v>
      </c>
      <c r="F2442" s="116">
        <v>370</v>
      </c>
      <c r="G2442">
        <v>9216</v>
      </c>
      <c r="H2442" s="116"/>
      <c r="I2442" s="116"/>
      <c r="L2442" s="169">
        <v>46087</v>
      </c>
      <c r="M2442" s="116">
        <v>369.85</v>
      </c>
      <c r="N2442" s="116">
        <v>377.8</v>
      </c>
      <c r="O2442" s="116">
        <v>365.85</v>
      </c>
      <c r="P2442" s="116">
        <v>370.9</v>
      </c>
      <c r="Q2442" s="116">
        <v>369.85</v>
      </c>
      <c r="R2442">
        <v>177133</v>
      </c>
    </row>
    <row r="2443" spans="1:18" x14ac:dyDescent="0.25">
      <c r="A2443" s="169">
        <v>46090</v>
      </c>
      <c r="B2443" s="116">
        <v>376</v>
      </c>
      <c r="C2443" s="116">
        <v>375.25</v>
      </c>
      <c r="D2443" s="116">
        <v>352.25</v>
      </c>
      <c r="E2443" s="116">
        <v>363</v>
      </c>
      <c r="F2443" s="116">
        <v>375.25</v>
      </c>
      <c r="G2443">
        <v>12263</v>
      </c>
      <c r="H2443" s="116"/>
      <c r="I2443" s="116"/>
      <c r="L2443" s="169">
        <v>46090</v>
      </c>
      <c r="M2443" s="116">
        <v>375.15</v>
      </c>
      <c r="N2443" s="116">
        <v>379</v>
      </c>
      <c r="O2443" s="116">
        <v>351.8</v>
      </c>
      <c r="P2443" s="116">
        <v>360</v>
      </c>
      <c r="Q2443" s="116">
        <v>375.15</v>
      </c>
      <c r="R2443">
        <v>256145</v>
      </c>
    </row>
    <row r="2444" spans="1:18" x14ac:dyDescent="0.25">
      <c r="A2444" s="169">
        <v>46091</v>
      </c>
      <c r="B2444" s="116">
        <v>379.95</v>
      </c>
      <c r="C2444" s="116">
        <v>374.35</v>
      </c>
      <c r="D2444" s="116">
        <v>369</v>
      </c>
      <c r="E2444" s="116">
        <v>376.3</v>
      </c>
      <c r="F2444" s="116">
        <v>374.35</v>
      </c>
      <c r="G2444">
        <v>6237</v>
      </c>
      <c r="H2444" s="116"/>
      <c r="I2444" s="116"/>
      <c r="L2444" s="169">
        <v>46091</v>
      </c>
      <c r="M2444" s="116">
        <v>374.3</v>
      </c>
      <c r="N2444" s="116">
        <v>382</v>
      </c>
      <c r="O2444" s="116">
        <v>369.15</v>
      </c>
      <c r="P2444" s="116">
        <v>382</v>
      </c>
      <c r="Q2444" s="116">
        <v>374.3</v>
      </c>
      <c r="R2444">
        <v>175954</v>
      </c>
    </row>
    <row r="2445" spans="1:18" x14ac:dyDescent="0.25">
      <c r="A2445" s="169">
        <v>46092</v>
      </c>
      <c r="B2445" s="116">
        <v>377.5</v>
      </c>
      <c r="C2445" s="116">
        <v>369.45</v>
      </c>
      <c r="D2445" s="116">
        <v>367</v>
      </c>
      <c r="E2445" s="116">
        <v>377.1</v>
      </c>
      <c r="F2445" s="116">
        <v>369.45</v>
      </c>
      <c r="G2445">
        <v>9800</v>
      </c>
      <c r="H2445" s="116"/>
      <c r="I2445" s="116"/>
      <c r="L2445" s="169">
        <v>46092</v>
      </c>
      <c r="M2445" s="116">
        <v>370.15</v>
      </c>
      <c r="N2445" s="116">
        <v>377.85</v>
      </c>
      <c r="O2445" s="116">
        <v>366</v>
      </c>
      <c r="P2445" s="116">
        <v>375</v>
      </c>
      <c r="Q2445" s="116">
        <v>370.15</v>
      </c>
      <c r="R2445">
        <v>171531</v>
      </c>
    </row>
    <row r="2446" spans="1:18" x14ac:dyDescent="0.25">
      <c r="A2446" s="169">
        <v>46093</v>
      </c>
      <c r="B2446" s="116">
        <v>375.7</v>
      </c>
      <c r="C2446" s="116">
        <v>366.6</v>
      </c>
      <c r="D2446" s="116">
        <v>360.1</v>
      </c>
      <c r="E2446" s="116">
        <v>369.45</v>
      </c>
      <c r="F2446" s="116">
        <v>366.6</v>
      </c>
      <c r="G2446">
        <v>7929</v>
      </c>
      <c r="H2446" s="116"/>
      <c r="I2446" s="116"/>
      <c r="L2446" s="169">
        <v>46093</v>
      </c>
      <c r="M2446" s="116">
        <v>367.05</v>
      </c>
      <c r="N2446" s="116">
        <v>370.75</v>
      </c>
      <c r="O2446" s="116">
        <v>360.2</v>
      </c>
      <c r="P2446" s="116">
        <v>370</v>
      </c>
      <c r="Q2446" s="116">
        <v>367.05</v>
      </c>
      <c r="R2446">
        <v>218862</v>
      </c>
    </row>
    <row r="2447" spans="1:18" x14ac:dyDescent="0.25">
      <c r="A2447" s="169">
        <v>46094</v>
      </c>
      <c r="B2447" s="116">
        <v>366.55</v>
      </c>
      <c r="C2447" s="116">
        <v>354.7</v>
      </c>
      <c r="D2447" s="116">
        <v>352.75</v>
      </c>
      <c r="E2447" s="116">
        <v>366.55</v>
      </c>
      <c r="F2447" s="116">
        <v>354.7</v>
      </c>
      <c r="G2447">
        <v>5615</v>
      </c>
      <c r="H2447" s="116"/>
      <c r="I2447" s="116"/>
      <c r="L2447" s="169">
        <v>46094</v>
      </c>
      <c r="M2447" s="116">
        <v>354.95</v>
      </c>
      <c r="N2447" s="116">
        <v>367</v>
      </c>
      <c r="O2447" s="116">
        <v>352.35</v>
      </c>
      <c r="P2447" s="116">
        <v>367</v>
      </c>
      <c r="Q2447" s="116">
        <v>354.95</v>
      </c>
      <c r="R2447">
        <v>347136</v>
      </c>
    </row>
    <row r="2448" spans="1:18" x14ac:dyDescent="0.25">
      <c r="A2448" s="169">
        <v>46097</v>
      </c>
      <c r="B2448" s="116">
        <v>362.75</v>
      </c>
      <c r="C2448" s="116">
        <v>360.4</v>
      </c>
      <c r="D2448" s="116">
        <v>348.55</v>
      </c>
      <c r="E2448" s="116">
        <v>351.25</v>
      </c>
      <c r="F2448" s="116">
        <v>360.4</v>
      </c>
      <c r="G2448">
        <v>5548</v>
      </c>
      <c r="H2448" s="116"/>
      <c r="I2448" s="116"/>
      <c r="L2448" s="169">
        <v>46097</v>
      </c>
      <c r="M2448" s="116">
        <v>360</v>
      </c>
      <c r="N2448" s="116">
        <v>362.5</v>
      </c>
      <c r="O2448" s="116">
        <v>348.35</v>
      </c>
      <c r="P2448" s="116">
        <v>355</v>
      </c>
      <c r="Q2448" s="116">
        <v>360</v>
      </c>
      <c r="R2448">
        <v>153685</v>
      </c>
    </row>
    <row r="2449" spans="1:18" x14ac:dyDescent="0.25">
      <c r="A2449" s="169">
        <v>46098</v>
      </c>
      <c r="B2449" s="116">
        <v>363</v>
      </c>
      <c r="C2449" s="116">
        <v>361.75</v>
      </c>
      <c r="D2449" s="116">
        <v>355.25</v>
      </c>
      <c r="E2449" s="116">
        <v>355.4</v>
      </c>
      <c r="F2449" s="116">
        <v>361.75</v>
      </c>
      <c r="G2449">
        <v>16368</v>
      </c>
      <c r="H2449" s="116"/>
      <c r="I2449" s="116"/>
      <c r="L2449" s="169">
        <v>46098</v>
      </c>
      <c r="M2449" s="116">
        <v>361.7</v>
      </c>
      <c r="N2449" s="116">
        <v>363.2</v>
      </c>
      <c r="O2449" s="116">
        <v>355.3</v>
      </c>
      <c r="P2449" s="116">
        <v>358.05</v>
      </c>
      <c r="Q2449" s="116">
        <v>361.7</v>
      </c>
      <c r="R2449">
        <v>125434</v>
      </c>
    </row>
    <row r="2450" spans="1:18" x14ac:dyDescent="0.25">
      <c r="A2450" s="169">
        <v>46099</v>
      </c>
      <c r="B2450" s="116">
        <v>378.95</v>
      </c>
      <c r="C2450" s="116">
        <v>372.85</v>
      </c>
      <c r="D2450" s="116">
        <v>359.1</v>
      </c>
      <c r="E2450" s="116">
        <v>361.75</v>
      </c>
      <c r="F2450" s="116">
        <v>372.85</v>
      </c>
      <c r="G2450">
        <v>6735</v>
      </c>
      <c r="H2450" s="116"/>
      <c r="I2450" s="116"/>
      <c r="L2450" s="169">
        <v>46099</v>
      </c>
      <c r="M2450" s="116">
        <v>372.65</v>
      </c>
      <c r="N2450" s="116">
        <v>379.7</v>
      </c>
      <c r="O2450" s="116">
        <v>360.05</v>
      </c>
      <c r="P2450" s="116">
        <v>360.05</v>
      </c>
      <c r="Q2450" s="116">
        <v>372.65</v>
      </c>
      <c r="R2450">
        <v>210762</v>
      </c>
    </row>
    <row r="2451" spans="1:18" x14ac:dyDescent="0.25">
      <c r="A2451" s="169">
        <v>46100</v>
      </c>
      <c r="B2451" s="116">
        <v>368.7</v>
      </c>
      <c r="C2451" s="116">
        <v>359.2</v>
      </c>
      <c r="D2451" s="116">
        <v>357</v>
      </c>
      <c r="E2451" s="116">
        <v>364.55</v>
      </c>
      <c r="F2451" s="116">
        <v>359.2</v>
      </c>
      <c r="G2451">
        <v>5702</v>
      </c>
      <c r="H2451" s="116"/>
      <c r="I2451" s="116"/>
      <c r="L2451" s="169">
        <v>46100</v>
      </c>
      <c r="M2451" s="116">
        <v>358.8</v>
      </c>
      <c r="N2451" s="116">
        <v>368.65</v>
      </c>
      <c r="O2451" s="116">
        <v>357.05</v>
      </c>
      <c r="P2451" s="116">
        <v>367</v>
      </c>
      <c r="Q2451" s="116">
        <v>358.8</v>
      </c>
      <c r="R2451">
        <v>198685</v>
      </c>
    </row>
    <row r="2452" spans="1:18" x14ac:dyDescent="0.25">
      <c r="A2452" s="169">
        <v>46101</v>
      </c>
      <c r="B2452" s="116">
        <v>371.3</v>
      </c>
      <c r="C2452" s="116">
        <v>352.9</v>
      </c>
      <c r="D2452" s="116">
        <v>348.75</v>
      </c>
      <c r="E2452" s="116">
        <v>359.3</v>
      </c>
      <c r="F2452" s="116">
        <v>352.9</v>
      </c>
      <c r="G2452">
        <v>8559</v>
      </c>
      <c r="H2452" s="116"/>
      <c r="I2452" s="116"/>
      <c r="L2452" s="169">
        <v>46101</v>
      </c>
      <c r="M2452" s="116">
        <v>351.35</v>
      </c>
      <c r="N2452" s="116">
        <v>371.85</v>
      </c>
      <c r="O2452" s="116">
        <v>348.75</v>
      </c>
      <c r="P2452" s="116">
        <v>360</v>
      </c>
      <c r="Q2452" s="116">
        <v>351.35</v>
      </c>
      <c r="R2452">
        <v>414102</v>
      </c>
    </row>
    <row r="2453" spans="1:18" x14ac:dyDescent="0.25">
      <c r="A2453" s="169">
        <v>46104</v>
      </c>
      <c r="B2453" s="116">
        <v>382</v>
      </c>
      <c r="C2453" s="116">
        <v>373</v>
      </c>
      <c r="D2453" s="116">
        <v>342.55</v>
      </c>
      <c r="E2453" s="116">
        <v>351.35</v>
      </c>
      <c r="F2453" s="116">
        <v>373</v>
      </c>
      <c r="G2453">
        <v>28510</v>
      </c>
      <c r="H2453" s="116"/>
      <c r="I2453" s="116"/>
      <c r="L2453" s="169">
        <v>46104</v>
      </c>
      <c r="M2453" s="116">
        <v>373.3</v>
      </c>
      <c r="N2453" s="116">
        <v>382.3</v>
      </c>
      <c r="O2453" s="116">
        <v>342.55</v>
      </c>
      <c r="P2453" s="116">
        <v>350</v>
      </c>
      <c r="Q2453" s="116">
        <v>373.3</v>
      </c>
      <c r="R2453">
        <v>1032587</v>
      </c>
    </row>
    <row r="2454" spans="1:18" x14ac:dyDescent="0.25">
      <c r="A2454" s="169">
        <v>46105</v>
      </c>
      <c r="B2454" s="116">
        <v>379</v>
      </c>
      <c r="C2454" s="116">
        <v>365.45</v>
      </c>
      <c r="D2454" s="116">
        <v>364.6</v>
      </c>
      <c r="E2454" s="116">
        <v>374.5</v>
      </c>
      <c r="F2454" s="116">
        <v>365.45</v>
      </c>
      <c r="G2454">
        <v>9766</v>
      </c>
      <c r="H2454" s="116"/>
      <c r="I2454" s="116"/>
      <c r="L2454" s="169">
        <v>46105</v>
      </c>
      <c r="M2454" s="116">
        <v>366.45</v>
      </c>
      <c r="N2454" s="116">
        <v>378.95</v>
      </c>
      <c r="O2454" s="116">
        <v>364.1</v>
      </c>
      <c r="P2454" s="116">
        <v>374.9</v>
      </c>
      <c r="Q2454" s="116">
        <v>366.45</v>
      </c>
      <c r="R2454">
        <v>336493</v>
      </c>
    </row>
    <row r="2455" spans="1:18" x14ac:dyDescent="0.25">
      <c r="A2455" s="169">
        <v>46106</v>
      </c>
      <c r="B2455" s="116">
        <v>383.2</v>
      </c>
      <c r="C2455" s="116">
        <v>369.5</v>
      </c>
      <c r="D2455" s="116">
        <v>367</v>
      </c>
      <c r="E2455" s="116">
        <v>372.8</v>
      </c>
      <c r="F2455" s="116">
        <v>369.5</v>
      </c>
      <c r="G2455">
        <v>12771</v>
      </c>
      <c r="H2455" s="116"/>
      <c r="I2455" s="116"/>
      <c r="L2455" s="169">
        <v>46106</v>
      </c>
      <c r="M2455" s="116">
        <v>369.1</v>
      </c>
      <c r="N2455" s="116">
        <v>383.85</v>
      </c>
      <c r="O2455" s="116">
        <v>366.6</v>
      </c>
      <c r="P2455" s="116">
        <v>369.95</v>
      </c>
      <c r="Q2455" s="116">
        <v>369.1</v>
      </c>
      <c r="R2455">
        <v>552909</v>
      </c>
    </row>
    <row r="2456" spans="1:18" x14ac:dyDescent="0.25">
      <c r="A2456" s="169">
        <v>46108</v>
      </c>
      <c r="B2456" s="116">
        <v>374.15</v>
      </c>
      <c r="C2456" s="116">
        <v>360.35</v>
      </c>
      <c r="D2456" s="116">
        <v>357</v>
      </c>
      <c r="E2456" s="116">
        <v>363.05</v>
      </c>
      <c r="F2456" s="116">
        <v>360.35</v>
      </c>
      <c r="G2456">
        <v>11835</v>
      </c>
      <c r="H2456" s="116"/>
      <c r="I2456" s="116"/>
      <c r="L2456" s="169">
        <v>46108</v>
      </c>
      <c r="M2456" s="116">
        <v>361.25</v>
      </c>
      <c r="N2456" s="116">
        <v>374.4</v>
      </c>
      <c r="O2456" s="116">
        <v>354</v>
      </c>
      <c r="P2456" s="116">
        <v>370.95</v>
      </c>
      <c r="Q2456" s="116">
        <v>361.25</v>
      </c>
      <c r="R2456">
        <v>616328</v>
      </c>
    </row>
    <row r="2457" spans="1:18" x14ac:dyDescent="0.25">
      <c r="A2457" s="169">
        <v>46111</v>
      </c>
      <c r="B2457" s="116">
        <v>363.6</v>
      </c>
      <c r="C2457" s="116">
        <v>349.75</v>
      </c>
      <c r="D2457" s="116">
        <v>346.9</v>
      </c>
      <c r="E2457" s="116">
        <v>360</v>
      </c>
      <c r="F2457" s="116">
        <v>349.75</v>
      </c>
      <c r="G2457">
        <v>12866</v>
      </c>
      <c r="H2457" s="116"/>
      <c r="I2457" s="116"/>
      <c r="L2457" s="169">
        <v>46111</v>
      </c>
      <c r="M2457" s="116">
        <v>349.55</v>
      </c>
      <c r="N2457" s="116">
        <v>361</v>
      </c>
      <c r="O2457" s="116">
        <v>346.8</v>
      </c>
      <c r="P2457" s="116">
        <v>358.2</v>
      </c>
      <c r="Q2457" s="116">
        <v>349.55</v>
      </c>
      <c r="R2457">
        <v>348965</v>
      </c>
    </row>
    <row r="2458" spans="1:18" x14ac:dyDescent="0.25">
      <c r="A2458" s="169">
        <v>46113</v>
      </c>
      <c r="B2458" s="116">
        <v>373.25</v>
      </c>
      <c r="C2458" s="116">
        <v>361.35</v>
      </c>
      <c r="D2458" s="116">
        <v>350.4</v>
      </c>
      <c r="E2458" s="116">
        <v>350.4</v>
      </c>
      <c r="F2458" s="116">
        <v>361.35</v>
      </c>
      <c r="G2458">
        <v>14170</v>
      </c>
      <c r="H2458" s="116"/>
      <c r="I2458" s="116"/>
      <c r="L2458" s="169">
        <v>46113</v>
      </c>
      <c r="M2458" s="116">
        <v>362</v>
      </c>
      <c r="N2458" s="116">
        <v>373.25</v>
      </c>
      <c r="O2458" s="116">
        <v>354.75</v>
      </c>
      <c r="P2458" s="116">
        <v>359.55</v>
      </c>
      <c r="Q2458" s="116">
        <v>362</v>
      </c>
      <c r="R2458">
        <v>291531</v>
      </c>
    </row>
    <row r="2459" spans="1:18" x14ac:dyDescent="0.25">
      <c r="A2459" s="169">
        <v>46114</v>
      </c>
      <c r="B2459" s="116">
        <v>367.7</v>
      </c>
      <c r="C2459" s="116">
        <v>366.15</v>
      </c>
      <c r="D2459" s="116">
        <v>352.2</v>
      </c>
      <c r="E2459" s="116">
        <v>362</v>
      </c>
      <c r="F2459" s="116">
        <v>366.15</v>
      </c>
      <c r="G2459">
        <v>4813</v>
      </c>
      <c r="H2459" s="116"/>
      <c r="I2459" s="116"/>
      <c r="L2459" s="169">
        <v>46114</v>
      </c>
      <c r="M2459" s="116">
        <v>366</v>
      </c>
      <c r="N2459" s="116">
        <v>367.65</v>
      </c>
      <c r="O2459" s="116">
        <v>352.9</v>
      </c>
      <c r="P2459" s="116">
        <v>355.1</v>
      </c>
      <c r="Q2459" s="116">
        <v>366</v>
      </c>
      <c r="R2459">
        <v>126614</v>
      </c>
    </row>
    <row r="2460" spans="1:18" x14ac:dyDescent="0.25">
      <c r="A2460" s="169">
        <v>46118</v>
      </c>
      <c r="B2460" s="116">
        <v>380.75</v>
      </c>
      <c r="C2460" s="116">
        <v>378.75</v>
      </c>
      <c r="D2460" s="116">
        <v>364.9</v>
      </c>
      <c r="E2460" s="116">
        <v>364.95</v>
      </c>
      <c r="F2460" s="116">
        <v>378.75</v>
      </c>
      <c r="G2460">
        <v>11108</v>
      </c>
      <c r="H2460" s="116"/>
      <c r="I2460" s="116"/>
      <c r="L2460" s="169">
        <v>46118</v>
      </c>
      <c r="M2460" s="116">
        <v>379.45</v>
      </c>
      <c r="N2460" s="116">
        <v>380.5</v>
      </c>
      <c r="O2460" s="116">
        <v>364.15</v>
      </c>
      <c r="P2460" s="116">
        <v>368</v>
      </c>
      <c r="Q2460" s="116">
        <v>379.45</v>
      </c>
      <c r="R2460">
        <v>179928</v>
      </c>
    </row>
    <row r="2461" spans="1:18" x14ac:dyDescent="0.25">
      <c r="A2461" s="169">
        <v>46119</v>
      </c>
      <c r="B2461" s="116">
        <v>380.5</v>
      </c>
      <c r="C2461" s="116">
        <v>378.75</v>
      </c>
      <c r="D2461" s="116">
        <v>374.55</v>
      </c>
      <c r="E2461" s="116">
        <v>377</v>
      </c>
      <c r="F2461" s="116">
        <v>378.75</v>
      </c>
      <c r="G2461">
        <v>4695</v>
      </c>
      <c r="H2461" s="116"/>
      <c r="I2461" s="116"/>
      <c r="L2461" s="169">
        <v>46119</v>
      </c>
      <c r="M2461" s="116">
        <v>378.75</v>
      </c>
      <c r="N2461" s="116">
        <v>380.7</v>
      </c>
      <c r="O2461" s="116">
        <v>374.45</v>
      </c>
      <c r="P2461" s="116">
        <v>379</v>
      </c>
      <c r="Q2461" s="116">
        <v>378.75</v>
      </c>
      <c r="R2461">
        <v>108815</v>
      </c>
    </row>
    <row r="2462" spans="1:18" x14ac:dyDescent="0.25">
      <c r="A2462" s="169">
        <v>46120</v>
      </c>
      <c r="B2462" s="116">
        <v>391.9</v>
      </c>
      <c r="C2462" s="116">
        <v>390.65</v>
      </c>
      <c r="D2462" s="116">
        <v>380.35</v>
      </c>
      <c r="E2462" s="116">
        <v>390.95</v>
      </c>
      <c r="F2462" s="116">
        <v>390.65</v>
      </c>
      <c r="G2462">
        <v>9360</v>
      </c>
      <c r="H2462" s="116"/>
      <c r="I2462" s="116"/>
      <c r="L2462" s="169">
        <v>46120</v>
      </c>
      <c r="M2462" s="116">
        <v>390.45</v>
      </c>
      <c r="N2462" s="116">
        <v>394</v>
      </c>
      <c r="O2462" s="116">
        <v>380.4</v>
      </c>
      <c r="P2462" s="116">
        <v>394</v>
      </c>
      <c r="Q2462" s="116">
        <v>390.45</v>
      </c>
      <c r="R2462">
        <v>215688</v>
      </c>
    </row>
    <row r="2463" spans="1:18" x14ac:dyDescent="0.25">
      <c r="A2463" s="169">
        <v>46121</v>
      </c>
      <c r="B2463" s="116">
        <v>397.95</v>
      </c>
      <c r="C2463" s="116">
        <v>391.95</v>
      </c>
      <c r="D2463" s="116">
        <v>386.7</v>
      </c>
      <c r="E2463" s="116">
        <v>389.3</v>
      </c>
      <c r="F2463" s="116">
        <v>391.95</v>
      </c>
      <c r="G2463">
        <v>8866</v>
      </c>
      <c r="H2463" s="116"/>
      <c r="I2463" s="116"/>
      <c r="L2463" s="169">
        <v>46121</v>
      </c>
      <c r="M2463" s="116">
        <v>392.9</v>
      </c>
      <c r="N2463" s="116">
        <v>397.7</v>
      </c>
      <c r="O2463" s="116">
        <v>386.4</v>
      </c>
      <c r="P2463" s="116">
        <v>390.5</v>
      </c>
      <c r="Q2463" s="116">
        <v>392.9</v>
      </c>
      <c r="R2463">
        <v>155802</v>
      </c>
    </row>
    <row r="2464" spans="1:18" x14ac:dyDescent="0.25">
      <c r="A2464" s="169">
        <v>46122</v>
      </c>
      <c r="B2464" s="116">
        <v>401</v>
      </c>
      <c r="C2464" s="116">
        <v>398.85</v>
      </c>
      <c r="D2464" s="116">
        <v>389.75</v>
      </c>
      <c r="E2464" s="116">
        <v>393</v>
      </c>
      <c r="F2464" s="116">
        <v>398.85</v>
      </c>
      <c r="G2464">
        <v>5416</v>
      </c>
      <c r="H2464" s="116"/>
      <c r="I2464" s="116"/>
      <c r="L2464" s="169">
        <v>46122</v>
      </c>
      <c r="M2464" s="116">
        <v>399</v>
      </c>
      <c r="N2464" s="116">
        <v>400.95</v>
      </c>
      <c r="O2464" s="116">
        <v>389.45</v>
      </c>
      <c r="P2464" s="116">
        <v>392.9</v>
      </c>
      <c r="Q2464" s="116">
        <v>399</v>
      </c>
      <c r="R2464">
        <v>168281</v>
      </c>
    </row>
    <row r="2465" spans="1:18" x14ac:dyDescent="0.25">
      <c r="A2465" s="169">
        <v>46125</v>
      </c>
      <c r="B2465" s="116">
        <v>400.1</v>
      </c>
      <c r="C2465" s="116">
        <v>396.4</v>
      </c>
      <c r="D2465" s="116">
        <v>389.35</v>
      </c>
      <c r="E2465" s="116">
        <v>392.8</v>
      </c>
      <c r="F2465" s="116">
        <v>396.4</v>
      </c>
      <c r="G2465">
        <v>8808</v>
      </c>
      <c r="H2465" s="116"/>
      <c r="I2465" s="116"/>
      <c r="L2465" s="169">
        <v>46125</v>
      </c>
      <c r="M2465" s="116">
        <v>397.8</v>
      </c>
      <c r="N2465" s="116">
        <v>400.8</v>
      </c>
      <c r="O2465" s="116">
        <v>391</v>
      </c>
      <c r="P2465" s="116">
        <v>392</v>
      </c>
      <c r="Q2465" s="116">
        <v>397.8</v>
      </c>
      <c r="R2465">
        <v>236570</v>
      </c>
    </row>
    <row r="2466" spans="1:18" x14ac:dyDescent="0.25">
      <c r="A2466" s="169">
        <v>46127</v>
      </c>
      <c r="B2466" s="116">
        <v>411.25</v>
      </c>
      <c r="C2466" s="116">
        <v>398.55</v>
      </c>
      <c r="D2466" s="116">
        <v>396</v>
      </c>
      <c r="E2466" s="116">
        <v>401.95</v>
      </c>
      <c r="F2466" s="116">
        <v>398.55</v>
      </c>
      <c r="G2466">
        <v>12288</v>
      </c>
      <c r="H2466" s="116"/>
      <c r="I2466" s="116"/>
      <c r="L2466" s="169">
        <v>46127</v>
      </c>
      <c r="M2466" s="116">
        <v>398.5</v>
      </c>
      <c r="N2466" s="116">
        <v>411</v>
      </c>
      <c r="O2466" s="116">
        <v>395.75</v>
      </c>
      <c r="P2466" s="116">
        <v>400.5</v>
      </c>
      <c r="Q2466" s="116">
        <v>398.5</v>
      </c>
      <c r="R2466">
        <v>313251</v>
      </c>
    </row>
    <row r="2467" spans="1:18" x14ac:dyDescent="0.25">
      <c r="A2467" s="169">
        <v>46128</v>
      </c>
      <c r="B2467" s="116">
        <v>406.05</v>
      </c>
      <c r="C2467" s="116">
        <v>394.3</v>
      </c>
      <c r="D2467" s="116">
        <v>392.55</v>
      </c>
      <c r="E2467" s="116">
        <v>404</v>
      </c>
      <c r="F2467" s="116">
        <v>394.3</v>
      </c>
      <c r="G2467">
        <v>9264</v>
      </c>
      <c r="H2467" s="116"/>
      <c r="I2467" s="116"/>
      <c r="L2467" s="169">
        <v>46128</v>
      </c>
      <c r="M2467" s="116">
        <v>394.35</v>
      </c>
      <c r="N2467" s="116">
        <v>405</v>
      </c>
      <c r="O2467" s="116">
        <v>393</v>
      </c>
      <c r="P2467" s="116">
        <v>405</v>
      </c>
      <c r="Q2467" s="116">
        <v>394.35</v>
      </c>
      <c r="R2467">
        <v>237577</v>
      </c>
    </row>
    <row r="2468" spans="1:18" x14ac:dyDescent="0.25">
      <c r="A2468" s="169">
        <v>46129</v>
      </c>
      <c r="B2468" s="116">
        <v>395.8</v>
      </c>
      <c r="C2468" s="116">
        <v>389.4</v>
      </c>
      <c r="D2468" s="116">
        <v>385.6</v>
      </c>
      <c r="E2468" s="116">
        <v>392.6</v>
      </c>
      <c r="F2468" s="116">
        <v>389.4</v>
      </c>
      <c r="G2468">
        <v>12339</v>
      </c>
      <c r="H2468" s="116"/>
      <c r="I2468" s="116"/>
      <c r="L2468" s="169">
        <v>46129</v>
      </c>
      <c r="M2468" s="116">
        <v>389.05</v>
      </c>
      <c r="N2468" s="116">
        <v>394.9</v>
      </c>
      <c r="O2468" s="116">
        <v>385.4</v>
      </c>
      <c r="P2468" s="116">
        <v>394.35</v>
      </c>
      <c r="Q2468" s="116">
        <v>389.05</v>
      </c>
      <c r="R2468">
        <v>247876</v>
      </c>
    </row>
    <row r="2469" spans="1:18" x14ac:dyDescent="0.25">
      <c r="A2469" s="169">
        <v>46132</v>
      </c>
      <c r="B2469" s="116">
        <v>399.3</v>
      </c>
      <c r="C2469" s="116">
        <v>392.6</v>
      </c>
      <c r="D2469" s="116">
        <v>382.3</v>
      </c>
      <c r="E2469" s="116">
        <v>396.55</v>
      </c>
      <c r="F2469" s="116">
        <v>392.6</v>
      </c>
      <c r="G2469">
        <v>12406</v>
      </c>
      <c r="H2469" s="116"/>
      <c r="I2469" s="116"/>
      <c r="L2469" s="169">
        <v>46132</v>
      </c>
      <c r="M2469" s="116">
        <v>392.65</v>
      </c>
      <c r="N2469" s="116">
        <v>399.5</v>
      </c>
      <c r="O2469" s="116">
        <v>383.55</v>
      </c>
      <c r="P2469" s="116">
        <v>392.55</v>
      </c>
      <c r="Q2469" s="116">
        <v>392.65</v>
      </c>
      <c r="R2469">
        <v>262717</v>
      </c>
    </row>
    <row r="2470" spans="1:18" x14ac:dyDescent="0.25">
      <c r="A2470" s="169">
        <v>46133</v>
      </c>
      <c r="B2470" s="116">
        <v>398.75</v>
      </c>
      <c r="C2470" s="116">
        <v>387.85</v>
      </c>
      <c r="D2470" s="116">
        <v>386.5</v>
      </c>
      <c r="E2470" s="116">
        <v>392</v>
      </c>
      <c r="F2470" s="116">
        <v>387.85</v>
      </c>
      <c r="G2470">
        <v>3342</v>
      </c>
      <c r="H2470" s="116"/>
      <c r="I2470" s="116"/>
      <c r="L2470" s="169">
        <v>46133</v>
      </c>
      <c r="M2470" s="116">
        <v>387.5</v>
      </c>
      <c r="N2470" s="116">
        <v>398.4</v>
      </c>
      <c r="O2470" s="116">
        <v>386.7</v>
      </c>
      <c r="P2470" s="116">
        <v>392.65</v>
      </c>
      <c r="Q2470" s="116">
        <v>387.5</v>
      </c>
      <c r="R2470">
        <v>151532</v>
      </c>
    </row>
    <row r="2471" spans="1:18" x14ac:dyDescent="0.25">
      <c r="A2471" s="169">
        <v>46134</v>
      </c>
      <c r="B2471" s="116">
        <v>397.5</v>
      </c>
      <c r="C2471" s="116">
        <v>395.65</v>
      </c>
      <c r="D2471" s="116">
        <v>386.8</v>
      </c>
      <c r="E2471" s="116">
        <v>387</v>
      </c>
      <c r="F2471" s="116">
        <v>395.65</v>
      </c>
      <c r="G2471">
        <v>12718</v>
      </c>
      <c r="H2471" s="116"/>
      <c r="I2471" s="116"/>
      <c r="L2471" s="169">
        <v>46134</v>
      </c>
      <c r="M2471" s="116">
        <v>395.6</v>
      </c>
      <c r="N2471" s="116">
        <v>397</v>
      </c>
      <c r="O2471" s="116">
        <v>385.05</v>
      </c>
      <c r="P2471" s="116">
        <v>386.5</v>
      </c>
      <c r="Q2471" s="116">
        <v>395.6</v>
      </c>
      <c r="R2471">
        <v>173400</v>
      </c>
    </row>
    <row r="2472" spans="1:18" x14ac:dyDescent="0.25">
      <c r="A2472" s="169">
        <v>46135</v>
      </c>
      <c r="B2472" s="116">
        <v>395.8</v>
      </c>
      <c r="C2472" s="116">
        <v>395</v>
      </c>
      <c r="D2472" s="116">
        <v>386</v>
      </c>
      <c r="E2472" s="116">
        <v>386</v>
      </c>
      <c r="F2472" s="116">
        <v>395</v>
      </c>
      <c r="G2472">
        <v>31151</v>
      </c>
      <c r="H2472" s="116"/>
      <c r="I2472" s="116"/>
      <c r="L2472" s="169">
        <v>46135</v>
      </c>
      <c r="M2472" s="116">
        <v>395.15</v>
      </c>
      <c r="N2472" s="116">
        <v>395.85</v>
      </c>
      <c r="O2472" s="116">
        <v>390</v>
      </c>
      <c r="P2472" s="116">
        <v>395.5</v>
      </c>
      <c r="Q2472" s="116">
        <v>395.15</v>
      </c>
      <c r="R2472">
        <v>111189</v>
      </c>
    </row>
    <row r="2473" spans="1:18" x14ac:dyDescent="0.25">
      <c r="A2473" s="169">
        <v>46136</v>
      </c>
      <c r="B2473" s="116">
        <v>403.15</v>
      </c>
      <c r="C2473" s="116">
        <v>395.1</v>
      </c>
      <c r="D2473" s="116">
        <v>388.85</v>
      </c>
      <c r="E2473" s="116">
        <v>391.85</v>
      </c>
      <c r="F2473" s="116">
        <v>395.1</v>
      </c>
      <c r="G2473">
        <v>8388</v>
      </c>
      <c r="H2473" s="116"/>
      <c r="I2473" s="116"/>
      <c r="L2473" s="169">
        <v>46136</v>
      </c>
      <c r="M2473" s="116">
        <v>395.1</v>
      </c>
      <c r="N2473" s="116">
        <v>403.1</v>
      </c>
      <c r="O2473" s="116">
        <v>389</v>
      </c>
      <c r="P2473" s="116">
        <v>395</v>
      </c>
      <c r="Q2473" s="116">
        <v>395.1</v>
      </c>
      <c r="R2473">
        <v>253393</v>
      </c>
    </row>
    <row r="2474" spans="1:18" x14ac:dyDescent="0.25">
      <c r="A2474" s="169">
        <v>46139</v>
      </c>
      <c r="B2474" s="116">
        <v>473.1</v>
      </c>
      <c r="C2474" s="116">
        <v>412.9</v>
      </c>
      <c r="D2474" s="116">
        <v>394.2</v>
      </c>
      <c r="E2474" s="116">
        <v>473.1</v>
      </c>
      <c r="F2474" s="116">
        <v>412.9</v>
      </c>
      <c r="G2474">
        <v>13138</v>
      </c>
      <c r="H2474" s="116"/>
      <c r="I2474" s="116"/>
      <c r="L2474" s="169">
        <v>46139</v>
      </c>
      <c r="M2474" s="116">
        <v>412.45</v>
      </c>
      <c r="N2474" s="116">
        <v>418</v>
      </c>
      <c r="O2474" s="116">
        <v>395</v>
      </c>
      <c r="P2474" s="116">
        <v>395</v>
      </c>
      <c r="Q2474" s="116">
        <v>412.45</v>
      </c>
      <c r="R2474">
        <v>310370</v>
      </c>
    </row>
    <row r="2475" spans="1:18" x14ac:dyDescent="0.25">
      <c r="A2475" s="169">
        <v>46140</v>
      </c>
      <c r="B2475" s="116">
        <v>414.75</v>
      </c>
      <c r="C2475" s="116">
        <v>408.55</v>
      </c>
      <c r="D2475" s="116">
        <v>402.5</v>
      </c>
      <c r="E2475" s="116">
        <v>412.9</v>
      </c>
      <c r="F2475" s="116">
        <v>408.55</v>
      </c>
      <c r="G2475">
        <v>3872</v>
      </c>
      <c r="H2475" s="116"/>
      <c r="I2475" s="116"/>
      <c r="L2475" s="169">
        <v>46140</v>
      </c>
      <c r="M2475" s="116">
        <v>406.6</v>
      </c>
      <c r="N2475" s="116">
        <v>414.7</v>
      </c>
      <c r="O2475" s="116">
        <v>400</v>
      </c>
      <c r="P2475" s="116">
        <v>412.45</v>
      </c>
      <c r="Q2475" s="116">
        <v>406.6</v>
      </c>
      <c r="R2475">
        <v>79615</v>
      </c>
    </row>
    <row r="2476" spans="1:18" x14ac:dyDescent="0.25">
      <c r="A2476" s="169">
        <v>46141</v>
      </c>
      <c r="B2476" s="116">
        <v>409.35</v>
      </c>
      <c r="C2476" s="116">
        <v>404.05</v>
      </c>
      <c r="D2476" s="116">
        <v>402</v>
      </c>
      <c r="E2476" s="116">
        <v>409.35</v>
      </c>
      <c r="F2476" s="116">
        <v>404.05</v>
      </c>
      <c r="G2476">
        <v>10664</v>
      </c>
      <c r="H2476" s="116"/>
      <c r="I2476" s="116"/>
      <c r="L2476" s="169">
        <v>46141</v>
      </c>
      <c r="M2476" s="116">
        <v>404.35</v>
      </c>
      <c r="N2476" s="116">
        <v>411</v>
      </c>
      <c r="O2476" s="116">
        <v>402</v>
      </c>
      <c r="P2476" s="116">
        <v>408.8</v>
      </c>
      <c r="Q2476" s="116">
        <v>404.35</v>
      </c>
      <c r="R2476">
        <v>93489</v>
      </c>
    </row>
    <row r="2477" spans="1:18" x14ac:dyDescent="0.25">
      <c r="A2477" s="169">
        <v>46142</v>
      </c>
      <c r="B2477" s="116">
        <v>405.55</v>
      </c>
      <c r="C2477" s="116">
        <v>400.55</v>
      </c>
      <c r="D2477" s="116">
        <v>398</v>
      </c>
      <c r="E2477" s="116">
        <v>399.95</v>
      </c>
      <c r="F2477" s="116">
        <v>400.55</v>
      </c>
      <c r="G2477">
        <v>3750</v>
      </c>
      <c r="H2477" s="116"/>
      <c r="I2477" s="116"/>
      <c r="L2477" s="169">
        <v>46142</v>
      </c>
      <c r="M2477" s="116">
        <v>400.3</v>
      </c>
      <c r="N2477" s="116">
        <v>405.65</v>
      </c>
      <c r="O2477" s="116">
        <v>398</v>
      </c>
      <c r="P2477" s="116">
        <v>404</v>
      </c>
      <c r="Q2477" s="116">
        <v>400.3</v>
      </c>
      <c r="R2477">
        <v>140847</v>
      </c>
    </row>
    <row r="2478" spans="1:18" x14ac:dyDescent="0.25">
      <c r="A2478" s="169">
        <v>46146</v>
      </c>
      <c r="B2478" s="116">
        <v>437.5</v>
      </c>
      <c r="C2478" s="116">
        <v>421.15</v>
      </c>
      <c r="D2478" s="116">
        <v>400</v>
      </c>
      <c r="E2478" s="116">
        <v>400.05</v>
      </c>
      <c r="F2478" s="116">
        <v>421.15</v>
      </c>
      <c r="G2478">
        <v>31417</v>
      </c>
      <c r="H2478" s="116"/>
      <c r="I2478" s="116"/>
      <c r="L2478" s="169">
        <v>46146</v>
      </c>
      <c r="M2478" s="116">
        <v>420.4</v>
      </c>
      <c r="N2478" s="116">
        <v>439</v>
      </c>
      <c r="O2478" s="116">
        <v>399.75</v>
      </c>
      <c r="P2478" s="116">
        <v>400.65</v>
      </c>
      <c r="Q2478" s="116">
        <v>420.4</v>
      </c>
      <c r="R2478">
        <v>718270</v>
      </c>
    </row>
    <row r="2479" spans="1:18" x14ac:dyDescent="0.25">
      <c r="A2479" s="169">
        <v>46147</v>
      </c>
      <c r="B2479" s="116">
        <v>434.1</v>
      </c>
      <c r="C2479" s="116">
        <v>432.35</v>
      </c>
      <c r="D2479" s="116">
        <v>418</v>
      </c>
      <c r="E2479" s="116">
        <v>420</v>
      </c>
      <c r="F2479" s="116">
        <v>432.35</v>
      </c>
      <c r="G2479">
        <v>15399</v>
      </c>
      <c r="H2479" s="116"/>
      <c r="I2479" s="116"/>
      <c r="L2479" s="169">
        <v>46147</v>
      </c>
      <c r="M2479" s="116">
        <v>431.2</v>
      </c>
      <c r="N2479" s="116">
        <v>434.5</v>
      </c>
      <c r="O2479" s="116">
        <v>418.55</v>
      </c>
      <c r="P2479" s="116">
        <v>420.4</v>
      </c>
      <c r="Q2479" s="116">
        <v>431.2</v>
      </c>
      <c r="R2479">
        <v>305243</v>
      </c>
    </row>
    <row r="2480" spans="1:18" x14ac:dyDescent="0.25">
      <c r="A2480" s="169">
        <v>46148</v>
      </c>
      <c r="B2480" s="116">
        <v>466.6</v>
      </c>
      <c r="C2480" s="116">
        <v>460.6</v>
      </c>
      <c r="D2480" s="116">
        <v>438</v>
      </c>
      <c r="E2480" s="116">
        <v>438</v>
      </c>
      <c r="F2480" s="116">
        <v>460.6</v>
      </c>
      <c r="G2480">
        <v>35390</v>
      </c>
      <c r="H2480" s="116"/>
      <c r="I2480" s="116"/>
      <c r="L2480" s="169">
        <v>46148</v>
      </c>
      <c r="M2480" s="116">
        <v>462.5</v>
      </c>
      <c r="N2480" s="116">
        <v>467.85</v>
      </c>
      <c r="O2480" s="116">
        <v>441</v>
      </c>
      <c r="P2480" s="116">
        <v>441</v>
      </c>
      <c r="Q2480" s="116">
        <v>462.5</v>
      </c>
      <c r="R2480">
        <v>896100</v>
      </c>
    </row>
    <row r="2481" spans="1:18" x14ac:dyDescent="0.25">
      <c r="A2481" s="169">
        <v>46149</v>
      </c>
      <c r="B2481" s="116">
        <v>479.7</v>
      </c>
      <c r="C2481" s="116">
        <v>468.6</v>
      </c>
      <c r="D2481" s="116">
        <v>459.65</v>
      </c>
      <c r="E2481" s="116">
        <v>467.3</v>
      </c>
      <c r="F2481" s="116">
        <v>468.6</v>
      </c>
      <c r="G2481">
        <v>39256</v>
      </c>
      <c r="H2481" s="116"/>
      <c r="I2481" s="116"/>
      <c r="L2481" s="169">
        <v>46149</v>
      </c>
      <c r="M2481" s="116">
        <v>470.7</v>
      </c>
      <c r="N2481" s="116">
        <v>480</v>
      </c>
      <c r="O2481" s="116">
        <v>458.5</v>
      </c>
      <c r="P2481" s="116">
        <v>464.5</v>
      </c>
      <c r="Q2481" s="116">
        <v>470.7</v>
      </c>
      <c r="R2481">
        <v>790555</v>
      </c>
    </row>
    <row r="2482" spans="1:18" x14ac:dyDescent="0.25">
      <c r="A2482" s="169">
        <v>46150</v>
      </c>
      <c r="B2482" s="116">
        <v>526.1</v>
      </c>
      <c r="C2482" s="116">
        <v>485.45</v>
      </c>
      <c r="D2482" s="116">
        <v>478.15</v>
      </c>
      <c r="E2482" s="116">
        <v>494.95</v>
      </c>
      <c r="F2482" s="116">
        <v>485.45</v>
      </c>
      <c r="G2482">
        <v>742594</v>
      </c>
      <c r="H2482" s="116"/>
      <c r="I2482" s="116"/>
      <c r="L2482" s="169">
        <v>46150</v>
      </c>
      <c r="M2482" s="116">
        <v>486.5</v>
      </c>
      <c r="N2482" s="116">
        <v>526</v>
      </c>
      <c r="O2482" s="116">
        <v>478</v>
      </c>
      <c r="P2482" s="116">
        <v>493</v>
      </c>
      <c r="Q2482" s="116">
        <v>486.5</v>
      </c>
      <c r="R2482">
        <v>10925739</v>
      </c>
    </row>
    <row r="2483" spans="1:18" x14ac:dyDescent="0.25">
      <c r="A2483" s="169">
        <v>46153</v>
      </c>
      <c r="B2483" s="116">
        <v>491</v>
      </c>
      <c r="C2483" s="116">
        <v>480.2</v>
      </c>
      <c r="D2483" s="116">
        <v>477</v>
      </c>
      <c r="E2483" s="116">
        <v>490.2</v>
      </c>
      <c r="F2483" s="116">
        <v>480.2</v>
      </c>
      <c r="G2483">
        <v>20788</v>
      </c>
      <c r="H2483" s="116"/>
      <c r="I2483" s="116"/>
      <c r="L2483" s="169">
        <v>46153</v>
      </c>
      <c r="M2483" s="116">
        <v>480.85</v>
      </c>
      <c r="N2483" s="116">
        <v>490.95</v>
      </c>
      <c r="O2483" s="116">
        <v>477.05</v>
      </c>
      <c r="P2483" s="116">
        <v>488.9</v>
      </c>
      <c r="Q2483" s="116">
        <v>480.85</v>
      </c>
      <c r="R2483">
        <v>549906</v>
      </c>
    </row>
    <row r="2484" spans="1:18" x14ac:dyDescent="0.25">
      <c r="A2484" s="169">
        <v>46154</v>
      </c>
      <c r="B2484" s="116">
        <v>481</v>
      </c>
      <c r="C2484" s="116">
        <v>475.6</v>
      </c>
      <c r="D2484" s="116">
        <v>466.1</v>
      </c>
      <c r="E2484" s="116">
        <v>475</v>
      </c>
      <c r="F2484" s="116">
        <v>475.6</v>
      </c>
      <c r="G2484">
        <v>17316</v>
      </c>
      <c r="H2484" s="116"/>
      <c r="I2484" s="116"/>
      <c r="L2484" s="169">
        <v>46154</v>
      </c>
      <c r="M2484" s="116">
        <v>475</v>
      </c>
      <c r="N2484" s="116">
        <v>480.9</v>
      </c>
      <c r="O2484" s="116">
        <v>466.3</v>
      </c>
      <c r="P2484" s="116">
        <v>476</v>
      </c>
      <c r="Q2484" s="116">
        <v>475</v>
      </c>
      <c r="R2484">
        <v>445264</v>
      </c>
    </row>
    <row r="2485" spans="1:18" x14ac:dyDescent="0.25">
      <c r="A2485" s="169">
        <v>46155</v>
      </c>
      <c r="B2485" s="116">
        <v>493.5</v>
      </c>
      <c r="C2485" s="116">
        <v>477.5</v>
      </c>
      <c r="D2485" s="116">
        <v>473.1</v>
      </c>
      <c r="E2485" s="116">
        <v>480</v>
      </c>
      <c r="F2485" s="116">
        <v>477.5</v>
      </c>
      <c r="G2485">
        <v>47799</v>
      </c>
      <c r="H2485" s="116"/>
      <c r="I2485" s="116"/>
      <c r="L2485" s="169">
        <v>46155</v>
      </c>
      <c r="M2485" s="116">
        <v>477.35</v>
      </c>
      <c r="N2485" s="116">
        <v>493.55</v>
      </c>
      <c r="O2485" s="116">
        <v>471</v>
      </c>
      <c r="P2485" s="116">
        <v>471</v>
      </c>
      <c r="Q2485" s="116">
        <v>477.35</v>
      </c>
      <c r="R2485">
        <v>459123</v>
      </c>
    </row>
    <row r="2486" spans="1:18" x14ac:dyDescent="0.25">
      <c r="A2486" s="169">
        <v>46156</v>
      </c>
      <c r="B2486" s="116">
        <v>487.75</v>
      </c>
      <c r="C2486" s="116">
        <v>471.15</v>
      </c>
      <c r="D2486" s="116">
        <v>469.15</v>
      </c>
      <c r="E2486" s="116">
        <v>479</v>
      </c>
      <c r="F2486" s="116">
        <v>471.15</v>
      </c>
      <c r="G2486">
        <v>24344</v>
      </c>
      <c r="H2486" s="116"/>
      <c r="I2486" s="116"/>
      <c r="L2486" s="169">
        <v>46156</v>
      </c>
      <c r="M2486" s="116">
        <v>471.2</v>
      </c>
      <c r="N2486" s="116">
        <v>487.7</v>
      </c>
      <c r="O2486" s="116">
        <v>469.1</v>
      </c>
      <c r="P2486" s="116">
        <v>486</v>
      </c>
      <c r="Q2486" s="116">
        <v>471.2</v>
      </c>
      <c r="R2486">
        <v>329005</v>
      </c>
    </row>
    <row r="2487" spans="1:18" x14ac:dyDescent="0.25">
      <c r="A2487" s="169">
        <v>46157</v>
      </c>
      <c r="B2487" s="116">
        <v>476.6</v>
      </c>
      <c r="C2487" s="116">
        <v>462.95</v>
      </c>
      <c r="D2487" s="116">
        <v>460</v>
      </c>
      <c r="E2487" s="116">
        <v>473.4</v>
      </c>
      <c r="F2487" s="116">
        <v>462.95</v>
      </c>
      <c r="G2487">
        <v>13551</v>
      </c>
      <c r="H2487" s="116"/>
      <c r="I2487" s="116"/>
      <c r="L2487" s="169">
        <v>46157</v>
      </c>
      <c r="M2487" s="116">
        <v>462.15</v>
      </c>
      <c r="N2487" s="116">
        <v>476.65</v>
      </c>
      <c r="O2487" s="116">
        <v>460</v>
      </c>
      <c r="P2487" s="116">
        <v>471.15</v>
      </c>
      <c r="Q2487" s="116">
        <v>462.15</v>
      </c>
      <c r="R2487">
        <v>232499</v>
      </c>
    </row>
    <row r="2488" spans="1:18" x14ac:dyDescent="0.25">
      <c r="A2488" s="169">
        <v>46160</v>
      </c>
      <c r="B2488" s="116">
        <v>458</v>
      </c>
      <c r="C2488" s="116">
        <v>451.65</v>
      </c>
      <c r="D2488" s="116">
        <v>444.65</v>
      </c>
      <c r="E2488" s="116">
        <v>453.25</v>
      </c>
      <c r="F2488" s="116">
        <v>451.65</v>
      </c>
      <c r="G2488">
        <v>20745</v>
      </c>
      <c r="H2488" s="116"/>
      <c r="I2488" s="116"/>
      <c r="L2488" s="169">
        <v>46160</v>
      </c>
      <c r="M2488" s="116">
        <v>452.2</v>
      </c>
      <c r="N2488" s="116">
        <v>460</v>
      </c>
      <c r="O2488" s="116">
        <v>445</v>
      </c>
      <c r="P2488" s="116">
        <v>460</v>
      </c>
      <c r="Q2488" s="116">
        <v>452.2</v>
      </c>
      <c r="R2488">
        <v>328069</v>
      </c>
    </row>
    <row r="2489" spans="1:18" x14ac:dyDescent="0.25">
      <c r="A2489" s="169">
        <v>46161</v>
      </c>
      <c r="B2489" s="116">
        <v>474.55</v>
      </c>
      <c r="C2489" s="116">
        <v>470.9</v>
      </c>
      <c r="D2489" s="116">
        <v>446.1</v>
      </c>
      <c r="E2489" s="116">
        <v>451</v>
      </c>
      <c r="F2489" s="116">
        <v>470.9</v>
      </c>
      <c r="G2489">
        <v>17004</v>
      </c>
      <c r="H2489" s="116"/>
      <c r="I2489" s="116"/>
      <c r="L2489" s="169">
        <v>46161</v>
      </c>
      <c r="M2489" s="116">
        <v>470.65</v>
      </c>
      <c r="N2489" s="116">
        <v>474</v>
      </c>
      <c r="O2489" s="116">
        <v>448</v>
      </c>
      <c r="P2489" s="116">
        <v>454</v>
      </c>
      <c r="Q2489" s="116">
        <v>470.65</v>
      </c>
      <c r="R2489">
        <v>617025</v>
      </c>
    </row>
    <row r="2490" spans="1:18" x14ac:dyDescent="0.25">
      <c r="A2490" s="169">
        <v>46162</v>
      </c>
      <c r="B2490" s="116">
        <v>480.5</v>
      </c>
      <c r="C2490" s="116">
        <v>474.4</v>
      </c>
      <c r="D2490" s="116">
        <v>466.55</v>
      </c>
      <c r="E2490" s="116">
        <v>469</v>
      </c>
      <c r="F2490" s="116">
        <v>474.4</v>
      </c>
      <c r="G2490">
        <v>12184</v>
      </c>
      <c r="H2490" s="116"/>
      <c r="I2490" s="116"/>
      <c r="L2490" s="169">
        <v>46162</v>
      </c>
      <c r="M2490" s="116">
        <v>475.25</v>
      </c>
      <c r="N2490" s="116">
        <v>481.15</v>
      </c>
      <c r="O2490" s="116">
        <v>467.2</v>
      </c>
      <c r="P2490" s="116">
        <v>470.65</v>
      </c>
      <c r="Q2490" s="116">
        <v>475.25</v>
      </c>
      <c r="R2490">
        <v>242460</v>
      </c>
    </row>
    <row r="2491" spans="1:18" x14ac:dyDescent="0.25">
      <c r="A2491" s="169">
        <v>46163</v>
      </c>
      <c r="B2491" s="116">
        <v>483.9</v>
      </c>
      <c r="C2491" s="116">
        <v>469.7</v>
      </c>
      <c r="D2491" s="116">
        <v>465.8</v>
      </c>
      <c r="E2491" s="116">
        <v>481.9</v>
      </c>
      <c r="F2491" s="116">
        <v>469.7</v>
      </c>
      <c r="G2491">
        <v>15215</v>
      </c>
      <c r="H2491" s="116"/>
      <c r="I2491" s="116"/>
      <c r="L2491" s="169">
        <v>46163</v>
      </c>
      <c r="M2491" s="116">
        <v>469.05</v>
      </c>
      <c r="N2491" s="116">
        <v>483.8</v>
      </c>
      <c r="O2491" s="116">
        <v>465.2</v>
      </c>
      <c r="P2491" s="116">
        <v>476.5</v>
      </c>
      <c r="Q2491" s="116">
        <v>469.05</v>
      </c>
      <c r="R2491">
        <v>230619</v>
      </c>
    </row>
    <row r="2492" spans="1:18" x14ac:dyDescent="0.25">
      <c r="A2492" s="169">
        <v>46164</v>
      </c>
      <c r="B2492" s="116">
        <v>472</v>
      </c>
      <c r="C2492" s="116">
        <v>466.35</v>
      </c>
      <c r="D2492" s="116">
        <v>460</v>
      </c>
      <c r="E2492" s="116">
        <v>472</v>
      </c>
      <c r="F2492" s="116">
        <v>466.35</v>
      </c>
      <c r="G2492">
        <v>11027</v>
      </c>
      <c r="H2492" s="116"/>
      <c r="I2492" s="116"/>
      <c r="L2492" s="169">
        <v>46164</v>
      </c>
      <c r="M2492" s="116">
        <v>465.85</v>
      </c>
      <c r="N2492" s="116">
        <v>469.95</v>
      </c>
      <c r="O2492" s="116">
        <v>460.1</v>
      </c>
      <c r="P2492" s="116">
        <v>469.95</v>
      </c>
      <c r="Q2492" s="116">
        <v>465.85</v>
      </c>
      <c r="R2492">
        <v>121276</v>
      </c>
    </row>
    <row r="2493" spans="1:18" x14ac:dyDescent="0.25">
      <c r="A2493" s="169">
        <v>46167</v>
      </c>
      <c r="B2493" s="116">
        <v>495</v>
      </c>
      <c r="C2493" s="116">
        <v>493.45</v>
      </c>
      <c r="D2493" s="116">
        <v>466.85</v>
      </c>
      <c r="E2493" s="116">
        <v>477.2</v>
      </c>
      <c r="F2493" s="116">
        <v>493.45</v>
      </c>
      <c r="G2493">
        <v>31838</v>
      </c>
      <c r="H2493" s="116"/>
      <c r="I2493" s="116"/>
      <c r="L2493" s="169">
        <v>46167</v>
      </c>
      <c r="M2493" s="116">
        <v>493.15</v>
      </c>
      <c r="N2493" s="116">
        <v>495</v>
      </c>
      <c r="O2493" s="116">
        <v>466.35</v>
      </c>
      <c r="P2493" s="116">
        <v>472.3</v>
      </c>
      <c r="Q2493" s="116">
        <v>493.15</v>
      </c>
      <c r="R2493">
        <v>416753</v>
      </c>
    </row>
    <row r="2494" spans="1:18" x14ac:dyDescent="0.25">
      <c r="A2494" s="169">
        <v>46168</v>
      </c>
      <c r="B2494" s="116">
        <v>504.25</v>
      </c>
      <c r="C2494" s="116">
        <v>502.05</v>
      </c>
      <c r="D2494" s="116">
        <v>488.1</v>
      </c>
      <c r="E2494" s="116">
        <v>493.45</v>
      </c>
      <c r="F2494" s="116">
        <v>502.05</v>
      </c>
      <c r="G2494">
        <v>30500</v>
      </c>
      <c r="H2494" s="116"/>
      <c r="I2494" s="116"/>
      <c r="L2494" s="169">
        <v>46168</v>
      </c>
      <c r="M2494" s="116">
        <v>502.25</v>
      </c>
      <c r="N2494" s="116">
        <v>504.9</v>
      </c>
      <c r="O2494" s="116">
        <v>488.8</v>
      </c>
      <c r="P2494" s="116">
        <v>492.6</v>
      </c>
      <c r="Q2494" s="116">
        <v>502.25</v>
      </c>
      <c r="R2494">
        <v>496517</v>
      </c>
    </row>
    <row r="2495" spans="1:18" x14ac:dyDescent="0.25">
      <c r="A2495" s="169">
        <v>46169</v>
      </c>
      <c r="B2495" s="116">
        <v>521.20000000000005</v>
      </c>
      <c r="C2495" s="116">
        <v>512.35</v>
      </c>
      <c r="D2495" s="116">
        <v>503.5</v>
      </c>
      <c r="E2495" s="116">
        <v>519.65</v>
      </c>
      <c r="F2495" s="116">
        <v>512.35</v>
      </c>
      <c r="G2495">
        <v>37968</v>
      </c>
      <c r="H2495" s="116"/>
      <c r="I2495" s="116"/>
      <c r="L2495" s="169">
        <v>46169</v>
      </c>
      <c r="M2495" s="116">
        <v>512.15</v>
      </c>
      <c r="N2495" s="116">
        <v>521.4</v>
      </c>
      <c r="O2495" s="116">
        <v>503.15</v>
      </c>
      <c r="P2495" s="116">
        <v>519</v>
      </c>
      <c r="Q2495" s="116">
        <v>512.15</v>
      </c>
      <c r="R2495">
        <v>797144</v>
      </c>
    </row>
    <row r="2496" spans="1:18" x14ac:dyDescent="0.25">
      <c r="A2496" s="169">
        <v>46171</v>
      </c>
      <c r="B2496" s="116">
        <v>515.6</v>
      </c>
      <c r="C2496" s="116">
        <v>506.4</v>
      </c>
      <c r="D2496" s="116">
        <v>500.5</v>
      </c>
      <c r="E2496" s="116">
        <v>512.25</v>
      </c>
      <c r="F2496" s="116">
        <v>506.4</v>
      </c>
      <c r="G2496">
        <v>23315</v>
      </c>
      <c r="H2496" s="116"/>
      <c r="I2496" s="116"/>
      <c r="L2496" s="169">
        <v>46171</v>
      </c>
      <c r="M2496" s="116">
        <v>506.3</v>
      </c>
      <c r="N2496" s="116">
        <v>517</v>
      </c>
      <c r="O2496" s="116">
        <v>500.7</v>
      </c>
      <c r="P2496" s="116">
        <v>517</v>
      </c>
      <c r="Q2496" s="116">
        <v>506.3</v>
      </c>
      <c r="R2496">
        <v>476264</v>
      </c>
    </row>
    <row r="2497" spans="1:18" x14ac:dyDescent="0.25">
      <c r="A2497" s="169">
        <v>46174</v>
      </c>
      <c r="B2497" s="116">
        <v>529.04999999999995</v>
      </c>
      <c r="C2497" s="116">
        <v>522.1</v>
      </c>
      <c r="D2497" s="116">
        <v>507.75</v>
      </c>
      <c r="E2497" s="116">
        <v>529</v>
      </c>
      <c r="F2497" s="116">
        <v>522.1</v>
      </c>
      <c r="G2497">
        <v>40609</v>
      </c>
      <c r="H2497" s="116"/>
      <c r="I2497" s="116"/>
      <c r="L2497" s="169">
        <v>46174</v>
      </c>
      <c r="M2497" s="116">
        <v>522.35</v>
      </c>
      <c r="N2497" s="116">
        <v>528.75</v>
      </c>
      <c r="O2497" s="116">
        <v>507.35</v>
      </c>
      <c r="P2497" s="116">
        <v>528.75</v>
      </c>
      <c r="Q2497" s="116">
        <v>522.35</v>
      </c>
      <c r="R2497">
        <v>417869</v>
      </c>
    </row>
    <row r="2498" spans="1:18" x14ac:dyDescent="0.25">
      <c r="A2498" s="169">
        <v>46175</v>
      </c>
      <c r="B2498" s="116">
        <v>523.29999999999995</v>
      </c>
      <c r="C2498" s="116">
        <v>521.95000000000005</v>
      </c>
      <c r="D2498" s="116">
        <v>500</v>
      </c>
      <c r="E2498" s="116">
        <v>519.95000000000005</v>
      </c>
      <c r="F2498" s="116">
        <v>521.95000000000005</v>
      </c>
      <c r="G2498">
        <v>27149</v>
      </c>
      <c r="H2498" s="116"/>
      <c r="I2498" s="116"/>
      <c r="L2498" s="169">
        <v>46175</v>
      </c>
      <c r="M2498" s="116">
        <v>521.65</v>
      </c>
      <c r="N2498" s="116">
        <v>522.79999999999995</v>
      </c>
      <c r="O2498" s="116">
        <v>502</v>
      </c>
      <c r="P2498" s="116">
        <v>517.4</v>
      </c>
      <c r="Q2498" s="116">
        <v>521.65</v>
      </c>
      <c r="R2498">
        <v>503536</v>
      </c>
    </row>
    <row r="2499" spans="1:18" x14ac:dyDescent="0.25">
      <c r="A2499" s="169">
        <v>46176</v>
      </c>
      <c r="B2499" s="116">
        <v>529.45000000000005</v>
      </c>
      <c r="C2499" s="116">
        <v>524.9</v>
      </c>
      <c r="D2499" s="116">
        <v>511.6</v>
      </c>
      <c r="E2499" s="116">
        <v>521.95000000000005</v>
      </c>
      <c r="F2499" s="116">
        <v>524.9</v>
      </c>
      <c r="G2499">
        <v>18195</v>
      </c>
      <c r="H2499" s="116"/>
      <c r="I2499" s="116"/>
      <c r="L2499" s="169">
        <v>46176</v>
      </c>
      <c r="M2499" s="116">
        <v>525.20000000000005</v>
      </c>
      <c r="N2499" s="116">
        <v>529.70000000000005</v>
      </c>
      <c r="O2499" s="116">
        <v>512.04999999999995</v>
      </c>
      <c r="P2499" s="116">
        <v>522.5</v>
      </c>
      <c r="Q2499" s="116">
        <v>525.20000000000005</v>
      </c>
      <c r="R2499">
        <v>312888</v>
      </c>
    </row>
    <row r="2500" spans="1:18" x14ac:dyDescent="0.25">
      <c r="A2500" s="169">
        <v>46177</v>
      </c>
      <c r="B2500" s="116">
        <v>531.20000000000005</v>
      </c>
      <c r="C2500" s="116">
        <v>521.45000000000005</v>
      </c>
      <c r="D2500" s="116">
        <v>511.3</v>
      </c>
      <c r="E2500" s="116">
        <v>531.20000000000005</v>
      </c>
      <c r="F2500" s="116">
        <v>521.45000000000005</v>
      </c>
      <c r="G2500">
        <v>82587</v>
      </c>
      <c r="H2500" s="116"/>
      <c r="I2500" s="116"/>
      <c r="L2500" s="169">
        <v>46177</v>
      </c>
      <c r="M2500" s="116">
        <v>520.75</v>
      </c>
      <c r="N2500" s="116">
        <v>530</v>
      </c>
      <c r="O2500" s="116">
        <v>508.6</v>
      </c>
      <c r="P2500" s="116">
        <v>530</v>
      </c>
      <c r="Q2500" s="116">
        <v>520.75</v>
      </c>
      <c r="R2500">
        <v>283959</v>
      </c>
    </row>
    <row r="2501" spans="1:18" x14ac:dyDescent="0.25">
      <c r="A2501" s="169">
        <v>46178</v>
      </c>
      <c r="B2501" s="116">
        <v>524.1</v>
      </c>
      <c r="C2501" s="116">
        <v>516.04999999999995</v>
      </c>
      <c r="D2501" s="116">
        <v>513.35</v>
      </c>
      <c r="E2501" s="116">
        <v>524.1</v>
      </c>
      <c r="F2501" s="116">
        <v>516.04999999999995</v>
      </c>
      <c r="G2501">
        <v>15606</v>
      </c>
      <c r="H2501" s="116"/>
      <c r="I2501" s="116"/>
      <c r="L2501" s="169">
        <v>46178</v>
      </c>
      <c r="M2501" s="116">
        <v>518</v>
      </c>
      <c r="N2501" s="116">
        <v>525</v>
      </c>
      <c r="O2501" s="116">
        <v>515.5</v>
      </c>
      <c r="P2501" s="116">
        <v>521</v>
      </c>
      <c r="Q2501" s="116">
        <v>518</v>
      </c>
      <c r="R2501">
        <v>89511</v>
      </c>
    </row>
    <row r="2502" spans="1:18" x14ac:dyDescent="0.25">
      <c r="A2502" s="169">
        <v>46181</v>
      </c>
      <c r="B2502" s="116">
        <v>550</v>
      </c>
      <c r="C2502" s="116">
        <v>541.54999999999995</v>
      </c>
      <c r="D2502" s="116">
        <v>498.3</v>
      </c>
      <c r="E2502" s="116">
        <v>518.5</v>
      </c>
      <c r="F2502" s="116">
        <v>541.54999999999995</v>
      </c>
      <c r="G2502">
        <v>87658</v>
      </c>
      <c r="H2502" s="116"/>
      <c r="I2502" s="116"/>
      <c r="L2502" s="169">
        <v>46181</v>
      </c>
      <c r="M2502" s="116">
        <v>541.35</v>
      </c>
      <c r="N2502" s="116">
        <v>549</v>
      </c>
      <c r="O2502" s="116">
        <v>495</v>
      </c>
      <c r="P2502" s="116">
        <v>518</v>
      </c>
      <c r="Q2502" s="116">
        <v>541.35</v>
      </c>
      <c r="R2502">
        <v>1411955</v>
      </c>
    </row>
    <row r="2503" spans="1:18" x14ac:dyDescent="0.25">
      <c r="A2503" s="169">
        <v>46182</v>
      </c>
      <c r="B2503" s="116">
        <v>578.04999999999995</v>
      </c>
      <c r="C2503" s="116">
        <v>547.95000000000005</v>
      </c>
      <c r="D2503" s="116">
        <v>538.1</v>
      </c>
      <c r="E2503" s="116">
        <v>548.9</v>
      </c>
      <c r="F2503" s="116">
        <v>547.95000000000005</v>
      </c>
      <c r="G2503">
        <v>79300</v>
      </c>
      <c r="H2503" s="116"/>
      <c r="I2503" s="116"/>
      <c r="L2503" s="169">
        <v>46182</v>
      </c>
      <c r="M2503" s="116">
        <v>547.95000000000005</v>
      </c>
      <c r="N2503" s="116">
        <v>578.25</v>
      </c>
      <c r="O2503" s="116">
        <v>538</v>
      </c>
      <c r="P2503" s="116">
        <v>542</v>
      </c>
      <c r="Q2503" s="116">
        <v>547.95000000000005</v>
      </c>
      <c r="R2503">
        <v>1409203</v>
      </c>
    </row>
    <row r="2504" spans="1:18" x14ac:dyDescent="0.25">
      <c r="A2504" s="169">
        <v>46183</v>
      </c>
      <c r="B2504" s="116">
        <v>558.85</v>
      </c>
      <c r="C2504" s="116">
        <v>532.5</v>
      </c>
      <c r="D2504" s="116">
        <v>529.75</v>
      </c>
      <c r="E2504" s="116">
        <v>553.85</v>
      </c>
      <c r="F2504" s="116">
        <v>532.5</v>
      </c>
      <c r="G2504">
        <v>33231</v>
      </c>
      <c r="H2504" s="116"/>
      <c r="I2504" s="116"/>
      <c r="L2504" s="169">
        <v>46183</v>
      </c>
      <c r="M2504" s="116">
        <v>532.79999999999995</v>
      </c>
      <c r="N2504" s="116">
        <v>559</v>
      </c>
      <c r="O2504" s="116">
        <v>530</v>
      </c>
      <c r="P2504" s="116">
        <v>546.54999999999995</v>
      </c>
      <c r="Q2504" s="116">
        <v>532.79999999999995</v>
      </c>
      <c r="R2504">
        <v>336527</v>
      </c>
    </row>
    <row r="2505" spans="1:18" x14ac:dyDescent="0.25">
      <c r="A2505" s="169">
        <v>46184</v>
      </c>
      <c r="B2505" s="116">
        <v>537.4</v>
      </c>
      <c r="C2505" s="116">
        <v>519.9</v>
      </c>
      <c r="D2505" s="116">
        <v>517.65</v>
      </c>
      <c r="E2505" s="116">
        <v>533.85</v>
      </c>
      <c r="F2505" s="116">
        <v>519.9</v>
      </c>
      <c r="G2505">
        <v>23366</v>
      </c>
      <c r="H2505" s="116"/>
      <c r="I2505" s="116"/>
      <c r="L2505" s="169">
        <v>46184</v>
      </c>
      <c r="M2505" s="116">
        <v>519.4</v>
      </c>
      <c r="N2505" s="116">
        <v>537.75</v>
      </c>
      <c r="O2505" s="116">
        <v>517.25</v>
      </c>
      <c r="P2505" s="116">
        <v>532.85</v>
      </c>
      <c r="Q2505" s="116">
        <v>519.4</v>
      </c>
      <c r="R2505">
        <v>259715</v>
      </c>
    </row>
    <row r="2506" spans="1:18" x14ac:dyDescent="0.25">
      <c r="A2506" s="169">
        <v>46185</v>
      </c>
      <c r="B2506" s="116">
        <v>538.25</v>
      </c>
      <c r="C2506" s="116">
        <v>528.65</v>
      </c>
      <c r="D2506" s="116">
        <v>522.6</v>
      </c>
      <c r="E2506" s="116">
        <v>522.6</v>
      </c>
      <c r="F2506" s="116">
        <v>528.65</v>
      </c>
      <c r="G2506">
        <v>40192</v>
      </c>
      <c r="H2506" s="116"/>
      <c r="I2506" s="116"/>
      <c r="L2506" s="169">
        <v>46185</v>
      </c>
      <c r="M2506" s="116">
        <v>528.9</v>
      </c>
      <c r="N2506" s="116">
        <v>538.45000000000005</v>
      </c>
      <c r="O2506" s="116">
        <v>522.04999999999995</v>
      </c>
      <c r="P2506" s="116">
        <v>527.79999999999995</v>
      </c>
      <c r="Q2506" s="116">
        <v>528.9</v>
      </c>
      <c r="R2506">
        <v>331843</v>
      </c>
    </row>
    <row r="2507" spans="1:18" x14ac:dyDescent="0.25">
      <c r="A2507" s="169">
        <v>46188</v>
      </c>
      <c r="B2507" s="116">
        <v>553.70000000000005</v>
      </c>
      <c r="C2507" s="116">
        <v>535.65</v>
      </c>
      <c r="D2507" s="116">
        <v>529.5</v>
      </c>
      <c r="E2507" s="116">
        <v>532.04999999999995</v>
      </c>
      <c r="F2507" s="116">
        <v>535.65</v>
      </c>
      <c r="G2507">
        <v>21860</v>
      </c>
      <c r="H2507" s="116"/>
      <c r="I2507" s="116"/>
      <c r="L2507" s="169">
        <v>46188</v>
      </c>
      <c r="M2507" s="116">
        <v>535.6</v>
      </c>
      <c r="N2507" s="116">
        <v>553.70000000000005</v>
      </c>
      <c r="O2507" s="116">
        <v>529.70000000000005</v>
      </c>
      <c r="P2507" s="116">
        <v>540</v>
      </c>
      <c r="Q2507" s="116">
        <v>535.6</v>
      </c>
      <c r="R2507">
        <v>385967</v>
      </c>
    </row>
    <row r="2508" spans="1:18" x14ac:dyDescent="0.25">
      <c r="A2508" s="169">
        <v>46189</v>
      </c>
      <c r="B2508" s="116">
        <v>549.79999999999995</v>
      </c>
      <c r="C2508" s="116">
        <v>533.1</v>
      </c>
      <c r="D2508" s="116">
        <v>531</v>
      </c>
      <c r="E2508" s="116">
        <v>534.70000000000005</v>
      </c>
      <c r="F2508" s="116">
        <v>533.1</v>
      </c>
      <c r="G2508">
        <v>33295</v>
      </c>
      <c r="H2508" s="116"/>
      <c r="I2508" s="116"/>
      <c r="L2508" s="169">
        <v>46189</v>
      </c>
      <c r="M2508" s="116">
        <v>533.6</v>
      </c>
      <c r="N2508" s="116">
        <v>549.95000000000005</v>
      </c>
      <c r="O2508" s="116">
        <v>531.70000000000005</v>
      </c>
      <c r="P2508" s="116">
        <v>537.15</v>
      </c>
      <c r="Q2508" s="116">
        <v>533.6</v>
      </c>
      <c r="R2508">
        <v>262934</v>
      </c>
    </row>
    <row r="2509" spans="1:18" x14ac:dyDescent="0.25">
      <c r="A2509" s="169">
        <v>46190</v>
      </c>
      <c r="B2509" s="116">
        <v>540</v>
      </c>
      <c r="C2509" s="116">
        <v>533</v>
      </c>
      <c r="D2509" s="116">
        <v>530.6</v>
      </c>
      <c r="E2509" s="116">
        <v>539.75</v>
      </c>
      <c r="F2509" s="116">
        <v>533</v>
      </c>
      <c r="G2509">
        <v>10384</v>
      </c>
      <c r="H2509" s="116"/>
      <c r="I2509" s="116"/>
      <c r="L2509" s="169">
        <v>46190</v>
      </c>
      <c r="M2509" s="116">
        <v>533.5</v>
      </c>
      <c r="N2509" s="116">
        <v>540.70000000000005</v>
      </c>
      <c r="O2509" s="116">
        <v>530.1</v>
      </c>
      <c r="P2509" s="116">
        <v>538.70000000000005</v>
      </c>
      <c r="Q2509" s="116">
        <v>533.5</v>
      </c>
      <c r="R2509">
        <v>149817</v>
      </c>
    </row>
    <row r="2510" spans="1:18" x14ac:dyDescent="0.25">
      <c r="A2510" s="169"/>
      <c r="B2510" s="116"/>
      <c r="C2510" s="116"/>
      <c r="D2510" s="116"/>
      <c r="E2510" s="116"/>
      <c r="F2510" s="116"/>
      <c r="H2510" s="116"/>
      <c r="I2510" s="116"/>
      <c r="L2510" s="169"/>
    </row>
    <row r="2511" spans="1:18" x14ac:dyDescent="0.25">
      <c r="A2511" s="169"/>
      <c r="B2511" s="116"/>
      <c r="C2511" s="116"/>
      <c r="D2511" s="116"/>
      <c r="E2511" s="116"/>
      <c r="F2511" s="116"/>
      <c r="H2511" s="116"/>
      <c r="I2511" s="116"/>
      <c r="L2511" s="169"/>
    </row>
    <row r="2512" spans="1:18" x14ac:dyDescent="0.25">
      <c r="A2512" s="169"/>
      <c r="B2512" s="116"/>
      <c r="C2512" s="116"/>
      <c r="D2512" s="116"/>
      <c r="E2512" s="116"/>
      <c r="F2512" s="116"/>
      <c r="H2512" s="116"/>
      <c r="I2512" s="116"/>
      <c r="L2512" s="169"/>
    </row>
    <row r="2513" spans="1:12" x14ac:dyDescent="0.25">
      <c r="A2513" s="169"/>
      <c r="B2513" s="116"/>
      <c r="C2513" s="116"/>
      <c r="D2513" s="116"/>
      <c r="E2513" s="116"/>
      <c r="F2513" s="116"/>
      <c r="H2513" s="116"/>
      <c r="I2513" s="116"/>
      <c r="L2513" s="169"/>
    </row>
    <row r="2514" spans="1:12" x14ac:dyDescent="0.25">
      <c r="A2514" s="169"/>
      <c r="B2514" s="116"/>
      <c r="C2514" s="116"/>
      <c r="D2514" s="116"/>
      <c r="E2514" s="116"/>
      <c r="F2514" s="116"/>
      <c r="H2514" s="116"/>
      <c r="I2514" s="116"/>
      <c r="L2514" s="169"/>
    </row>
    <row r="2515" spans="1:12" x14ac:dyDescent="0.25">
      <c r="A2515" s="169"/>
      <c r="B2515" s="116"/>
      <c r="C2515" s="116"/>
      <c r="D2515" s="116"/>
      <c r="E2515" s="116"/>
      <c r="F2515" s="116"/>
      <c r="H2515" s="116"/>
      <c r="I2515" s="116"/>
      <c r="L2515" s="169"/>
    </row>
    <row r="2516" spans="1:12" x14ac:dyDescent="0.25">
      <c r="A2516" s="169"/>
      <c r="B2516" s="116"/>
      <c r="C2516" s="116"/>
      <c r="D2516" s="116"/>
      <c r="E2516" s="116"/>
      <c r="F2516" s="116"/>
      <c r="H2516" s="116"/>
      <c r="I2516" s="116"/>
      <c r="L2516" s="169"/>
    </row>
    <row r="2517" spans="1:12" x14ac:dyDescent="0.25">
      <c r="A2517" s="169"/>
      <c r="B2517" s="116"/>
      <c r="C2517" s="116"/>
      <c r="D2517" s="116"/>
      <c r="E2517" s="116"/>
      <c r="F2517" s="116"/>
      <c r="H2517" s="116"/>
      <c r="I2517" s="116"/>
      <c r="L2517" s="169"/>
    </row>
    <row r="2518" spans="1:12" x14ac:dyDescent="0.25">
      <c r="A2518" s="169"/>
      <c r="B2518" s="116"/>
      <c r="C2518" s="116"/>
      <c r="D2518" s="116"/>
      <c r="E2518" s="116"/>
      <c r="F2518" s="116"/>
      <c r="H2518" s="116"/>
      <c r="I2518" s="116"/>
      <c r="L2518" s="169"/>
    </row>
    <row r="2519" spans="1:12" x14ac:dyDescent="0.25">
      <c r="A2519" s="169"/>
      <c r="B2519" s="116"/>
      <c r="C2519" s="116"/>
      <c r="D2519" s="116"/>
      <c r="E2519" s="116"/>
      <c r="F2519" s="116"/>
      <c r="H2519" s="116"/>
      <c r="I2519" s="116"/>
      <c r="L2519" s="169"/>
    </row>
    <row r="2520" spans="1:12" x14ac:dyDescent="0.25">
      <c r="A2520" s="169"/>
      <c r="B2520" s="116"/>
      <c r="C2520" s="116"/>
      <c r="D2520" s="116"/>
      <c r="E2520" s="116"/>
      <c r="F2520" s="116"/>
      <c r="H2520" s="116"/>
      <c r="I2520" s="116"/>
      <c r="L2520" s="169"/>
    </row>
    <row r="2521" spans="1:12" x14ac:dyDescent="0.25">
      <c r="A2521" s="169"/>
      <c r="B2521" s="116"/>
      <c r="C2521" s="116"/>
      <c r="D2521" s="116"/>
      <c r="E2521" s="116"/>
      <c r="F2521" s="116"/>
      <c r="H2521" s="116"/>
      <c r="I2521" s="116"/>
      <c r="L2521" s="169"/>
    </row>
    <row r="2522" spans="1:12" x14ac:dyDescent="0.25">
      <c r="A2522" s="169"/>
      <c r="B2522" s="116"/>
      <c r="C2522" s="116"/>
      <c r="D2522" s="116"/>
      <c r="E2522" s="116"/>
      <c r="F2522" s="116"/>
      <c r="H2522" s="116"/>
      <c r="I2522" s="116"/>
      <c r="L2522" s="169"/>
    </row>
    <row r="2523" spans="1:12" x14ac:dyDescent="0.25">
      <c r="A2523" s="169"/>
      <c r="B2523" s="116"/>
      <c r="C2523" s="116"/>
      <c r="D2523" s="116"/>
      <c r="E2523" s="116"/>
      <c r="F2523" s="116"/>
      <c r="H2523" s="116"/>
      <c r="I2523" s="116"/>
      <c r="L2523" s="169"/>
    </row>
    <row r="2524" spans="1:12" x14ac:dyDescent="0.25">
      <c r="A2524" s="169"/>
      <c r="B2524" s="116"/>
      <c r="C2524" s="116"/>
      <c r="D2524" s="116"/>
      <c r="E2524" s="116"/>
      <c r="F2524" s="116"/>
      <c r="H2524" s="116"/>
      <c r="I2524" s="116"/>
      <c r="L2524" s="169"/>
    </row>
    <row r="2525" spans="1:12" x14ac:dyDescent="0.25">
      <c r="A2525" s="169"/>
      <c r="B2525" s="116"/>
      <c r="C2525" s="116"/>
      <c r="D2525" s="116"/>
      <c r="E2525" s="116"/>
      <c r="F2525" s="116"/>
      <c r="H2525" s="116"/>
      <c r="I2525" s="116"/>
      <c r="L2525" s="169"/>
    </row>
    <row r="2526" spans="1:12" x14ac:dyDescent="0.25">
      <c r="A2526" s="169"/>
      <c r="B2526" s="116"/>
      <c r="C2526" s="116"/>
      <c r="D2526" s="116"/>
      <c r="E2526" s="116"/>
      <c r="F2526" s="116"/>
      <c r="H2526" s="116"/>
      <c r="I2526" s="116"/>
      <c r="L2526" s="169"/>
    </row>
    <row r="2527" spans="1:12" x14ac:dyDescent="0.25">
      <c r="A2527" s="169"/>
      <c r="B2527" s="116"/>
      <c r="C2527" s="116"/>
      <c r="D2527" s="116"/>
      <c r="E2527" s="116"/>
      <c r="F2527" s="116"/>
      <c r="H2527" s="116"/>
      <c r="I2527" s="116"/>
      <c r="L2527" s="169"/>
    </row>
    <row r="2528" spans="1:12" x14ac:dyDescent="0.25">
      <c r="A2528" s="169"/>
      <c r="B2528" s="116"/>
      <c r="C2528" s="116"/>
      <c r="D2528" s="116"/>
      <c r="E2528" s="116"/>
      <c r="F2528" s="116"/>
      <c r="H2528" s="116"/>
      <c r="I2528" s="116"/>
      <c r="L2528" s="169"/>
    </row>
    <row r="2529" spans="1:12" x14ac:dyDescent="0.25">
      <c r="A2529" s="169"/>
      <c r="B2529" s="116"/>
      <c r="C2529" s="116"/>
      <c r="D2529" s="116"/>
      <c r="E2529" s="116"/>
      <c r="F2529" s="116"/>
      <c r="H2529" s="116"/>
      <c r="I2529" s="116"/>
      <c r="L2529" s="169"/>
    </row>
    <row r="2530" spans="1:12" x14ac:dyDescent="0.25">
      <c r="A2530" s="169"/>
      <c r="B2530" s="116"/>
      <c r="C2530" s="116"/>
      <c r="D2530" s="116"/>
      <c r="E2530" s="116"/>
      <c r="F2530" s="116"/>
      <c r="H2530" s="116"/>
      <c r="I2530" s="116"/>
      <c r="L2530" s="169"/>
    </row>
    <row r="2531" spans="1:12" x14ac:dyDescent="0.25">
      <c r="A2531" s="169"/>
      <c r="B2531" s="116"/>
      <c r="C2531" s="116"/>
      <c r="D2531" s="116"/>
      <c r="E2531" s="116"/>
      <c r="F2531" s="116"/>
      <c r="H2531" s="116"/>
      <c r="I2531" s="116"/>
      <c r="L2531" s="169"/>
    </row>
    <row r="2532" spans="1:12" x14ac:dyDescent="0.25">
      <c r="A2532" s="169"/>
      <c r="B2532" s="116"/>
      <c r="C2532" s="116"/>
      <c r="D2532" s="116"/>
      <c r="E2532" s="116"/>
      <c r="F2532" s="116"/>
      <c r="H2532" s="116"/>
      <c r="I2532" s="116"/>
      <c r="L2532" s="169"/>
    </row>
    <row r="2533" spans="1:12" x14ac:dyDescent="0.25">
      <c r="A2533" s="169"/>
      <c r="B2533" s="116"/>
      <c r="C2533" s="116"/>
      <c r="D2533" s="116"/>
      <c r="E2533" s="116"/>
      <c r="F2533" s="116"/>
      <c r="H2533" s="116"/>
      <c r="I2533" s="116"/>
      <c r="L2533" s="169"/>
    </row>
    <row r="2534" spans="1:12" x14ac:dyDescent="0.25">
      <c r="A2534" s="169"/>
      <c r="B2534" s="116"/>
      <c r="C2534" s="116"/>
      <c r="D2534" s="116"/>
      <c r="E2534" s="116"/>
      <c r="F2534" s="116"/>
      <c r="H2534" s="116"/>
      <c r="I2534" s="116"/>
      <c r="L2534" s="169"/>
    </row>
    <row r="2535" spans="1:12" x14ac:dyDescent="0.25">
      <c r="A2535" s="169"/>
      <c r="B2535" s="116"/>
      <c r="C2535" s="116"/>
      <c r="D2535" s="116"/>
      <c r="E2535" s="116"/>
      <c r="F2535" s="116"/>
      <c r="H2535" s="116"/>
      <c r="I2535" s="116"/>
      <c r="L2535" s="169"/>
    </row>
    <row r="2536" spans="1:12" x14ac:dyDescent="0.25">
      <c r="A2536" s="169"/>
      <c r="B2536" s="116"/>
      <c r="C2536" s="116"/>
      <c r="D2536" s="116"/>
      <c r="E2536" s="116"/>
      <c r="F2536" s="116"/>
      <c r="H2536" s="116"/>
      <c r="I2536" s="116"/>
      <c r="L2536" s="169"/>
    </row>
    <row r="2537" spans="1:12" x14ac:dyDescent="0.25">
      <c r="A2537" s="169"/>
      <c r="B2537" s="116"/>
      <c r="C2537" s="116"/>
      <c r="D2537" s="116"/>
      <c r="E2537" s="116"/>
      <c r="F2537" s="116"/>
      <c r="H2537" s="116"/>
      <c r="I2537" s="116"/>
      <c r="L2537" s="169"/>
    </row>
    <row r="2538" spans="1:12" x14ac:dyDescent="0.25">
      <c r="A2538" s="169"/>
      <c r="B2538" s="116"/>
      <c r="C2538" s="116"/>
      <c r="D2538" s="116"/>
      <c r="E2538" s="116"/>
      <c r="F2538" s="116"/>
      <c r="H2538" s="116"/>
      <c r="I2538" s="116"/>
      <c r="L2538" s="169"/>
    </row>
    <row r="2539" spans="1:12" x14ac:dyDescent="0.25">
      <c r="A2539" s="169"/>
      <c r="B2539" s="116"/>
      <c r="C2539" s="116"/>
      <c r="D2539" s="116"/>
      <c r="E2539" s="116"/>
      <c r="F2539" s="116"/>
      <c r="H2539" s="116"/>
      <c r="I2539" s="116"/>
      <c r="L2539" s="169"/>
    </row>
    <row r="2540" spans="1:12" x14ac:dyDescent="0.25">
      <c r="A2540" s="169"/>
      <c r="B2540" s="116"/>
      <c r="C2540" s="116"/>
      <c r="D2540" s="116"/>
      <c r="E2540" s="116"/>
      <c r="F2540" s="116"/>
      <c r="H2540" s="116"/>
      <c r="I2540" s="116"/>
      <c r="L2540" s="169"/>
    </row>
    <row r="2541" spans="1:12" x14ac:dyDescent="0.25">
      <c r="A2541" s="169"/>
      <c r="B2541" s="116"/>
      <c r="C2541" s="116"/>
      <c r="D2541" s="116"/>
      <c r="E2541" s="116"/>
      <c r="F2541" s="116"/>
      <c r="H2541" s="116"/>
      <c r="I2541" s="116"/>
      <c r="L2541" s="169"/>
    </row>
    <row r="2542" spans="1:12" x14ac:dyDescent="0.25">
      <c r="A2542" s="169"/>
      <c r="B2542" s="116"/>
      <c r="C2542" s="116"/>
      <c r="D2542" s="116"/>
      <c r="E2542" s="116"/>
      <c r="F2542" s="116"/>
      <c r="H2542" s="116"/>
      <c r="I2542" s="116"/>
      <c r="L2542" s="169"/>
    </row>
    <row r="2543" spans="1:12" x14ac:dyDescent="0.25">
      <c r="A2543" s="169"/>
      <c r="B2543" s="116"/>
      <c r="C2543" s="116"/>
      <c r="D2543" s="116"/>
      <c r="E2543" s="116"/>
      <c r="F2543" s="116"/>
      <c r="H2543" s="116"/>
      <c r="I2543" s="116"/>
      <c r="L2543" s="169"/>
    </row>
    <row r="2544" spans="1:12" x14ac:dyDescent="0.25">
      <c r="A2544" s="169"/>
      <c r="B2544" s="116"/>
      <c r="C2544" s="116"/>
      <c r="D2544" s="116"/>
      <c r="E2544" s="116"/>
      <c r="F2544" s="116"/>
      <c r="H2544" s="116"/>
      <c r="I2544" s="116"/>
      <c r="L2544" s="169"/>
    </row>
    <row r="2545" spans="1:12" x14ac:dyDescent="0.25">
      <c r="A2545" s="169"/>
      <c r="B2545" s="116"/>
      <c r="C2545" s="116"/>
      <c r="D2545" s="116"/>
      <c r="E2545" s="116"/>
      <c r="F2545" s="116"/>
      <c r="H2545" s="116"/>
      <c r="I2545" s="116"/>
      <c r="L2545" s="169"/>
    </row>
    <row r="2546" spans="1:12" x14ac:dyDescent="0.25">
      <c r="A2546" s="169"/>
      <c r="B2546" s="116"/>
      <c r="C2546" s="116"/>
      <c r="D2546" s="116"/>
      <c r="E2546" s="116"/>
      <c r="F2546" s="116"/>
      <c r="H2546" s="116"/>
      <c r="I2546" s="116"/>
      <c r="L2546" s="169"/>
    </row>
    <row r="2547" spans="1:12" x14ac:dyDescent="0.25">
      <c r="A2547" s="169"/>
      <c r="B2547" s="116"/>
      <c r="C2547" s="116"/>
      <c r="D2547" s="116"/>
      <c r="E2547" s="116"/>
      <c r="F2547" s="116"/>
      <c r="H2547" s="116"/>
      <c r="I2547" s="116"/>
      <c r="L2547" s="169"/>
    </row>
    <row r="2548" spans="1:12" x14ac:dyDescent="0.25">
      <c r="A2548" s="169"/>
      <c r="B2548" s="116"/>
      <c r="C2548" s="116"/>
      <c r="D2548" s="116"/>
      <c r="E2548" s="116"/>
      <c r="F2548" s="116"/>
      <c r="H2548" s="116"/>
      <c r="I2548" s="116"/>
      <c r="L2548" s="169"/>
    </row>
    <row r="2549" spans="1:12" x14ac:dyDescent="0.25">
      <c r="A2549" s="169"/>
      <c r="B2549" s="116"/>
      <c r="C2549" s="116"/>
      <c r="D2549" s="116"/>
      <c r="E2549" s="116"/>
      <c r="F2549" s="116"/>
      <c r="H2549" s="116"/>
      <c r="I2549" s="116"/>
      <c r="L2549" s="169"/>
    </row>
    <row r="2550" spans="1:12" x14ac:dyDescent="0.25">
      <c r="A2550" s="169"/>
      <c r="B2550" s="116"/>
      <c r="C2550" s="116"/>
      <c r="D2550" s="116"/>
      <c r="E2550" s="116"/>
      <c r="F2550" s="116"/>
      <c r="H2550" s="116"/>
      <c r="I2550" s="116"/>
      <c r="L2550" s="169"/>
    </row>
    <row r="2551" spans="1:12" x14ac:dyDescent="0.25">
      <c r="A2551" s="169"/>
      <c r="B2551" s="116"/>
      <c r="C2551" s="116"/>
      <c r="D2551" s="116"/>
      <c r="E2551" s="116"/>
      <c r="F2551" s="116"/>
      <c r="H2551" s="116"/>
      <c r="I2551" s="116"/>
      <c r="L2551" s="169"/>
    </row>
    <row r="2552" spans="1:12" x14ac:dyDescent="0.25">
      <c r="A2552" s="169"/>
      <c r="B2552" s="116"/>
      <c r="C2552" s="116"/>
      <c r="D2552" s="116"/>
      <c r="E2552" s="116"/>
      <c r="F2552" s="116"/>
      <c r="H2552" s="116"/>
      <c r="I2552" s="116"/>
      <c r="L2552" s="169"/>
    </row>
    <row r="2553" spans="1:12" x14ac:dyDescent="0.25">
      <c r="A2553" s="169"/>
      <c r="B2553" s="116"/>
      <c r="C2553" s="116"/>
      <c r="D2553" s="116"/>
      <c r="E2553" s="116"/>
      <c r="F2553" s="116"/>
      <c r="H2553" s="116"/>
      <c r="I2553" s="116"/>
      <c r="L2553" s="169"/>
    </row>
    <row r="2554" spans="1:12" x14ac:dyDescent="0.25">
      <c r="A2554" s="169"/>
      <c r="B2554" s="116"/>
      <c r="C2554" s="116"/>
      <c r="D2554" s="116"/>
      <c r="E2554" s="116"/>
      <c r="F2554" s="116"/>
      <c r="H2554" s="116"/>
      <c r="I2554" s="116"/>
      <c r="L2554" s="169"/>
    </row>
    <row r="2555" spans="1:12" x14ac:dyDescent="0.25">
      <c r="A2555" s="169"/>
      <c r="B2555" s="116"/>
      <c r="C2555" s="116"/>
      <c r="D2555" s="116"/>
      <c r="E2555" s="116"/>
      <c r="F2555" s="116"/>
      <c r="H2555" s="116"/>
      <c r="I2555" s="116"/>
      <c r="L2555" s="169"/>
    </row>
    <row r="2556" spans="1:12" x14ac:dyDescent="0.25">
      <c r="A2556" s="169"/>
      <c r="B2556" s="116"/>
      <c r="C2556" s="116"/>
      <c r="D2556" s="116"/>
      <c r="E2556" s="116"/>
      <c r="F2556" s="116"/>
      <c r="H2556" s="116"/>
      <c r="I2556" s="116"/>
      <c r="L2556" s="169"/>
    </row>
    <row r="2557" spans="1:12" x14ac:dyDescent="0.25">
      <c r="A2557" s="169"/>
      <c r="B2557" s="116"/>
      <c r="C2557" s="116"/>
      <c r="D2557" s="116"/>
      <c r="E2557" s="116"/>
      <c r="F2557" s="116"/>
      <c r="H2557" s="116"/>
      <c r="I2557" s="116"/>
      <c r="L2557" s="169"/>
    </row>
    <row r="2558" spans="1:12" x14ac:dyDescent="0.25">
      <c r="A2558" s="169"/>
      <c r="B2558" s="116"/>
      <c r="C2558" s="116"/>
      <c r="D2558" s="116"/>
      <c r="E2558" s="116"/>
      <c r="F2558" s="116"/>
      <c r="H2558" s="116"/>
      <c r="I2558" s="116"/>
      <c r="L2558" s="169"/>
    </row>
    <row r="2559" spans="1:12" x14ac:dyDescent="0.25">
      <c r="A2559" s="169"/>
      <c r="B2559" s="116"/>
      <c r="C2559" s="116"/>
      <c r="D2559" s="116"/>
      <c r="E2559" s="116"/>
      <c r="F2559" s="116"/>
      <c r="H2559" s="116"/>
      <c r="I2559" s="116"/>
      <c r="L2559" s="169"/>
    </row>
    <row r="2560" spans="1:12" x14ac:dyDescent="0.25">
      <c r="A2560" s="169"/>
      <c r="B2560" s="116"/>
      <c r="C2560" s="116"/>
      <c r="D2560" s="116"/>
      <c r="E2560" s="116"/>
      <c r="F2560" s="116"/>
      <c r="H2560" s="116"/>
      <c r="I2560" s="116"/>
      <c r="L2560" s="169"/>
    </row>
    <row r="2561" spans="1:12" x14ac:dyDescent="0.25">
      <c r="A2561" s="169"/>
      <c r="B2561" s="116"/>
      <c r="C2561" s="116"/>
      <c r="D2561" s="116"/>
      <c r="E2561" s="116"/>
      <c r="F2561" s="116"/>
      <c r="H2561" s="116"/>
      <c r="I2561" s="116"/>
      <c r="L2561" s="169"/>
    </row>
    <row r="2562" spans="1:12" x14ac:dyDescent="0.25">
      <c r="A2562" s="169"/>
      <c r="B2562" s="116"/>
      <c r="C2562" s="116"/>
      <c r="D2562" s="116"/>
      <c r="E2562" s="116"/>
      <c r="F2562" s="116"/>
      <c r="H2562" s="116"/>
      <c r="I2562" s="116"/>
      <c r="L2562" s="169"/>
    </row>
    <row r="2563" spans="1:12" x14ac:dyDescent="0.25">
      <c r="A2563" s="169"/>
      <c r="B2563" s="116"/>
      <c r="C2563" s="116"/>
      <c r="D2563" s="116"/>
      <c r="E2563" s="116"/>
      <c r="F2563" s="116"/>
      <c r="H2563" s="116"/>
      <c r="I2563" s="116"/>
      <c r="L2563" s="169"/>
    </row>
    <row r="2564" spans="1:12" x14ac:dyDescent="0.25">
      <c r="A2564" s="169"/>
      <c r="B2564" s="116"/>
      <c r="C2564" s="116"/>
      <c r="D2564" s="116"/>
      <c r="E2564" s="116"/>
      <c r="F2564" s="116"/>
      <c r="H2564" s="116"/>
      <c r="I2564" s="116"/>
      <c r="L2564" s="169"/>
    </row>
    <row r="2565" spans="1:12" x14ac:dyDescent="0.25">
      <c r="A2565" s="169"/>
      <c r="B2565" s="116"/>
      <c r="C2565" s="116"/>
      <c r="D2565" s="116"/>
      <c r="E2565" s="116"/>
      <c r="F2565" s="116"/>
      <c r="H2565" s="116"/>
      <c r="I2565" s="116"/>
      <c r="L2565" s="169"/>
    </row>
    <row r="2566" spans="1:12" x14ac:dyDescent="0.25">
      <c r="A2566" s="169"/>
      <c r="B2566" s="116"/>
      <c r="C2566" s="116"/>
      <c r="D2566" s="116"/>
      <c r="E2566" s="116"/>
      <c r="F2566" s="116"/>
      <c r="H2566" s="116"/>
      <c r="I2566" s="116"/>
      <c r="L2566" s="169"/>
    </row>
    <row r="2567" spans="1:12" x14ac:dyDescent="0.25">
      <c r="A2567" s="169"/>
      <c r="B2567" s="116"/>
      <c r="C2567" s="116"/>
      <c r="D2567" s="116"/>
      <c r="E2567" s="116"/>
      <c r="F2567" s="116"/>
      <c r="H2567" s="116"/>
      <c r="I2567" s="116"/>
      <c r="L2567" s="169"/>
    </row>
    <row r="2568" spans="1:12" x14ac:dyDescent="0.25">
      <c r="A2568" s="169"/>
      <c r="B2568" s="116"/>
      <c r="C2568" s="116"/>
      <c r="D2568" s="116"/>
      <c r="E2568" s="116"/>
      <c r="F2568" s="116"/>
      <c r="H2568" s="116"/>
      <c r="I2568" s="116"/>
      <c r="L2568" s="169"/>
    </row>
    <row r="2569" spans="1:12" x14ac:dyDescent="0.25">
      <c r="A2569" s="169"/>
      <c r="B2569" s="116"/>
      <c r="C2569" s="116"/>
      <c r="D2569" s="116"/>
      <c r="E2569" s="116"/>
      <c r="F2569" s="116"/>
      <c r="H2569" s="116"/>
      <c r="I2569" s="116"/>
      <c r="L2569" s="169"/>
    </row>
    <row r="2570" spans="1:12" x14ac:dyDescent="0.25">
      <c r="A2570" s="169"/>
      <c r="B2570" s="116"/>
      <c r="C2570" s="116"/>
      <c r="D2570" s="116"/>
      <c r="E2570" s="116"/>
      <c r="F2570" s="116"/>
      <c r="H2570" s="116"/>
      <c r="I2570" s="116"/>
      <c r="L2570" s="169"/>
    </row>
    <row r="2571" spans="1:12" x14ac:dyDescent="0.25">
      <c r="A2571" s="169"/>
      <c r="B2571" s="116"/>
      <c r="C2571" s="116"/>
      <c r="D2571" s="116"/>
      <c r="E2571" s="116"/>
      <c r="F2571" s="116"/>
      <c r="H2571" s="116"/>
      <c r="I2571" s="116"/>
      <c r="L2571" s="169"/>
    </row>
    <row r="2572" spans="1:12" x14ac:dyDescent="0.25">
      <c r="A2572" s="169"/>
      <c r="B2572" s="116"/>
      <c r="C2572" s="116"/>
      <c r="D2572" s="116"/>
      <c r="E2572" s="116"/>
      <c r="F2572" s="116"/>
      <c r="H2572" s="116"/>
      <c r="I2572" s="116"/>
      <c r="L2572" s="169"/>
    </row>
    <row r="2573" spans="1:12" x14ac:dyDescent="0.25">
      <c r="A2573" s="169"/>
      <c r="B2573" s="116"/>
      <c r="C2573" s="116"/>
      <c r="D2573" s="116"/>
      <c r="E2573" s="116"/>
      <c r="F2573" s="116"/>
      <c r="H2573" s="116"/>
      <c r="I2573" s="116"/>
      <c r="L2573" s="169"/>
    </row>
    <row r="2574" spans="1:12" x14ac:dyDescent="0.25">
      <c r="A2574" s="169"/>
      <c r="B2574" s="116"/>
      <c r="C2574" s="116"/>
      <c r="D2574" s="116"/>
      <c r="E2574" s="116"/>
      <c r="F2574" s="116"/>
      <c r="H2574" s="116"/>
      <c r="I2574" s="116"/>
      <c r="L2574" s="169"/>
    </row>
    <row r="2575" spans="1:12" x14ac:dyDescent="0.25">
      <c r="A2575" s="169"/>
      <c r="B2575" s="116"/>
      <c r="C2575" s="116"/>
      <c r="D2575" s="116"/>
      <c r="E2575" s="116"/>
      <c r="F2575" s="116"/>
      <c r="H2575" s="116"/>
      <c r="I2575" s="116"/>
      <c r="L2575" s="169"/>
    </row>
    <row r="2576" spans="1:12" x14ac:dyDescent="0.25">
      <c r="A2576" s="169"/>
      <c r="B2576" s="116"/>
      <c r="C2576" s="116"/>
      <c r="D2576" s="116"/>
      <c r="E2576" s="116"/>
      <c r="F2576" s="116"/>
      <c r="H2576" s="116"/>
      <c r="I2576" s="116"/>
      <c r="L2576" s="169"/>
    </row>
    <row r="2577" spans="1:12" x14ac:dyDescent="0.25">
      <c r="A2577" s="169"/>
      <c r="B2577" s="116"/>
      <c r="C2577" s="116"/>
      <c r="D2577" s="116"/>
      <c r="E2577" s="116"/>
      <c r="F2577" s="116"/>
      <c r="H2577" s="116"/>
      <c r="I2577" s="116"/>
      <c r="L2577" s="169"/>
    </row>
    <row r="2578" spans="1:12" x14ac:dyDescent="0.25">
      <c r="A2578" s="169"/>
      <c r="B2578" s="116"/>
      <c r="C2578" s="116"/>
      <c r="D2578" s="116"/>
      <c r="E2578" s="116"/>
      <c r="F2578" s="116"/>
      <c r="H2578" s="116"/>
      <c r="I2578" s="116"/>
      <c r="L2578" s="169"/>
    </row>
    <row r="2579" spans="1:12" x14ac:dyDescent="0.25">
      <c r="A2579" s="169"/>
      <c r="B2579" s="116"/>
      <c r="C2579" s="116"/>
      <c r="D2579" s="116"/>
      <c r="E2579" s="116"/>
      <c r="F2579" s="116"/>
      <c r="H2579" s="116"/>
      <c r="I2579" s="116"/>
      <c r="L2579" s="169"/>
    </row>
    <row r="2580" spans="1:12" x14ac:dyDescent="0.25">
      <c r="A2580" s="169"/>
      <c r="B2580" s="116"/>
      <c r="C2580" s="116"/>
      <c r="D2580" s="116"/>
      <c r="E2580" s="116"/>
      <c r="F2580" s="116"/>
      <c r="H2580" s="116"/>
      <c r="I2580" s="116"/>
      <c r="L2580" s="169"/>
    </row>
    <row r="2581" spans="1:12" x14ac:dyDescent="0.25">
      <c r="A2581" s="169"/>
      <c r="B2581" s="116"/>
      <c r="C2581" s="116"/>
      <c r="D2581" s="116"/>
      <c r="E2581" s="116"/>
      <c r="F2581" s="116"/>
      <c r="H2581" s="116"/>
      <c r="I2581" s="116"/>
      <c r="L2581" s="169"/>
    </row>
    <row r="2582" spans="1:12" x14ac:dyDescent="0.25">
      <c r="A2582" s="169"/>
      <c r="B2582" s="116"/>
      <c r="C2582" s="116"/>
      <c r="D2582" s="116"/>
      <c r="E2582" s="116"/>
      <c r="F2582" s="116"/>
      <c r="H2582" s="116"/>
      <c r="I2582" s="116"/>
      <c r="L2582" s="169"/>
    </row>
    <row r="2583" spans="1:12" x14ac:dyDescent="0.25">
      <c r="A2583" s="169"/>
      <c r="B2583" s="116"/>
      <c r="C2583" s="116"/>
      <c r="D2583" s="116"/>
      <c r="E2583" s="116"/>
      <c r="F2583" s="116"/>
      <c r="H2583" s="116"/>
      <c r="I2583" s="116"/>
      <c r="L2583" s="169"/>
    </row>
    <row r="2584" spans="1:12" x14ac:dyDescent="0.25">
      <c r="A2584" s="169"/>
      <c r="B2584" s="116"/>
      <c r="C2584" s="116"/>
      <c r="D2584" s="116"/>
      <c r="E2584" s="116"/>
      <c r="F2584" s="116"/>
      <c r="H2584" s="116"/>
      <c r="I2584" s="116"/>
      <c r="L2584" s="169"/>
    </row>
    <row r="2585" spans="1:12" x14ac:dyDescent="0.25">
      <c r="A2585" s="169"/>
      <c r="B2585" s="116"/>
      <c r="C2585" s="116"/>
      <c r="D2585" s="116"/>
      <c r="E2585" s="116"/>
      <c r="F2585" s="116"/>
      <c r="H2585" s="116"/>
      <c r="I2585" s="116"/>
      <c r="L2585" s="169"/>
    </row>
    <row r="2586" spans="1:12" x14ac:dyDescent="0.25">
      <c r="A2586" s="169"/>
      <c r="B2586" s="116"/>
      <c r="C2586" s="116"/>
      <c r="D2586" s="116"/>
      <c r="E2586" s="116"/>
      <c r="F2586" s="116"/>
      <c r="H2586" s="116"/>
      <c r="I2586" s="116"/>
      <c r="L2586" s="169"/>
    </row>
    <row r="2587" spans="1:12" x14ac:dyDescent="0.25">
      <c r="A2587" s="169"/>
      <c r="B2587" s="116"/>
      <c r="C2587" s="116"/>
      <c r="D2587" s="116"/>
      <c r="E2587" s="116"/>
      <c r="F2587" s="116"/>
      <c r="H2587" s="116"/>
      <c r="I2587" s="116"/>
      <c r="L2587" s="169"/>
    </row>
    <row r="2588" spans="1:12" x14ac:dyDescent="0.25">
      <c r="A2588" s="169"/>
      <c r="B2588" s="116"/>
      <c r="C2588" s="116"/>
      <c r="D2588" s="116"/>
      <c r="E2588" s="116"/>
      <c r="F2588" s="116"/>
      <c r="H2588" s="116"/>
      <c r="I2588" s="116"/>
      <c r="L2588" s="169"/>
    </row>
    <row r="2589" spans="1:12" x14ac:dyDescent="0.25">
      <c r="A2589" s="169"/>
      <c r="B2589" s="116"/>
      <c r="C2589" s="116"/>
      <c r="D2589" s="116"/>
      <c r="E2589" s="116"/>
      <c r="F2589" s="116"/>
      <c r="H2589" s="116"/>
      <c r="I2589" s="116"/>
      <c r="L2589" s="169"/>
    </row>
    <row r="2590" spans="1:12" x14ac:dyDescent="0.25">
      <c r="A2590" s="169"/>
      <c r="B2590" s="116"/>
      <c r="C2590" s="116"/>
      <c r="D2590" s="116"/>
      <c r="E2590" s="116"/>
      <c r="F2590" s="116"/>
      <c r="H2590" s="116"/>
      <c r="I2590" s="116"/>
      <c r="L2590" s="169"/>
    </row>
    <row r="2591" spans="1:12" x14ac:dyDescent="0.25">
      <c r="A2591" s="169"/>
      <c r="B2591" s="116"/>
      <c r="C2591" s="116"/>
      <c r="D2591" s="116"/>
      <c r="E2591" s="116"/>
      <c r="F2591" s="116"/>
      <c r="H2591" s="116"/>
      <c r="I2591" s="116"/>
      <c r="L2591" s="169"/>
    </row>
    <row r="2592" spans="1:12" x14ac:dyDescent="0.25">
      <c r="A2592" s="169"/>
      <c r="B2592" s="116"/>
      <c r="C2592" s="116"/>
      <c r="D2592" s="116"/>
      <c r="E2592" s="116"/>
      <c r="F2592" s="116"/>
      <c r="H2592" s="116"/>
      <c r="I2592" s="116"/>
      <c r="L2592" s="169"/>
    </row>
    <row r="2593" spans="1:12" x14ac:dyDescent="0.25">
      <c r="A2593" s="169"/>
      <c r="B2593" s="116"/>
      <c r="C2593" s="116"/>
      <c r="D2593" s="116"/>
      <c r="E2593" s="116"/>
      <c r="F2593" s="116"/>
      <c r="H2593" s="116"/>
      <c r="I2593" s="116"/>
      <c r="L2593" s="169"/>
    </row>
    <row r="2594" spans="1:12" x14ac:dyDescent="0.25">
      <c r="A2594" s="169"/>
      <c r="B2594" s="116"/>
      <c r="C2594" s="116"/>
      <c r="D2594" s="116"/>
      <c r="E2594" s="116"/>
      <c r="F2594" s="116"/>
      <c r="H2594" s="116"/>
      <c r="I2594" s="116"/>
      <c r="L2594" s="169"/>
    </row>
    <row r="2595" spans="1:12" x14ac:dyDescent="0.25">
      <c r="A2595" s="169"/>
      <c r="B2595" s="116"/>
      <c r="C2595" s="116"/>
      <c r="D2595" s="116"/>
      <c r="E2595" s="116"/>
      <c r="F2595" s="116"/>
      <c r="H2595" s="116"/>
      <c r="I2595" s="116"/>
      <c r="L2595" s="169"/>
    </row>
    <row r="2596" spans="1:12" x14ac:dyDescent="0.25">
      <c r="A2596" s="169"/>
      <c r="B2596" s="116"/>
      <c r="C2596" s="116"/>
      <c r="D2596" s="116"/>
      <c r="E2596" s="116"/>
      <c r="F2596" s="116"/>
      <c r="H2596" s="116"/>
      <c r="I2596" s="116"/>
      <c r="L2596" s="169"/>
    </row>
    <row r="2597" spans="1:12" x14ac:dyDescent="0.25">
      <c r="A2597" s="169"/>
      <c r="B2597" s="116"/>
      <c r="C2597" s="116"/>
      <c r="D2597" s="116"/>
      <c r="E2597" s="116"/>
      <c r="F2597" s="116"/>
      <c r="H2597" s="116"/>
      <c r="I2597" s="116"/>
      <c r="L2597" s="169"/>
    </row>
    <row r="2598" spans="1:12" x14ac:dyDescent="0.25">
      <c r="A2598" s="169"/>
      <c r="B2598" s="116"/>
      <c r="C2598" s="116"/>
      <c r="D2598" s="116"/>
      <c r="E2598" s="116"/>
      <c r="F2598" s="116"/>
      <c r="H2598" s="116"/>
      <c r="I2598" s="116"/>
      <c r="L2598" s="169"/>
    </row>
    <row r="2599" spans="1:12" x14ac:dyDescent="0.25">
      <c r="A2599" s="169"/>
      <c r="B2599" s="116"/>
      <c r="C2599" s="116"/>
      <c r="D2599" s="116"/>
      <c r="E2599" s="116"/>
      <c r="F2599" s="116"/>
      <c r="H2599" s="116"/>
      <c r="I2599" s="116"/>
      <c r="L2599" s="169"/>
    </row>
    <row r="2600" spans="1:12" x14ac:dyDescent="0.25">
      <c r="A2600" s="169"/>
      <c r="B2600" s="116"/>
      <c r="C2600" s="116"/>
      <c r="D2600" s="116"/>
      <c r="E2600" s="116"/>
      <c r="F2600" s="116"/>
      <c r="H2600" s="116"/>
      <c r="I2600" s="116"/>
      <c r="L2600" s="169"/>
    </row>
    <row r="2601" spans="1:12" x14ac:dyDescent="0.25">
      <c r="A2601" s="169"/>
      <c r="B2601" s="116"/>
      <c r="C2601" s="116"/>
      <c r="D2601" s="116"/>
      <c r="E2601" s="116"/>
      <c r="F2601" s="116"/>
      <c r="H2601" s="116"/>
      <c r="I2601" s="116"/>
      <c r="L2601" s="169"/>
    </row>
    <row r="2602" spans="1:12" x14ac:dyDescent="0.25">
      <c r="A2602" s="169"/>
      <c r="B2602" s="116"/>
      <c r="C2602" s="116"/>
      <c r="D2602" s="116"/>
      <c r="E2602" s="116"/>
      <c r="F2602" s="116"/>
      <c r="H2602" s="116"/>
      <c r="I2602" s="116"/>
      <c r="L2602" s="169"/>
    </row>
    <row r="2603" spans="1:12" x14ac:dyDescent="0.25">
      <c r="A2603" s="169"/>
      <c r="B2603" s="116"/>
      <c r="C2603" s="116"/>
      <c r="D2603" s="116"/>
      <c r="E2603" s="116"/>
      <c r="F2603" s="116"/>
      <c r="H2603" s="116"/>
      <c r="I2603" s="116"/>
      <c r="L2603" s="169"/>
    </row>
    <row r="2604" spans="1:12" x14ac:dyDescent="0.25">
      <c r="A2604" s="169"/>
      <c r="B2604" s="116"/>
      <c r="C2604" s="116"/>
      <c r="D2604" s="116"/>
      <c r="E2604" s="116"/>
      <c r="F2604" s="116"/>
      <c r="H2604" s="116"/>
      <c r="I2604" s="116"/>
      <c r="L2604" s="169"/>
    </row>
    <row r="2605" spans="1:12" x14ac:dyDescent="0.25">
      <c r="A2605" s="169"/>
      <c r="B2605" s="116"/>
      <c r="C2605" s="116"/>
      <c r="D2605" s="116"/>
      <c r="E2605" s="116"/>
      <c r="F2605" s="116"/>
      <c r="H2605" s="116"/>
      <c r="I2605" s="116"/>
      <c r="L2605" s="169"/>
    </row>
    <row r="2606" spans="1:12" x14ac:dyDescent="0.25">
      <c r="A2606" s="169"/>
      <c r="B2606" s="116"/>
      <c r="C2606" s="116"/>
      <c r="D2606" s="116"/>
      <c r="E2606" s="116"/>
      <c r="F2606" s="116"/>
      <c r="H2606" s="116"/>
      <c r="I2606" s="116"/>
      <c r="L2606" s="169"/>
    </row>
    <row r="2607" spans="1:12" x14ac:dyDescent="0.25">
      <c r="A2607" s="169"/>
      <c r="B2607" s="116"/>
      <c r="C2607" s="116"/>
      <c r="D2607" s="116"/>
      <c r="E2607" s="116"/>
      <c r="F2607" s="116"/>
      <c r="H2607" s="116"/>
      <c r="I2607" s="116"/>
      <c r="L2607" s="169"/>
    </row>
    <row r="2608" spans="1:12" x14ac:dyDescent="0.25">
      <c r="A2608" s="169"/>
      <c r="B2608" s="116"/>
      <c r="C2608" s="116"/>
      <c r="D2608" s="116"/>
      <c r="E2608" s="116"/>
      <c r="F2608" s="116"/>
      <c r="H2608" s="116"/>
      <c r="I2608" s="116"/>
      <c r="L2608" s="169"/>
    </row>
    <row r="2609" spans="1:12" x14ac:dyDescent="0.25">
      <c r="A2609" s="169"/>
      <c r="B2609" s="116"/>
      <c r="C2609" s="116"/>
      <c r="D2609" s="116"/>
      <c r="E2609" s="116"/>
      <c r="F2609" s="116"/>
      <c r="H2609" s="116"/>
      <c r="I2609" s="116"/>
      <c r="L2609" s="169"/>
    </row>
    <row r="2610" spans="1:12" x14ac:dyDescent="0.25">
      <c r="A2610" s="169"/>
      <c r="B2610" s="116"/>
      <c r="C2610" s="116"/>
      <c r="D2610" s="116"/>
      <c r="E2610" s="116"/>
      <c r="F2610" s="116"/>
      <c r="H2610" s="116"/>
      <c r="I2610" s="116"/>
      <c r="L2610" s="169"/>
    </row>
    <row r="2611" spans="1:12" x14ac:dyDescent="0.25">
      <c r="A2611" s="169"/>
      <c r="B2611" s="116"/>
      <c r="C2611" s="116"/>
      <c r="D2611" s="116"/>
      <c r="E2611" s="116"/>
      <c r="F2611" s="116"/>
      <c r="H2611" s="116"/>
      <c r="I2611" s="116"/>
      <c r="L2611" s="169"/>
    </row>
    <row r="2612" spans="1:12" x14ac:dyDescent="0.25">
      <c r="A2612" s="169"/>
      <c r="B2612" s="116"/>
      <c r="C2612" s="116"/>
      <c r="D2612" s="116"/>
      <c r="E2612" s="116"/>
      <c r="F2612" s="116"/>
      <c r="H2612" s="116"/>
      <c r="I2612" s="116"/>
      <c r="L2612" s="169"/>
    </row>
    <row r="2613" spans="1:12" x14ac:dyDescent="0.25">
      <c r="A2613" s="169"/>
      <c r="B2613" s="116"/>
      <c r="C2613" s="116"/>
      <c r="D2613" s="116"/>
      <c r="E2613" s="116"/>
      <c r="F2613" s="116"/>
      <c r="H2613" s="116"/>
      <c r="I2613" s="116"/>
      <c r="L2613" s="169"/>
    </row>
    <row r="2614" spans="1:12" x14ac:dyDescent="0.25">
      <c r="A2614" s="169"/>
      <c r="B2614" s="116"/>
      <c r="C2614" s="116"/>
      <c r="D2614" s="116"/>
      <c r="E2614" s="116"/>
      <c r="F2614" s="116"/>
      <c r="H2614" s="116"/>
      <c r="I2614" s="116"/>
      <c r="L2614" s="169"/>
    </row>
    <row r="2615" spans="1:12" x14ac:dyDescent="0.25">
      <c r="A2615" s="169"/>
      <c r="B2615" s="116"/>
      <c r="C2615" s="116"/>
      <c r="D2615" s="116"/>
      <c r="E2615" s="116"/>
      <c r="F2615" s="116"/>
      <c r="H2615" s="116"/>
      <c r="I2615" s="116"/>
      <c r="L2615" s="169"/>
    </row>
    <row r="2616" spans="1:12" x14ac:dyDescent="0.25">
      <c r="A2616" s="169"/>
      <c r="B2616" s="116"/>
      <c r="C2616" s="116"/>
      <c r="D2616" s="116"/>
      <c r="E2616" s="116"/>
      <c r="F2616" s="116"/>
      <c r="H2616" s="116"/>
      <c r="I2616" s="116"/>
      <c r="L2616" s="169"/>
    </row>
    <row r="2617" spans="1:12" x14ac:dyDescent="0.25">
      <c r="A2617" s="169"/>
      <c r="B2617" s="116"/>
      <c r="C2617" s="116"/>
      <c r="D2617" s="116"/>
      <c r="E2617" s="116"/>
      <c r="F2617" s="116"/>
      <c r="H2617" s="116"/>
      <c r="I2617" s="116"/>
      <c r="L2617" s="169"/>
    </row>
    <row r="2618" spans="1:12" x14ac:dyDescent="0.25">
      <c r="A2618" s="169"/>
      <c r="B2618" s="116"/>
      <c r="C2618" s="116"/>
      <c r="D2618" s="116"/>
      <c r="E2618" s="116"/>
      <c r="F2618" s="116"/>
      <c r="H2618" s="116"/>
      <c r="I2618" s="116"/>
      <c r="L2618" s="169"/>
    </row>
    <row r="2619" spans="1:12" x14ac:dyDescent="0.25">
      <c r="A2619" s="169"/>
      <c r="B2619" s="116"/>
      <c r="C2619" s="116"/>
      <c r="D2619" s="116"/>
      <c r="E2619" s="116"/>
      <c r="F2619" s="116"/>
      <c r="H2619" s="116"/>
      <c r="I2619" s="116"/>
      <c r="L2619" s="169"/>
    </row>
    <row r="2620" spans="1:12" x14ac:dyDescent="0.25">
      <c r="A2620" s="169"/>
      <c r="B2620" s="116"/>
      <c r="C2620" s="116"/>
      <c r="D2620" s="116"/>
      <c r="E2620" s="116"/>
      <c r="F2620" s="116"/>
      <c r="H2620" s="116"/>
      <c r="I2620" s="116"/>
      <c r="L2620" s="169"/>
    </row>
    <row r="2621" spans="1:12" x14ac:dyDescent="0.25">
      <c r="A2621" s="169"/>
      <c r="B2621" s="116"/>
      <c r="C2621" s="116"/>
      <c r="D2621" s="116"/>
      <c r="E2621" s="116"/>
      <c r="F2621" s="116"/>
      <c r="H2621" s="116"/>
      <c r="I2621" s="116"/>
      <c r="L2621" s="169"/>
    </row>
    <row r="2622" spans="1:12" x14ac:dyDescent="0.25">
      <c r="A2622" s="169"/>
      <c r="B2622" s="116"/>
      <c r="C2622" s="116"/>
      <c r="D2622" s="116"/>
      <c r="E2622" s="116"/>
      <c r="F2622" s="116"/>
      <c r="H2622" s="116"/>
      <c r="I2622" s="116"/>
      <c r="L2622" s="169"/>
    </row>
    <row r="2623" spans="1:12" x14ac:dyDescent="0.25">
      <c r="A2623" s="169"/>
      <c r="B2623" s="116"/>
      <c r="C2623" s="116"/>
      <c r="D2623" s="116"/>
      <c r="E2623" s="116"/>
      <c r="F2623" s="116"/>
      <c r="H2623" s="116"/>
      <c r="I2623" s="116"/>
      <c r="L2623" s="169"/>
    </row>
    <row r="2624" spans="1:12" x14ac:dyDescent="0.25">
      <c r="A2624" s="169"/>
      <c r="B2624" s="116"/>
      <c r="C2624" s="116"/>
      <c r="D2624" s="116"/>
      <c r="E2624" s="116"/>
      <c r="F2624" s="116"/>
      <c r="H2624" s="116"/>
      <c r="I2624" s="116"/>
      <c r="L2624" s="169"/>
    </row>
    <row r="2625" spans="1:12" x14ac:dyDescent="0.25">
      <c r="A2625" s="169"/>
      <c r="B2625" s="116"/>
      <c r="C2625" s="116"/>
      <c r="D2625" s="116"/>
      <c r="E2625" s="116"/>
      <c r="F2625" s="116"/>
      <c r="H2625" s="116"/>
      <c r="I2625" s="116"/>
      <c r="L2625" s="169"/>
    </row>
    <row r="2626" spans="1:12" x14ac:dyDescent="0.25">
      <c r="A2626" s="169"/>
      <c r="B2626" s="116"/>
      <c r="C2626" s="116"/>
      <c r="D2626" s="116"/>
      <c r="E2626" s="116"/>
      <c r="F2626" s="116"/>
      <c r="H2626" s="116"/>
      <c r="I2626" s="116"/>
      <c r="L2626" s="169"/>
    </row>
    <row r="2627" spans="1:12" x14ac:dyDescent="0.25">
      <c r="A2627" s="169"/>
      <c r="B2627" s="116"/>
      <c r="C2627" s="116"/>
      <c r="D2627" s="116"/>
      <c r="E2627" s="116"/>
      <c r="F2627" s="116"/>
      <c r="H2627" s="116"/>
      <c r="I2627" s="116"/>
      <c r="L2627" s="169"/>
    </row>
    <row r="2628" spans="1:12" x14ac:dyDescent="0.25">
      <c r="A2628" s="169"/>
      <c r="B2628" s="116"/>
      <c r="C2628" s="116"/>
      <c r="D2628" s="116"/>
      <c r="E2628" s="116"/>
      <c r="F2628" s="116"/>
      <c r="H2628" s="116"/>
      <c r="I2628" s="116"/>
      <c r="L2628" s="169"/>
    </row>
    <row r="2629" spans="1:12" x14ac:dyDescent="0.25">
      <c r="A2629" s="169"/>
      <c r="B2629" s="116"/>
      <c r="C2629" s="116"/>
      <c r="D2629" s="116"/>
      <c r="E2629" s="116"/>
      <c r="F2629" s="116"/>
      <c r="H2629" s="116"/>
      <c r="I2629" s="116"/>
      <c r="L2629" s="169"/>
    </row>
    <row r="2630" spans="1:12" x14ac:dyDescent="0.25">
      <c r="A2630" s="169"/>
      <c r="B2630" s="116"/>
      <c r="C2630" s="116"/>
      <c r="D2630" s="116"/>
      <c r="E2630" s="116"/>
      <c r="F2630" s="116"/>
      <c r="H2630" s="116"/>
      <c r="I2630" s="116"/>
      <c r="L2630" s="169"/>
    </row>
    <row r="2631" spans="1:12" x14ac:dyDescent="0.25">
      <c r="A2631" s="169"/>
      <c r="B2631" s="116"/>
      <c r="C2631" s="116"/>
      <c r="D2631" s="116"/>
      <c r="E2631" s="116"/>
      <c r="F2631" s="116"/>
      <c r="H2631" s="116"/>
      <c r="I2631" s="116"/>
      <c r="L2631" s="169"/>
    </row>
    <row r="2632" spans="1:12" x14ac:dyDescent="0.25">
      <c r="A2632" s="169"/>
      <c r="B2632" s="116"/>
      <c r="C2632" s="116"/>
      <c r="D2632" s="116"/>
      <c r="E2632" s="116"/>
      <c r="F2632" s="116"/>
      <c r="H2632" s="116"/>
      <c r="I2632" s="116"/>
      <c r="L2632" s="169"/>
    </row>
    <row r="2633" spans="1:12" x14ac:dyDescent="0.25">
      <c r="A2633" s="169"/>
      <c r="B2633" s="116"/>
      <c r="C2633" s="116"/>
      <c r="D2633" s="116"/>
      <c r="E2633" s="116"/>
      <c r="F2633" s="116"/>
      <c r="H2633" s="116"/>
      <c r="I2633" s="116"/>
      <c r="L2633" s="169"/>
    </row>
    <row r="2634" spans="1:12" x14ac:dyDescent="0.25">
      <c r="A2634" s="169"/>
      <c r="B2634" s="116"/>
      <c r="C2634" s="116"/>
      <c r="D2634" s="116"/>
      <c r="E2634" s="116"/>
      <c r="F2634" s="116"/>
      <c r="H2634" s="116"/>
      <c r="I2634" s="116"/>
      <c r="L2634" s="169"/>
    </row>
    <row r="2635" spans="1:12" x14ac:dyDescent="0.25">
      <c r="A2635" s="169"/>
      <c r="B2635" s="116"/>
      <c r="C2635" s="116"/>
      <c r="D2635" s="116"/>
      <c r="E2635" s="116"/>
      <c r="F2635" s="116"/>
      <c r="H2635" s="116"/>
      <c r="I2635" s="116"/>
      <c r="L2635" s="169"/>
    </row>
    <row r="2636" spans="1:12" x14ac:dyDescent="0.25">
      <c r="A2636" s="169"/>
      <c r="B2636" s="116"/>
      <c r="C2636" s="116"/>
      <c r="D2636" s="116"/>
      <c r="E2636" s="116"/>
      <c r="F2636" s="116"/>
      <c r="H2636" s="116"/>
      <c r="I2636" s="116"/>
      <c r="L2636" s="169"/>
    </row>
    <row r="2637" spans="1:12" x14ac:dyDescent="0.25">
      <c r="A2637" s="169"/>
      <c r="B2637" s="116"/>
      <c r="C2637" s="116"/>
      <c r="D2637" s="116"/>
      <c r="E2637" s="116"/>
      <c r="F2637" s="116"/>
      <c r="H2637" s="116"/>
      <c r="I2637" s="116"/>
      <c r="L2637" s="169"/>
    </row>
    <row r="2638" spans="1:12" x14ac:dyDescent="0.25">
      <c r="A2638" s="169"/>
      <c r="B2638" s="116"/>
      <c r="C2638" s="116"/>
      <c r="D2638" s="116"/>
      <c r="E2638" s="116"/>
      <c r="F2638" s="116"/>
      <c r="H2638" s="116"/>
      <c r="I2638" s="116"/>
      <c r="L2638" s="169"/>
    </row>
    <row r="2639" spans="1:12" x14ac:dyDescent="0.25">
      <c r="A2639" s="169"/>
      <c r="B2639" s="116"/>
      <c r="C2639" s="116"/>
      <c r="D2639" s="116"/>
      <c r="E2639" s="116"/>
      <c r="F2639" s="116"/>
      <c r="H2639" s="116"/>
      <c r="I2639" s="116"/>
      <c r="L2639" s="169"/>
    </row>
    <row r="2640" spans="1:12" x14ac:dyDescent="0.25">
      <c r="A2640" s="169"/>
      <c r="B2640" s="116"/>
      <c r="C2640" s="116"/>
      <c r="D2640" s="116"/>
      <c r="E2640" s="116"/>
      <c r="F2640" s="116"/>
      <c r="H2640" s="116"/>
      <c r="I2640" s="116"/>
      <c r="L2640" s="169"/>
    </row>
    <row r="2641" spans="1:12" x14ac:dyDescent="0.25">
      <c r="A2641" s="169"/>
      <c r="B2641" s="116"/>
      <c r="C2641" s="116"/>
      <c r="D2641" s="116"/>
      <c r="E2641" s="116"/>
      <c r="F2641" s="116"/>
      <c r="H2641" s="116"/>
      <c r="I2641" s="116"/>
      <c r="L2641" s="169"/>
    </row>
    <row r="2642" spans="1:12" x14ac:dyDescent="0.25">
      <c r="A2642" s="169"/>
      <c r="B2642" s="116"/>
      <c r="C2642" s="116"/>
      <c r="D2642" s="116"/>
      <c r="E2642" s="116"/>
      <c r="F2642" s="116"/>
      <c r="H2642" s="116"/>
      <c r="I2642" s="116"/>
      <c r="L2642" s="169"/>
    </row>
    <row r="2643" spans="1:12" x14ac:dyDescent="0.25">
      <c r="A2643" s="169"/>
      <c r="B2643" s="116"/>
      <c r="C2643" s="116"/>
      <c r="D2643" s="116"/>
      <c r="E2643" s="116"/>
      <c r="F2643" s="116"/>
      <c r="H2643" s="116"/>
      <c r="I2643" s="116"/>
      <c r="L2643" s="169"/>
    </row>
    <row r="2644" spans="1:12" x14ac:dyDescent="0.25">
      <c r="A2644" s="169"/>
      <c r="B2644" s="116"/>
      <c r="C2644" s="116"/>
      <c r="D2644" s="116"/>
      <c r="E2644" s="116"/>
      <c r="F2644" s="116"/>
      <c r="H2644" s="116"/>
      <c r="I2644" s="116"/>
      <c r="L2644" s="169"/>
    </row>
    <row r="2645" spans="1:12" x14ac:dyDescent="0.25">
      <c r="A2645" s="169"/>
      <c r="B2645" s="116"/>
      <c r="C2645" s="116"/>
      <c r="D2645" s="116"/>
      <c r="E2645" s="116"/>
      <c r="F2645" s="116"/>
      <c r="H2645" s="116"/>
      <c r="I2645" s="116"/>
      <c r="L2645" s="169"/>
    </row>
    <row r="2646" spans="1:12" x14ac:dyDescent="0.25">
      <c r="A2646" s="169"/>
      <c r="B2646" s="116"/>
      <c r="C2646" s="116"/>
      <c r="D2646" s="116"/>
      <c r="E2646" s="116"/>
      <c r="F2646" s="116"/>
      <c r="H2646" s="116"/>
      <c r="I2646" s="116"/>
      <c r="L2646" s="169"/>
    </row>
    <row r="2647" spans="1:12" x14ac:dyDescent="0.25">
      <c r="A2647" s="169"/>
      <c r="B2647" s="116"/>
      <c r="C2647" s="116"/>
      <c r="D2647" s="116"/>
      <c r="E2647" s="116"/>
      <c r="F2647" s="116"/>
      <c r="H2647" s="116"/>
      <c r="I2647" s="116"/>
      <c r="L2647" s="169"/>
    </row>
    <row r="2648" spans="1:12" x14ac:dyDescent="0.25">
      <c r="A2648" s="169"/>
      <c r="B2648" s="116"/>
      <c r="C2648" s="116"/>
      <c r="D2648" s="116"/>
      <c r="E2648" s="116"/>
      <c r="F2648" s="116"/>
      <c r="H2648" s="116"/>
      <c r="I2648" s="116"/>
      <c r="L2648" s="169"/>
    </row>
    <row r="2649" spans="1:12" x14ac:dyDescent="0.25">
      <c r="A2649" s="169"/>
      <c r="B2649" s="116"/>
      <c r="C2649" s="116"/>
      <c r="D2649" s="116"/>
      <c r="E2649" s="116"/>
      <c r="F2649" s="116"/>
      <c r="H2649" s="116"/>
      <c r="I2649" s="116"/>
      <c r="L2649" s="169"/>
    </row>
    <row r="2650" spans="1:12" x14ac:dyDescent="0.25">
      <c r="A2650" s="169"/>
      <c r="B2650" s="116"/>
      <c r="C2650" s="116"/>
      <c r="D2650" s="116"/>
      <c r="E2650" s="116"/>
      <c r="F2650" s="116"/>
      <c r="H2650" s="116"/>
      <c r="I2650" s="116"/>
      <c r="L2650" s="169"/>
    </row>
    <row r="2651" spans="1:12" x14ac:dyDescent="0.25">
      <c r="A2651" s="169"/>
      <c r="B2651" s="116"/>
      <c r="C2651" s="116"/>
      <c r="D2651" s="116"/>
      <c r="E2651" s="116"/>
      <c r="F2651" s="116"/>
      <c r="H2651" s="116"/>
      <c r="I2651" s="116"/>
      <c r="L2651" s="169"/>
    </row>
    <row r="2652" spans="1:12" x14ac:dyDescent="0.25">
      <c r="A2652" s="169"/>
      <c r="B2652" s="116"/>
      <c r="C2652" s="116"/>
      <c r="D2652" s="116"/>
      <c r="E2652" s="116"/>
      <c r="F2652" s="116"/>
      <c r="H2652" s="116"/>
      <c r="I2652" s="116"/>
      <c r="L2652" s="169"/>
    </row>
    <row r="2653" spans="1:12" x14ac:dyDescent="0.25">
      <c r="A2653" s="169"/>
      <c r="B2653" s="116"/>
      <c r="C2653" s="116"/>
      <c r="D2653" s="116"/>
      <c r="E2653" s="116"/>
      <c r="F2653" s="116"/>
      <c r="H2653" s="116"/>
      <c r="I2653" s="116"/>
      <c r="L2653" s="169"/>
    </row>
    <row r="2654" spans="1:12" x14ac:dyDescent="0.25">
      <c r="A2654" s="169"/>
      <c r="B2654" s="116"/>
      <c r="C2654" s="116"/>
      <c r="D2654" s="116"/>
      <c r="E2654" s="116"/>
      <c r="F2654" s="116"/>
      <c r="H2654" s="116"/>
      <c r="I2654" s="116"/>
      <c r="L2654" s="169"/>
    </row>
    <row r="2655" spans="1:12" x14ac:dyDescent="0.25">
      <c r="A2655" s="169"/>
      <c r="B2655" s="116"/>
      <c r="C2655" s="116"/>
      <c r="D2655" s="116"/>
      <c r="E2655" s="116"/>
      <c r="F2655" s="116"/>
      <c r="H2655" s="116"/>
      <c r="I2655" s="116"/>
      <c r="L2655" s="169"/>
    </row>
    <row r="2656" spans="1:12" x14ac:dyDescent="0.25">
      <c r="A2656" s="169"/>
      <c r="B2656" s="116"/>
      <c r="C2656" s="116"/>
      <c r="D2656" s="116"/>
      <c r="E2656" s="116"/>
      <c r="F2656" s="116"/>
      <c r="H2656" s="116"/>
      <c r="I2656" s="116"/>
      <c r="L2656" s="169"/>
    </row>
    <row r="2657" spans="1:18" x14ac:dyDescent="0.25">
      <c r="A2657" s="169"/>
      <c r="B2657" s="116"/>
      <c r="C2657" s="116"/>
      <c r="D2657" s="116"/>
      <c r="E2657" s="116"/>
      <c r="F2657" s="116"/>
      <c r="H2657" s="116"/>
      <c r="I2657" s="116"/>
      <c r="L2657" s="169"/>
    </row>
    <row r="2658" spans="1:18" x14ac:dyDescent="0.25">
      <c r="A2658" s="169"/>
      <c r="B2658" s="116"/>
      <c r="C2658" s="116"/>
      <c r="D2658" s="116"/>
      <c r="E2658" s="116"/>
      <c r="F2658" s="116"/>
      <c r="H2658" s="116"/>
      <c r="I2658" s="116"/>
      <c r="L2658" s="169"/>
    </row>
    <row r="2659" spans="1:18" x14ac:dyDescent="0.25">
      <c r="A2659" s="169"/>
      <c r="B2659" s="116"/>
      <c r="C2659" s="116"/>
      <c r="D2659" s="116"/>
      <c r="E2659" s="116"/>
      <c r="F2659" s="116"/>
      <c r="H2659" s="116"/>
      <c r="I2659" s="116"/>
      <c r="L2659" s="169"/>
    </row>
    <row r="2660" spans="1:18" x14ac:dyDescent="0.25">
      <c r="A2660" s="169">
        <v>45919</v>
      </c>
      <c r="B2660" s="116">
        <v>782.1</v>
      </c>
      <c r="C2660" s="116">
        <v>773.6</v>
      </c>
      <c r="D2660" s="116">
        <v>771</v>
      </c>
      <c r="E2660" s="116">
        <v>773.8</v>
      </c>
      <c r="F2660" s="116">
        <v>773.6</v>
      </c>
      <c r="G2660">
        <v>2941</v>
      </c>
      <c r="H2660" s="116"/>
      <c r="I2660" s="116"/>
      <c r="L2660" s="169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69">
        <v>45922</v>
      </c>
      <c r="B2661" s="116">
        <v>781.15</v>
      </c>
      <c r="C2661" s="116">
        <v>771.9</v>
      </c>
      <c r="D2661" s="116">
        <v>769.35</v>
      </c>
      <c r="E2661" s="116">
        <v>774.65</v>
      </c>
      <c r="F2661" s="116">
        <v>771.9</v>
      </c>
      <c r="G2661">
        <v>2501</v>
      </c>
      <c r="H2661" s="116"/>
      <c r="I2661" s="116"/>
      <c r="L2661" s="169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69">
        <v>45923</v>
      </c>
      <c r="B2662" s="116">
        <v>785</v>
      </c>
      <c r="C2662" s="116">
        <v>780</v>
      </c>
      <c r="D2662" s="116">
        <v>758.25</v>
      </c>
      <c r="E2662" s="116">
        <v>758.25</v>
      </c>
      <c r="F2662" s="116">
        <v>780</v>
      </c>
      <c r="G2662">
        <v>7904</v>
      </c>
      <c r="H2662" s="116"/>
      <c r="I2662" s="116"/>
      <c r="L2662" s="169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69">
        <v>45924</v>
      </c>
      <c r="B2663" s="116">
        <v>791.65</v>
      </c>
      <c r="C2663" s="116">
        <v>777.7</v>
      </c>
      <c r="D2663" s="116">
        <v>772.25</v>
      </c>
      <c r="E2663" s="116">
        <v>787</v>
      </c>
      <c r="F2663" s="116">
        <v>777.7</v>
      </c>
      <c r="G2663">
        <v>6964</v>
      </c>
      <c r="H2663" s="116"/>
      <c r="I2663" s="116"/>
      <c r="L2663" s="169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69">
        <v>45925</v>
      </c>
      <c r="B2664" s="116">
        <v>776</v>
      </c>
      <c r="C2664" s="116">
        <v>762.55</v>
      </c>
      <c r="D2664" s="116">
        <v>753.2</v>
      </c>
      <c r="E2664" s="116">
        <v>774.45</v>
      </c>
      <c r="F2664" s="116">
        <v>762.55</v>
      </c>
      <c r="G2664">
        <v>7728</v>
      </c>
      <c r="H2664" s="116"/>
      <c r="I2664" s="116"/>
      <c r="L2664" s="169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69">
        <v>45926</v>
      </c>
      <c r="B2665" s="116">
        <v>763.15</v>
      </c>
      <c r="C2665" s="116">
        <v>742.7</v>
      </c>
      <c r="D2665" s="116">
        <v>738.95</v>
      </c>
      <c r="E2665" s="116">
        <v>752</v>
      </c>
      <c r="F2665" s="116">
        <v>742.7</v>
      </c>
      <c r="G2665">
        <v>5894</v>
      </c>
      <c r="H2665" s="116"/>
      <c r="I2665" s="116"/>
      <c r="L2665" s="169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69">
        <v>45929</v>
      </c>
      <c r="B2666" s="116">
        <v>756.95</v>
      </c>
      <c r="C2666" s="116">
        <v>750.95</v>
      </c>
      <c r="D2666" s="116">
        <v>740.8</v>
      </c>
      <c r="E2666" s="116">
        <v>744.95</v>
      </c>
      <c r="F2666" s="116">
        <v>750.95</v>
      </c>
      <c r="G2666">
        <v>3356</v>
      </c>
      <c r="H2666" s="116"/>
      <c r="I2666" s="116"/>
      <c r="L2666" s="169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69">
        <v>45930</v>
      </c>
      <c r="B2667" s="116">
        <v>766.4</v>
      </c>
      <c r="C2667" s="116">
        <v>761.6</v>
      </c>
      <c r="D2667" s="116">
        <v>748.6</v>
      </c>
      <c r="E2667" s="116">
        <v>750.25</v>
      </c>
      <c r="F2667" s="116">
        <v>761.6</v>
      </c>
      <c r="G2667">
        <v>5033</v>
      </c>
      <c r="H2667" s="116"/>
      <c r="I2667" s="116"/>
      <c r="L2667" s="169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69">
        <v>45931</v>
      </c>
      <c r="B2668" s="116">
        <v>786.15</v>
      </c>
      <c r="C2668" s="116">
        <v>784.05</v>
      </c>
      <c r="D2668" s="116">
        <v>755.85</v>
      </c>
      <c r="E2668" s="116">
        <v>763.2</v>
      </c>
      <c r="F2668" s="116">
        <v>784.05</v>
      </c>
      <c r="G2668">
        <v>7871</v>
      </c>
      <c r="H2668" s="116"/>
      <c r="I2668" s="116"/>
      <c r="L2668" s="169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69">
        <v>45933</v>
      </c>
      <c r="B2669" s="116">
        <v>795.95</v>
      </c>
      <c r="C2669" s="116">
        <v>791.85</v>
      </c>
      <c r="D2669" s="116">
        <v>780.6</v>
      </c>
      <c r="E2669" s="116">
        <v>783.05</v>
      </c>
      <c r="F2669" s="116">
        <v>791.85</v>
      </c>
      <c r="G2669">
        <v>58286</v>
      </c>
      <c r="H2669" s="116"/>
      <c r="I2669" s="116"/>
      <c r="L2669" s="169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69">
        <v>45936</v>
      </c>
      <c r="B2670" s="116">
        <v>810</v>
      </c>
      <c r="C2670" s="116">
        <v>804.6</v>
      </c>
      <c r="D2670" s="116">
        <v>751.95</v>
      </c>
      <c r="E2670" s="116">
        <v>751.95</v>
      </c>
      <c r="F2670" s="116">
        <v>804.6</v>
      </c>
      <c r="G2670">
        <v>31375</v>
      </c>
      <c r="H2670" s="116"/>
      <c r="I2670" s="116"/>
      <c r="L2670" s="169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69">
        <v>45937</v>
      </c>
      <c r="B2671" s="116">
        <v>806.95</v>
      </c>
      <c r="C2671" s="116">
        <v>804</v>
      </c>
      <c r="D2671" s="116">
        <v>792.4</v>
      </c>
      <c r="E2671" s="116">
        <v>798.4</v>
      </c>
      <c r="F2671" s="116">
        <v>804</v>
      </c>
      <c r="G2671">
        <v>12783</v>
      </c>
      <c r="H2671" s="116"/>
      <c r="I2671" s="116"/>
      <c r="L2671" s="169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69">
        <v>45938</v>
      </c>
      <c r="B2672" s="116">
        <v>801.15</v>
      </c>
      <c r="C2672" s="116">
        <v>793.25</v>
      </c>
      <c r="D2672" s="116">
        <v>787</v>
      </c>
      <c r="E2672" s="116">
        <v>796</v>
      </c>
      <c r="F2672" s="116">
        <v>793.25</v>
      </c>
      <c r="G2672">
        <v>7593</v>
      </c>
      <c r="H2672" s="116"/>
      <c r="I2672" s="116"/>
      <c r="L2672" s="169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69">
        <v>45939</v>
      </c>
      <c r="B2673" s="116">
        <v>798</v>
      </c>
      <c r="C2673" s="116">
        <v>789</v>
      </c>
      <c r="D2673" s="116">
        <v>788.2</v>
      </c>
      <c r="E2673" s="116">
        <v>790.3</v>
      </c>
      <c r="F2673" s="116">
        <v>789</v>
      </c>
      <c r="G2673">
        <v>4005</v>
      </c>
      <c r="H2673" s="116"/>
      <c r="I2673" s="116"/>
      <c r="L2673" s="169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69">
        <v>45940</v>
      </c>
      <c r="B2674" s="116">
        <v>799.1</v>
      </c>
      <c r="C2674" s="116">
        <v>794.25</v>
      </c>
      <c r="D2674" s="116">
        <v>785.5</v>
      </c>
      <c r="E2674" s="116">
        <v>799.1</v>
      </c>
      <c r="F2674" s="116">
        <v>794.25</v>
      </c>
      <c r="G2674">
        <v>3385</v>
      </c>
      <c r="H2674" s="116"/>
      <c r="I2674" s="116"/>
      <c r="L2674" s="169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69">
        <v>45943</v>
      </c>
      <c r="B2675" s="116">
        <v>805.45</v>
      </c>
      <c r="C2675" s="116">
        <v>800.7</v>
      </c>
      <c r="D2675" s="116">
        <v>781.2</v>
      </c>
      <c r="E2675" s="116">
        <v>781.2</v>
      </c>
      <c r="F2675" s="116">
        <v>800.7</v>
      </c>
      <c r="G2675">
        <v>12355</v>
      </c>
      <c r="H2675" s="116"/>
      <c r="I2675" s="116"/>
      <c r="L2675" s="169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69">
        <v>45944</v>
      </c>
      <c r="B2676" s="116">
        <v>807.6</v>
      </c>
      <c r="C2676" s="116">
        <v>785</v>
      </c>
      <c r="D2676" s="116">
        <v>780.05</v>
      </c>
      <c r="E2676" s="116">
        <v>792.15</v>
      </c>
      <c r="F2676" s="116">
        <v>785</v>
      </c>
      <c r="G2676">
        <v>48875</v>
      </c>
      <c r="H2676" s="116"/>
      <c r="I2676" s="116"/>
      <c r="L2676" s="169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69">
        <v>45945</v>
      </c>
      <c r="B2677" s="116">
        <v>803.95</v>
      </c>
      <c r="C2677" s="116">
        <v>801.9</v>
      </c>
      <c r="D2677" s="116">
        <v>775.05</v>
      </c>
      <c r="E2677" s="116">
        <v>775.05</v>
      </c>
      <c r="F2677" s="116">
        <v>801.9</v>
      </c>
      <c r="G2677">
        <v>9075</v>
      </c>
      <c r="H2677" s="116"/>
      <c r="I2677" s="116"/>
      <c r="L2677" s="169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69">
        <v>45946</v>
      </c>
      <c r="B2678" s="116">
        <v>806</v>
      </c>
      <c r="C2678" s="116">
        <v>804.7</v>
      </c>
      <c r="D2678" s="116">
        <v>794.85</v>
      </c>
      <c r="E2678" s="116">
        <v>801.15</v>
      </c>
      <c r="F2678" s="116">
        <v>804.7</v>
      </c>
      <c r="G2678">
        <v>3339</v>
      </c>
      <c r="H2678" s="116"/>
      <c r="I2678" s="116"/>
      <c r="L2678" s="169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69">
        <v>45947</v>
      </c>
      <c r="B2679" s="116">
        <v>806.45</v>
      </c>
      <c r="C2679" s="116">
        <v>801.05</v>
      </c>
      <c r="D2679" s="116">
        <v>796.4</v>
      </c>
      <c r="E2679" s="116">
        <v>802.75</v>
      </c>
      <c r="F2679" s="116">
        <v>801.05</v>
      </c>
      <c r="G2679">
        <v>7168</v>
      </c>
      <c r="H2679" s="116"/>
      <c r="I2679" s="116"/>
      <c r="L2679" s="169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69">
        <v>45950</v>
      </c>
      <c r="B2680" s="116">
        <v>848</v>
      </c>
      <c r="C2680" s="116">
        <v>838.6</v>
      </c>
      <c r="D2680" s="116">
        <v>811</v>
      </c>
      <c r="E2680" s="116">
        <v>815</v>
      </c>
      <c r="F2680" s="116">
        <v>838.6</v>
      </c>
      <c r="G2680">
        <v>91214</v>
      </c>
      <c r="H2680" s="116"/>
      <c r="I2680" s="116"/>
      <c r="L2680" s="169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69">
        <v>45951</v>
      </c>
      <c r="B2681" s="116">
        <v>858.7</v>
      </c>
      <c r="C2681" s="116">
        <v>845.7</v>
      </c>
      <c r="D2681" s="116">
        <v>834.1</v>
      </c>
      <c r="E2681" s="116">
        <v>839</v>
      </c>
      <c r="F2681" s="116">
        <v>845.7</v>
      </c>
      <c r="G2681">
        <v>25610</v>
      </c>
      <c r="H2681" s="116"/>
      <c r="I2681" s="116"/>
      <c r="L2681" s="169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69">
        <v>45953</v>
      </c>
      <c r="B2682" s="116">
        <v>864.9</v>
      </c>
      <c r="C2682" s="116">
        <v>853.8</v>
      </c>
      <c r="D2682" s="116">
        <v>846.3</v>
      </c>
      <c r="E2682" s="116">
        <v>849.45</v>
      </c>
      <c r="F2682" s="116">
        <v>853.8</v>
      </c>
      <c r="G2682">
        <v>38596</v>
      </c>
      <c r="H2682" s="116"/>
      <c r="I2682" s="116"/>
      <c r="L2682" s="169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69">
        <v>45954</v>
      </c>
      <c r="B2683" s="116">
        <v>860</v>
      </c>
      <c r="C2683" s="116">
        <v>848.35</v>
      </c>
      <c r="D2683" s="116">
        <v>838.7</v>
      </c>
      <c r="E2683" s="116">
        <v>852</v>
      </c>
      <c r="F2683" s="116">
        <v>848.35</v>
      </c>
      <c r="G2683">
        <v>14006</v>
      </c>
      <c r="H2683" s="116"/>
      <c r="I2683" s="116"/>
      <c r="L2683" s="169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69">
        <v>45957</v>
      </c>
      <c r="B2684" s="116">
        <v>858</v>
      </c>
      <c r="C2684" s="116">
        <v>855.35</v>
      </c>
      <c r="D2684" s="116">
        <v>843.05</v>
      </c>
      <c r="E2684" s="116">
        <v>850.1</v>
      </c>
      <c r="F2684" s="116">
        <v>855.35</v>
      </c>
      <c r="G2684">
        <v>14587</v>
      </c>
      <c r="H2684" s="116"/>
      <c r="I2684" s="116"/>
      <c r="L2684" s="169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69">
        <v>45958</v>
      </c>
      <c r="B2685" s="116">
        <v>867.55</v>
      </c>
      <c r="C2685" s="116">
        <v>864.75</v>
      </c>
      <c r="D2685" s="116">
        <v>855.85</v>
      </c>
      <c r="E2685" s="116">
        <v>855.85</v>
      </c>
      <c r="F2685" s="116">
        <v>864.75</v>
      </c>
      <c r="G2685">
        <v>10258</v>
      </c>
      <c r="H2685" s="116"/>
      <c r="I2685" s="116"/>
      <c r="L2685" s="169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69">
        <v>45959</v>
      </c>
      <c r="B2686" s="116">
        <v>869.95</v>
      </c>
      <c r="C2686" s="116">
        <v>863.3</v>
      </c>
      <c r="D2686" s="116">
        <v>852</v>
      </c>
      <c r="E2686" s="116">
        <v>869.95</v>
      </c>
      <c r="F2686" s="116">
        <v>863.3</v>
      </c>
      <c r="G2686">
        <v>12657</v>
      </c>
      <c r="H2686" s="116"/>
      <c r="I2686" s="116"/>
      <c r="L2686" s="169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69">
        <v>45960</v>
      </c>
      <c r="B2687" s="116">
        <v>878.7</v>
      </c>
      <c r="C2687" s="116">
        <v>875</v>
      </c>
      <c r="D2687" s="116">
        <v>858.05</v>
      </c>
      <c r="E2687" s="116">
        <v>863.5</v>
      </c>
      <c r="F2687" s="116">
        <v>875</v>
      </c>
      <c r="G2687">
        <v>19906</v>
      </c>
      <c r="H2687" s="116"/>
      <c r="I2687" s="116"/>
      <c r="L2687" s="169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69">
        <v>45961</v>
      </c>
      <c r="B2688" s="116">
        <v>883.75</v>
      </c>
      <c r="C2688" s="116">
        <v>867.4</v>
      </c>
      <c r="D2688" s="116">
        <v>860.85</v>
      </c>
      <c r="E2688" s="116">
        <v>864.55</v>
      </c>
      <c r="F2688" s="116">
        <v>867.4</v>
      </c>
      <c r="G2688">
        <v>17621</v>
      </c>
      <c r="H2688" s="116"/>
      <c r="I2688" s="116"/>
      <c r="L2688" s="169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69">
        <v>45964</v>
      </c>
      <c r="B2689" s="116">
        <v>887.95</v>
      </c>
      <c r="C2689" s="116">
        <v>864.7</v>
      </c>
      <c r="D2689" s="116">
        <v>860.9</v>
      </c>
      <c r="E2689" s="116">
        <v>887.95</v>
      </c>
      <c r="F2689" s="116">
        <v>864.7</v>
      </c>
      <c r="G2689">
        <v>5329</v>
      </c>
      <c r="H2689" s="116"/>
      <c r="I2689" s="116"/>
      <c r="L2689" s="169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69">
        <v>45965</v>
      </c>
      <c r="B2690" s="116">
        <v>875</v>
      </c>
      <c r="C2690" s="116">
        <v>861.45</v>
      </c>
      <c r="D2690" s="116">
        <v>858.7</v>
      </c>
      <c r="E2690" s="116">
        <v>862.75</v>
      </c>
      <c r="F2690" s="116">
        <v>861.45</v>
      </c>
      <c r="G2690">
        <v>11222</v>
      </c>
      <c r="H2690" s="116"/>
      <c r="I2690" s="116"/>
      <c r="L2690" s="169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69">
        <v>45967</v>
      </c>
      <c r="B2691" s="116">
        <v>881.95</v>
      </c>
      <c r="C2691" s="116">
        <v>877</v>
      </c>
      <c r="D2691" s="116">
        <v>854.75</v>
      </c>
      <c r="E2691" s="116">
        <v>862</v>
      </c>
      <c r="F2691" s="116">
        <v>877</v>
      </c>
      <c r="G2691">
        <v>6957</v>
      </c>
      <c r="H2691" s="116"/>
      <c r="I2691" s="116"/>
      <c r="L2691" s="169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69">
        <v>45968</v>
      </c>
      <c r="B2692" s="116">
        <v>891.2</v>
      </c>
      <c r="C2692" s="116">
        <v>881.45</v>
      </c>
      <c r="D2692" s="116">
        <v>860.7</v>
      </c>
      <c r="E2692" s="116">
        <v>877.6</v>
      </c>
      <c r="F2692" s="116">
        <v>881.45</v>
      </c>
      <c r="G2692">
        <v>13529</v>
      </c>
      <c r="H2692" s="116"/>
      <c r="I2692" s="116"/>
      <c r="L2692" s="169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69">
        <v>45971</v>
      </c>
      <c r="B2693" s="116">
        <v>884</v>
      </c>
      <c r="C2693" s="116">
        <v>881.5</v>
      </c>
      <c r="D2693" s="116">
        <v>864.15</v>
      </c>
      <c r="E2693" s="116">
        <v>864.15</v>
      </c>
      <c r="F2693" s="116">
        <v>881.5</v>
      </c>
      <c r="G2693">
        <v>11856</v>
      </c>
      <c r="H2693" s="116"/>
      <c r="I2693" s="116"/>
      <c r="L2693" s="169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69">
        <v>45972</v>
      </c>
      <c r="B2694" s="116">
        <v>899</v>
      </c>
      <c r="C2694" s="116">
        <v>893.95</v>
      </c>
      <c r="D2694" s="116">
        <v>880.45</v>
      </c>
      <c r="E2694" s="116">
        <v>889.85</v>
      </c>
      <c r="F2694" s="116">
        <v>893.95</v>
      </c>
      <c r="G2694">
        <v>23172</v>
      </c>
      <c r="H2694" s="116"/>
      <c r="I2694" s="116"/>
      <c r="L2694" s="169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69">
        <v>45973</v>
      </c>
      <c r="B2695" s="116">
        <v>908.95</v>
      </c>
      <c r="C2695" s="116">
        <v>884.9</v>
      </c>
      <c r="D2695" s="116">
        <v>880</v>
      </c>
      <c r="E2695" s="116">
        <v>899.95</v>
      </c>
      <c r="F2695" s="116">
        <v>884.9</v>
      </c>
      <c r="G2695">
        <v>10487</v>
      </c>
      <c r="H2695" s="116"/>
      <c r="I2695" s="116"/>
      <c r="L2695" s="169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69">
        <v>45974</v>
      </c>
      <c r="B2696" s="116">
        <v>888.75</v>
      </c>
      <c r="C2696" s="116">
        <v>864.95</v>
      </c>
      <c r="D2696" s="116">
        <v>863.45</v>
      </c>
      <c r="E2696" s="116">
        <v>888.75</v>
      </c>
      <c r="F2696" s="116">
        <v>864.95</v>
      </c>
      <c r="G2696">
        <v>13684</v>
      </c>
      <c r="H2696" s="116"/>
      <c r="I2696" s="116"/>
      <c r="L2696" s="169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69">
        <v>45975</v>
      </c>
      <c r="B2697" s="116">
        <v>895</v>
      </c>
      <c r="C2697" s="116">
        <v>883.05</v>
      </c>
      <c r="D2697" s="116">
        <v>859.95</v>
      </c>
      <c r="E2697" s="116">
        <v>859.95</v>
      </c>
      <c r="F2697" s="116">
        <v>883.05</v>
      </c>
      <c r="G2697">
        <v>16294</v>
      </c>
      <c r="H2697" s="116"/>
      <c r="I2697" s="116"/>
      <c r="L2697" s="169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69">
        <v>45978</v>
      </c>
      <c r="B2698" s="116">
        <v>913.5</v>
      </c>
      <c r="C2698" s="116">
        <v>891.45</v>
      </c>
      <c r="D2698" s="116">
        <v>867.8</v>
      </c>
      <c r="E2698" s="116">
        <v>867.8</v>
      </c>
      <c r="F2698" s="116">
        <v>891.45</v>
      </c>
      <c r="G2698">
        <v>25841</v>
      </c>
      <c r="H2698" s="116"/>
      <c r="I2698" s="116"/>
      <c r="L2698" s="169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69">
        <v>45979</v>
      </c>
      <c r="B2699" s="116">
        <v>925</v>
      </c>
      <c r="C2699" s="116">
        <v>906.55</v>
      </c>
      <c r="D2699" s="116">
        <v>897.35</v>
      </c>
      <c r="E2699" s="116">
        <v>897.35</v>
      </c>
      <c r="F2699" s="116">
        <v>906.55</v>
      </c>
      <c r="G2699">
        <v>39671</v>
      </c>
      <c r="H2699" s="116"/>
      <c r="I2699" s="116"/>
      <c r="L2699" s="169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69">
        <v>45980</v>
      </c>
      <c r="B2700" s="116">
        <v>908.45</v>
      </c>
      <c r="C2700" s="116">
        <v>890.4</v>
      </c>
      <c r="D2700" s="116">
        <v>882.1</v>
      </c>
      <c r="E2700" s="116">
        <v>907.85</v>
      </c>
      <c r="F2700" s="116">
        <v>890.4</v>
      </c>
      <c r="G2700">
        <v>7793</v>
      </c>
      <c r="H2700" s="116"/>
      <c r="I2700" s="116"/>
      <c r="L2700" s="169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69">
        <v>45981</v>
      </c>
      <c r="B2701" s="116">
        <v>898</v>
      </c>
      <c r="C2701" s="116">
        <v>881.45</v>
      </c>
      <c r="D2701" s="116">
        <v>879.5</v>
      </c>
      <c r="E2701" s="116">
        <v>892.3</v>
      </c>
      <c r="F2701" s="116">
        <v>881.45</v>
      </c>
      <c r="G2701">
        <v>10979</v>
      </c>
      <c r="H2701" s="116"/>
      <c r="I2701" s="116"/>
      <c r="L2701" s="169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69">
        <v>45982</v>
      </c>
      <c r="B2702" s="116">
        <v>890.6</v>
      </c>
      <c r="C2702" s="116">
        <v>885</v>
      </c>
      <c r="D2702" s="116">
        <v>877.75</v>
      </c>
      <c r="E2702" s="116">
        <v>877.75</v>
      </c>
      <c r="F2702" s="116">
        <v>885</v>
      </c>
      <c r="G2702">
        <v>4646</v>
      </c>
      <c r="H2702" s="116"/>
      <c r="I2702" s="116"/>
      <c r="L2702" s="169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69">
        <v>45985</v>
      </c>
      <c r="B2703" s="116">
        <v>894</v>
      </c>
      <c r="C2703" s="116">
        <v>889.75</v>
      </c>
      <c r="D2703" s="116">
        <v>883</v>
      </c>
      <c r="E2703" s="116">
        <v>885.55</v>
      </c>
      <c r="F2703" s="116">
        <v>889.75</v>
      </c>
      <c r="G2703">
        <v>17911</v>
      </c>
      <c r="H2703" s="116"/>
      <c r="I2703" s="116"/>
      <c r="L2703" s="169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69">
        <v>45986</v>
      </c>
      <c r="B2704" s="116">
        <v>889.8</v>
      </c>
      <c r="C2704" s="116">
        <v>883</v>
      </c>
      <c r="D2704" s="116">
        <v>879.9</v>
      </c>
      <c r="E2704" s="116">
        <v>889.75</v>
      </c>
      <c r="F2704" s="116">
        <v>883</v>
      </c>
      <c r="G2704">
        <v>5724</v>
      </c>
      <c r="H2704" s="116"/>
      <c r="I2704" s="116"/>
      <c r="L2704" s="169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69">
        <v>45987</v>
      </c>
      <c r="B2705" s="116">
        <v>906.25</v>
      </c>
      <c r="C2705" s="116">
        <v>891.35</v>
      </c>
      <c r="D2705" s="116">
        <v>883.25</v>
      </c>
      <c r="E2705" s="116">
        <v>886.95</v>
      </c>
      <c r="F2705" s="116">
        <v>891.35</v>
      </c>
      <c r="G2705">
        <v>211038</v>
      </c>
      <c r="H2705" s="116"/>
      <c r="I2705" s="116"/>
      <c r="L2705" s="169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69">
        <v>45988</v>
      </c>
      <c r="B2706" s="116">
        <v>904.65</v>
      </c>
      <c r="C2706" s="116">
        <v>886.4</v>
      </c>
      <c r="D2706" s="116">
        <v>882.45</v>
      </c>
      <c r="E2706" s="116">
        <v>882.45</v>
      </c>
      <c r="F2706" s="116">
        <v>886.4</v>
      </c>
      <c r="G2706">
        <v>21316</v>
      </c>
      <c r="H2706" s="116"/>
      <c r="I2706" s="116"/>
      <c r="L2706" s="169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69">
        <v>45989</v>
      </c>
      <c r="B2707" s="116">
        <v>888.2</v>
      </c>
      <c r="C2707" s="116">
        <v>884.55</v>
      </c>
      <c r="D2707" s="116">
        <v>881.45</v>
      </c>
      <c r="E2707" s="116">
        <v>884.85</v>
      </c>
      <c r="F2707" s="116">
        <v>884.55</v>
      </c>
      <c r="G2707">
        <v>4552</v>
      </c>
      <c r="H2707" s="116"/>
      <c r="I2707" s="116"/>
      <c r="L2707" s="169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69">
        <v>45992</v>
      </c>
      <c r="B2708" s="116">
        <v>912.65</v>
      </c>
      <c r="C2708" s="116">
        <v>908.65</v>
      </c>
      <c r="D2708" s="116">
        <v>882.45</v>
      </c>
      <c r="E2708" s="116">
        <v>884.55</v>
      </c>
      <c r="F2708" s="116">
        <v>908.65</v>
      </c>
      <c r="G2708">
        <v>15466</v>
      </c>
      <c r="H2708" s="116"/>
      <c r="I2708" s="116"/>
      <c r="L2708" s="169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69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6"/>
      <c r="I2709" s="116"/>
      <c r="L2709" s="169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69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6"/>
      <c r="I2710" s="116"/>
      <c r="L2710" s="169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69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6"/>
      <c r="I2711" s="116"/>
      <c r="L2711" s="169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69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6"/>
      <c r="I2712" s="116"/>
      <c r="L2712" s="169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69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6"/>
      <c r="I2713" s="116"/>
      <c r="L2713" s="169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69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6"/>
      <c r="I2714" s="116"/>
      <c r="L2714" s="169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69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6"/>
      <c r="I2715" s="116"/>
      <c r="L2715" s="169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69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6"/>
      <c r="I2716" s="116"/>
      <c r="L2716" s="169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69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6"/>
      <c r="I2717" s="116"/>
      <c r="L2717" s="169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69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6"/>
      <c r="I2718" s="116"/>
      <c r="L2718" s="169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69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6"/>
      <c r="I2719" s="116"/>
      <c r="L2719" s="169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69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6"/>
      <c r="I2720" s="116"/>
      <c r="L2720" s="169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69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6"/>
      <c r="I2721" s="116"/>
      <c r="L2721" s="169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69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6"/>
      <c r="I2722" s="116"/>
      <c r="L2722" s="169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H2723" s="116"/>
      <c r="I2723" s="116"/>
    </row>
    <row r="2724" spans="1:18" x14ac:dyDescent="0.25">
      <c r="H2724" s="116"/>
      <c r="I2724" s="116"/>
    </row>
    <row r="2725" spans="1:18" x14ac:dyDescent="0.25">
      <c r="H2725" s="116"/>
      <c r="I2725" s="116"/>
    </row>
    <row r="2726" spans="1:18" x14ac:dyDescent="0.25">
      <c r="H2726" s="116"/>
      <c r="I2726" s="116"/>
    </row>
    <row r="2727" spans="1:18" x14ac:dyDescent="0.25">
      <c r="H2727" s="116"/>
      <c r="I2727" s="116"/>
    </row>
    <row r="2728" spans="1:18" x14ac:dyDescent="0.25">
      <c r="H2728" s="116"/>
      <c r="I2728" s="116"/>
    </row>
    <row r="2729" spans="1:18" x14ac:dyDescent="0.25">
      <c r="H2729" s="116"/>
      <c r="I2729" s="116"/>
    </row>
    <row r="2730" spans="1:18" x14ac:dyDescent="0.25">
      <c r="H2730" s="116"/>
      <c r="I2730" s="116"/>
    </row>
    <row r="2731" spans="1:18" x14ac:dyDescent="0.25">
      <c r="H2731" s="116"/>
      <c r="I2731" s="116"/>
    </row>
    <row r="2732" spans="1:18" x14ac:dyDescent="0.25">
      <c r="H2732" s="116"/>
      <c r="I2732" s="116"/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2026-06-17T16:59:13Z</dcterms:modified>
  <cp:category/>
  <cp:contentStatus/>
</cp:coreProperties>
</file>